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表4-1 地方政府债务限额及余额决算情况表" sheetId="1" r:id="rId1"/>
    <sheet name="表4-2 地方政府债券使用情况表" sheetId="5" r:id="rId2"/>
    <sheet name="表4-3 地方政府债务发行及还本付息情况表" sheetId="3" r:id="rId3"/>
  </sheets>
  <definedNames>
    <definedName name="_xlnm.Print_Titles" localSheetId="1">'表4-2 地方政府债券使用情况表'!$7:$7</definedName>
  </definedNames>
  <calcPr calcId="144525"/>
</workbook>
</file>

<file path=xl/sharedStrings.xml><?xml version="1.0" encoding="utf-8"?>
<sst xmlns="http://schemas.openxmlformats.org/spreadsheetml/2006/main" count="1966" uniqueCount="687">
  <si>
    <t>DEBT_T_XXGK_XEYE</t>
  </si>
  <si>
    <t xml:space="preserve"> AND T.AD_CODE_GK=1522 AND T.SET_YEAR_GK=2019</t>
  </si>
  <si>
    <t>上年债务限额及余额决算</t>
  </si>
  <si>
    <t>AD_CODE_GK#1522</t>
  </si>
  <si>
    <t>SET_YEAR_GK#2019</t>
  </si>
  <si>
    <t>SET_YEAR#2018</t>
  </si>
  <si>
    <t>AD_CODE#</t>
  </si>
  <si>
    <t>AD_NAME#</t>
  </si>
  <si>
    <t>YBXE_Y1#</t>
  </si>
  <si>
    <t>ZXXE_Y1#</t>
  </si>
  <si>
    <t>YBYE_Y1#</t>
  </si>
  <si>
    <t>ZXYE_Y1#</t>
  </si>
  <si>
    <t>表4-1</t>
  </si>
  <si>
    <t>1522 兴安盟2018年地方政府债务限额及余额决算情况表</t>
  </si>
  <si>
    <t>单位：亿元</t>
  </si>
  <si>
    <t>地   区</t>
  </si>
  <si>
    <t>2018年债务限额</t>
  </si>
  <si>
    <t>2018年债务余额预计执行数</t>
  </si>
  <si>
    <t>一般债务</t>
  </si>
  <si>
    <t>专项债务</t>
  </si>
  <si>
    <t>公  式</t>
  </si>
  <si>
    <t>A=B+C</t>
  </si>
  <si>
    <t>B</t>
  </si>
  <si>
    <t>C</t>
  </si>
  <si>
    <t>D=E+F</t>
  </si>
  <si>
    <t>E</t>
  </si>
  <si>
    <t>F</t>
  </si>
  <si>
    <t>VALID#</t>
  </si>
  <si>
    <t>1522</t>
  </si>
  <si>
    <t xml:space="preserve">  兴安盟</t>
  </si>
  <si>
    <t>152200</t>
  </si>
  <si>
    <t xml:space="preserve">    兴安盟本级</t>
  </si>
  <si>
    <t>152201</t>
  </si>
  <si>
    <t xml:space="preserve">    乌兰浩特市</t>
  </si>
  <si>
    <t>152202</t>
  </si>
  <si>
    <t xml:space="preserve">    阿尔山市</t>
  </si>
  <si>
    <t>152221</t>
  </si>
  <si>
    <t xml:space="preserve">    科尔沁右翼前旗</t>
  </si>
  <si>
    <t>152222</t>
  </si>
  <si>
    <t xml:space="preserve">    科尔沁右翼中旗</t>
  </si>
  <si>
    <t>152223</t>
  </si>
  <si>
    <t xml:space="preserve">    扎赉特旗</t>
  </si>
  <si>
    <t>152224</t>
  </si>
  <si>
    <t xml:space="preserve">    突泉县</t>
  </si>
  <si>
    <t>DEBT_T_XXGK_ZQSY</t>
  </si>
  <si>
    <t>AD_CODE#1522</t>
  </si>
  <si>
    <t>AD_NAME#1522 兴安盟</t>
  </si>
  <si>
    <t>XM_NAME#</t>
  </si>
  <si>
    <t>XM_CODE#</t>
  </si>
  <si>
    <t>XMLX_NAME#</t>
  </si>
  <si>
    <t>ZGBM_NAME#</t>
  </si>
  <si>
    <t>AG_NAME#</t>
  </si>
  <si>
    <t>ZWLB_NAME#</t>
  </si>
  <si>
    <t>ZQGM_AMT#</t>
  </si>
  <si>
    <t>FX_DATE#</t>
  </si>
  <si>
    <t>XM_ID#</t>
  </si>
  <si>
    <t>XMLX_ID#</t>
  </si>
  <si>
    <t>ZGBM_CODE#</t>
  </si>
  <si>
    <t>AG_CODE#</t>
  </si>
  <si>
    <t>ZWLB_ID#</t>
  </si>
  <si>
    <t>表4-2</t>
  </si>
  <si>
    <t>2018年地方政府债券使用情况表</t>
  </si>
  <si>
    <t>项目名称</t>
  </si>
  <si>
    <t>项目编号</t>
  </si>
  <si>
    <t>项目领域</t>
  </si>
  <si>
    <t>项目主管部门</t>
  </si>
  <si>
    <t>项目实施单位</t>
  </si>
  <si>
    <t>债券性质</t>
  </si>
  <si>
    <t>债券规模</t>
  </si>
  <si>
    <t>发行时间（年/月）</t>
  </si>
  <si>
    <t>阿尔山市2017年财政预算内以工代振建设项目</t>
  </si>
  <si>
    <t>P18152202-0029</t>
  </si>
  <si>
    <t>水利建设</t>
  </si>
  <si>
    <t>人民政府</t>
  </si>
  <si>
    <t>阿尔山市白狼镇人民政府</t>
  </si>
  <si>
    <t>一般债券</t>
  </si>
  <si>
    <t>2017-07</t>
  </si>
  <si>
    <t>7E13E4D374300090E053C0A80A1B48A2</t>
  </si>
  <si>
    <t>1503</t>
  </si>
  <si>
    <t>434</t>
  </si>
  <si>
    <t>502434999</t>
  </si>
  <si>
    <t>01</t>
  </si>
  <si>
    <t>白狼镇供热中心锅炉维修</t>
  </si>
  <si>
    <t>P18152202-0028</t>
  </si>
  <si>
    <t>供热</t>
  </si>
  <si>
    <t>7E13E4D3736B0090E053C0A80A1B48A2</t>
  </si>
  <si>
    <t>040403</t>
  </si>
  <si>
    <t>兴安盟图书馆、兴安盟科技馆项目</t>
  </si>
  <si>
    <t>PROJ152200357002-00000002</t>
  </si>
  <si>
    <t>文化旅游</t>
  </si>
  <si>
    <t>文化</t>
  </si>
  <si>
    <t>兴安盟文化体育新闻出版广电局</t>
  </si>
  <si>
    <t>4CEEBF9064F500BEE053C0A80A1B957F</t>
  </si>
  <si>
    <t>1101</t>
  </si>
  <si>
    <t>357</t>
  </si>
  <si>
    <t>357002</t>
  </si>
  <si>
    <t>乌兰浩特市2016年道路畅通工程</t>
  </si>
  <si>
    <t>PROJ152201333021-00000006</t>
  </si>
  <si>
    <t>道路</t>
  </si>
  <si>
    <t>建设</t>
  </si>
  <si>
    <t>乌兰浩特市工程建设管理站</t>
  </si>
  <si>
    <t>56C2EBDFA1090086E053C0A80A1BE85F</t>
  </si>
  <si>
    <t>0402</t>
  </si>
  <si>
    <t>333</t>
  </si>
  <si>
    <t>333021</t>
  </si>
  <si>
    <t>乌兰浩特市洮儿河哈达景观桥工程</t>
  </si>
  <si>
    <t>PROJ152201333021-00000003</t>
  </si>
  <si>
    <t>桥梁</t>
  </si>
  <si>
    <t>56AE8E1E3D610034E053C0A80A1B1B4D</t>
  </si>
  <si>
    <t>0403</t>
  </si>
  <si>
    <t>2018-08</t>
  </si>
  <si>
    <t>乌兰浩特市葛根庙中心小学餐宿楼</t>
  </si>
  <si>
    <t>PROJ152201360301030-00000001</t>
  </si>
  <si>
    <t>义务教育</t>
  </si>
  <si>
    <t>教育</t>
  </si>
  <si>
    <t>乌兰浩特市葛根庙中心校</t>
  </si>
  <si>
    <t>58E98CEE99CF009EE053C0A80A1BEDB5</t>
  </si>
  <si>
    <t>0901</t>
  </si>
  <si>
    <t>360</t>
  </si>
  <si>
    <t>360301030</t>
  </si>
  <si>
    <t>科右前旗土储医疗项目</t>
  </si>
  <si>
    <t>PROJ152221324004-00000001</t>
  </si>
  <si>
    <t>土地储备</t>
  </si>
  <si>
    <t>国土资源（海洋局）</t>
  </si>
  <si>
    <t>科尔沁右翼前旗国有土地收购储备中心</t>
  </si>
  <si>
    <t>土地储备专项债券</t>
  </si>
  <si>
    <t>2017-12</t>
  </si>
  <si>
    <t>62E0ACF81368004AE053C0A80A1BC15A</t>
  </si>
  <si>
    <t>05</t>
  </si>
  <si>
    <t>324</t>
  </si>
  <si>
    <t>324004</t>
  </si>
  <si>
    <t>020201</t>
  </si>
  <si>
    <t>兴安盟科右中旗巴彦呼舒镇再生水处理工程建设项目</t>
  </si>
  <si>
    <t>P18152222-0001</t>
  </si>
  <si>
    <t>污水处理（城镇）</t>
  </si>
  <si>
    <t>科尔沁右翼中旗建设局</t>
  </si>
  <si>
    <t>71A7F8D94A21004CE053C0A80A1BC341</t>
  </si>
  <si>
    <t>040406</t>
  </si>
  <si>
    <t>333002</t>
  </si>
  <si>
    <t>阿尔山市伊尔施污水管网工程</t>
  </si>
  <si>
    <t>P18152202-0004</t>
  </si>
  <si>
    <t>阿尔山市建设局</t>
  </si>
  <si>
    <t>普通专项债券</t>
  </si>
  <si>
    <t>2018-09</t>
  </si>
  <si>
    <t>78F5239C7D1600D8E053C0A80A1B1A5B</t>
  </si>
  <si>
    <t>333001</t>
  </si>
  <si>
    <t>0201</t>
  </si>
  <si>
    <t>100万头生猪养殖一体化项目</t>
  </si>
  <si>
    <t>P17152221-0008</t>
  </si>
  <si>
    <t>其他</t>
  </si>
  <si>
    <t>额尔格图镇人民政府</t>
  </si>
  <si>
    <t>78F5239C8B7600D8E053C0A80A1B1A5B</t>
  </si>
  <si>
    <t>99</t>
  </si>
  <si>
    <t>506434001</t>
  </si>
  <si>
    <t>阿尔山市伊尔施步行街商业区建设工程项目一期</t>
  </si>
  <si>
    <t>P17152202-0010</t>
  </si>
  <si>
    <t>其他市政建设</t>
  </si>
  <si>
    <t>7A14B8ABD8E90082E053C0A80A1B7355</t>
  </si>
  <si>
    <t>0499</t>
  </si>
  <si>
    <t>泉韵小区棚户区改造项目</t>
  </si>
  <si>
    <t>P17152224-0001</t>
  </si>
  <si>
    <t>棚户区改造</t>
  </si>
  <si>
    <t>突泉县住房和城乡建设局</t>
  </si>
  <si>
    <t>7B125E71A3EB006EE053C0A80A1BF914</t>
  </si>
  <si>
    <t>0604</t>
  </si>
  <si>
    <t>林泉小区项目一期</t>
  </si>
  <si>
    <t>P17152202-0017</t>
  </si>
  <si>
    <t>7BB96C9942CC0030E053C0A80A1B2302</t>
  </si>
  <si>
    <t>泉城南苑棚户区改造项目</t>
  </si>
  <si>
    <t>P16152224-0006</t>
  </si>
  <si>
    <t>7B1CA77CA845009EE053C0A80A1B5235</t>
  </si>
  <si>
    <t>阿伊环线工程(扶贫道路建设）</t>
  </si>
  <si>
    <t>P14152202-0013</t>
  </si>
  <si>
    <t>其他公路</t>
  </si>
  <si>
    <t>交通</t>
  </si>
  <si>
    <t>阿尔山市交通局</t>
  </si>
  <si>
    <t>7C59A87653C60056E053C0A80A1B776B</t>
  </si>
  <si>
    <t>0299</t>
  </si>
  <si>
    <t>348</t>
  </si>
  <si>
    <t>348127</t>
  </si>
  <si>
    <t>阿尔山头道沟至金江沟公路</t>
  </si>
  <si>
    <t>PROJ152202348127-00000003</t>
  </si>
  <si>
    <t>4CCDEBDF53DA00A8E053C0A80A1B9E09</t>
  </si>
  <si>
    <t>杜拉尔公路</t>
  </si>
  <si>
    <t>P14152202-0011</t>
  </si>
  <si>
    <t>7BBE7A65AF5100CCE053C0A80A1B567C</t>
  </si>
  <si>
    <t>乌兰浩特市城市楼体外立面改造工程</t>
  </si>
  <si>
    <t>PROJ152201333005-00000002</t>
  </si>
  <si>
    <t>乌兰浩特市市政工程管理处</t>
  </si>
  <si>
    <t>56D94D6B7FC7001EE053C0A80A1BE8AB</t>
  </si>
  <si>
    <t>333005</t>
  </si>
  <si>
    <t>乌兰浩特市2017年城区绿化工程四标段</t>
  </si>
  <si>
    <t>PROJ152201333002-00000006</t>
  </si>
  <si>
    <t>乌兰浩特市园林管理处</t>
  </si>
  <si>
    <t>5CF6AF8445B200FCE053C0A80A1B0F6C</t>
  </si>
  <si>
    <t>河滨公园景观工程一期（铺装）</t>
  </si>
  <si>
    <t>P14152202-0016</t>
  </si>
  <si>
    <t>水利</t>
  </si>
  <si>
    <t>阿尔山市水务局</t>
  </si>
  <si>
    <t>7C7EB7CFD63600CAE053C0A80A1B9135</t>
  </si>
  <si>
    <t>332</t>
  </si>
  <si>
    <t>332005</t>
  </si>
  <si>
    <t>科右前旗工业园区环城西路市政道路综合工程</t>
  </si>
  <si>
    <t>PROJ152221439001-00000002</t>
  </si>
  <si>
    <t>经济体制改革办公室</t>
  </si>
  <si>
    <t>科右前旗工业园区管理委员会</t>
  </si>
  <si>
    <t>4CDB318CABC5002CE053C0A80A1B0EFB</t>
  </si>
  <si>
    <t>439</t>
  </si>
  <si>
    <t>439001</t>
  </si>
  <si>
    <t>科右前旗工业园区兴科路基础设施工程</t>
  </si>
  <si>
    <t>PROJ152221439001-00000001</t>
  </si>
  <si>
    <t>4CD015A7EF190000E053C0A80A1B6E68</t>
  </si>
  <si>
    <t>基层布病防治能力建设设备采购</t>
  </si>
  <si>
    <t>P17152201-0001</t>
  </si>
  <si>
    <t>公共卫生设施</t>
  </si>
  <si>
    <t>卫生</t>
  </si>
  <si>
    <t>乌兰浩特市疾病预防控制中心</t>
  </si>
  <si>
    <t>79E3AA2B0C190096E053C0A80A1B3F00</t>
  </si>
  <si>
    <t>1203</t>
  </si>
  <si>
    <t>361</t>
  </si>
  <si>
    <t>361007</t>
  </si>
  <si>
    <t>卫生间改造</t>
  </si>
  <si>
    <t>PROJ152201360301032-00000001</t>
  </si>
  <si>
    <t>乌兰浩特市卫东中学</t>
  </si>
  <si>
    <t>58EB3A14687D00C4E053C0A80A1B882C</t>
  </si>
  <si>
    <t>360301032</t>
  </si>
  <si>
    <t>明水小学等水冲厕所及教辅用房项目</t>
  </si>
  <si>
    <t>PROJ152202360001-00000001</t>
  </si>
  <si>
    <t>阿尔山市教育局</t>
  </si>
  <si>
    <t>5803BA10355A00FAE053C0A80A1B964B</t>
  </si>
  <si>
    <t>360001</t>
  </si>
  <si>
    <t>乌兰浩特市老旧小区改造项目</t>
  </si>
  <si>
    <t>PROJ152201333020-00000001</t>
  </si>
  <si>
    <t>乌兰浩特市房产局</t>
  </si>
  <si>
    <t>4E2357A7CEA1005EE053C0A80A1B7DE1</t>
  </si>
  <si>
    <t>333020</t>
  </si>
  <si>
    <t>扎赉特旗音德尔镇巴彦乌兰路道路改造项目</t>
  </si>
  <si>
    <t>PROJ152223333002-00000005</t>
  </si>
  <si>
    <t>扎赉特旗建设局</t>
  </si>
  <si>
    <t>4C8AD0B57DA0002CE053C0A80A1B5F5D</t>
  </si>
  <si>
    <t>阿尔山市温泉街集中供热项目一期</t>
  </si>
  <si>
    <t>P18152202-0002</t>
  </si>
  <si>
    <t>阿尔山市本级政府投资非经营性项目代建管理局</t>
  </si>
  <si>
    <t>78F5264A6D070086E053C0A80A1B5D20</t>
  </si>
  <si>
    <t>434012</t>
  </si>
  <si>
    <t>新能源汽车采购</t>
  </si>
  <si>
    <t>P18152201-0010</t>
  </si>
  <si>
    <t>公交</t>
  </si>
  <si>
    <t>乌兰浩特市公交公司</t>
  </si>
  <si>
    <t>7C59A8764EAD0056E053C0A80A1B776B</t>
  </si>
  <si>
    <t>040405</t>
  </si>
  <si>
    <t>348003</t>
  </si>
  <si>
    <t>扎赉特旗利民污水处理厂提标改造工程</t>
  </si>
  <si>
    <t>PROJ152223333002-00000009</t>
  </si>
  <si>
    <t>4C89FD3D4197005EE053C0A80A1B6669</t>
  </si>
  <si>
    <t>归流河东岸治理工程</t>
  </si>
  <si>
    <t>P17152200-0004</t>
  </si>
  <si>
    <t>其他生态建设和环境保护</t>
  </si>
  <si>
    <t>兴安盟住房和城乡规划建设局</t>
  </si>
  <si>
    <t>7B77F46A29090076E053C0A80A1B6FCB</t>
  </si>
  <si>
    <t>0799</t>
  </si>
  <si>
    <t>阿尔山市老伊尔施供热改造工程</t>
  </si>
  <si>
    <t>P17152202-0001</t>
  </si>
  <si>
    <t>78F5264A6D270086E053C0A80A1B5D20</t>
  </si>
  <si>
    <t>科右前旗农业园区路</t>
  </si>
  <si>
    <t>P16152221-0001</t>
  </si>
  <si>
    <t>科尔沁右翼前旗交通局</t>
  </si>
  <si>
    <t>791A64BF6FDF00A8E053C0A80A1BAE99</t>
  </si>
  <si>
    <t>348002</t>
  </si>
  <si>
    <t>引绰济辽项目</t>
  </si>
  <si>
    <t>P18152200-0012</t>
  </si>
  <si>
    <t>其他农林水利建设</t>
  </si>
  <si>
    <t>财政</t>
  </si>
  <si>
    <t>兴安盟国有资产管理局</t>
  </si>
  <si>
    <t>7E1F5FDA83E40052E053C0A80A1BC0B1</t>
  </si>
  <si>
    <t>1599</t>
  </si>
  <si>
    <t>318</t>
  </si>
  <si>
    <t>318022</t>
  </si>
  <si>
    <t>白音花嘎查搬迁</t>
  </si>
  <si>
    <t>P19152200-0025</t>
  </si>
  <si>
    <t>开发区</t>
  </si>
  <si>
    <t>兴安盟经济技术开发区管委会</t>
  </si>
  <si>
    <t>7B26F76765A8008EE053C0A80A1BD7A1</t>
  </si>
  <si>
    <t>976</t>
  </si>
  <si>
    <t>976002</t>
  </si>
  <si>
    <t>扎赉特旗物流园区土地收储项目</t>
  </si>
  <si>
    <t>XMWH1522230004230030004150909102146</t>
  </si>
  <si>
    <t>土地管理</t>
  </si>
  <si>
    <t>扎赉特旗土地储备交易中心</t>
  </si>
  <si>
    <t>F12A0489CAC74469884BCD1F87F51DD7</t>
  </si>
  <si>
    <t>423</t>
  </si>
  <si>
    <t>423003</t>
  </si>
  <si>
    <t>扎赉特旗音德尔镇建成区污水管网改扩建工程</t>
  </si>
  <si>
    <t>PROJ152223333002-00000007</t>
  </si>
  <si>
    <t>其他地下管线</t>
  </si>
  <si>
    <t>4C8A63ABD668000AE053C0A80A1B6FF1</t>
  </si>
  <si>
    <t>040599</t>
  </si>
  <si>
    <t>兴安盟经济技术开发区污水处理一期工程</t>
  </si>
  <si>
    <t>P18152200-0010</t>
  </si>
  <si>
    <t>7E13E4D365C80090E053C0A80A1B48A2</t>
  </si>
  <si>
    <t>2018年棚户区改造工程</t>
  </si>
  <si>
    <t>P18152202-0001</t>
  </si>
  <si>
    <t>棚改专项债券</t>
  </si>
  <si>
    <t>78F52698AAF40050E053C0A80A1B409D</t>
  </si>
  <si>
    <t>020203</t>
  </si>
  <si>
    <t>爱国一小北片区棚改项目</t>
  </si>
  <si>
    <t>P17152201-0004</t>
  </si>
  <si>
    <t>其他部门</t>
  </si>
  <si>
    <t>新城城市基础设施建设投资有限责任公司</t>
  </si>
  <si>
    <t>7C65C09B249C00C6E053C0A80A1BB7D7</t>
  </si>
  <si>
    <t>999</t>
  </si>
  <si>
    <t>999001</t>
  </si>
  <si>
    <t>阿尔山市污水处理中心6000吨/日升级改造工程</t>
  </si>
  <si>
    <t>P18152202-0005</t>
  </si>
  <si>
    <t>78F5264A6DA20086E053C0A80A1B5D20</t>
  </si>
  <si>
    <t>省道204线浩饶山至察尔森段公路工程</t>
  </si>
  <si>
    <t>P17152223-0008</t>
  </si>
  <si>
    <t>二级公路</t>
  </si>
  <si>
    <t>扎赉特旗交通局</t>
  </si>
  <si>
    <t>7B26F7675B42008EE053C0A80A1BD7A1</t>
  </si>
  <si>
    <t>0203</t>
  </si>
  <si>
    <t>乌兰浩特市2017年人行道及临街硬化改造工程</t>
  </si>
  <si>
    <t>PROJ152201333005-00000001</t>
  </si>
  <si>
    <t>4D544C801EF8003AE053C0A80A1B752A</t>
  </si>
  <si>
    <t>科右前旗妇幼保健所建设项目</t>
  </si>
  <si>
    <t>P17152221-0006</t>
  </si>
  <si>
    <t>科尔沁右翼前旗卫生局</t>
  </si>
  <si>
    <t>79FA3706BE8300E8E053C0A80A1B2C57</t>
  </si>
  <si>
    <t>361002</t>
  </si>
  <si>
    <t>科右前旗2015年嘎查村街巷硬化项目</t>
  </si>
  <si>
    <t>P15152221-0002</t>
  </si>
  <si>
    <t>79197491C9B5003AE053C0A80A1B5385</t>
  </si>
  <si>
    <t>西口鹿场大桥（贫困村道路建设）</t>
  </si>
  <si>
    <t>P14152202-0012</t>
  </si>
  <si>
    <t>7C67913DBEDD0038E053C0A80A1B3DFE</t>
  </si>
  <si>
    <t>阿尔山市伊尔施天池花园小区商住楼一、二、三、四、五期附属工程</t>
  </si>
  <si>
    <t>P16152202-0025</t>
  </si>
  <si>
    <t>7C9808A8E103000EE053C0A80A1BD69F</t>
  </si>
  <si>
    <t>机场路绿化工程</t>
  </si>
  <si>
    <t>P16152202-0018</t>
  </si>
  <si>
    <t>7BB605E3ABA8005EE053C0A80A1B2B8B</t>
  </si>
  <si>
    <t>河滨公园电气工程</t>
  </si>
  <si>
    <t>P16152202-0023</t>
  </si>
  <si>
    <t>7C7EB7CFD63E00CAE053C0A80A1B9135</t>
  </si>
  <si>
    <t>高岳山公路</t>
  </si>
  <si>
    <t>P14152202-0014</t>
  </si>
  <si>
    <t>7C5979CE2B640040E053C0A80A1B98E6</t>
  </si>
  <si>
    <t>乌兰浩特市“一馆三址”景观改造工程项目</t>
  </si>
  <si>
    <t>PROJ152201333005-00000003</t>
  </si>
  <si>
    <t>56AE8E1E3DDB0034E053C0A80A1B1B4D</t>
  </si>
  <si>
    <t>巴彦呼舒镇生活垃圾无害化处理场渗滤液处理工程</t>
  </si>
  <si>
    <t>P16152222-0001</t>
  </si>
  <si>
    <t>垃圾处理（城镇）</t>
  </si>
  <si>
    <t>70B024F59D4C006EE053C0A80A1BE5CD</t>
  </si>
  <si>
    <t>040407</t>
  </si>
  <si>
    <t>科右中旗巴彦呼舒镇北山公园一期工程</t>
  </si>
  <si>
    <t>P17152222-0001</t>
  </si>
  <si>
    <t>70B03FCAE97500DCE053C0A80A1B3520</t>
  </si>
  <si>
    <t>阿尔山市闻泉商业小区11#、12#、13#</t>
  </si>
  <si>
    <t>P16152202-0005</t>
  </si>
  <si>
    <t>其他保障性住房</t>
  </si>
  <si>
    <t>7B126037B6C000D0E053C0A80A1B47F0</t>
  </si>
  <si>
    <t>0699</t>
  </si>
  <si>
    <t>河滨公园景观工程一期（绿化）</t>
  </si>
  <si>
    <t>P14152202-0015</t>
  </si>
  <si>
    <t>7C5C773EF2DD0076E053C0A80A1B2BAA</t>
  </si>
  <si>
    <t>阿尔山市河滨公园畜水防渗工程</t>
  </si>
  <si>
    <t>P18152202-0010</t>
  </si>
  <si>
    <t>7B13C693E63E0048E053C0A80A1B9B44</t>
  </si>
  <si>
    <t>白狼镇供热中心换热站建设</t>
  </si>
  <si>
    <t>P18152202-0026</t>
  </si>
  <si>
    <t>7E13E4D3734D0090E053C0A80A1B48A2</t>
  </si>
  <si>
    <t>科右前旗乌兰毛都旅游基础设施和公共服务产品建设项目</t>
  </si>
  <si>
    <t>PROJ152221420001-00000001</t>
  </si>
  <si>
    <t>旅游</t>
  </si>
  <si>
    <t>科右前旗旅游局</t>
  </si>
  <si>
    <t>4C8A63ABD8AE000AE053C0A80A1B6FF1</t>
  </si>
  <si>
    <t>420</t>
  </si>
  <si>
    <t>420001</t>
  </si>
  <si>
    <t>兴安盟第三人民医院设备购置</t>
  </si>
  <si>
    <t>P18152200-0011</t>
  </si>
  <si>
    <t>公立医院</t>
  </si>
  <si>
    <t>兴安盟第三人民医院</t>
  </si>
  <si>
    <t>7E1F5FDA7C0A0052E053C0A80A1BC0B1</t>
  </si>
  <si>
    <t>1201</t>
  </si>
  <si>
    <t>361362</t>
  </si>
  <si>
    <t>图书馆建设</t>
  </si>
  <si>
    <t>P17152200-0005</t>
  </si>
  <si>
    <t>职业教育</t>
  </si>
  <si>
    <t>兴安职业技术学院</t>
  </si>
  <si>
    <t>7E11E463235400BAE053C0A80A1BEFB4</t>
  </si>
  <si>
    <t>0904</t>
  </si>
  <si>
    <t>360003</t>
  </si>
  <si>
    <t>乌兰浩特火车站子站房配套工程</t>
  </si>
  <si>
    <t>P17152200-0003</t>
  </si>
  <si>
    <t>火车站</t>
  </si>
  <si>
    <t>7B27032D6FFF0062E053C0A80A1BC247</t>
  </si>
  <si>
    <t>0102</t>
  </si>
  <si>
    <t>新建厕所</t>
  </si>
  <si>
    <t>PROJ152201360301040-00000001</t>
  </si>
  <si>
    <t>乌兰浩特市永联第二小学</t>
  </si>
  <si>
    <t>58EB3A1465830072E053C0A80A1B8B71</t>
  </si>
  <si>
    <t>360301040</t>
  </si>
  <si>
    <t>PROJ152201360301028-00000001</t>
  </si>
  <si>
    <t>乌兰浩特市太本站学校</t>
  </si>
  <si>
    <t>58E98CEE9A11009EE053C0A80A1BEDB5</t>
  </si>
  <si>
    <t>360301028</t>
  </si>
  <si>
    <t>兴安盟地方债券教育项目</t>
  </si>
  <si>
    <t>PROJ152221360001-00000001</t>
  </si>
  <si>
    <t>科尔沁右翼前旗教育局</t>
  </si>
  <si>
    <t>614A63CBB0F600FCE053C0A80A1BFCE9</t>
  </si>
  <si>
    <t>乌兰浩特市神骏山生态修复及景观项目</t>
  </si>
  <si>
    <t>PROJ152201420001-00000001</t>
  </si>
  <si>
    <t>自然生态保护</t>
  </si>
  <si>
    <t>乌兰浩特市外事旅游局</t>
  </si>
  <si>
    <t>56C2EBDFA3C80086E053C0A80A1BE85F</t>
  </si>
  <si>
    <t>0702</t>
  </si>
  <si>
    <t>兴安盟第三人民医院建设项目</t>
  </si>
  <si>
    <t>P19152200-0006</t>
  </si>
  <si>
    <t>7B2862D9D9D700F2E053C0A80A1BDD92</t>
  </si>
  <si>
    <t>扎赉特旗蒙医院门诊和病房楼建设工程</t>
  </si>
  <si>
    <t>PROJ152223361009-00000002</t>
  </si>
  <si>
    <t>扎赉特旗蒙医院</t>
  </si>
  <si>
    <t>5E188D243614009EE053C0A80A1B2A2C</t>
  </si>
  <si>
    <t>361009</t>
  </si>
  <si>
    <t>科右中旗巴彦呼舒镇基础设施改造项目</t>
  </si>
  <si>
    <t>PROJ152222333002-00000001</t>
  </si>
  <si>
    <t>4C7F95B7D26F0078E053C0A80A1B82E7</t>
  </si>
  <si>
    <t>康乐家园棚户区改造项目</t>
  </si>
  <si>
    <t>P16152224-0007</t>
  </si>
  <si>
    <t>7B1C48438B94009CE053C0A80A1B8373</t>
  </si>
  <si>
    <t>阿尔山市伊经十二路回迁商业二期建设项目</t>
  </si>
  <si>
    <t>P17152202-0016</t>
  </si>
  <si>
    <t>7B139B57F0BE00ECE053C0A80A1B7CB9</t>
  </si>
  <si>
    <t>伊尔施至天池公路大中修工程</t>
  </si>
  <si>
    <t>P16152202-0020</t>
  </si>
  <si>
    <t>7C5C773EF2B70076E053C0A80A1B2BAA</t>
  </si>
  <si>
    <t>国际文化交流中心附属设施</t>
  </si>
  <si>
    <t>P18152202-0021</t>
  </si>
  <si>
    <t>7BBE7A65AF3E00CCE053C0A80A1B567C</t>
  </si>
  <si>
    <t>阿尔山市重点区域绿化工程建设项目</t>
  </si>
  <si>
    <t>P16152202-0026</t>
  </si>
  <si>
    <t>林业</t>
  </si>
  <si>
    <t>阿尔山市林业局</t>
  </si>
  <si>
    <t>7CA127FCE022003AE053C0A80A1BE203</t>
  </si>
  <si>
    <t>327</t>
  </si>
  <si>
    <t>327001</t>
  </si>
  <si>
    <t>阿尔山市明水河镇林果深加工项目</t>
  </si>
  <si>
    <t>P17152202-0019</t>
  </si>
  <si>
    <t>阿尔山市明水河镇人民政府</t>
  </si>
  <si>
    <t>7E11F381CA4900D4E053C0A80A1BE186</t>
  </si>
  <si>
    <t>504434001</t>
  </si>
  <si>
    <t>布病防治能力建设</t>
  </si>
  <si>
    <t>P17152202-0018</t>
  </si>
  <si>
    <t>其他医疗卫生</t>
  </si>
  <si>
    <t>其他单位和个人</t>
  </si>
  <si>
    <t>7D6BF10F472600A8E053C0A80A1B506B</t>
  </si>
  <si>
    <t>1299</t>
  </si>
  <si>
    <t>999999</t>
  </si>
  <si>
    <t>厨房改造</t>
  </si>
  <si>
    <t>PROJ152201360301030-00000002</t>
  </si>
  <si>
    <t>58EB3A14687000C4E053C0A80A1B882C</t>
  </si>
  <si>
    <t>科右前旗土储项目</t>
  </si>
  <si>
    <t>PROJ152221324004-00000002</t>
  </si>
  <si>
    <t>62E0AA8500AE0028E053C0A80A1BBE92</t>
  </si>
  <si>
    <t>阿尔山市亮化一、二期工程</t>
  </si>
  <si>
    <t>P18152202-0009</t>
  </si>
  <si>
    <t>79E3AA2B0E0F0096E053C0A80A1B3F00</t>
  </si>
  <si>
    <t>科右中旗巴彦呼舒镇污水处理厂扩建及配套管网工程</t>
  </si>
  <si>
    <t>P14152222-0001</t>
  </si>
  <si>
    <t>79197491D017003AE053C0A80A1B5385</t>
  </si>
  <si>
    <t>碧桂园中心公园改造工程</t>
  </si>
  <si>
    <t>P17152221-0002</t>
  </si>
  <si>
    <t>科尔沁右翼前旗建设局</t>
  </si>
  <si>
    <t>7909D850E51900B4E053C0A80A1B725F</t>
  </si>
  <si>
    <t>科右前旗教育园区维修改造</t>
  </si>
  <si>
    <t>P17152221-0005</t>
  </si>
  <si>
    <t>791A64BF705800A8E053C0A80A1BAE99</t>
  </si>
  <si>
    <t>科右中旗查干呼舒桥建设项目</t>
  </si>
  <si>
    <t>P18152222-0003</t>
  </si>
  <si>
    <t>科尔沁右翼中旗交通局</t>
  </si>
  <si>
    <t>728528EBBDC500E0E053C0A80A1BAE2B</t>
  </si>
  <si>
    <t>2014年棚户区改造道路工程项目</t>
  </si>
  <si>
    <t>P15152201-0002</t>
  </si>
  <si>
    <t>7B7ED3C7249F007CE053C0A80A1B2E4C</t>
  </si>
  <si>
    <t>乌兰浩特市垃圾处理厂渗滤液处理技改及封场绿化工程</t>
  </si>
  <si>
    <t>P18152201-0009</t>
  </si>
  <si>
    <t>乌兰浩特市绿洁垃圾处理场</t>
  </si>
  <si>
    <t>7B77F46A2AA50076E053C0A80A1B6FCB</t>
  </si>
  <si>
    <t>333007</t>
  </si>
  <si>
    <t>乌兰浩特市智慧城市项目</t>
  </si>
  <si>
    <t>PROJ152201434001-00000001</t>
  </si>
  <si>
    <t>乌兰浩特市政府信息中心</t>
  </si>
  <si>
    <t>568A8369E86200B6E053C0A80A1B56D0</t>
  </si>
  <si>
    <t>434001</t>
  </si>
  <si>
    <t>五岔沟镇扶贫车间项目</t>
  </si>
  <si>
    <t>P18152202-0023</t>
  </si>
  <si>
    <t>阿尔山市五岔沟镇人民政府</t>
  </si>
  <si>
    <t>7D6A7D6A347F00FEE053C0A80A1BCAA1</t>
  </si>
  <si>
    <t>503434001</t>
  </si>
  <si>
    <t>白狼镇供热外网改造</t>
  </si>
  <si>
    <t>P19152202-0001</t>
  </si>
  <si>
    <t>7E13E4D3734E0090E053C0A80A1B48A2</t>
  </si>
  <si>
    <t>乌兰浩特市环城南路上跨公铁立交桥工程项目</t>
  </si>
  <si>
    <t>PROJ152201333021-00000002</t>
  </si>
  <si>
    <t>4E0EA940AEEB001EE053C0A80A1BA1D2</t>
  </si>
  <si>
    <t>阿尔山市自来水厂改造项目</t>
  </si>
  <si>
    <t>P18152202-0003</t>
  </si>
  <si>
    <t>供水</t>
  </si>
  <si>
    <t>78F5239C7C7100D8E053C0A80A1B1A5B</t>
  </si>
  <si>
    <t>040401</t>
  </si>
  <si>
    <t>科右前旗科尔沁镇第二水源水源地保护项目</t>
  </si>
  <si>
    <t>P15152221-0001</t>
  </si>
  <si>
    <t>791A64BF6F3500A8E053C0A80A1BAE99</t>
  </si>
  <si>
    <t>阿尔山世界地质文化展览中心维修改造装饰工程</t>
  </si>
  <si>
    <t>P15152202-0015</t>
  </si>
  <si>
    <t>阿尔山市政府接待局</t>
  </si>
  <si>
    <t>7BB605E3ABD3005EE053C0A80A1B2B8B</t>
  </si>
  <si>
    <t>434005</t>
  </si>
  <si>
    <t>河滨公园景观工程二期（铺装）</t>
  </si>
  <si>
    <t>P16152202-0022</t>
  </si>
  <si>
    <t>7C7F6EBAE4D20032E053C0A80A1BA11F</t>
  </si>
  <si>
    <t>重点区域绿化</t>
  </si>
  <si>
    <t>P15152221-0005</t>
  </si>
  <si>
    <t>科尔沁右翼前旗林业局</t>
  </si>
  <si>
    <t>7B13C58E9F2A00FEE053C0A80A1BF9B2</t>
  </si>
  <si>
    <t>327002</t>
  </si>
  <si>
    <t>生态观光园</t>
  </si>
  <si>
    <t>P18152202-0024</t>
  </si>
  <si>
    <t>天池镇人民政府人民政府</t>
  </si>
  <si>
    <t>7D6A7D6A34E800FEE053C0A80A1BCAA1</t>
  </si>
  <si>
    <t>501434001</t>
  </si>
  <si>
    <t>兴安盟医院新址基建</t>
  </si>
  <si>
    <t>CXMWH1522000003610030001130105145858</t>
  </si>
  <si>
    <t>兴安盟盟医院</t>
  </si>
  <si>
    <t>61400C22184645E3971B30557C3D6CF5</t>
  </si>
  <si>
    <t>361003</t>
  </si>
  <si>
    <t>乌兰泰安、兴安博源铁路专用线工程（兴安盟经济技术开发区部分）</t>
  </si>
  <si>
    <t>PROJ152200318003-00000002</t>
  </si>
  <si>
    <t>其他铁路</t>
  </si>
  <si>
    <t>4E0EA940AF0C001EE053C0A80A1BA1D2</t>
  </si>
  <si>
    <t>0199</t>
  </si>
  <si>
    <t>318003</t>
  </si>
  <si>
    <t>浴室改造</t>
  </si>
  <si>
    <t>PROJ152201360301032-00000002</t>
  </si>
  <si>
    <t>58EB3A14656C0072E053C0A80A1B8B71</t>
  </si>
  <si>
    <t>科尔沁右翼中旗土地储备项目</t>
  </si>
  <si>
    <t>PROJ152222324002-00000002</t>
  </si>
  <si>
    <t>科尔沁右翼中旗国土资源管理局</t>
  </si>
  <si>
    <t>60E42C46667D00CEE053C0A80A1BEDDE</t>
  </si>
  <si>
    <t>324002</t>
  </si>
  <si>
    <t>湖西路道路工程（通海路至北山街段）</t>
  </si>
  <si>
    <t>P18152223-0004</t>
  </si>
  <si>
    <t>70B02A3890BC0048E053C0A80A1BBE16</t>
  </si>
  <si>
    <t>科尔沁右翼中旗蒙医医院门诊，制剂楼建设项目</t>
  </si>
  <si>
    <t>PROJ152222361008-00000002</t>
  </si>
  <si>
    <t>科尔沁右翼中旗蒙医医院</t>
  </si>
  <si>
    <t>4C7F9293121000F0E053C0A80A1B45D4</t>
  </si>
  <si>
    <t>361008</t>
  </si>
  <si>
    <t>阿尔山世界地质文化展览中心二期项目部配套用房工程</t>
  </si>
  <si>
    <t>P18152202-0020</t>
  </si>
  <si>
    <t>7BB58576061800AAE053C0A80A1B3C78</t>
  </si>
  <si>
    <t>阿尔山市中旺商业综合楼建设项目</t>
  </si>
  <si>
    <t>P16152202-0004</t>
  </si>
  <si>
    <t>7B139B57F0AA00ECE053C0A80A1B7CB9</t>
  </si>
  <si>
    <t>兴安盟经济技术开发区集中供热一期工程</t>
  </si>
  <si>
    <t>P18152200-0008</t>
  </si>
  <si>
    <t>7B285334DFB500F0E053C0A80A1BB107</t>
  </si>
  <si>
    <t>2016年旧城区部分道路临街硬化工程</t>
  </si>
  <si>
    <t>P16152201-0001</t>
  </si>
  <si>
    <t>7B77F46A29EB0076E053C0A80A1B6FCB</t>
  </si>
  <si>
    <t>2016年城区绿化工程</t>
  </si>
  <si>
    <t>PROJ152201333002-00000004</t>
  </si>
  <si>
    <t>4D52C1A3E28800F6E053C0A80A1B9BB2</t>
  </si>
  <si>
    <t>京蒙帮扶“慢种慢养”生态农牧业产业扶贫元项目</t>
  </si>
  <si>
    <t>P18152202-0025</t>
  </si>
  <si>
    <t>其他农村建设</t>
  </si>
  <si>
    <t>7E11E463289900BAE053C0A80A1BEFB4</t>
  </si>
  <si>
    <t>150199</t>
  </si>
  <si>
    <t>乌兰浩特市污泥处理工程</t>
  </si>
  <si>
    <t>PROJ152201333004-00000002</t>
  </si>
  <si>
    <t>污染防治</t>
  </si>
  <si>
    <t>乌兰浩特市利环污水处理厂</t>
  </si>
  <si>
    <t>568A8369E6FB00B6E053C0A80A1B56D0</t>
  </si>
  <si>
    <t>0701</t>
  </si>
  <si>
    <t>333004</t>
  </si>
  <si>
    <t>乌兰浩特市义勒力特中心小学宿舍楼</t>
  </si>
  <si>
    <t>PROJ152201360301025-00000001</t>
  </si>
  <si>
    <t>乌兰浩特市义勒力特中心校</t>
  </si>
  <si>
    <t>58EB3A14686500C4E053C0A80A1B882C</t>
  </si>
  <si>
    <t>360301025</t>
  </si>
  <si>
    <t>乌兰浩特市乌兰哈达中心小学餐宿楼</t>
  </si>
  <si>
    <t>PROJ152201360301024-00000001</t>
  </si>
  <si>
    <t>乌兰浩特市乌兰哈达中心校</t>
  </si>
  <si>
    <t>58EB3A14684100C4E053C0A80A1B882C</t>
  </si>
  <si>
    <t>360301024</t>
  </si>
  <si>
    <t>围墙项目</t>
  </si>
  <si>
    <t>PROJ152201360301025-00000003</t>
  </si>
  <si>
    <t>58E98CEE99D7009EE053C0A80A1BEDB5</t>
  </si>
  <si>
    <t>餐宿楼</t>
  </si>
  <si>
    <t>CXMWH1522010003603010250004131228175505</t>
  </si>
  <si>
    <t>65D882A0930F41EF8035EB1E4439F0D5</t>
  </si>
  <si>
    <t>原二粮库南棚户区改造项目</t>
  </si>
  <si>
    <t>PROJ152223423003-00000002</t>
  </si>
  <si>
    <t>5BBCD332AAC70028E053C0A80A1B1268</t>
  </si>
  <si>
    <t>内蒙古大兴安岭林业局棚户区改造（景泉小区）项目</t>
  </si>
  <si>
    <t>PROJ152202333001-00000012</t>
  </si>
  <si>
    <t>614A6938BBB50094E053C0A80A1B449A</t>
  </si>
  <si>
    <t>阿尔山市污水输水管网建设工程</t>
  </si>
  <si>
    <t>P14152202-0001</t>
  </si>
  <si>
    <t>78F5264A6D120086E053C0A80A1B5D20</t>
  </si>
  <si>
    <t>阿尔山市伊尔施既有小区基础设施改造工程</t>
  </si>
  <si>
    <t>PROJ152202333001-00000001</t>
  </si>
  <si>
    <t>4C89FD59683400C4E053C0A80A1BB343</t>
  </si>
  <si>
    <t>突泉县突泉镇城镇集中供热改扩建工程</t>
  </si>
  <si>
    <t>P16152224-0005</t>
  </si>
  <si>
    <t>7AC3FA6890DC0012E053C0A80A1B7FA9</t>
  </si>
  <si>
    <t>清源污水处理厂改造综合工程</t>
  </si>
  <si>
    <t>P18152224-0003</t>
  </si>
  <si>
    <t>790AC4F0B2D90012E053C0A80A1B1571</t>
  </si>
  <si>
    <t>科右中旗通村水泥路建设项目（双金至海力斯台、G111国道至赛罕套卜、代霍线至哲日格勒代）</t>
  </si>
  <si>
    <t>P18152222-0002</t>
  </si>
  <si>
    <t>727F09C7EBD7004AE053C0A80A1B49EF</t>
  </si>
  <si>
    <t>阿尔山市公共交通车辆停车场建设项目</t>
  </si>
  <si>
    <t>P15152202-0006</t>
  </si>
  <si>
    <t>7B139B57F05700ECE053C0A80A1B7CB9</t>
  </si>
  <si>
    <t>乌兰浩特市2017年园林绿化项目</t>
  </si>
  <si>
    <t>PROJ152201333002-00000002</t>
  </si>
  <si>
    <t>4D5475D452BB00A8E053C0A80A1BD4F5</t>
  </si>
  <si>
    <t>天池花园</t>
  </si>
  <si>
    <t>P15152202-0014</t>
  </si>
  <si>
    <t>7BB605E3ABAC005EE053C0A80A1B2B8B</t>
  </si>
  <si>
    <t>河滨公园景观工程二期（绿化）</t>
  </si>
  <si>
    <t>P16152202-0021</t>
  </si>
  <si>
    <t>7C7ED26DBDB600C6E053C0A80A1B1358</t>
  </si>
  <si>
    <t>DEBT_T_XXGK_FX_HBFXJS</t>
  </si>
  <si>
    <t>XM_TYPE#</t>
  </si>
  <si>
    <t>AD_BDQ#</t>
  </si>
  <si>
    <t>AD_BJ#</t>
  </si>
  <si>
    <t>ROW_NUM#</t>
  </si>
  <si>
    <t>表4-3</t>
  </si>
  <si>
    <t>2018年地方政府债务发行及还本付息情况表</t>
  </si>
  <si>
    <t>项目</t>
  </si>
  <si>
    <t>本地区</t>
  </si>
  <si>
    <t>本级</t>
  </si>
  <si>
    <t>YE_Y2</t>
  </si>
  <si>
    <t>一、2017年末地方政府债务余额</t>
  </si>
  <si>
    <t>YBYE_Y2</t>
  </si>
  <si>
    <t xml:space="preserve">  其中：一般债务</t>
  </si>
  <si>
    <t>ZXYE_Y2</t>
  </si>
  <si>
    <t xml:space="preserve">     专项债务</t>
  </si>
  <si>
    <t>XE_Y2</t>
  </si>
  <si>
    <t>二、2017年地方政府债务限额</t>
  </si>
  <si>
    <t>YBXE_Y2</t>
  </si>
  <si>
    <t>ZXXE_Y2</t>
  </si>
  <si>
    <t>FXYB</t>
  </si>
  <si>
    <t>三、2018年地方政府债务发行决算数</t>
  </si>
  <si>
    <t>FXYB_Y1</t>
  </si>
  <si>
    <t xml:space="preserve">     新增一般债券发行额</t>
  </si>
  <si>
    <t>FXYB_Y1_ZRZ</t>
  </si>
  <si>
    <t xml:space="preserve">     再融资一般债券发行额</t>
  </si>
  <si>
    <t>FXZX_Y1</t>
  </si>
  <si>
    <t xml:space="preserve">     新增专项债券发行额</t>
  </si>
  <si>
    <t>FXZX_Y1_ZRZ</t>
  </si>
  <si>
    <t xml:space="preserve">     再融资专项债券发行额</t>
  </si>
  <si>
    <t>ZHYB_Y1</t>
  </si>
  <si>
    <t xml:space="preserve">     置换一般债券发行额</t>
  </si>
  <si>
    <t>ZHZX_Y1</t>
  </si>
  <si>
    <t xml:space="preserve">     置换专项债券发行额</t>
  </si>
  <si>
    <t xml:space="preserve">     国际金融组织和外国政府贷款</t>
  </si>
  <si>
    <t>HB_Y1</t>
  </si>
  <si>
    <t>四、2018年地方政府债务还本决算数</t>
  </si>
  <si>
    <t>YBHB_Y1</t>
  </si>
  <si>
    <t xml:space="preserve">     一般债务</t>
  </si>
  <si>
    <t>ZXHB_Y1</t>
  </si>
  <si>
    <t>FX_Y1</t>
  </si>
  <si>
    <t>五、2018年地方政府债务付息决算数</t>
  </si>
  <si>
    <t>YBFX_Y1</t>
  </si>
  <si>
    <t>ZXFX_Y1</t>
  </si>
  <si>
    <t>YE_Y1</t>
  </si>
  <si>
    <t>六、2018年末地方政府债务余额决算数</t>
  </si>
  <si>
    <t>YBYE_Y1</t>
  </si>
  <si>
    <t>ZXYE_Y1</t>
  </si>
  <si>
    <t>XE_Y1</t>
  </si>
  <si>
    <t>七、2018年地方政府债务限额</t>
  </si>
  <si>
    <t>YBXE_Y1</t>
  </si>
  <si>
    <t>ZXXE_Y1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</si>
</sst>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.000000"/>
  </numFmts>
  <fonts count="25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5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6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1" borderId="11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176" fontId="4" fillId="0" borderId="5" xfId="0" applyNumberFormat="1" applyFont="1" applyFill="1" applyBorder="1" applyAlignment="1">
      <alignment vertical="center" wrapText="1"/>
    </xf>
    <xf numFmtId="4" fontId="4" fillId="0" borderId="5" xfId="0" applyNumberFormat="1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" fontId="4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8"/>
  <sheetViews>
    <sheetView tabSelected="1" workbookViewId="0">
      <pane ySplit="9" topLeftCell="A10" activePane="bottomLeft" state="frozen"/>
      <selection/>
      <selection pane="bottomLeft" activeCell="G7" sqref="G7:I7"/>
    </sheetView>
  </sheetViews>
  <sheetFormatPr defaultColWidth="10" defaultRowHeight="13.5"/>
  <cols>
    <col min="1" max="2" width="9" hidden="1"/>
    <col min="3" max="3" width="23.075" customWidth="1"/>
    <col min="4" max="5" width="25.2416666666667" customWidth="1"/>
    <col min="6" max="9" width="23.075" customWidth="1"/>
    <col min="10" max="10" width="9.76666666666667" customWidth="1"/>
  </cols>
  <sheetData>
    <row r="1" ht="22.5" hidden="1" spans="1:4">
      <c r="A1" s="3"/>
      <c r="B1" s="3" t="s">
        <v>0</v>
      </c>
      <c r="C1" s="3" t="s">
        <v>1</v>
      </c>
      <c r="D1" s="3" t="s">
        <v>2</v>
      </c>
    </row>
    <row r="2" ht="22.5" hidden="1" spans="1:4">
      <c r="A2" s="3">
        <v>0</v>
      </c>
      <c r="B2" s="3" t="s">
        <v>3</v>
      </c>
      <c r="C2" s="3" t="s">
        <v>4</v>
      </c>
      <c r="D2" s="3" t="s">
        <v>5</v>
      </c>
    </row>
    <row r="3" hidden="1" spans="1:9">
      <c r="A3" s="3">
        <v>0</v>
      </c>
      <c r="B3" s="3" t="s">
        <v>6</v>
      </c>
      <c r="C3" s="3" t="s">
        <v>7</v>
      </c>
      <c r="D3" s="3"/>
      <c r="E3" s="3" t="s">
        <v>8</v>
      </c>
      <c r="F3" s="3" t="s">
        <v>9</v>
      </c>
      <c r="H3" s="3" t="s">
        <v>10</v>
      </c>
      <c r="I3" s="3" t="s">
        <v>11</v>
      </c>
    </row>
    <row r="4" ht="14.3" customHeight="1" spans="1:3">
      <c r="A4" s="3">
        <v>0</v>
      </c>
      <c r="B4" s="3"/>
      <c r="C4" s="3" t="s">
        <v>12</v>
      </c>
    </row>
    <row r="5" ht="28.6" customHeight="1" spans="1:9">
      <c r="A5" s="3">
        <v>0</v>
      </c>
      <c r="C5" s="4" t="s">
        <v>13</v>
      </c>
      <c r="D5" s="4"/>
      <c r="E5" s="4"/>
      <c r="F5" s="4"/>
      <c r="G5" s="4"/>
      <c r="H5" s="4"/>
      <c r="I5" s="4"/>
    </row>
    <row r="6" ht="14.3" customHeight="1" spans="1:9">
      <c r="A6" s="3">
        <v>0</v>
      </c>
      <c r="C6" s="3"/>
      <c r="D6" s="3"/>
      <c r="I6" s="5" t="s">
        <v>14</v>
      </c>
    </row>
    <row r="7" ht="17.05" customHeight="1" spans="1:9">
      <c r="A7" s="3">
        <v>0</v>
      </c>
      <c r="C7" s="6" t="s">
        <v>15</v>
      </c>
      <c r="D7" s="6" t="s">
        <v>16</v>
      </c>
      <c r="E7" s="6"/>
      <c r="F7" s="6"/>
      <c r="G7" s="6" t="s">
        <v>17</v>
      </c>
      <c r="H7" s="6"/>
      <c r="I7" s="6"/>
    </row>
    <row r="8" ht="17.05" customHeight="1" spans="1:9">
      <c r="A8" s="3">
        <v>0</v>
      </c>
      <c r="C8" s="6"/>
      <c r="D8" s="25"/>
      <c r="E8" s="6" t="s">
        <v>18</v>
      </c>
      <c r="F8" s="6" t="s">
        <v>19</v>
      </c>
      <c r="G8" s="25"/>
      <c r="H8" s="6" t="s">
        <v>18</v>
      </c>
      <c r="I8" s="6" t="s">
        <v>19</v>
      </c>
    </row>
    <row r="9" ht="19.9" customHeight="1" spans="1:9">
      <c r="A9" s="3">
        <v>0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</row>
    <row r="10" ht="19.9" customHeight="1" spans="1:9">
      <c r="A10" s="3" t="s">
        <v>27</v>
      </c>
      <c r="B10" s="26" t="s">
        <v>28</v>
      </c>
      <c r="C10" s="27" t="s">
        <v>29</v>
      </c>
      <c r="D10" s="28">
        <v>220.94</v>
      </c>
      <c r="E10" s="28">
        <v>188.57</v>
      </c>
      <c r="F10" s="28">
        <v>32.37</v>
      </c>
      <c r="G10" s="28">
        <f>SUM(G11:G17)</f>
        <v>220.316</v>
      </c>
      <c r="H10" s="28">
        <f>SUM(H11:H17)</f>
        <v>189.8921</v>
      </c>
      <c r="I10" s="28">
        <f>SUM(I11:I17)</f>
        <v>30.4239</v>
      </c>
    </row>
    <row r="11" ht="19.9" customHeight="1" spans="1:9">
      <c r="A11" s="3" t="s">
        <v>27</v>
      </c>
      <c r="B11" s="26" t="s">
        <v>30</v>
      </c>
      <c r="C11" s="27" t="s">
        <v>31</v>
      </c>
      <c r="D11" s="28">
        <v>43.7332</v>
      </c>
      <c r="E11" s="28">
        <v>43.1526</v>
      </c>
      <c r="F11" s="28">
        <v>0.5806</v>
      </c>
      <c r="G11" s="28">
        <f>H11+I11</f>
        <v>46.8813</v>
      </c>
      <c r="H11" s="28">
        <v>46.2602</v>
      </c>
      <c r="I11" s="28">
        <v>0.6211</v>
      </c>
    </row>
    <row r="12" ht="19.9" customHeight="1" spans="1:9">
      <c r="A12" s="3" t="s">
        <v>27</v>
      </c>
      <c r="B12" s="26" t="s">
        <v>32</v>
      </c>
      <c r="C12" s="27" t="s">
        <v>33</v>
      </c>
      <c r="D12" s="28">
        <v>64.5867</v>
      </c>
      <c r="E12" s="28">
        <v>48.1516</v>
      </c>
      <c r="F12" s="28">
        <v>16.4351</v>
      </c>
      <c r="G12" s="28">
        <f t="shared" ref="G12:G17" si="0">H12+I12</f>
        <v>62.0545</v>
      </c>
      <c r="H12" s="28">
        <v>45.9106</v>
      </c>
      <c r="I12" s="28">
        <v>16.1439</v>
      </c>
    </row>
    <row r="13" ht="19.9" customHeight="1" spans="1:9">
      <c r="A13" s="3" t="s">
        <v>27</v>
      </c>
      <c r="B13" s="26" t="s">
        <v>34</v>
      </c>
      <c r="C13" s="27" t="s">
        <v>35</v>
      </c>
      <c r="D13" s="28">
        <v>28.0939</v>
      </c>
      <c r="E13" s="28">
        <v>24.6796</v>
      </c>
      <c r="F13" s="28">
        <v>3.4143</v>
      </c>
      <c r="G13" s="28">
        <f t="shared" si="0"/>
        <v>27.6421</v>
      </c>
      <c r="H13" s="28">
        <v>24.2278</v>
      </c>
      <c r="I13" s="28">
        <v>3.4143</v>
      </c>
    </row>
    <row r="14" ht="19.9" customHeight="1" spans="1:9">
      <c r="A14" s="3" t="s">
        <v>27</v>
      </c>
      <c r="B14" s="26" t="s">
        <v>36</v>
      </c>
      <c r="C14" s="27" t="s">
        <v>37</v>
      </c>
      <c r="D14" s="28">
        <v>25.6834</v>
      </c>
      <c r="E14" s="28">
        <v>22.3164</v>
      </c>
      <c r="F14" s="28">
        <v>3.367</v>
      </c>
      <c r="G14" s="28">
        <f t="shared" si="0"/>
        <v>26.2067</v>
      </c>
      <c r="H14" s="28">
        <v>22.8397</v>
      </c>
      <c r="I14" s="28">
        <v>3.367</v>
      </c>
    </row>
    <row r="15" ht="19.9" customHeight="1" spans="1:9">
      <c r="A15" s="3" t="s">
        <v>27</v>
      </c>
      <c r="B15" s="26" t="s">
        <v>38</v>
      </c>
      <c r="C15" s="27" t="s">
        <v>39</v>
      </c>
      <c r="D15" s="28">
        <v>17.9726</v>
      </c>
      <c r="E15" s="28">
        <v>14.9719</v>
      </c>
      <c r="F15" s="28">
        <v>3.0007</v>
      </c>
      <c r="G15" s="28">
        <f t="shared" si="0"/>
        <v>17.9969</v>
      </c>
      <c r="H15" s="28">
        <v>15.6801</v>
      </c>
      <c r="I15" s="28">
        <v>2.3168</v>
      </c>
    </row>
    <row r="16" ht="19.9" customHeight="1" spans="1:9">
      <c r="A16" s="3" t="s">
        <v>27</v>
      </c>
      <c r="B16" s="26" t="s">
        <v>40</v>
      </c>
      <c r="C16" s="27" t="s">
        <v>41</v>
      </c>
      <c r="D16" s="28">
        <v>24.7022</v>
      </c>
      <c r="E16" s="28">
        <v>19.7759</v>
      </c>
      <c r="F16" s="28">
        <v>4.9263</v>
      </c>
      <c r="G16" s="28">
        <f t="shared" si="0"/>
        <v>23.6226</v>
      </c>
      <c r="H16" s="28">
        <v>19.7078</v>
      </c>
      <c r="I16" s="28">
        <v>3.9148</v>
      </c>
    </row>
    <row r="17" ht="19.9" customHeight="1" spans="1:9">
      <c r="A17" s="3" t="s">
        <v>27</v>
      </c>
      <c r="B17" s="26" t="s">
        <v>42</v>
      </c>
      <c r="C17" s="27" t="s">
        <v>43</v>
      </c>
      <c r="D17" s="28">
        <v>16.168</v>
      </c>
      <c r="E17" s="28">
        <v>15.522</v>
      </c>
      <c r="F17" s="28">
        <v>0.646</v>
      </c>
      <c r="G17" s="28">
        <f t="shared" si="0"/>
        <v>15.9119</v>
      </c>
      <c r="H17" s="28">
        <v>15.2659</v>
      </c>
      <c r="I17" s="28">
        <v>0.646</v>
      </c>
    </row>
    <row r="18" ht="19.9" customHeight="1" spans="1:9">
      <c r="A18" s="3"/>
      <c r="B18" s="29"/>
      <c r="C18" s="26"/>
      <c r="D18" s="30"/>
      <c r="E18" s="30"/>
      <c r="F18" s="30"/>
      <c r="G18" s="30"/>
      <c r="H18" s="30"/>
      <c r="I18" s="30"/>
    </row>
  </sheetData>
  <mergeCells count="4">
    <mergeCell ref="C5:I5"/>
    <mergeCell ref="D7:F7"/>
    <mergeCell ref="G7:I7"/>
    <mergeCell ref="C7:C8"/>
  </mergeCells>
  <pageMargins left="0.75" right="0.828000009059906" top="0.268999993801117" bottom="0.268999993801117" header="0" footer="0"/>
  <pageSetup paperSize="9" scale="7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"/>
  <sheetViews>
    <sheetView workbookViewId="0">
      <pane xSplit="2" ySplit="7" topLeftCell="C8" activePane="bottomRight" state="frozen"/>
      <selection/>
      <selection pane="topRight"/>
      <selection pane="bottomLeft"/>
      <selection pane="bottomRight" activeCell="C164" sqref="C164"/>
    </sheetView>
  </sheetViews>
  <sheetFormatPr defaultColWidth="10" defaultRowHeight="13.5"/>
  <cols>
    <col min="1" max="1" width="9" style="13" hidden="1"/>
    <col min="2" max="2" width="34.4666666666667" style="13" customWidth="1"/>
    <col min="3" max="3" width="27.275" style="13" customWidth="1"/>
    <col min="4" max="4" width="26.325" style="13" customWidth="1"/>
    <col min="5" max="5" width="23.3416666666667" style="13" customWidth="1"/>
    <col min="6" max="6" width="25.2416666666667" style="13" customWidth="1"/>
    <col min="7" max="7" width="22.25" style="13" customWidth="1"/>
    <col min="8" max="8" width="18.5916666666667" style="13" customWidth="1"/>
    <col min="9" max="9" width="12.75" style="13" customWidth="1"/>
    <col min="10" max="14" width="9" style="13" hidden="1"/>
    <col min="15" max="15" width="9.76666666666667" style="13" customWidth="1"/>
    <col min="16" max="16384" width="10" style="13"/>
  </cols>
  <sheetData>
    <row r="1" ht="22.5" hidden="1" spans="1:3">
      <c r="A1" s="9">
        <v>0</v>
      </c>
      <c r="B1" s="9" t="s">
        <v>44</v>
      </c>
      <c r="C1" s="9" t="s">
        <v>1</v>
      </c>
    </row>
    <row r="2" hidden="1" spans="1:6">
      <c r="A2" s="9">
        <v>0</v>
      </c>
      <c r="B2" s="9" t="s">
        <v>3</v>
      </c>
      <c r="C2" s="9" t="s">
        <v>45</v>
      </c>
      <c r="D2" s="9" t="s">
        <v>46</v>
      </c>
      <c r="E2" s="9" t="s">
        <v>4</v>
      </c>
      <c r="F2" s="9" t="s">
        <v>5</v>
      </c>
    </row>
    <row r="3" hidden="1" spans="1:14">
      <c r="A3" s="9">
        <v>0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L3" s="9" t="s">
        <v>57</v>
      </c>
      <c r="M3" s="9" t="s">
        <v>58</v>
      </c>
      <c r="N3" s="9" t="s">
        <v>59</v>
      </c>
    </row>
    <row r="4" ht="14.3" customHeight="1" spans="1:2">
      <c r="A4" s="9">
        <v>0</v>
      </c>
      <c r="B4" s="9" t="s">
        <v>60</v>
      </c>
    </row>
    <row r="5" ht="28.6" customHeight="1" spans="1:6">
      <c r="A5" s="9">
        <v>0</v>
      </c>
      <c r="B5" s="14" t="s">
        <v>61</v>
      </c>
      <c r="C5" s="14"/>
      <c r="D5" s="14"/>
      <c r="E5" s="14"/>
      <c r="F5" s="14"/>
    </row>
    <row r="6" ht="14.3" customHeight="1" spans="2:9">
      <c r="B6" s="15" t="s">
        <v>14</v>
      </c>
      <c r="C6" s="15"/>
      <c r="D6" s="15"/>
      <c r="E6" s="15"/>
      <c r="F6" s="15"/>
      <c r="G6" s="15"/>
      <c r="H6" s="15"/>
      <c r="I6" s="15"/>
    </row>
    <row r="7" ht="27.1" customHeight="1" spans="1:9">
      <c r="A7" s="9">
        <v>0</v>
      </c>
      <c r="B7" s="16" t="s">
        <v>62</v>
      </c>
      <c r="C7" s="17" t="s">
        <v>63</v>
      </c>
      <c r="D7" s="17" t="s">
        <v>64</v>
      </c>
      <c r="E7" s="17" t="s">
        <v>65</v>
      </c>
      <c r="F7" s="17" t="s">
        <v>66</v>
      </c>
      <c r="G7" s="17" t="s">
        <v>67</v>
      </c>
      <c r="H7" s="17" t="s">
        <v>68</v>
      </c>
      <c r="I7" s="22" t="s">
        <v>69</v>
      </c>
    </row>
    <row r="8" ht="27.1" customHeight="1" spans="1:14">
      <c r="A8" s="9" t="s">
        <v>27</v>
      </c>
      <c r="B8" s="18" t="s">
        <v>70</v>
      </c>
      <c r="C8" s="19" t="s">
        <v>71</v>
      </c>
      <c r="D8" s="19" t="s">
        <v>72</v>
      </c>
      <c r="E8" s="19" t="s">
        <v>73</v>
      </c>
      <c r="F8" s="20" t="s">
        <v>74</v>
      </c>
      <c r="G8" s="19" t="s">
        <v>75</v>
      </c>
      <c r="H8" s="21">
        <v>19.92605</v>
      </c>
      <c r="I8" s="23" t="s">
        <v>76</v>
      </c>
      <c r="J8" s="24" t="s">
        <v>77</v>
      </c>
      <c r="K8" s="9" t="s">
        <v>78</v>
      </c>
      <c r="L8" s="9" t="s">
        <v>79</v>
      </c>
      <c r="M8" s="9" t="s">
        <v>80</v>
      </c>
      <c r="N8" s="9" t="s">
        <v>81</v>
      </c>
    </row>
    <row r="9" ht="19.9" customHeight="1" spans="1:14">
      <c r="A9" s="9" t="s">
        <v>27</v>
      </c>
      <c r="B9" s="18" t="s">
        <v>82</v>
      </c>
      <c r="C9" s="19" t="s">
        <v>83</v>
      </c>
      <c r="D9" s="19" t="s">
        <v>84</v>
      </c>
      <c r="E9" s="19" t="s">
        <v>73</v>
      </c>
      <c r="F9" s="20" t="s">
        <v>74</v>
      </c>
      <c r="G9" s="19" t="s">
        <v>75</v>
      </c>
      <c r="H9" s="21">
        <v>19.92605</v>
      </c>
      <c r="I9" s="23" t="s">
        <v>76</v>
      </c>
      <c r="J9" s="24" t="s">
        <v>85</v>
      </c>
      <c r="K9" s="9" t="s">
        <v>86</v>
      </c>
      <c r="L9" s="9" t="s">
        <v>79</v>
      </c>
      <c r="M9" s="9" t="s">
        <v>80</v>
      </c>
      <c r="N9" s="9" t="s">
        <v>81</v>
      </c>
    </row>
    <row r="10" ht="27.1" customHeight="1" spans="1:14">
      <c r="A10" s="9" t="s">
        <v>27</v>
      </c>
      <c r="B10" s="18" t="s">
        <v>87</v>
      </c>
      <c r="C10" s="19" t="s">
        <v>88</v>
      </c>
      <c r="D10" s="19" t="s">
        <v>89</v>
      </c>
      <c r="E10" s="19" t="s">
        <v>90</v>
      </c>
      <c r="F10" s="20" t="s">
        <v>91</v>
      </c>
      <c r="G10" s="19" t="s">
        <v>75</v>
      </c>
      <c r="H10" s="21">
        <v>19.92605</v>
      </c>
      <c r="I10" s="23" t="s">
        <v>76</v>
      </c>
      <c r="J10" s="24" t="s">
        <v>92</v>
      </c>
      <c r="K10" s="9" t="s">
        <v>93</v>
      </c>
      <c r="L10" s="9" t="s">
        <v>94</v>
      </c>
      <c r="M10" s="9" t="s">
        <v>95</v>
      </c>
      <c r="N10" s="9" t="s">
        <v>81</v>
      </c>
    </row>
    <row r="11" ht="27.1" customHeight="1" spans="1:14">
      <c r="A11" s="9" t="s">
        <v>27</v>
      </c>
      <c r="B11" s="18" t="s">
        <v>96</v>
      </c>
      <c r="C11" s="19" t="s">
        <v>97</v>
      </c>
      <c r="D11" s="19" t="s">
        <v>98</v>
      </c>
      <c r="E11" s="19" t="s">
        <v>99</v>
      </c>
      <c r="F11" s="20" t="s">
        <v>100</v>
      </c>
      <c r="G11" s="19" t="s">
        <v>75</v>
      </c>
      <c r="H11" s="21">
        <v>19.92605</v>
      </c>
      <c r="I11" s="23" t="s">
        <v>76</v>
      </c>
      <c r="J11" s="24" t="s">
        <v>101</v>
      </c>
      <c r="K11" s="9" t="s">
        <v>102</v>
      </c>
      <c r="L11" s="9" t="s">
        <v>103</v>
      </c>
      <c r="M11" s="9" t="s">
        <v>104</v>
      </c>
      <c r="N11" s="9" t="s">
        <v>81</v>
      </c>
    </row>
    <row r="12" ht="19.9" customHeight="1" spans="1:14">
      <c r="A12" s="9" t="s">
        <v>27</v>
      </c>
      <c r="B12" s="18" t="s">
        <v>105</v>
      </c>
      <c r="C12" s="19" t="s">
        <v>106</v>
      </c>
      <c r="D12" s="19" t="s">
        <v>107</v>
      </c>
      <c r="E12" s="19" t="s">
        <v>99</v>
      </c>
      <c r="F12" s="20" t="s">
        <v>100</v>
      </c>
      <c r="G12" s="19" t="s">
        <v>75</v>
      </c>
      <c r="H12" s="21">
        <v>19.92605</v>
      </c>
      <c r="I12" s="23" t="s">
        <v>76</v>
      </c>
      <c r="J12" s="24" t="s">
        <v>108</v>
      </c>
      <c r="K12" s="9" t="s">
        <v>109</v>
      </c>
      <c r="L12" s="9" t="s">
        <v>103</v>
      </c>
      <c r="M12" s="9" t="s">
        <v>104</v>
      </c>
      <c r="N12" s="9" t="s">
        <v>81</v>
      </c>
    </row>
    <row r="13" ht="19.9" customHeight="1" spans="1:14">
      <c r="A13" s="9"/>
      <c r="B13" s="18"/>
      <c r="C13" s="19"/>
      <c r="D13" s="19"/>
      <c r="E13" s="19"/>
      <c r="F13" s="20"/>
      <c r="G13" s="19"/>
      <c r="H13" s="21">
        <v>1.3</v>
      </c>
      <c r="I13" s="23" t="s">
        <v>110</v>
      </c>
      <c r="J13" s="24" t="s">
        <v>108</v>
      </c>
      <c r="K13" s="9" t="s">
        <v>109</v>
      </c>
      <c r="L13" s="9" t="s">
        <v>103</v>
      </c>
      <c r="M13" s="9" t="s">
        <v>104</v>
      </c>
      <c r="N13" s="9" t="s">
        <v>81</v>
      </c>
    </row>
    <row r="14" ht="27.1" customHeight="1" spans="1:14">
      <c r="A14" s="9" t="s">
        <v>27</v>
      </c>
      <c r="B14" s="18" t="s">
        <v>111</v>
      </c>
      <c r="C14" s="19" t="s">
        <v>112</v>
      </c>
      <c r="D14" s="19" t="s">
        <v>113</v>
      </c>
      <c r="E14" s="19" t="s">
        <v>114</v>
      </c>
      <c r="F14" s="20" t="s">
        <v>115</v>
      </c>
      <c r="G14" s="19" t="s">
        <v>75</v>
      </c>
      <c r="H14" s="21">
        <v>0.9</v>
      </c>
      <c r="I14" s="23" t="s">
        <v>76</v>
      </c>
      <c r="J14" s="24" t="s">
        <v>116</v>
      </c>
      <c r="K14" s="9" t="s">
        <v>117</v>
      </c>
      <c r="L14" s="9" t="s">
        <v>118</v>
      </c>
      <c r="M14" s="9" t="s">
        <v>119</v>
      </c>
      <c r="N14" s="9" t="s">
        <v>81</v>
      </c>
    </row>
    <row r="15" ht="27.1" customHeight="1" spans="1:14">
      <c r="A15" s="9" t="s">
        <v>27</v>
      </c>
      <c r="B15" s="18" t="s">
        <v>120</v>
      </c>
      <c r="C15" s="19" t="s">
        <v>121</v>
      </c>
      <c r="D15" s="19" t="s">
        <v>122</v>
      </c>
      <c r="E15" s="19" t="s">
        <v>123</v>
      </c>
      <c r="F15" s="20" t="s">
        <v>124</v>
      </c>
      <c r="G15" s="19" t="s">
        <v>125</v>
      </c>
      <c r="H15" s="21">
        <v>2.4</v>
      </c>
      <c r="I15" s="23" t="s">
        <v>126</v>
      </c>
      <c r="J15" s="24" t="s">
        <v>127</v>
      </c>
      <c r="K15" s="9" t="s">
        <v>128</v>
      </c>
      <c r="L15" s="9" t="s">
        <v>129</v>
      </c>
      <c r="M15" s="9" t="s">
        <v>130</v>
      </c>
      <c r="N15" s="9" t="s">
        <v>131</v>
      </c>
    </row>
    <row r="16" ht="19.9" customHeight="1" spans="1:14">
      <c r="A16" s="9" t="s">
        <v>27</v>
      </c>
      <c r="B16" s="18" t="s">
        <v>132</v>
      </c>
      <c r="C16" s="19" t="s">
        <v>133</v>
      </c>
      <c r="D16" s="19" t="s">
        <v>134</v>
      </c>
      <c r="E16" s="19" t="s">
        <v>99</v>
      </c>
      <c r="F16" s="20" t="s">
        <v>135</v>
      </c>
      <c r="G16" s="19" t="s">
        <v>75</v>
      </c>
      <c r="H16" s="21">
        <v>5</v>
      </c>
      <c r="I16" s="23" t="s">
        <v>110</v>
      </c>
      <c r="J16" s="24" t="s">
        <v>136</v>
      </c>
      <c r="K16" s="9" t="s">
        <v>137</v>
      </c>
      <c r="L16" s="9" t="s">
        <v>103</v>
      </c>
      <c r="M16" s="9" t="s">
        <v>138</v>
      </c>
      <c r="N16" s="9" t="s">
        <v>81</v>
      </c>
    </row>
    <row r="17" ht="19.9" customHeight="1" spans="1:14">
      <c r="A17" s="9"/>
      <c r="B17" s="18"/>
      <c r="C17" s="19"/>
      <c r="D17" s="19"/>
      <c r="E17" s="19"/>
      <c r="F17" s="20"/>
      <c r="G17" s="19"/>
      <c r="H17" s="21">
        <v>4</v>
      </c>
      <c r="I17" s="23" t="s">
        <v>110</v>
      </c>
      <c r="J17" s="24" t="s">
        <v>136</v>
      </c>
      <c r="K17" s="9" t="s">
        <v>137</v>
      </c>
      <c r="L17" s="9" t="s">
        <v>103</v>
      </c>
      <c r="M17" s="9" t="s">
        <v>138</v>
      </c>
      <c r="N17" s="9" t="s">
        <v>81</v>
      </c>
    </row>
    <row r="18" ht="19.9" customHeight="1" spans="1:14">
      <c r="A18" s="9" t="s">
        <v>27</v>
      </c>
      <c r="B18" s="18" t="s">
        <v>139</v>
      </c>
      <c r="C18" s="19" t="s">
        <v>140</v>
      </c>
      <c r="D18" s="19" t="s">
        <v>134</v>
      </c>
      <c r="E18" s="19" t="s">
        <v>99</v>
      </c>
      <c r="F18" s="20" t="s">
        <v>141</v>
      </c>
      <c r="G18" s="19" t="s">
        <v>142</v>
      </c>
      <c r="H18" s="21">
        <v>4</v>
      </c>
      <c r="I18" s="23" t="s">
        <v>143</v>
      </c>
      <c r="J18" s="24" t="s">
        <v>144</v>
      </c>
      <c r="K18" s="9" t="s">
        <v>137</v>
      </c>
      <c r="L18" s="9" t="s">
        <v>103</v>
      </c>
      <c r="M18" s="9" t="s">
        <v>145</v>
      </c>
      <c r="N18" s="9" t="s">
        <v>146</v>
      </c>
    </row>
    <row r="19" ht="19.9" customHeight="1" spans="1:14">
      <c r="A19" s="9" t="s">
        <v>27</v>
      </c>
      <c r="B19" s="18" t="s">
        <v>147</v>
      </c>
      <c r="C19" s="19" t="s">
        <v>148</v>
      </c>
      <c r="D19" s="19" t="s">
        <v>149</v>
      </c>
      <c r="E19" s="19" t="s">
        <v>73</v>
      </c>
      <c r="F19" s="20" t="s">
        <v>150</v>
      </c>
      <c r="G19" s="19" t="s">
        <v>75</v>
      </c>
      <c r="H19" s="21">
        <v>1.3</v>
      </c>
      <c r="I19" s="23" t="s">
        <v>110</v>
      </c>
      <c r="J19" s="24" t="s">
        <v>151</v>
      </c>
      <c r="K19" s="9" t="s">
        <v>152</v>
      </c>
      <c r="L19" s="9" t="s">
        <v>79</v>
      </c>
      <c r="M19" s="9" t="s">
        <v>153</v>
      </c>
      <c r="N19" s="9" t="s">
        <v>81</v>
      </c>
    </row>
    <row r="20" ht="19.9" customHeight="1" spans="1:14">
      <c r="A20" s="9"/>
      <c r="B20" s="18"/>
      <c r="C20" s="19"/>
      <c r="D20" s="19"/>
      <c r="E20" s="19"/>
      <c r="F20" s="20"/>
      <c r="G20" s="19"/>
      <c r="H20" s="21">
        <v>5.4</v>
      </c>
      <c r="I20" s="23" t="s">
        <v>110</v>
      </c>
      <c r="J20" s="24" t="s">
        <v>151</v>
      </c>
      <c r="K20" s="9" t="s">
        <v>152</v>
      </c>
      <c r="L20" s="9" t="s">
        <v>79</v>
      </c>
      <c r="M20" s="9" t="s">
        <v>153</v>
      </c>
      <c r="N20" s="9" t="s">
        <v>81</v>
      </c>
    </row>
    <row r="21" ht="27.1" customHeight="1" spans="1:14">
      <c r="A21" s="9" t="s">
        <v>27</v>
      </c>
      <c r="B21" s="18" t="s">
        <v>154</v>
      </c>
      <c r="C21" s="19" t="s">
        <v>155</v>
      </c>
      <c r="D21" s="19" t="s">
        <v>156</v>
      </c>
      <c r="E21" s="19" t="s">
        <v>99</v>
      </c>
      <c r="F21" s="20" t="s">
        <v>141</v>
      </c>
      <c r="G21" s="19" t="s">
        <v>75</v>
      </c>
      <c r="H21" s="21">
        <v>1.3</v>
      </c>
      <c r="I21" s="23" t="s">
        <v>110</v>
      </c>
      <c r="J21" s="24" t="s">
        <v>157</v>
      </c>
      <c r="K21" s="9" t="s">
        <v>158</v>
      </c>
      <c r="L21" s="9" t="s">
        <v>103</v>
      </c>
      <c r="M21" s="9" t="s">
        <v>145</v>
      </c>
      <c r="N21" s="9" t="s">
        <v>81</v>
      </c>
    </row>
    <row r="22" ht="19.9" customHeight="1" spans="1:14">
      <c r="A22" s="9" t="s">
        <v>27</v>
      </c>
      <c r="B22" s="18" t="s">
        <v>159</v>
      </c>
      <c r="C22" s="19" t="s">
        <v>160</v>
      </c>
      <c r="D22" s="19" t="s">
        <v>161</v>
      </c>
      <c r="E22" s="19" t="s">
        <v>99</v>
      </c>
      <c r="F22" s="20" t="s">
        <v>162</v>
      </c>
      <c r="G22" s="19" t="s">
        <v>75</v>
      </c>
      <c r="H22" s="21">
        <v>1.3</v>
      </c>
      <c r="I22" s="23" t="s">
        <v>110</v>
      </c>
      <c r="J22" s="24" t="s">
        <v>163</v>
      </c>
      <c r="K22" s="9" t="s">
        <v>164</v>
      </c>
      <c r="L22" s="9" t="s">
        <v>103</v>
      </c>
      <c r="M22" s="9" t="s">
        <v>138</v>
      </c>
      <c r="N22" s="9" t="s">
        <v>81</v>
      </c>
    </row>
    <row r="23" ht="19.9" customHeight="1" spans="1:14">
      <c r="A23" s="9" t="s">
        <v>27</v>
      </c>
      <c r="B23" s="18" t="s">
        <v>165</v>
      </c>
      <c r="C23" s="19" t="s">
        <v>166</v>
      </c>
      <c r="D23" s="19" t="s">
        <v>161</v>
      </c>
      <c r="E23" s="19" t="s">
        <v>99</v>
      </c>
      <c r="F23" s="20" t="s">
        <v>141</v>
      </c>
      <c r="G23" s="19" t="s">
        <v>75</v>
      </c>
      <c r="H23" s="21">
        <v>1.3</v>
      </c>
      <c r="I23" s="23" t="s">
        <v>110</v>
      </c>
      <c r="J23" s="24" t="s">
        <v>167</v>
      </c>
      <c r="K23" s="9" t="s">
        <v>164</v>
      </c>
      <c r="L23" s="9" t="s">
        <v>103</v>
      </c>
      <c r="M23" s="9" t="s">
        <v>145</v>
      </c>
      <c r="N23" s="9" t="s">
        <v>81</v>
      </c>
    </row>
    <row r="24" ht="19.9" customHeight="1" spans="1:14">
      <c r="A24" s="9"/>
      <c r="B24" s="18"/>
      <c r="C24" s="19"/>
      <c r="D24" s="19"/>
      <c r="E24" s="19"/>
      <c r="F24" s="20"/>
      <c r="G24" s="19"/>
      <c r="H24" s="21">
        <v>4</v>
      </c>
      <c r="I24" s="23" t="s">
        <v>110</v>
      </c>
      <c r="J24" s="24" t="s">
        <v>167</v>
      </c>
      <c r="K24" s="9" t="s">
        <v>164</v>
      </c>
      <c r="L24" s="9" t="s">
        <v>103</v>
      </c>
      <c r="M24" s="9" t="s">
        <v>145</v>
      </c>
      <c r="N24" s="9" t="s">
        <v>81</v>
      </c>
    </row>
    <row r="25" ht="19.9" customHeight="1" spans="1:14">
      <c r="A25" s="9" t="s">
        <v>27</v>
      </c>
      <c r="B25" s="18" t="s">
        <v>168</v>
      </c>
      <c r="C25" s="19" t="s">
        <v>169</v>
      </c>
      <c r="D25" s="19" t="s">
        <v>161</v>
      </c>
      <c r="E25" s="19" t="s">
        <v>99</v>
      </c>
      <c r="F25" s="20" t="s">
        <v>162</v>
      </c>
      <c r="G25" s="19" t="s">
        <v>75</v>
      </c>
      <c r="H25" s="21">
        <v>5.4</v>
      </c>
      <c r="I25" s="23" t="s">
        <v>110</v>
      </c>
      <c r="J25" s="24" t="s">
        <v>170</v>
      </c>
      <c r="K25" s="9" t="s">
        <v>164</v>
      </c>
      <c r="L25" s="9" t="s">
        <v>103</v>
      </c>
      <c r="M25" s="9" t="s">
        <v>138</v>
      </c>
      <c r="N25" s="9" t="s">
        <v>81</v>
      </c>
    </row>
    <row r="26" ht="19.9" customHeight="1" spans="1:14">
      <c r="A26" s="9" t="s">
        <v>27</v>
      </c>
      <c r="B26" s="18" t="s">
        <v>171</v>
      </c>
      <c r="C26" s="19" t="s">
        <v>172</v>
      </c>
      <c r="D26" s="19" t="s">
        <v>173</v>
      </c>
      <c r="E26" s="19" t="s">
        <v>174</v>
      </c>
      <c r="F26" s="20" t="s">
        <v>175</v>
      </c>
      <c r="G26" s="19" t="s">
        <v>75</v>
      </c>
      <c r="H26" s="21">
        <v>4</v>
      </c>
      <c r="I26" s="23" t="s">
        <v>110</v>
      </c>
      <c r="J26" s="24" t="s">
        <v>176</v>
      </c>
      <c r="K26" s="9" t="s">
        <v>177</v>
      </c>
      <c r="L26" s="9" t="s">
        <v>178</v>
      </c>
      <c r="M26" s="9" t="s">
        <v>179</v>
      </c>
      <c r="N26" s="9" t="s">
        <v>81</v>
      </c>
    </row>
    <row r="27" ht="19.9" customHeight="1" spans="1:14">
      <c r="A27" s="9"/>
      <c r="B27" s="18"/>
      <c r="C27" s="19"/>
      <c r="D27" s="19"/>
      <c r="E27" s="19"/>
      <c r="F27" s="20"/>
      <c r="G27" s="19"/>
      <c r="H27" s="21">
        <v>5.4</v>
      </c>
      <c r="I27" s="23" t="s">
        <v>110</v>
      </c>
      <c r="J27" s="24" t="s">
        <v>176</v>
      </c>
      <c r="K27" s="9" t="s">
        <v>177</v>
      </c>
      <c r="L27" s="9" t="s">
        <v>178</v>
      </c>
      <c r="M27" s="9" t="s">
        <v>179</v>
      </c>
      <c r="N27" s="9" t="s">
        <v>81</v>
      </c>
    </row>
    <row r="28" ht="19.9" customHeight="1" spans="1:14">
      <c r="A28" s="9" t="s">
        <v>27</v>
      </c>
      <c r="B28" s="18" t="s">
        <v>180</v>
      </c>
      <c r="C28" s="19" t="s">
        <v>181</v>
      </c>
      <c r="D28" s="19" t="s">
        <v>173</v>
      </c>
      <c r="E28" s="19" t="s">
        <v>174</v>
      </c>
      <c r="F28" s="20" t="s">
        <v>175</v>
      </c>
      <c r="G28" s="19" t="s">
        <v>75</v>
      </c>
      <c r="H28" s="21">
        <v>4</v>
      </c>
      <c r="I28" s="23" t="s">
        <v>110</v>
      </c>
      <c r="J28" s="24" t="s">
        <v>182</v>
      </c>
      <c r="K28" s="9" t="s">
        <v>177</v>
      </c>
      <c r="L28" s="9" t="s">
        <v>178</v>
      </c>
      <c r="M28" s="9" t="s">
        <v>179</v>
      </c>
      <c r="N28" s="9" t="s">
        <v>81</v>
      </c>
    </row>
    <row r="29" ht="19.9" customHeight="1" spans="1:14">
      <c r="A29" s="9"/>
      <c r="B29" s="18"/>
      <c r="C29" s="19"/>
      <c r="D29" s="19"/>
      <c r="E29" s="19"/>
      <c r="F29" s="20"/>
      <c r="G29" s="19"/>
      <c r="H29" s="21">
        <v>5.4</v>
      </c>
      <c r="I29" s="23" t="s">
        <v>110</v>
      </c>
      <c r="J29" s="24" t="s">
        <v>182</v>
      </c>
      <c r="K29" s="9" t="s">
        <v>177</v>
      </c>
      <c r="L29" s="9" t="s">
        <v>178</v>
      </c>
      <c r="M29" s="9" t="s">
        <v>179</v>
      </c>
      <c r="N29" s="9" t="s">
        <v>81</v>
      </c>
    </row>
    <row r="30" ht="19.9" customHeight="1" spans="1:14">
      <c r="A30" s="9" t="s">
        <v>27</v>
      </c>
      <c r="B30" s="18" t="s">
        <v>183</v>
      </c>
      <c r="C30" s="19" t="s">
        <v>184</v>
      </c>
      <c r="D30" s="19" t="s">
        <v>173</v>
      </c>
      <c r="E30" s="19" t="s">
        <v>174</v>
      </c>
      <c r="F30" s="20" t="s">
        <v>175</v>
      </c>
      <c r="G30" s="19" t="s">
        <v>75</v>
      </c>
      <c r="H30" s="21">
        <v>4</v>
      </c>
      <c r="I30" s="23" t="s">
        <v>110</v>
      </c>
      <c r="J30" s="24" t="s">
        <v>185</v>
      </c>
      <c r="K30" s="9" t="s">
        <v>177</v>
      </c>
      <c r="L30" s="9" t="s">
        <v>178</v>
      </c>
      <c r="M30" s="9" t="s">
        <v>179</v>
      </c>
      <c r="N30" s="9" t="s">
        <v>81</v>
      </c>
    </row>
    <row r="31" ht="19.9" customHeight="1" spans="1:14">
      <c r="A31" s="9" t="s">
        <v>27</v>
      </c>
      <c r="B31" s="18" t="s">
        <v>186</v>
      </c>
      <c r="C31" s="19" t="s">
        <v>187</v>
      </c>
      <c r="D31" s="19" t="s">
        <v>156</v>
      </c>
      <c r="E31" s="19" t="s">
        <v>99</v>
      </c>
      <c r="F31" s="20" t="s">
        <v>188</v>
      </c>
      <c r="G31" s="19" t="s">
        <v>75</v>
      </c>
      <c r="H31" s="21">
        <v>4</v>
      </c>
      <c r="I31" s="23" t="s">
        <v>110</v>
      </c>
      <c r="J31" s="24" t="s">
        <v>189</v>
      </c>
      <c r="K31" s="9" t="s">
        <v>158</v>
      </c>
      <c r="L31" s="9" t="s">
        <v>103</v>
      </c>
      <c r="M31" s="9" t="s">
        <v>190</v>
      </c>
      <c r="N31" s="9" t="s">
        <v>81</v>
      </c>
    </row>
    <row r="32" ht="19.9" customHeight="1" spans="1:14">
      <c r="A32" s="9"/>
      <c r="B32" s="18"/>
      <c r="C32" s="19"/>
      <c r="D32" s="19"/>
      <c r="E32" s="19"/>
      <c r="F32" s="20"/>
      <c r="G32" s="19"/>
      <c r="H32" s="21">
        <v>19.92605</v>
      </c>
      <c r="I32" s="23" t="s">
        <v>76</v>
      </c>
      <c r="J32" s="24" t="s">
        <v>189</v>
      </c>
      <c r="K32" s="9" t="s">
        <v>158</v>
      </c>
      <c r="L32" s="9" t="s">
        <v>103</v>
      </c>
      <c r="M32" s="9" t="s">
        <v>190</v>
      </c>
      <c r="N32" s="9" t="s">
        <v>81</v>
      </c>
    </row>
    <row r="33" ht="27.1" customHeight="1" spans="1:14">
      <c r="A33" s="9" t="s">
        <v>27</v>
      </c>
      <c r="B33" s="18" t="s">
        <v>191</v>
      </c>
      <c r="C33" s="19" t="s">
        <v>192</v>
      </c>
      <c r="D33" s="19" t="s">
        <v>156</v>
      </c>
      <c r="E33" s="19" t="s">
        <v>99</v>
      </c>
      <c r="F33" s="20" t="s">
        <v>193</v>
      </c>
      <c r="G33" s="19" t="s">
        <v>75</v>
      </c>
      <c r="H33" s="21">
        <v>4</v>
      </c>
      <c r="I33" s="23" t="s">
        <v>110</v>
      </c>
      <c r="J33" s="24" t="s">
        <v>194</v>
      </c>
      <c r="K33" s="9" t="s">
        <v>158</v>
      </c>
      <c r="L33" s="9" t="s">
        <v>103</v>
      </c>
      <c r="M33" s="9" t="s">
        <v>138</v>
      </c>
      <c r="N33" s="9" t="s">
        <v>81</v>
      </c>
    </row>
    <row r="34" ht="19.9" customHeight="1" spans="1:14">
      <c r="A34" s="9" t="s">
        <v>27</v>
      </c>
      <c r="B34" s="18" t="s">
        <v>195</v>
      </c>
      <c r="C34" s="19" t="s">
        <v>196</v>
      </c>
      <c r="D34" s="19" t="s">
        <v>156</v>
      </c>
      <c r="E34" s="19" t="s">
        <v>197</v>
      </c>
      <c r="F34" s="20" t="s">
        <v>198</v>
      </c>
      <c r="G34" s="19" t="s">
        <v>75</v>
      </c>
      <c r="H34" s="21">
        <v>4</v>
      </c>
      <c r="I34" s="23" t="s">
        <v>110</v>
      </c>
      <c r="J34" s="24" t="s">
        <v>199</v>
      </c>
      <c r="K34" s="9" t="s">
        <v>158</v>
      </c>
      <c r="L34" s="9" t="s">
        <v>200</v>
      </c>
      <c r="M34" s="9" t="s">
        <v>201</v>
      </c>
      <c r="N34" s="9" t="s">
        <v>81</v>
      </c>
    </row>
    <row r="35" ht="27.1" customHeight="1" spans="1:14">
      <c r="A35" s="9" t="s">
        <v>27</v>
      </c>
      <c r="B35" s="18" t="s">
        <v>202</v>
      </c>
      <c r="C35" s="19" t="s">
        <v>203</v>
      </c>
      <c r="D35" s="19" t="s">
        <v>173</v>
      </c>
      <c r="E35" s="19" t="s">
        <v>204</v>
      </c>
      <c r="F35" s="20" t="s">
        <v>205</v>
      </c>
      <c r="G35" s="19" t="s">
        <v>75</v>
      </c>
      <c r="H35" s="21">
        <v>19.92605</v>
      </c>
      <c r="I35" s="23" t="s">
        <v>76</v>
      </c>
      <c r="J35" s="24" t="s">
        <v>206</v>
      </c>
      <c r="K35" s="9" t="s">
        <v>177</v>
      </c>
      <c r="L35" s="9" t="s">
        <v>207</v>
      </c>
      <c r="M35" s="9" t="s">
        <v>208</v>
      </c>
      <c r="N35" s="9" t="s">
        <v>81</v>
      </c>
    </row>
    <row r="36" ht="27.1" customHeight="1" spans="1:14">
      <c r="A36" s="9" t="s">
        <v>27</v>
      </c>
      <c r="B36" s="18" t="s">
        <v>209</v>
      </c>
      <c r="C36" s="19" t="s">
        <v>210</v>
      </c>
      <c r="D36" s="19" t="s">
        <v>173</v>
      </c>
      <c r="E36" s="19" t="s">
        <v>204</v>
      </c>
      <c r="F36" s="20" t="s">
        <v>205</v>
      </c>
      <c r="G36" s="19" t="s">
        <v>75</v>
      </c>
      <c r="H36" s="21">
        <v>19.92605</v>
      </c>
      <c r="I36" s="23" t="s">
        <v>76</v>
      </c>
      <c r="J36" s="24" t="s">
        <v>211</v>
      </c>
      <c r="K36" s="9" t="s">
        <v>177</v>
      </c>
      <c r="L36" s="9" t="s">
        <v>207</v>
      </c>
      <c r="M36" s="9" t="s">
        <v>208</v>
      </c>
      <c r="N36" s="9" t="s">
        <v>81</v>
      </c>
    </row>
    <row r="37" ht="27.1" customHeight="1" spans="1:14">
      <c r="A37" s="9" t="s">
        <v>27</v>
      </c>
      <c r="B37" s="18" t="s">
        <v>212</v>
      </c>
      <c r="C37" s="19" t="s">
        <v>213</v>
      </c>
      <c r="D37" s="19" t="s">
        <v>214</v>
      </c>
      <c r="E37" s="19" t="s">
        <v>215</v>
      </c>
      <c r="F37" s="20" t="s">
        <v>216</v>
      </c>
      <c r="G37" s="19" t="s">
        <v>75</v>
      </c>
      <c r="H37" s="21">
        <v>19.92605</v>
      </c>
      <c r="I37" s="23" t="s">
        <v>76</v>
      </c>
      <c r="J37" s="24" t="s">
        <v>217</v>
      </c>
      <c r="K37" s="9" t="s">
        <v>218</v>
      </c>
      <c r="L37" s="9" t="s">
        <v>219</v>
      </c>
      <c r="M37" s="9" t="s">
        <v>220</v>
      </c>
      <c r="N37" s="9" t="s">
        <v>81</v>
      </c>
    </row>
    <row r="38" ht="27.1" customHeight="1" spans="1:14">
      <c r="A38" s="9" t="s">
        <v>27</v>
      </c>
      <c r="B38" s="18" t="s">
        <v>221</v>
      </c>
      <c r="C38" s="19" t="s">
        <v>222</v>
      </c>
      <c r="D38" s="19" t="s">
        <v>113</v>
      </c>
      <c r="E38" s="19" t="s">
        <v>114</v>
      </c>
      <c r="F38" s="20" t="s">
        <v>223</v>
      </c>
      <c r="G38" s="19" t="s">
        <v>75</v>
      </c>
      <c r="H38" s="21">
        <v>0.9</v>
      </c>
      <c r="I38" s="23" t="s">
        <v>76</v>
      </c>
      <c r="J38" s="24" t="s">
        <v>224</v>
      </c>
      <c r="K38" s="9" t="s">
        <v>117</v>
      </c>
      <c r="L38" s="9" t="s">
        <v>118</v>
      </c>
      <c r="M38" s="9" t="s">
        <v>225</v>
      </c>
      <c r="N38" s="9" t="s">
        <v>81</v>
      </c>
    </row>
    <row r="39" ht="27.1" customHeight="1" spans="1:14">
      <c r="A39" s="9" t="s">
        <v>27</v>
      </c>
      <c r="B39" s="18" t="s">
        <v>226</v>
      </c>
      <c r="C39" s="19" t="s">
        <v>227</v>
      </c>
      <c r="D39" s="19" t="s">
        <v>113</v>
      </c>
      <c r="E39" s="19" t="s">
        <v>114</v>
      </c>
      <c r="F39" s="20" t="s">
        <v>228</v>
      </c>
      <c r="G39" s="19" t="s">
        <v>75</v>
      </c>
      <c r="H39" s="21">
        <v>0.9</v>
      </c>
      <c r="I39" s="23" t="s">
        <v>76</v>
      </c>
      <c r="J39" s="24" t="s">
        <v>229</v>
      </c>
      <c r="K39" s="9" t="s">
        <v>117</v>
      </c>
      <c r="L39" s="9" t="s">
        <v>118</v>
      </c>
      <c r="M39" s="9" t="s">
        <v>230</v>
      </c>
      <c r="N39" s="9" t="s">
        <v>81</v>
      </c>
    </row>
    <row r="40" ht="19.9" customHeight="1" spans="1:14">
      <c r="A40" s="9" t="s">
        <v>27</v>
      </c>
      <c r="B40" s="18" t="s">
        <v>231</v>
      </c>
      <c r="C40" s="19" t="s">
        <v>232</v>
      </c>
      <c r="D40" s="19" t="s">
        <v>156</v>
      </c>
      <c r="E40" s="19" t="s">
        <v>99</v>
      </c>
      <c r="F40" s="20" t="s">
        <v>233</v>
      </c>
      <c r="G40" s="19" t="s">
        <v>75</v>
      </c>
      <c r="H40" s="21">
        <v>5</v>
      </c>
      <c r="I40" s="23" t="s">
        <v>110</v>
      </c>
      <c r="J40" s="24" t="s">
        <v>234</v>
      </c>
      <c r="K40" s="9" t="s">
        <v>158</v>
      </c>
      <c r="L40" s="9" t="s">
        <v>103</v>
      </c>
      <c r="M40" s="9" t="s">
        <v>235</v>
      </c>
      <c r="N40" s="9" t="s">
        <v>81</v>
      </c>
    </row>
    <row r="41" ht="19.9" customHeight="1" spans="1:14">
      <c r="A41" s="9"/>
      <c r="B41" s="18"/>
      <c r="C41" s="19"/>
      <c r="D41" s="19"/>
      <c r="E41" s="19"/>
      <c r="F41" s="20"/>
      <c r="G41" s="19"/>
      <c r="H41" s="21">
        <v>19.92605</v>
      </c>
      <c r="I41" s="23" t="s">
        <v>76</v>
      </c>
      <c r="J41" s="24" t="s">
        <v>234</v>
      </c>
      <c r="K41" s="9" t="s">
        <v>158</v>
      </c>
      <c r="L41" s="9" t="s">
        <v>103</v>
      </c>
      <c r="M41" s="9" t="s">
        <v>235</v>
      </c>
      <c r="N41" s="9" t="s">
        <v>81</v>
      </c>
    </row>
    <row r="42" ht="19.9" customHeight="1" spans="1:14">
      <c r="A42" s="9"/>
      <c r="B42" s="18"/>
      <c r="C42" s="19"/>
      <c r="D42" s="19"/>
      <c r="E42" s="19"/>
      <c r="F42" s="20"/>
      <c r="G42" s="19"/>
      <c r="H42" s="21">
        <v>1.3</v>
      </c>
      <c r="I42" s="23" t="s">
        <v>110</v>
      </c>
      <c r="J42" s="24" t="s">
        <v>234</v>
      </c>
      <c r="K42" s="9" t="s">
        <v>158</v>
      </c>
      <c r="L42" s="9" t="s">
        <v>103</v>
      </c>
      <c r="M42" s="9" t="s">
        <v>235</v>
      </c>
      <c r="N42" s="9" t="s">
        <v>81</v>
      </c>
    </row>
    <row r="43" ht="19.9" customHeight="1" spans="1:14">
      <c r="A43" s="9"/>
      <c r="B43" s="18"/>
      <c r="C43" s="19"/>
      <c r="D43" s="19"/>
      <c r="E43" s="19"/>
      <c r="F43" s="20"/>
      <c r="G43" s="19"/>
      <c r="H43" s="21">
        <v>4</v>
      </c>
      <c r="I43" s="23" t="s">
        <v>110</v>
      </c>
      <c r="J43" s="24" t="s">
        <v>234</v>
      </c>
      <c r="K43" s="9" t="s">
        <v>158</v>
      </c>
      <c r="L43" s="9" t="s">
        <v>103</v>
      </c>
      <c r="M43" s="9" t="s">
        <v>235</v>
      </c>
      <c r="N43" s="9" t="s">
        <v>81</v>
      </c>
    </row>
    <row r="44" ht="19.9" customHeight="1" spans="1:14">
      <c r="A44" s="9" t="s">
        <v>27</v>
      </c>
      <c r="B44" s="18" t="s">
        <v>236</v>
      </c>
      <c r="C44" s="19" t="s">
        <v>237</v>
      </c>
      <c r="D44" s="19" t="s">
        <v>98</v>
      </c>
      <c r="E44" s="19" t="s">
        <v>99</v>
      </c>
      <c r="F44" s="20" t="s">
        <v>238</v>
      </c>
      <c r="G44" s="19" t="s">
        <v>75</v>
      </c>
      <c r="H44" s="21">
        <v>5</v>
      </c>
      <c r="I44" s="23" t="s">
        <v>110</v>
      </c>
      <c r="J44" s="24" t="s">
        <v>239</v>
      </c>
      <c r="K44" s="9" t="s">
        <v>102</v>
      </c>
      <c r="L44" s="9" t="s">
        <v>103</v>
      </c>
      <c r="M44" s="9" t="s">
        <v>138</v>
      </c>
      <c r="N44" s="9" t="s">
        <v>81</v>
      </c>
    </row>
    <row r="45" ht="19.9" customHeight="1" spans="1:14">
      <c r="A45" s="9"/>
      <c r="B45" s="18"/>
      <c r="C45" s="19"/>
      <c r="D45" s="19"/>
      <c r="E45" s="19"/>
      <c r="F45" s="20"/>
      <c r="G45" s="19"/>
      <c r="H45" s="21">
        <v>1.3</v>
      </c>
      <c r="I45" s="23" t="s">
        <v>110</v>
      </c>
      <c r="J45" s="24" t="s">
        <v>239</v>
      </c>
      <c r="K45" s="9" t="s">
        <v>102</v>
      </c>
      <c r="L45" s="9" t="s">
        <v>103</v>
      </c>
      <c r="M45" s="9" t="s">
        <v>138</v>
      </c>
      <c r="N45" s="9" t="s">
        <v>81</v>
      </c>
    </row>
    <row r="46" ht="27.1" customHeight="1" spans="1:14">
      <c r="A46" s="9" t="s">
        <v>27</v>
      </c>
      <c r="B46" s="18" t="s">
        <v>240</v>
      </c>
      <c r="C46" s="19" t="s">
        <v>241</v>
      </c>
      <c r="D46" s="19" t="s">
        <v>84</v>
      </c>
      <c r="E46" s="19" t="s">
        <v>73</v>
      </c>
      <c r="F46" s="20" t="s">
        <v>242</v>
      </c>
      <c r="G46" s="19" t="s">
        <v>142</v>
      </c>
      <c r="H46" s="21">
        <v>4</v>
      </c>
      <c r="I46" s="23" t="s">
        <v>143</v>
      </c>
      <c r="J46" s="24" t="s">
        <v>243</v>
      </c>
      <c r="K46" s="9" t="s">
        <v>86</v>
      </c>
      <c r="L46" s="9" t="s">
        <v>79</v>
      </c>
      <c r="M46" s="9" t="s">
        <v>244</v>
      </c>
      <c r="N46" s="9" t="s">
        <v>146</v>
      </c>
    </row>
    <row r="47" ht="19.9" customHeight="1" spans="1:14">
      <c r="A47" s="9" t="s">
        <v>27</v>
      </c>
      <c r="B47" s="18" t="s">
        <v>245</v>
      </c>
      <c r="C47" s="19" t="s">
        <v>246</v>
      </c>
      <c r="D47" s="19" t="s">
        <v>247</v>
      </c>
      <c r="E47" s="19" t="s">
        <v>174</v>
      </c>
      <c r="F47" s="20" t="s">
        <v>248</v>
      </c>
      <c r="G47" s="19" t="s">
        <v>142</v>
      </c>
      <c r="H47" s="21">
        <v>4</v>
      </c>
      <c r="I47" s="23" t="s">
        <v>143</v>
      </c>
      <c r="J47" s="24" t="s">
        <v>249</v>
      </c>
      <c r="K47" s="9" t="s">
        <v>250</v>
      </c>
      <c r="L47" s="9" t="s">
        <v>178</v>
      </c>
      <c r="M47" s="9" t="s">
        <v>251</v>
      </c>
      <c r="N47" s="9" t="s">
        <v>146</v>
      </c>
    </row>
    <row r="48" ht="19.9" customHeight="1" spans="1:14">
      <c r="A48" s="9" t="s">
        <v>27</v>
      </c>
      <c r="B48" s="18" t="s">
        <v>252</v>
      </c>
      <c r="C48" s="19" t="s">
        <v>253</v>
      </c>
      <c r="D48" s="19" t="s">
        <v>134</v>
      </c>
      <c r="E48" s="19" t="s">
        <v>99</v>
      </c>
      <c r="F48" s="20" t="s">
        <v>238</v>
      </c>
      <c r="G48" s="19" t="s">
        <v>75</v>
      </c>
      <c r="H48" s="21">
        <v>1.3</v>
      </c>
      <c r="I48" s="23" t="s">
        <v>110</v>
      </c>
      <c r="J48" s="24" t="s">
        <v>254</v>
      </c>
      <c r="K48" s="9" t="s">
        <v>137</v>
      </c>
      <c r="L48" s="9" t="s">
        <v>103</v>
      </c>
      <c r="M48" s="9" t="s">
        <v>138</v>
      </c>
      <c r="N48" s="9" t="s">
        <v>81</v>
      </c>
    </row>
    <row r="49" ht="19.9" customHeight="1" spans="1:14">
      <c r="A49" s="9"/>
      <c r="B49" s="18"/>
      <c r="C49" s="19"/>
      <c r="D49" s="19"/>
      <c r="E49" s="19"/>
      <c r="F49" s="20"/>
      <c r="G49" s="19"/>
      <c r="H49" s="21">
        <v>5</v>
      </c>
      <c r="I49" s="23" t="s">
        <v>110</v>
      </c>
      <c r="J49" s="24" t="s">
        <v>254</v>
      </c>
      <c r="K49" s="9" t="s">
        <v>137</v>
      </c>
      <c r="L49" s="9" t="s">
        <v>103</v>
      </c>
      <c r="M49" s="9" t="s">
        <v>138</v>
      </c>
      <c r="N49" s="9" t="s">
        <v>81</v>
      </c>
    </row>
    <row r="50" ht="19.9" customHeight="1" spans="1:14">
      <c r="A50" s="9" t="s">
        <v>27</v>
      </c>
      <c r="B50" s="18" t="s">
        <v>255</v>
      </c>
      <c r="C50" s="19" t="s">
        <v>256</v>
      </c>
      <c r="D50" s="19" t="s">
        <v>257</v>
      </c>
      <c r="E50" s="19" t="s">
        <v>99</v>
      </c>
      <c r="F50" s="20" t="s">
        <v>258</v>
      </c>
      <c r="G50" s="19" t="s">
        <v>75</v>
      </c>
      <c r="H50" s="21">
        <v>1.3</v>
      </c>
      <c r="I50" s="23" t="s">
        <v>110</v>
      </c>
      <c r="J50" s="24" t="s">
        <v>259</v>
      </c>
      <c r="K50" s="9" t="s">
        <v>260</v>
      </c>
      <c r="L50" s="9" t="s">
        <v>103</v>
      </c>
      <c r="M50" s="9" t="s">
        <v>145</v>
      </c>
      <c r="N50" s="9" t="s">
        <v>81</v>
      </c>
    </row>
    <row r="51" ht="19.9" customHeight="1" spans="1:14">
      <c r="A51" s="9"/>
      <c r="B51" s="18"/>
      <c r="C51" s="19"/>
      <c r="D51" s="19"/>
      <c r="E51" s="19"/>
      <c r="F51" s="20"/>
      <c r="G51" s="19"/>
      <c r="H51" s="21">
        <v>19.92605</v>
      </c>
      <c r="I51" s="23" t="s">
        <v>76</v>
      </c>
      <c r="J51" s="24" t="s">
        <v>259</v>
      </c>
      <c r="K51" s="9" t="s">
        <v>260</v>
      </c>
      <c r="L51" s="9" t="s">
        <v>103</v>
      </c>
      <c r="M51" s="9" t="s">
        <v>145</v>
      </c>
      <c r="N51" s="9" t="s">
        <v>81</v>
      </c>
    </row>
    <row r="52" ht="19.9" customHeight="1" spans="1:14">
      <c r="A52" s="9"/>
      <c r="B52" s="18"/>
      <c r="C52" s="19"/>
      <c r="D52" s="19"/>
      <c r="E52" s="19"/>
      <c r="F52" s="20"/>
      <c r="G52" s="19"/>
      <c r="H52" s="21">
        <v>5.4</v>
      </c>
      <c r="I52" s="23" t="s">
        <v>110</v>
      </c>
      <c r="J52" s="24" t="s">
        <v>259</v>
      </c>
      <c r="K52" s="9" t="s">
        <v>260</v>
      </c>
      <c r="L52" s="9" t="s">
        <v>103</v>
      </c>
      <c r="M52" s="9" t="s">
        <v>145</v>
      </c>
      <c r="N52" s="9" t="s">
        <v>81</v>
      </c>
    </row>
    <row r="53" ht="19.9" customHeight="1" spans="1:14">
      <c r="A53" s="9" t="s">
        <v>27</v>
      </c>
      <c r="B53" s="18" t="s">
        <v>261</v>
      </c>
      <c r="C53" s="19" t="s">
        <v>262</v>
      </c>
      <c r="D53" s="19" t="s">
        <v>84</v>
      </c>
      <c r="E53" s="19" t="s">
        <v>99</v>
      </c>
      <c r="F53" s="20" t="s">
        <v>141</v>
      </c>
      <c r="G53" s="19" t="s">
        <v>75</v>
      </c>
      <c r="H53" s="21">
        <v>5.4</v>
      </c>
      <c r="I53" s="23" t="s">
        <v>110</v>
      </c>
      <c r="J53" s="24" t="s">
        <v>263</v>
      </c>
      <c r="K53" s="9" t="s">
        <v>86</v>
      </c>
      <c r="L53" s="9" t="s">
        <v>103</v>
      </c>
      <c r="M53" s="9" t="s">
        <v>145</v>
      </c>
      <c r="N53" s="9" t="s">
        <v>81</v>
      </c>
    </row>
    <row r="54" ht="19.9" customHeight="1" spans="1:14">
      <c r="A54" s="9"/>
      <c r="B54" s="18"/>
      <c r="C54" s="19"/>
      <c r="D54" s="19"/>
      <c r="E54" s="19"/>
      <c r="F54" s="20"/>
      <c r="G54" s="19" t="s">
        <v>142</v>
      </c>
      <c r="H54" s="21">
        <v>4</v>
      </c>
      <c r="I54" s="23" t="s">
        <v>143</v>
      </c>
      <c r="J54" s="24" t="s">
        <v>263</v>
      </c>
      <c r="K54" s="9" t="s">
        <v>86</v>
      </c>
      <c r="L54" s="9" t="s">
        <v>103</v>
      </c>
      <c r="M54" s="9" t="s">
        <v>145</v>
      </c>
      <c r="N54" s="9" t="s">
        <v>146</v>
      </c>
    </row>
    <row r="55" ht="19.9" customHeight="1" spans="1:14">
      <c r="A55" s="9" t="s">
        <v>27</v>
      </c>
      <c r="B55" s="18" t="s">
        <v>264</v>
      </c>
      <c r="C55" s="19" t="s">
        <v>265</v>
      </c>
      <c r="D55" s="19" t="s">
        <v>149</v>
      </c>
      <c r="E55" s="19" t="s">
        <v>174</v>
      </c>
      <c r="F55" s="20" t="s">
        <v>266</v>
      </c>
      <c r="G55" s="19" t="s">
        <v>75</v>
      </c>
      <c r="H55" s="21">
        <v>19.92605</v>
      </c>
      <c r="I55" s="23" t="s">
        <v>76</v>
      </c>
      <c r="J55" s="24" t="s">
        <v>267</v>
      </c>
      <c r="K55" s="9" t="s">
        <v>152</v>
      </c>
      <c r="L55" s="9" t="s">
        <v>178</v>
      </c>
      <c r="M55" s="9" t="s">
        <v>268</v>
      </c>
      <c r="N55" s="9" t="s">
        <v>81</v>
      </c>
    </row>
    <row r="56" ht="19.9" customHeight="1" spans="1:14">
      <c r="A56" s="9"/>
      <c r="B56" s="18"/>
      <c r="C56" s="19"/>
      <c r="D56" s="19"/>
      <c r="E56" s="19"/>
      <c r="F56" s="20"/>
      <c r="G56" s="19"/>
      <c r="H56" s="21">
        <v>1.3</v>
      </c>
      <c r="I56" s="23" t="s">
        <v>110</v>
      </c>
      <c r="J56" s="24" t="s">
        <v>267</v>
      </c>
      <c r="K56" s="9" t="s">
        <v>152</v>
      </c>
      <c r="L56" s="9" t="s">
        <v>178</v>
      </c>
      <c r="M56" s="9" t="s">
        <v>268</v>
      </c>
      <c r="N56" s="9" t="s">
        <v>81</v>
      </c>
    </row>
    <row r="57" ht="19.9" customHeight="1" spans="1:14">
      <c r="A57" s="9" t="s">
        <v>27</v>
      </c>
      <c r="B57" s="18" t="s">
        <v>269</v>
      </c>
      <c r="C57" s="19" t="s">
        <v>270</v>
      </c>
      <c r="D57" s="19" t="s">
        <v>271</v>
      </c>
      <c r="E57" s="19" t="s">
        <v>272</v>
      </c>
      <c r="F57" s="20" t="s">
        <v>273</v>
      </c>
      <c r="G57" s="19" t="s">
        <v>75</v>
      </c>
      <c r="H57" s="21">
        <v>19.92605</v>
      </c>
      <c r="I57" s="23" t="s">
        <v>76</v>
      </c>
      <c r="J57" s="24" t="s">
        <v>274</v>
      </c>
      <c r="K57" s="9" t="s">
        <v>275</v>
      </c>
      <c r="L57" s="9" t="s">
        <v>276</v>
      </c>
      <c r="M57" s="9" t="s">
        <v>277</v>
      </c>
      <c r="N57" s="9" t="s">
        <v>81</v>
      </c>
    </row>
    <row r="58" ht="27.1" customHeight="1" spans="1:14">
      <c r="A58" s="9" t="s">
        <v>27</v>
      </c>
      <c r="B58" s="18" t="s">
        <v>278</v>
      </c>
      <c r="C58" s="19" t="s">
        <v>279</v>
      </c>
      <c r="D58" s="19" t="s">
        <v>156</v>
      </c>
      <c r="E58" s="19" t="s">
        <v>280</v>
      </c>
      <c r="F58" s="20" t="s">
        <v>281</v>
      </c>
      <c r="G58" s="19" t="s">
        <v>75</v>
      </c>
      <c r="H58" s="21">
        <v>19.92605</v>
      </c>
      <c r="I58" s="23" t="s">
        <v>76</v>
      </c>
      <c r="J58" s="24" t="s">
        <v>282</v>
      </c>
      <c r="K58" s="9" t="s">
        <v>158</v>
      </c>
      <c r="L58" s="9" t="s">
        <v>283</v>
      </c>
      <c r="M58" s="9" t="s">
        <v>284</v>
      </c>
      <c r="N58" s="9" t="s">
        <v>81</v>
      </c>
    </row>
    <row r="59" ht="27.1" customHeight="1" spans="1:14">
      <c r="A59" s="9" t="s">
        <v>27</v>
      </c>
      <c r="B59" s="18" t="s">
        <v>285</v>
      </c>
      <c r="C59" s="19" t="s">
        <v>286</v>
      </c>
      <c r="D59" s="19" t="s">
        <v>122</v>
      </c>
      <c r="E59" s="19" t="s">
        <v>287</v>
      </c>
      <c r="F59" s="20" t="s">
        <v>288</v>
      </c>
      <c r="G59" s="19" t="s">
        <v>125</v>
      </c>
      <c r="H59" s="21">
        <v>2.4</v>
      </c>
      <c r="I59" s="23" t="s">
        <v>126</v>
      </c>
      <c r="J59" s="24" t="s">
        <v>289</v>
      </c>
      <c r="K59" s="9" t="s">
        <v>128</v>
      </c>
      <c r="L59" s="9" t="s">
        <v>290</v>
      </c>
      <c r="M59" s="9" t="s">
        <v>291</v>
      </c>
      <c r="N59" s="9" t="s">
        <v>131</v>
      </c>
    </row>
    <row r="60" ht="27.1" customHeight="1" spans="1:14">
      <c r="A60" s="9" t="s">
        <v>27</v>
      </c>
      <c r="B60" s="18" t="s">
        <v>292</v>
      </c>
      <c r="C60" s="19" t="s">
        <v>293</v>
      </c>
      <c r="D60" s="19" t="s">
        <v>294</v>
      </c>
      <c r="E60" s="19" t="s">
        <v>99</v>
      </c>
      <c r="F60" s="20" t="s">
        <v>238</v>
      </c>
      <c r="G60" s="19" t="s">
        <v>75</v>
      </c>
      <c r="H60" s="21">
        <v>5</v>
      </c>
      <c r="I60" s="23" t="s">
        <v>110</v>
      </c>
      <c r="J60" s="24" t="s">
        <v>295</v>
      </c>
      <c r="K60" s="9" t="s">
        <v>296</v>
      </c>
      <c r="L60" s="9" t="s">
        <v>103</v>
      </c>
      <c r="M60" s="9" t="s">
        <v>138</v>
      </c>
      <c r="N60" s="9" t="s">
        <v>81</v>
      </c>
    </row>
    <row r="61" ht="19.9" customHeight="1" spans="1:14">
      <c r="A61" s="9" t="s">
        <v>27</v>
      </c>
      <c r="B61" s="18" t="s">
        <v>297</v>
      </c>
      <c r="C61" s="19" t="s">
        <v>298</v>
      </c>
      <c r="D61" s="19" t="s">
        <v>134</v>
      </c>
      <c r="E61" s="19" t="s">
        <v>280</v>
      </c>
      <c r="F61" s="20" t="s">
        <v>281</v>
      </c>
      <c r="G61" s="19" t="s">
        <v>75</v>
      </c>
      <c r="H61" s="21">
        <v>5</v>
      </c>
      <c r="I61" s="23" t="s">
        <v>110</v>
      </c>
      <c r="J61" s="24" t="s">
        <v>299</v>
      </c>
      <c r="K61" s="9" t="s">
        <v>137</v>
      </c>
      <c r="L61" s="9" t="s">
        <v>283</v>
      </c>
      <c r="M61" s="9" t="s">
        <v>284</v>
      </c>
      <c r="N61" s="9" t="s">
        <v>81</v>
      </c>
    </row>
    <row r="62" ht="19.9" customHeight="1" spans="1:14">
      <c r="A62" s="9"/>
      <c r="B62" s="18"/>
      <c r="C62" s="19"/>
      <c r="D62" s="19"/>
      <c r="E62" s="19"/>
      <c r="F62" s="20"/>
      <c r="G62" s="19"/>
      <c r="H62" s="21">
        <v>5.4</v>
      </c>
      <c r="I62" s="23" t="s">
        <v>110</v>
      </c>
      <c r="J62" s="24" t="s">
        <v>299</v>
      </c>
      <c r="K62" s="9" t="s">
        <v>137</v>
      </c>
      <c r="L62" s="9" t="s">
        <v>283</v>
      </c>
      <c r="M62" s="9" t="s">
        <v>284</v>
      </c>
      <c r="N62" s="9" t="s">
        <v>81</v>
      </c>
    </row>
    <row r="63" ht="19.9" customHeight="1" spans="1:14">
      <c r="A63" s="9" t="s">
        <v>27</v>
      </c>
      <c r="B63" s="18" t="s">
        <v>300</v>
      </c>
      <c r="C63" s="19" t="s">
        <v>301</v>
      </c>
      <c r="D63" s="19" t="s">
        <v>161</v>
      </c>
      <c r="E63" s="19" t="s">
        <v>99</v>
      </c>
      <c r="F63" s="20" t="s">
        <v>141</v>
      </c>
      <c r="G63" s="19" t="s">
        <v>302</v>
      </c>
      <c r="H63" s="21">
        <v>1.9</v>
      </c>
      <c r="I63" s="23" t="s">
        <v>143</v>
      </c>
      <c r="J63" s="24" t="s">
        <v>303</v>
      </c>
      <c r="K63" s="9" t="s">
        <v>164</v>
      </c>
      <c r="L63" s="9" t="s">
        <v>103</v>
      </c>
      <c r="M63" s="9" t="s">
        <v>145</v>
      </c>
      <c r="N63" s="9" t="s">
        <v>304</v>
      </c>
    </row>
    <row r="64" ht="27.1" customHeight="1" spans="1:14">
      <c r="A64" s="9" t="s">
        <v>27</v>
      </c>
      <c r="B64" s="18" t="s">
        <v>305</v>
      </c>
      <c r="C64" s="19" t="s">
        <v>306</v>
      </c>
      <c r="D64" s="19" t="s">
        <v>161</v>
      </c>
      <c r="E64" s="19" t="s">
        <v>307</v>
      </c>
      <c r="F64" s="20" t="s">
        <v>308</v>
      </c>
      <c r="G64" s="19" t="s">
        <v>302</v>
      </c>
      <c r="H64" s="21">
        <v>1.9</v>
      </c>
      <c r="I64" s="23" t="s">
        <v>143</v>
      </c>
      <c r="J64" s="24" t="s">
        <v>309</v>
      </c>
      <c r="K64" s="9" t="s">
        <v>164</v>
      </c>
      <c r="L64" s="9" t="s">
        <v>310</v>
      </c>
      <c r="M64" s="9" t="s">
        <v>311</v>
      </c>
      <c r="N64" s="9" t="s">
        <v>304</v>
      </c>
    </row>
    <row r="65" ht="27.1" customHeight="1" spans="1:14">
      <c r="A65" s="9" t="s">
        <v>27</v>
      </c>
      <c r="B65" s="18" t="s">
        <v>312</v>
      </c>
      <c r="C65" s="19" t="s">
        <v>313</v>
      </c>
      <c r="D65" s="19" t="s">
        <v>134</v>
      </c>
      <c r="E65" s="19" t="s">
        <v>99</v>
      </c>
      <c r="F65" s="20" t="s">
        <v>141</v>
      </c>
      <c r="G65" s="19" t="s">
        <v>142</v>
      </c>
      <c r="H65" s="21">
        <v>4</v>
      </c>
      <c r="I65" s="23" t="s">
        <v>143</v>
      </c>
      <c r="J65" s="24" t="s">
        <v>314</v>
      </c>
      <c r="K65" s="9" t="s">
        <v>137</v>
      </c>
      <c r="L65" s="9" t="s">
        <v>103</v>
      </c>
      <c r="M65" s="9" t="s">
        <v>145</v>
      </c>
      <c r="N65" s="9" t="s">
        <v>146</v>
      </c>
    </row>
    <row r="66" ht="19.9" customHeight="1" spans="1:14">
      <c r="A66" s="9" t="s">
        <v>27</v>
      </c>
      <c r="B66" s="18" t="s">
        <v>315</v>
      </c>
      <c r="C66" s="19" t="s">
        <v>316</v>
      </c>
      <c r="D66" s="19" t="s">
        <v>317</v>
      </c>
      <c r="E66" s="19" t="s">
        <v>174</v>
      </c>
      <c r="F66" s="20" t="s">
        <v>318</v>
      </c>
      <c r="G66" s="19" t="s">
        <v>75</v>
      </c>
      <c r="H66" s="21">
        <v>1.3</v>
      </c>
      <c r="I66" s="23" t="s">
        <v>110</v>
      </c>
      <c r="J66" s="24" t="s">
        <v>319</v>
      </c>
      <c r="K66" s="9" t="s">
        <v>320</v>
      </c>
      <c r="L66" s="9" t="s">
        <v>178</v>
      </c>
      <c r="M66" s="9" t="s">
        <v>268</v>
      </c>
      <c r="N66" s="9" t="s">
        <v>81</v>
      </c>
    </row>
    <row r="67" ht="19.9" customHeight="1" spans="1:14">
      <c r="A67" s="9" t="s">
        <v>27</v>
      </c>
      <c r="B67" s="18" t="s">
        <v>321</v>
      </c>
      <c r="C67" s="19" t="s">
        <v>322</v>
      </c>
      <c r="D67" s="19" t="s">
        <v>156</v>
      </c>
      <c r="E67" s="19" t="s">
        <v>99</v>
      </c>
      <c r="F67" s="20" t="s">
        <v>188</v>
      </c>
      <c r="G67" s="19" t="s">
        <v>75</v>
      </c>
      <c r="H67" s="21">
        <v>1.3</v>
      </c>
      <c r="I67" s="23" t="s">
        <v>110</v>
      </c>
      <c r="J67" s="24" t="s">
        <v>323</v>
      </c>
      <c r="K67" s="9" t="s">
        <v>158</v>
      </c>
      <c r="L67" s="9" t="s">
        <v>103</v>
      </c>
      <c r="M67" s="9" t="s">
        <v>190</v>
      </c>
      <c r="N67" s="9" t="s">
        <v>81</v>
      </c>
    </row>
    <row r="68" ht="19.9" customHeight="1" spans="1:14">
      <c r="A68" s="9"/>
      <c r="B68" s="18"/>
      <c r="C68" s="19"/>
      <c r="D68" s="19"/>
      <c r="E68" s="19"/>
      <c r="F68" s="20"/>
      <c r="G68" s="19"/>
      <c r="H68" s="21">
        <v>4</v>
      </c>
      <c r="I68" s="23" t="s">
        <v>110</v>
      </c>
      <c r="J68" s="24" t="s">
        <v>323</v>
      </c>
      <c r="K68" s="9" t="s">
        <v>158</v>
      </c>
      <c r="L68" s="9" t="s">
        <v>103</v>
      </c>
      <c r="M68" s="9" t="s">
        <v>190</v>
      </c>
      <c r="N68" s="9" t="s">
        <v>81</v>
      </c>
    </row>
    <row r="69" ht="19.9" customHeight="1" spans="1:14">
      <c r="A69" s="9"/>
      <c r="B69" s="18"/>
      <c r="C69" s="19"/>
      <c r="D69" s="19"/>
      <c r="E69" s="19"/>
      <c r="F69" s="20"/>
      <c r="G69" s="19"/>
      <c r="H69" s="21">
        <v>5</v>
      </c>
      <c r="I69" s="23" t="s">
        <v>110</v>
      </c>
      <c r="J69" s="24" t="s">
        <v>323</v>
      </c>
      <c r="K69" s="9" t="s">
        <v>158</v>
      </c>
      <c r="L69" s="9" t="s">
        <v>103</v>
      </c>
      <c r="M69" s="9" t="s">
        <v>190</v>
      </c>
      <c r="N69" s="9" t="s">
        <v>81</v>
      </c>
    </row>
    <row r="70" ht="19.9" customHeight="1" spans="1:14">
      <c r="A70" s="9" t="s">
        <v>27</v>
      </c>
      <c r="B70" s="18" t="s">
        <v>324</v>
      </c>
      <c r="C70" s="19" t="s">
        <v>325</v>
      </c>
      <c r="D70" s="19" t="s">
        <v>214</v>
      </c>
      <c r="E70" s="19" t="s">
        <v>215</v>
      </c>
      <c r="F70" s="20" t="s">
        <v>326</v>
      </c>
      <c r="G70" s="19" t="s">
        <v>75</v>
      </c>
      <c r="H70" s="21">
        <v>5.4</v>
      </c>
      <c r="I70" s="23" t="s">
        <v>110</v>
      </c>
      <c r="J70" s="24" t="s">
        <v>327</v>
      </c>
      <c r="K70" s="9" t="s">
        <v>218</v>
      </c>
      <c r="L70" s="9" t="s">
        <v>219</v>
      </c>
      <c r="M70" s="9" t="s">
        <v>328</v>
      </c>
      <c r="N70" s="9" t="s">
        <v>81</v>
      </c>
    </row>
    <row r="71" ht="19.9" customHeight="1" spans="1:14">
      <c r="A71" s="9" t="s">
        <v>27</v>
      </c>
      <c r="B71" s="18" t="s">
        <v>329</v>
      </c>
      <c r="C71" s="19" t="s">
        <v>330</v>
      </c>
      <c r="D71" s="19" t="s">
        <v>149</v>
      </c>
      <c r="E71" s="19" t="s">
        <v>174</v>
      </c>
      <c r="F71" s="20" t="s">
        <v>266</v>
      </c>
      <c r="G71" s="19" t="s">
        <v>75</v>
      </c>
      <c r="H71" s="21">
        <v>5.4</v>
      </c>
      <c r="I71" s="23" t="s">
        <v>110</v>
      </c>
      <c r="J71" s="24" t="s">
        <v>331</v>
      </c>
      <c r="K71" s="9" t="s">
        <v>152</v>
      </c>
      <c r="L71" s="9" t="s">
        <v>178</v>
      </c>
      <c r="M71" s="9" t="s">
        <v>268</v>
      </c>
      <c r="N71" s="9" t="s">
        <v>81</v>
      </c>
    </row>
    <row r="72" ht="19.9" customHeight="1" spans="1:14">
      <c r="A72" s="9" t="s">
        <v>27</v>
      </c>
      <c r="B72" s="18" t="s">
        <v>332</v>
      </c>
      <c r="C72" s="19" t="s">
        <v>333</v>
      </c>
      <c r="D72" s="19" t="s">
        <v>173</v>
      </c>
      <c r="E72" s="19" t="s">
        <v>174</v>
      </c>
      <c r="F72" s="20" t="s">
        <v>175</v>
      </c>
      <c r="G72" s="19" t="s">
        <v>75</v>
      </c>
      <c r="H72" s="21">
        <v>5.4</v>
      </c>
      <c r="I72" s="23" t="s">
        <v>110</v>
      </c>
      <c r="J72" s="24" t="s">
        <v>334</v>
      </c>
      <c r="K72" s="9" t="s">
        <v>177</v>
      </c>
      <c r="L72" s="9" t="s">
        <v>178</v>
      </c>
      <c r="M72" s="9" t="s">
        <v>179</v>
      </c>
      <c r="N72" s="9" t="s">
        <v>81</v>
      </c>
    </row>
    <row r="73" ht="27.1" customHeight="1" spans="1:14">
      <c r="A73" s="9" t="s">
        <v>27</v>
      </c>
      <c r="B73" s="18" t="s">
        <v>335</v>
      </c>
      <c r="C73" s="19" t="s">
        <v>336</v>
      </c>
      <c r="D73" s="19" t="s">
        <v>161</v>
      </c>
      <c r="E73" s="19" t="s">
        <v>99</v>
      </c>
      <c r="F73" s="20" t="s">
        <v>141</v>
      </c>
      <c r="G73" s="19" t="s">
        <v>75</v>
      </c>
      <c r="H73" s="21">
        <v>5.4</v>
      </c>
      <c r="I73" s="23" t="s">
        <v>110</v>
      </c>
      <c r="J73" s="24" t="s">
        <v>337</v>
      </c>
      <c r="K73" s="9" t="s">
        <v>164</v>
      </c>
      <c r="L73" s="9" t="s">
        <v>103</v>
      </c>
      <c r="M73" s="9" t="s">
        <v>145</v>
      </c>
      <c r="N73" s="9" t="s">
        <v>81</v>
      </c>
    </row>
    <row r="74" ht="19.9" customHeight="1" spans="1:14">
      <c r="A74" s="9" t="s">
        <v>27</v>
      </c>
      <c r="B74" s="18" t="s">
        <v>338</v>
      </c>
      <c r="C74" s="19" t="s">
        <v>339</v>
      </c>
      <c r="D74" s="19" t="s">
        <v>257</v>
      </c>
      <c r="E74" s="19" t="s">
        <v>99</v>
      </c>
      <c r="F74" s="20" t="s">
        <v>141</v>
      </c>
      <c r="G74" s="19" t="s">
        <v>75</v>
      </c>
      <c r="H74" s="21">
        <v>5.4</v>
      </c>
      <c r="I74" s="23" t="s">
        <v>110</v>
      </c>
      <c r="J74" s="24" t="s">
        <v>340</v>
      </c>
      <c r="K74" s="9" t="s">
        <v>260</v>
      </c>
      <c r="L74" s="9" t="s">
        <v>103</v>
      </c>
      <c r="M74" s="9" t="s">
        <v>145</v>
      </c>
      <c r="N74" s="9" t="s">
        <v>81</v>
      </c>
    </row>
    <row r="75" ht="19.9" customHeight="1" spans="1:14">
      <c r="A75" s="9" t="s">
        <v>27</v>
      </c>
      <c r="B75" s="18" t="s">
        <v>341</v>
      </c>
      <c r="C75" s="19" t="s">
        <v>342</v>
      </c>
      <c r="D75" s="19" t="s">
        <v>156</v>
      </c>
      <c r="E75" s="19" t="s">
        <v>197</v>
      </c>
      <c r="F75" s="20" t="s">
        <v>198</v>
      </c>
      <c r="G75" s="19" t="s">
        <v>75</v>
      </c>
      <c r="H75" s="21">
        <v>5.4</v>
      </c>
      <c r="I75" s="23" t="s">
        <v>110</v>
      </c>
      <c r="J75" s="24" t="s">
        <v>343</v>
      </c>
      <c r="K75" s="9" t="s">
        <v>158</v>
      </c>
      <c r="L75" s="9" t="s">
        <v>200</v>
      </c>
      <c r="M75" s="9" t="s">
        <v>201</v>
      </c>
      <c r="N75" s="9" t="s">
        <v>81</v>
      </c>
    </row>
    <row r="76" ht="19.9" customHeight="1" spans="1:14">
      <c r="A76" s="9"/>
      <c r="B76" s="18"/>
      <c r="C76" s="19"/>
      <c r="D76" s="19"/>
      <c r="E76" s="19"/>
      <c r="F76" s="20"/>
      <c r="G76" s="19"/>
      <c r="H76" s="21">
        <v>4</v>
      </c>
      <c r="I76" s="23" t="s">
        <v>110</v>
      </c>
      <c r="J76" s="24" t="s">
        <v>343</v>
      </c>
      <c r="K76" s="9" t="s">
        <v>158</v>
      </c>
      <c r="L76" s="9" t="s">
        <v>200</v>
      </c>
      <c r="M76" s="9" t="s">
        <v>201</v>
      </c>
      <c r="N76" s="9" t="s">
        <v>81</v>
      </c>
    </row>
    <row r="77" ht="19.9" customHeight="1" spans="1:14">
      <c r="A77" s="9" t="s">
        <v>27</v>
      </c>
      <c r="B77" s="18" t="s">
        <v>344</v>
      </c>
      <c r="C77" s="19" t="s">
        <v>345</v>
      </c>
      <c r="D77" s="19" t="s">
        <v>173</v>
      </c>
      <c r="E77" s="19" t="s">
        <v>174</v>
      </c>
      <c r="F77" s="20" t="s">
        <v>175</v>
      </c>
      <c r="G77" s="19" t="s">
        <v>75</v>
      </c>
      <c r="H77" s="21">
        <v>4</v>
      </c>
      <c r="I77" s="23" t="s">
        <v>110</v>
      </c>
      <c r="J77" s="24" t="s">
        <v>346</v>
      </c>
      <c r="K77" s="9" t="s">
        <v>177</v>
      </c>
      <c r="L77" s="9" t="s">
        <v>178</v>
      </c>
      <c r="M77" s="9" t="s">
        <v>179</v>
      </c>
      <c r="N77" s="9" t="s">
        <v>81</v>
      </c>
    </row>
    <row r="78" ht="27.1" customHeight="1" spans="1:14">
      <c r="A78" s="9" t="s">
        <v>27</v>
      </c>
      <c r="B78" s="18" t="s">
        <v>347</v>
      </c>
      <c r="C78" s="19" t="s">
        <v>348</v>
      </c>
      <c r="D78" s="19" t="s">
        <v>89</v>
      </c>
      <c r="E78" s="19" t="s">
        <v>99</v>
      </c>
      <c r="F78" s="20" t="s">
        <v>188</v>
      </c>
      <c r="G78" s="19" t="s">
        <v>75</v>
      </c>
      <c r="H78" s="21">
        <v>4</v>
      </c>
      <c r="I78" s="23" t="s">
        <v>110</v>
      </c>
      <c r="J78" s="24" t="s">
        <v>349</v>
      </c>
      <c r="K78" s="9" t="s">
        <v>93</v>
      </c>
      <c r="L78" s="9" t="s">
        <v>103</v>
      </c>
      <c r="M78" s="9" t="s">
        <v>190</v>
      </c>
      <c r="N78" s="9" t="s">
        <v>81</v>
      </c>
    </row>
    <row r="79" ht="27.1" customHeight="1" spans="1:14">
      <c r="A79" s="9" t="s">
        <v>27</v>
      </c>
      <c r="B79" s="18" t="s">
        <v>350</v>
      </c>
      <c r="C79" s="19" t="s">
        <v>351</v>
      </c>
      <c r="D79" s="19" t="s">
        <v>352</v>
      </c>
      <c r="E79" s="19" t="s">
        <v>99</v>
      </c>
      <c r="F79" s="20" t="s">
        <v>135</v>
      </c>
      <c r="G79" s="19" t="s">
        <v>75</v>
      </c>
      <c r="H79" s="21">
        <v>4</v>
      </c>
      <c r="I79" s="23" t="s">
        <v>110</v>
      </c>
      <c r="J79" s="24" t="s">
        <v>353</v>
      </c>
      <c r="K79" s="9" t="s">
        <v>354</v>
      </c>
      <c r="L79" s="9" t="s">
        <v>103</v>
      </c>
      <c r="M79" s="9" t="s">
        <v>138</v>
      </c>
      <c r="N79" s="9" t="s">
        <v>81</v>
      </c>
    </row>
    <row r="80" ht="19.9" customHeight="1" spans="1:14">
      <c r="A80" s="9" t="s">
        <v>27</v>
      </c>
      <c r="B80" s="18" t="s">
        <v>355</v>
      </c>
      <c r="C80" s="19" t="s">
        <v>356</v>
      </c>
      <c r="D80" s="19" t="s">
        <v>257</v>
      </c>
      <c r="E80" s="19" t="s">
        <v>99</v>
      </c>
      <c r="F80" s="20" t="s">
        <v>135</v>
      </c>
      <c r="G80" s="19" t="s">
        <v>75</v>
      </c>
      <c r="H80" s="21">
        <v>4</v>
      </c>
      <c r="I80" s="23" t="s">
        <v>110</v>
      </c>
      <c r="J80" s="24" t="s">
        <v>357</v>
      </c>
      <c r="K80" s="9" t="s">
        <v>260</v>
      </c>
      <c r="L80" s="9" t="s">
        <v>103</v>
      </c>
      <c r="M80" s="9" t="s">
        <v>138</v>
      </c>
      <c r="N80" s="9" t="s">
        <v>81</v>
      </c>
    </row>
    <row r="81" ht="19.9" customHeight="1" spans="1:14">
      <c r="A81" s="9"/>
      <c r="B81" s="18"/>
      <c r="C81" s="19"/>
      <c r="D81" s="19"/>
      <c r="E81" s="19"/>
      <c r="F81" s="20"/>
      <c r="G81" s="19"/>
      <c r="H81" s="21">
        <v>5</v>
      </c>
      <c r="I81" s="23" t="s">
        <v>110</v>
      </c>
      <c r="J81" s="24" t="s">
        <v>357</v>
      </c>
      <c r="K81" s="9" t="s">
        <v>260</v>
      </c>
      <c r="L81" s="9" t="s">
        <v>103</v>
      </c>
      <c r="M81" s="9" t="s">
        <v>138</v>
      </c>
      <c r="N81" s="9" t="s">
        <v>81</v>
      </c>
    </row>
    <row r="82" ht="19.9" customHeight="1" spans="1:14">
      <c r="A82" s="9" t="s">
        <v>27</v>
      </c>
      <c r="B82" s="18" t="s">
        <v>358</v>
      </c>
      <c r="C82" s="19" t="s">
        <v>359</v>
      </c>
      <c r="D82" s="19" t="s">
        <v>360</v>
      </c>
      <c r="E82" s="19" t="s">
        <v>99</v>
      </c>
      <c r="F82" s="20" t="s">
        <v>141</v>
      </c>
      <c r="G82" s="19" t="s">
        <v>75</v>
      </c>
      <c r="H82" s="21">
        <v>4</v>
      </c>
      <c r="I82" s="23" t="s">
        <v>110</v>
      </c>
      <c r="J82" s="24" t="s">
        <v>361</v>
      </c>
      <c r="K82" s="9" t="s">
        <v>362</v>
      </c>
      <c r="L82" s="9" t="s">
        <v>103</v>
      </c>
      <c r="M82" s="9" t="s">
        <v>145</v>
      </c>
      <c r="N82" s="9" t="s">
        <v>81</v>
      </c>
    </row>
    <row r="83" ht="19.9" customHeight="1" spans="1:14">
      <c r="A83" s="9" t="s">
        <v>27</v>
      </c>
      <c r="B83" s="18" t="s">
        <v>363</v>
      </c>
      <c r="C83" s="19" t="s">
        <v>364</v>
      </c>
      <c r="D83" s="19" t="s">
        <v>156</v>
      </c>
      <c r="E83" s="19" t="s">
        <v>197</v>
      </c>
      <c r="F83" s="20" t="s">
        <v>198</v>
      </c>
      <c r="G83" s="19" t="s">
        <v>75</v>
      </c>
      <c r="H83" s="21">
        <v>4</v>
      </c>
      <c r="I83" s="23" t="s">
        <v>110</v>
      </c>
      <c r="J83" s="24" t="s">
        <v>365</v>
      </c>
      <c r="K83" s="9" t="s">
        <v>158</v>
      </c>
      <c r="L83" s="9" t="s">
        <v>200</v>
      </c>
      <c r="M83" s="9" t="s">
        <v>201</v>
      </c>
      <c r="N83" s="9" t="s">
        <v>81</v>
      </c>
    </row>
    <row r="84" ht="19.9" customHeight="1" spans="1:14">
      <c r="A84" s="9" t="s">
        <v>27</v>
      </c>
      <c r="B84" s="18" t="s">
        <v>366</v>
      </c>
      <c r="C84" s="19" t="s">
        <v>367</v>
      </c>
      <c r="D84" s="19" t="s">
        <v>257</v>
      </c>
      <c r="E84" s="19" t="s">
        <v>197</v>
      </c>
      <c r="F84" s="20" t="s">
        <v>198</v>
      </c>
      <c r="G84" s="19" t="s">
        <v>75</v>
      </c>
      <c r="H84" s="21">
        <v>4</v>
      </c>
      <c r="I84" s="23" t="s">
        <v>110</v>
      </c>
      <c r="J84" s="24" t="s">
        <v>368</v>
      </c>
      <c r="K84" s="9" t="s">
        <v>260</v>
      </c>
      <c r="L84" s="9" t="s">
        <v>200</v>
      </c>
      <c r="M84" s="9" t="s">
        <v>201</v>
      </c>
      <c r="N84" s="9" t="s">
        <v>81</v>
      </c>
    </row>
    <row r="85" ht="19.9" customHeight="1" spans="1:14">
      <c r="A85" s="9" t="s">
        <v>27</v>
      </c>
      <c r="B85" s="18" t="s">
        <v>369</v>
      </c>
      <c r="C85" s="19" t="s">
        <v>370</v>
      </c>
      <c r="D85" s="19" t="s">
        <v>84</v>
      </c>
      <c r="E85" s="19" t="s">
        <v>73</v>
      </c>
      <c r="F85" s="20" t="s">
        <v>74</v>
      </c>
      <c r="G85" s="19" t="s">
        <v>75</v>
      </c>
      <c r="H85" s="21">
        <v>19.92605</v>
      </c>
      <c r="I85" s="23" t="s">
        <v>76</v>
      </c>
      <c r="J85" s="24" t="s">
        <v>371</v>
      </c>
      <c r="K85" s="9" t="s">
        <v>86</v>
      </c>
      <c r="L85" s="9" t="s">
        <v>79</v>
      </c>
      <c r="M85" s="9" t="s">
        <v>80</v>
      </c>
      <c r="N85" s="9" t="s">
        <v>81</v>
      </c>
    </row>
    <row r="86" ht="27.1" customHeight="1" spans="1:14">
      <c r="A86" s="9" t="s">
        <v>27</v>
      </c>
      <c r="B86" s="18" t="s">
        <v>372</v>
      </c>
      <c r="C86" s="19" t="s">
        <v>373</v>
      </c>
      <c r="D86" s="19" t="s">
        <v>149</v>
      </c>
      <c r="E86" s="19" t="s">
        <v>374</v>
      </c>
      <c r="F86" s="20" t="s">
        <v>375</v>
      </c>
      <c r="G86" s="19" t="s">
        <v>75</v>
      </c>
      <c r="H86" s="21">
        <v>19.92605</v>
      </c>
      <c r="I86" s="23" t="s">
        <v>76</v>
      </c>
      <c r="J86" s="24" t="s">
        <v>376</v>
      </c>
      <c r="K86" s="9" t="s">
        <v>152</v>
      </c>
      <c r="L86" s="9" t="s">
        <v>377</v>
      </c>
      <c r="M86" s="9" t="s">
        <v>378</v>
      </c>
      <c r="N86" s="9" t="s">
        <v>81</v>
      </c>
    </row>
    <row r="87" ht="19.9" customHeight="1" spans="1:14">
      <c r="A87" s="9" t="s">
        <v>27</v>
      </c>
      <c r="B87" s="18" t="s">
        <v>379</v>
      </c>
      <c r="C87" s="19" t="s">
        <v>380</v>
      </c>
      <c r="D87" s="19" t="s">
        <v>381</v>
      </c>
      <c r="E87" s="19" t="s">
        <v>215</v>
      </c>
      <c r="F87" s="20" t="s">
        <v>382</v>
      </c>
      <c r="G87" s="19" t="s">
        <v>75</v>
      </c>
      <c r="H87" s="21">
        <v>19.92605</v>
      </c>
      <c r="I87" s="23" t="s">
        <v>76</v>
      </c>
      <c r="J87" s="24" t="s">
        <v>383</v>
      </c>
      <c r="K87" s="9" t="s">
        <v>384</v>
      </c>
      <c r="L87" s="9" t="s">
        <v>219</v>
      </c>
      <c r="M87" s="9" t="s">
        <v>385</v>
      </c>
      <c r="N87" s="9" t="s">
        <v>81</v>
      </c>
    </row>
    <row r="88" ht="19.9" customHeight="1" spans="1:14">
      <c r="A88" s="9" t="s">
        <v>27</v>
      </c>
      <c r="B88" s="18" t="s">
        <v>386</v>
      </c>
      <c r="C88" s="19" t="s">
        <v>387</v>
      </c>
      <c r="D88" s="19" t="s">
        <v>388</v>
      </c>
      <c r="E88" s="19" t="s">
        <v>114</v>
      </c>
      <c r="F88" s="20" t="s">
        <v>389</v>
      </c>
      <c r="G88" s="19" t="s">
        <v>75</v>
      </c>
      <c r="H88" s="21">
        <v>19.92605</v>
      </c>
      <c r="I88" s="23" t="s">
        <v>76</v>
      </c>
      <c r="J88" s="24" t="s">
        <v>390</v>
      </c>
      <c r="K88" s="9" t="s">
        <v>391</v>
      </c>
      <c r="L88" s="9" t="s">
        <v>118</v>
      </c>
      <c r="M88" s="9" t="s">
        <v>392</v>
      </c>
      <c r="N88" s="9" t="s">
        <v>81</v>
      </c>
    </row>
    <row r="89" ht="19.9" customHeight="1" spans="1:14">
      <c r="A89" s="9" t="s">
        <v>27</v>
      </c>
      <c r="B89" s="18" t="s">
        <v>393</v>
      </c>
      <c r="C89" s="19" t="s">
        <v>394</v>
      </c>
      <c r="D89" s="19" t="s">
        <v>395</v>
      </c>
      <c r="E89" s="19" t="s">
        <v>99</v>
      </c>
      <c r="F89" s="20" t="s">
        <v>258</v>
      </c>
      <c r="G89" s="19" t="s">
        <v>75</v>
      </c>
      <c r="H89" s="21">
        <v>19.92605</v>
      </c>
      <c r="I89" s="23" t="s">
        <v>76</v>
      </c>
      <c r="J89" s="24" t="s">
        <v>396</v>
      </c>
      <c r="K89" s="9" t="s">
        <v>397</v>
      </c>
      <c r="L89" s="9" t="s">
        <v>103</v>
      </c>
      <c r="M89" s="9" t="s">
        <v>145</v>
      </c>
      <c r="N89" s="9" t="s">
        <v>81</v>
      </c>
    </row>
    <row r="90" ht="19.9" customHeight="1" spans="1:14">
      <c r="A90" s="9"/>
      <c r="B90" s="18"/>
      <c r="C90" s="19"/>
      <c r="D90" s="19"/>
      <c r="E90" s="19"/>
      <c r="F90" s="20"/>
      <c r="G90" s="19"/>
      <c r="H90" s="21">
        <v>5</v>
      </c>
      <c r="I90" s="23" t="s">
        <v>110</v>
      </c>
      <c r="J90" s="24" t="s">
        <v>396</v>
      </c>
      <c r="K90" s="9" t="s">
        <v>397</v>
      </c>
      <c r="L90" s="9" t="s">
        <v>103</v>
      </c>
      <c r="M90" s="9" t="s">
        <v>145</v>
      </c>
      <c r="N90" s="9" t="s">
        <v>81</v>
      </c>
    </row>
    <row r="91" ht="27.1" customHeight="1" spans="1:14">
      <c r="A91" s="9" t="s">
        <v>27</v>
      </c>
      <c r="B91" s="18" t="s">
        <v>398</v>
      </c>
      <c r="C91" s="19" t="s">
        <v>399</v>
      </c>
      <c r="D91" s="19" t="s">
        <v>113</v>
      </c>
      <c r="E91" s="19" t="s">
        <v>114</v>
      </c>
      <c r="F91" s="20" t="s">
        <v>400</v>
      </c>
      <c r="G91" s="19" t="s">
        <v>75</v>
      </c>
      <c r="H91" s="21">
        <v>0.9</v>
      </c>
      <c r="I91" s="23" t="s">
        <v>76</v>
      </c>
      <c r="J91" s="24" t="s">
        <v>401</v>
      </c>
      <c r="K91" s="9" t="s">
        <v>117</v>
      </c>
      <c r="L91" s="9" t="s">
        <v>118</v>
      </c>
      <c r="M91" s="9" t="s">
        <v>402</v>
      </c>
      <c r="N91" s="9" t="s">
        <v>81</v>
      </c>
    </row>
    <row r="92" ht="27.1" customHeight="1" spans="1:14">
      <c r="A92" s="9" t="s">
        <v>27</v>
      </c>
      <c r="B92" s="18" t="s">
        <v>398</v>
      </c>
      <c r="C92" s="19" t="s">
        <v>403</v>
      </c>
      <c r="D92" s="19" t="s">
        <v>113</v>
      </c>
      <c r="E92" s="19" t="s">
        <v>114</v>
      </c>
      <c r="F92" s="20" t="s">
        <v>404</v>
      </c>
      <c r="G92" s="19" t="s">
        <v>75</v>
      </c>
      <c r="H92" s="21">
        <v>0.9</v>
      </c>
      <c r="I92" s="23" t="s">
        <v>76</v>
      </c>
      <c r="J92" s="24" t="s">
        <v>405</v>
      </c>
      <c r="K92" s="9" t="s">
        <v>117</v>
      </c>
      <c r="L92" s="9" t="s">
        <v>118</v>
      </c>
      <c r="M92" s="9" t="s">
        <v>406</v>
      </c>
      <c r="N92" s="9" t="s">
        <v>81</v>
      </c>
    </row>
    <row r="93" ht="27.1" customHeight="1" spans="1:14">
      <c r="A93" s="9" t="s">
        <v>27</v>
      </c>
      <c r="B93" s="18" t="s">
        <v>407</v>
      </c>
      <c r="C93" s="19" t="s">
        <v>408</v>
      </c>
      <c r="D93" s="19" t="s">
        <v>113</v>
      </c>
      <c r="E93" s="19" t="s">
        <v>114</v>
      </c>
      <c r="F93" s="20" t="s">
        <v>409</v>
      </c>
      <c r="G93" s="19" t="s">
        <v>75</v>
      </c>
      <c r="H93" s="21">
        <v>0.9</v>
      </c>
      <c r="I93" s="23" t="s">
        <v>76</v>
      </c>
      <c r="J93" s="24" t="s">
        <v>410</v>
      </c>
      <c r="K93" s="9" t="s">
        <v>117</v>
      </c>
      <c r="L93" s="9" t="s">
        <v>118</v>
      </c>
      <c r="M93" s="9" t="s">
        <v>230</v>
      </c>
      <c r="N93" s="9" t="s">
        <v>81</v>
      </c>
    </row>
    <row r="94" ht="19.9" customHeight="1" spans="1:14">
      <c r="A94" s="9" t="s">
        <v>27</v>
      </c>
      <c r="B94" s="18" t="s">
        <v>411</v>
      </c>
      <c r="C94" s="19" t="s">
        <v>412</v>
      </c>
      <c r="D94" s="19" t="s">
        <v>413</v>
      </c>
      <c r="E94" s="19" t="s">
        <v>374</v>
      </c>
      <c r="F94" s="20" t="s">
        <v>414</v>
      </c>
      <c r="G94" s="19" t="s">
        <v>125</v>
      </c>
      <c r="H94" s="21">
        <v>2.4</v>
      </c>
      <c r="I94" s="23" t="s">
        <v>126</v>
      </c>
      <c r="J94" s="24" t="s">
        <v>415</v>
      </c>
      <c r="K94" s="9" t="s">
        <v>416</v>
      </c>
      <c r="L94" s="9" t="s">
        <v>377</v>
      </c>
      <c r="M94" s="9" t="s">
        <v>378</v>
      </c>
      <c r="N94" s="9" t="s">
        <v>131</v>
      </c>
    </row>
    <row r="95" ht="19.9" customHeight="1" spans="1:14">
      <c r="A95" s="9"/>
      <c r="B95" s="18"/>
      <c r="C95" s="19"/>
      <c r="D95" s="19"/>
      <c r="E95" s="19"/>
      <c r="F95" s="20"/>
      <c r="G95" s="19" t="s">
        <v>75</v>
      </c>
      <c r="H95" s="21">
        <v>19.92605</v>
      </c>
      <c r="I95" s="23" t="s">
        <v>76</v>
      </c>
      <c r="J95" s="24" t="s">
        <v>415</v>
      </c>
      <c r="K95" s="9" t="s">
        <v>416</v>
      </c>
      <c r="L95" s="9" t="s">
        <v>377</v>
      </c>
      <c r="M95" s="9" t="s">
        <v>378</v>
      </c>
      <c r="N95" s="9" t="s">
        <v>81</v>
      </c>
    </row>
    <row r="96" ht="19.9" customHeight="1" spans="1:14">
      <c r="A96" s="9" t="s">
        <v>27</v>
      </c>
      <c r="B96" s="18" t="s">
        <v>417</v>
      </c>
      <c r="C96" s="19" t="s">
        <v>418</v>
      </c>
      <c r="D96" s="19" t="s">
        <v>381</v>
      </c>
      <c r="E96" s="19" t="s">
        <v>215</v>
      </c>
      <c r="F96" s="20" t="s">
        <v>382</v>
      </c>
      <c r="G96" s="19" t="s">
        <v>75</v>
      </c>
      <c r="H96" s="21">
        <v>5</v>
      </c>
      <c r="I96" s="23" t="s">
        <v>110</v>
      </c>
      <c r="J96" s="24" t="s">
        <v>419</v>
      </c>
      <c r="K96" s="9" t="s">
        <v>384</v>
      </c>
      <c r="L96" s="9" t="s">
        <v>219</v>
      </c>
      <c r="M96" s="9" t="s">
        <v>385</v>
      </c>
      <c r="N96" s="9" t="s">
        <v>81</v>
      </c>
    </row>
    <row r="97" ht="19.9" customHeight="1" spans="1:14">
      <c r="A97" s="9" t="s">
        <v>27</v>
      </c>
      <c r="B97" s="18" t="s">
        <v>420</v>
      </c>
      <c r="C97" s="19" t="s">
        <v>421</v>
      </c>
      <c r="D97" s="19" t="s">
        <v>381</v>
      </c>
      <c r="E97" s="19" t="s">
        <v>215</v>
      </c>
      <c r="F97" s="20" t="s">
        <v>422</v>
      </c>
      <c r="G97" s="19" t="s">
        <v>75</v>
      </c>
      <c r="H97" s="21">
        <v>5</v>
      </c>
      <c r="I97" s="23" t="s">
        <v>110</v>
      </c>
      <c r="J97" s="24" t="s">
        <v>423</v>
      </c>
      <c r="K97" s="9" t="s">
        <v>384</v>
      </c>
      <c r="L97" s="9" t="s">
        <v>219</v>
      </c>
      <c r="M97" s="9" t="s">
        <v>424</v>
      </c>
      <c r="N97" s="9" t="s">
        <v>81</v>
      </c>
    </row>
    <row r="98" ht="19.9" customHeight="1" spans="1:14">
      <c r="A98" s="9"/>
      <c r="B98" s="18"/>
      <c r="C98" s="19"/>
      <c r="D98" s="19"/>
      <c r="E98" s="19"/>
      <c r="F98" s="20"/>
      <c r="G98" s="19"/>
      <c r="H98" s="21">
        <v>1.3</v>
      </c>
      <c r="I98" s="23" t="s">
        <v>110</v>
      </c>
      <c r="J98" s="24" t="s">
        <v>423</v>
      </c>
      <c r="K98" s="9" t="s">
        <v>384</v>
      </c>
      <c r="L98" s="9" t="s">
        <v>219</v>
      </c>
      <c r="M98" s="9" t="s">
        <v>424</v>
      </c>
      <c r="N98" s="9" t="s">
        <v>81</v>
      </c>
    </row>
    <row r="99" ht="19.9" customHeight="1" spans="1:14">
      <c r="A99" s="9" t="s">
        <v>27</v>
      </c>
      <c r="B99" s="18" t="s">
        <v>425</v>
      </c>
      <c r="C99" s="19" t="s">
        <v>426</v>
      </c>
      <c r="D99" s="19" t="s">
        <v>156</v>
      </c>
      <c r="E99" s="19" t="s">
        <v>99</v>
      </c>
      <c r="F99" s="20" t="s">
        <v>135</v>
      </c>
      <c r="G99" s="19" t="s">
        <v>75</v>
      </c>
      <c r="H99" s="21">
        <v>5</v>
      </c>
      <c r="I99" s="23" t="s">
        <v>110</v>
      </c>
      <c r="J99" s="24" t="s">
        <v>427</v>
      </c>
      <c r="K99" s="9" t="s">
        <v>158</v>
      </c>
      <c r="L99" s="9" t="s">
        <v>103</v>
      </c>
      <c r="M99" s="9" t="s">
        <v>138</v>
      </c>
      <c r="N99" s="9" t="s">
        <v>81</v>
      </c>
    </row>
    <row r="100" ht="19.9" customHeight="1" spans="1:14">
      <c r="A100" s="9"/>
      <c r="B100" s="18"/>
      <c r="C100" s="19"/>
      <c r="D100" s="19"/>
      <c r="E100" s="19"/>
      <c r="F100" s="20"/>
      <c r="G100" s="19"/>
      <c r="H100" s="21">
        <v>4</v>
      </c>
      <c r="I100" s="23" t="s">
        <v>110</v>
      </c>
      <c r="J100" s="24" t="s">
        <v>427</v>
      </c>
      <c r="K100" s="9" t="s">
        <v>158</v>
      </c>
      <c r="L100" s="9" t="s">
        <v>103</v>
      </c>
      <c r="M100" s="9" t="s">
        <v>138</v>
      </c>
      <c r="N100" s="9" t="s">
        <v>81</v>
      </c>
    </row>
    <row r="101" ht="19.9" customHeight="1" spans="1:14">
      <c r="A101" s="9"/>
      <c r="B101" s="18"/>
      <c r="C101" s="19"/>
      <c r="D101" s="19"/>
      <c r="E101" s="19"/>
      <c r="F101" s="20"/>
      <c r="G101" s="19"/>
      <c r="H101" s="21">
        <v>1.3</v>
      </c>
      <c r="I101" s="23" t="s">
        <v>110</v>
      </c>
      <c r="J101" s="24" t="s">
        <v>427</v>
      </c>
      <c r="K101" s="9" t="s">
        <v>158</v>
      </c>
      <c r="L101" s="9" t="s">
        <v>103</v>
      </c>
      <c r="M101" s="9" t="s">
        <v>138</v>
      </c>
      <c r="N101" s="9" t="s">
        <v>81</v>
      </c>
    </row>
    <row r="102" ht="19.9" customHeight="1" spans="1:14">
      <c r="A102" s="9"/>
      <c r="B102" s="18"/>
      <c r="C102" s="19"/>
      <c r="D102" s="19"/>
      <c r="E102" s="19"/>
      <c r="F102" s="20"/>
      <c r="G102" s="19"/>
      <c r="H102" s="21">
        <v>5.4</v>
      </c>
      <c r="I102" s="23" t="s">
        <v>110</v>
      </c>
      <c r="J102" s="24" t="s">
        <v>427</v>
      </c>
      <c r="K102" s="9" t="s">
        <v>158</v>
      </c>
      <c r="L102" s="9" t="s">
        <v>103</v>
      </c>
      <c r="M102" s="9" t="s">
        <v>138</v>
      </c>
      <c r="N102" s="9" t="s">
        <v>81</v>
      </c>
    </row>
    <row r="103" ht="19.9" customHeight="1" spans="1:14">
      <c r="A103" s="9" t="s">
        <v>27</v>
      </c>
      <c r="B103" s="18" t="s">
        <v>428</v>
      </c>
      <c r="C103" s="19" t="s">
        <v>429</v>
      </c>
      <c r="D103" s="19" t="s">
        <v>161</v>
      </c>
      <c r="E103" s="19" t="s">
        <v>99</v>
      </c>
      <c r="F103" s="20" t="s">
        <v>162</v>
      </c>
      <c r="G103" s="19" t="s">
        <v>75</v>
      </c>
      <c r="H103" s="21">
        <v>1.3</v>
      </c>
      <c r="I103" s="23" t="s">
        <v>110</v>
      </c>
      <c r="J103" s="24" t="s">
        <v>430</v>
      </c>
      <c r="K103" s="9" t="s">
        <v>164</v>
      </c>
      <c r="L103" s="9" t="s">
        <v>103</v>
      </c>
      <c r="M103" s="9" t="s">
        <v>138</v>
      </c>
      <c r="N103" s="9" t="s">
        <v>81</v>
      </c>
    </row>
    <row r="104" ht="19.9" customHeight="1" spans="1:14">
      <c r="A104" s="9"/>
      <c r="B104" s="18"/>
      <c r="C104" s="19"/>
      <c r="D104" s="19"/>
      <c r="E104" s="19"/>
      <c r="F104" s="20"/>
      <c r="G104" s="19"/>
      <c r="H104" s="21">
        <v>5.4</v>
      </c>
      <c r="I104" s="23" t="s">
        <v>110</v>
      </c>
      <c r="J104" s="24" t="s">
        <v>430</v>
      </c>
      <c r="K104" s="9" t="s">
        <v>164</v>
      </c>
      <c r="L104" s="9" t="s">
        <v>103</v>
      </c>
      <c r="M104" s="9" t="s">
        <v>138</v>
      </c>
      <c r="N104" s="9" t="s">
        <v>81</v>
      </c>
    </row>
    <row r="105" ht="27.1" customHeight="1" spans="1:14">
      <c r="A105" s="9" t="s">
        <v>27</v>
      </c>
      <c r="B105" s="18" t="s">
        <v>431</v>
      </c>
      <c r="C105" s="19" t="s">
        <v>432</v>
      </c>
      <c r="D105" s="19" t="s">
        <v>360</v>
      </c>
      <c r="E105" s="19" t="s">
        <v>99</v>
      </c>
      <c r="F105" s="20" t="s">
        <v>141</v>
      </c>
      <c r="G105" s="19" t="s">
        <v>75</v>
      </c>
      <c r="H105" s="21">
        <v>1.3</v>
      </c>
      <c r="I105" s="23" t="s">
        <v>110</v>
      </c>
      <c r="J105" s="24" t="s">
        <v>433</v>
      </c>
      <c r="K105" s="9" t="s">
        <v>362</v>
      </c>
      <c r="L105" s="9" t="s">
        <v>103</v>
      </c>
      <c r="M105" s="9" t="s">
        <v>145</v>
      </c>
      <c r="N105" s="9" t="s">
        <v>81</v>
      </c>
    </row>
    <row r="106" ht="19.9" customHeight="1" spans="1:14">
      <c r="A106" s="9" t="s">
        <v>27</v>
      </c>
      <c r="B106" s="18" t="s">
        <v>434</v>
      </c>
      <c r="C106" s="19" t="s">
        <v>435</v>
      </c>
      <c r="D106" s="19" t="s">
        <v>173</v>
      </c>
      <c r="E106" s="19" t="s">
        <v>174</v>
      </c>
      <c r="F106" s="20" t="s">
        <v>175</v>
      </c>
      <c r="G106" s="19" t="s">
        <v>75</v>
      </c>
      <c r="H106" s="21">
        <v>5.4</v>
      </c>
      <c r="I106" s="23" t="s">
        <v>110</v>
      </c>
      <c r="J106" s="24" t="s">
        <v>436</v>
      </c>
      <c r="K106" s="9" t="s">
        <v>177</v>
      </c>
      <c r="L106" s="9" t="s">
        <v>178</v>
      </c>
      <c r="M106" s="9" t="s">
        <v>179</v>
      </c>
      <c r="N106" s="9" t="s">
        <v>81</v>
      </c>
    </row>
    <row r="107" ht="19.9" customHeight="1" spans="1:14">
      <c r="A107" s="9" t="s">
        <v>27</v>
      </c>
      <c r="B107" s="18" t="s">
        <v>437</v>
      </c>
      <c r="C107" s="19" t="s">
        <v>438</v>
      </c>
      <c r="D107" s="19" t="s">
        <v>156</v>
      </c>
      <c r="E107" s="19" t="s">
        <v>99</v>
      </c>
      <c r="F107" s="20" t="s">
        <v>141</v>
      </c>
      <c r="G107" s="19" t="s">
        <v>75</v>
      </c>
      <c r="H107" s="21">
        <v>5.4</v>
      </c>
      <c r="I107" s="23" t="s">
        <v>110</v>
      </c>
      <c r="J107" s="24" t="s">
        <v>439</v>
      </c>
      <c r="K107" s="9" t="s">
        <v>158</v>
      </c>
      <c r="L107" s="9" t="s">
        <v>103</v>
      </c>
      <c r="M107" s="9" t="s">
        <v>145</v>
      </c>
      <c r="N107" s="9" t="s">
        <v>81</v>
      </c>
    </row>
    <row r="108" ht="19.9" customHeight="1" spans="1:14">
      <c r="A108" s="9"/>
      <c r="B108" s="18"/>
      <c r="C108" s="19"/>
      <c r="D108" s="19"/>
      <c r="E108" s="19"/>
      <c r="F108" s="20"/>
      <c r="G108" s="19"/>
      <c r="H108" s="21">
        <v>4</v>
      </c>
      <c r="I108" s="23" t="s">
        <v>110</v>
      </c>
      <c r="J108" s="24" t="s">
        <v>439</v>
      </c>
      <c r="K108" s="9" t="s">
        <v>158</v>
      </c>
      <c r="L108" s="9" t="s">
        <v>103</v>
      </c>
      <c r="M108" s="9" t="s">
        <v>145</v>
      </c>
      <c r="N108" s="9" t="s">
        <v>81</v>
      </c>
    </row>
    <row r="109" ht="19.9" customHeight="1" spans="1:14">
      <c r="A109" s="9" t="s">
        <v>27</v>
      </c>
      <c r="B109" s="18" t="s">
        <v>440</v>
      </c>
      <c r="C109" s="19" t="s">
        <v>441</v>
      </c>
      <c r="D109" s="19" t="s">
        <v>257</v>
      </c>
      <c r="E109" s="19" t="s">
        <v>442</v>
      </c>
      <c r="F109" s="20" t="s">
        <v>443</v>
      </c>
      <c r="G109" s="19" t="s">
        <v>75</v>
      </c>
      <c r="H109" s="21">
        <v>5.4</v>
      </c>
      <c r="I109" s="23" t="s">
        <v>110</v>
      </c>
      <c r="J109" s="24" t="s">
        <v>444</v>
      </c>
      <c r="K109" s="9" t="s">
        <v>260</v>
      </c>
      <c r="L109" s="9" t="s">
        <v>445</v>
      </c>
      <c r="M109" s="9" t="s">
        <v>446</v>
      </c>
      <c r="N109" s="9" t="s">
        <v>81</v>
      </c>
    </row>
    <row r="110" ht="19.9" customHeight="1" spans="1:14">
      <c r="A110" s="9"/>
      <c r="B110" s="18"/>
      <c r="C110" s="19"/>
      <c r="D110" s="19"/>
      <c r="E110" s="19"/>
      <c r="F110" s="20"/>
      <c r="G110" s="19"/>
      <c r="H110" s="21">
        <v>1.3</v>
      </c>
      <c r="I110" s="23" t="s">
        <v>110</v>
      </c>
      <c r="J110" s="24" t="s">
        <v>444</v>
      </c>
      <c r="K110" s="9" t="s">
        <v>260</v>
      </c>
      <c r="L110" s="9" t="s">
        <v>445</v>
      </c>
      <c r="M110" s="9" t="s">
        <v>446</v>
      </c>
      <c r="N110" s="9" t="s">
        <v>81</v>
      </c>
    </row>
    <row r="111" ht="19.9" customHeight="1" spans="1:14">
      <c r="A111" s="9" t="s">
        <v>27</v>
      </c>
      <c r="B111" s="18" t="s">
        <v>447</v>
      </c>
      <c r="C111" s="19" t="s">
        <v>448</v>
      </c>
      <c r="D111" s="19" t="s">
        <v>271</v>
      </c>
      <c r="E111" s="19" t="s">
        <v>73</v>
      </c>
      <c r="F111" s="20" t="s">
        <v>449</v>
      </c>
      <c r="G111" s="19" t="s">
        <v>75</v>
      </c>
      <c r="H111" s="21">
        <v>19.92605</v>
      </c>
      <c r="I111" s="23" t="s">
        <v>76</v>
      </c>
      <c r="J111" s="24" t="s">
        <v>450</v>
      </c>
      <c r="K111" s="9" t="s">
        <v>275</v>
      </c>
      <c r="L111" s="9" t="s">
        <v>79</v>
      </c>
      <c r="M111" s="9" t="s">
        <v>451</v>
      </c>
      <c r="N111" s="9" t="s">
        <v>81</v>
      </c>
    </row>
    <row r="112" ht="19.9" customHeight="1" spans="1:14">
      <c r="A112" s="9" t="s">
        <v>27</v>
      </c>
      <c r="B112" s="18" t="s">
        <v>452</v>
      </c>
      <c r="C112" s="19" t="s">
        <v>453</v>
      </c>
      <c r="D112" s="19" t="s">
        <v>454</v>
      </c>
      <c r="E112" s="19" t="s">
        <v>307</v>
      </c>
      <c r="F112" s="20" t="s">
        <v>455</v>
      </c>
      <c r="G112" s="19" t="s">
        <v>75</v>
      </c>
      <c r="H112" s="21">
        <v>19.92605</v>
      </c>
      <c r="I112" s="23" t="s">
        <v>76</v>
      </c>
      <c r="J112" s="24" t="s">
        <v>456</v>
      </c>
      <c r="K112" s="9" t="s">
        <v>457</v>
      </c>
      <c r="L112" s="9" t="s">
        <v>310</v>
      </c>
      <c r="M112" s="9" t="s">
        <v>458</v>
      </c>
      <c r="N112" s="9" t="s">
        <v>81</v>
      </c>
    </row>
    <row r="113" ht="27.1" customHeight="1" spans="1:14">
      <c r="A113" s="9" t="s">
        <v>27</v>
      </c>
      <c r="B113" s="18" t="s">
        <v>459</v>
      </c>
      <c r="C113" s="19" t="s">
        <v>460</v>
      </c>
      <c r="D113" s="19" t="s">
        <v>113</v>
      </c>
      <c r="E113" s="19" t="s">
        <v>114</v>
      </c>
      <c r="F113" s="20" t="s">
        <v>115</v>
      </c>
      <c r="G113" s="19" t="s">
        <v>75</v>
      </c>
      <c r="H113" s="21">
        <v>0.9</v>
      </c>
      <c r="I113" s="23" t="s">
        <v>76</v>
      </c>
      <c r="J113" s="24" t="s">
        <v>461</v>
      </c>
      <c r="K113" s="9" t="s">
        <v>117</v>
      </c>
      <c r="L113" s="9" t="s">
        <v>118</v>
      </c>
      <c r="M113" s="9" t="s">
        <v>119</v>
      </c>
      <c r="N113" s="9" t="s">
        <v>81</v>
      </c>
    </row>
    <row r="114" ht="27.1" customHeight="1" spans="1:14">
      <c r="A114" s="9" t="s">
        <v>27</v>
      </c>
      <c r="B114" s="18" t="s">
        <v>462</v>
      </c>
      <c r="C114" s="19" t="s">
        <v>463</v>
      </c>
      <c r="D114" s="19" t="s">
        <v>122</v>
      </c>
      <c r="E114" s="19" t="s">
        <v>123</v>
      </c>
      <c r="F114" s="20" t="s">
        <v>124</v>
      </c>
      <c r="G114" s="19" t="s">
        <v>125</v>
      </c>
      <c r="H114" s="21">
        <v>2.4</v>
      </c>
      <c r="I114" s="23" t="s">
        <v>126</v>
      </c>
      <c r="J114" s="24" t="s">
        <v>464</v>
      </c>
      <c r="K114" s="9" t="s">
        <v>128</v>
      </c>
      <c r="L114" s="9" t="s">
        <v>129</v>
      </c>
      <c r="M114" s="9" t="s">
        <v>130</v>
      </c>
      <c r="N114" s="9" t="s">
        <v>131</v>
      </c>
    </row>
    <row r="115" ht="27.1" customHeight="1" spans="1:14">
      <c r="A115" s="9" t="s">
        <v>27</v>
      </c>
      <c r="B115" s="18" t="s">
        <v>465</v>
      </c>
      <c r="C115" s="19" t="s">
        <v>466</v>
      </c>
      <c r="D115" s="19" t="s">
        <v>156</v>
      </c>
      <c r="E115" s="19" t="s">
        <v>73</v>
      </c>
      <c r="F115" s="20" t="s">
        <v>242</v>
      </c>
      <c r="G115" s="19" t="s">
        <v>142</v>
      </c>
      <c r="H115" s="21">
        <v>4</v>
      </c>
      <c r="I115" s="23" t="s">
        <v>143</v>
      </c>
      <c r="J115" s="24" t="s">
        <v>467</v>
      </c>
      <c r="K115" s="9" t="s">
        <v>158</v>
      </c>
      <c r="L115" s="9" t="s">
        <v>79</v>
      </c>
      <c r="M115" s="9" t="s">
        <v>244</v>
      </c>
      <c r="N115" s="9" t="s">
        <v>146</v>
      </c>
    </row>
    <row r="116" ht="27.1" customHeight="1" spans="1:14">
      <c r="A116" s="9" t="s">
        <v>27</v>
      </c>
      <c r="B116" s="18" t="s">
        <v>468</v>
      </c>
      <c r="C116" s="19" t="s">
        <v>469</v>
      </c>
      <c r="D116" s="19" t="s">
        <v>134</v>
      </c>
      <c r="E116" s="19" t="s">
        <v>99</v>
      </c>
      <c r="F116" s="20" t="s">
        <v>135</v>
      </c>
      <c r="G116" s="19" t="s">
        <v>142</v>
      </c>
      <c r="H116" s="21">
        <v>4</v>
      </c>
      <c r="I116" s="23" t="s">
        <v>143</v>
      </c>
      <c r="J116" s="24" t="s">
        <v>470</v>
      </c>
      <c r="K116" s="9" t="s">
        <v>137</v>
      </c>
      <c r="L116" s="9" t="s">
        <v>103</v>
      </c>
      <c r="M116" s="9" t="s">
        <v>138</v>
      </c>
      <c r="N116" s="9" t="s">
        <v>146</v>
      </c>
    </row>
    <row r="117" ht="19.9" customHeight="1" spans="1:14">
      <c r="A117" s="9" t="s">
        <v>27</v>
      </c>
      <c r="B117" s="18" t="s">
        <v>471</v>
      </c>
      <c r="C117" s="19" t="s">
        <v>472</v>
      </c>
      <c r="D117" s="19" t="s">
        <v>156</v>
      </c>
      <c r="E117" s="19" t="s">
        <v>99</v>
      </c>
      <c r="F117" s="20" t="s">
        <v>473</v>
      </c>
      <c r="G117" s="19" t="s">
        <v>75</v>
      </c>
      <c r="H117" s="21">
        <v>1.3</v>
      </c>
      <c r="I117" s="23" t="s">
        <v>110</v>
      </c>
      <c r="J117" s="24" t="s">
        <v>474</v>
      </c>
      <c r="K117" s="9" t="s">
        <v>158</v>
      </c>
      <c r="L117" s="9" t="s">
        <v>103</v>
      </c>
      <c r="M117" s="9" t="s">
        <v>138</v>
      </c>
      <c r="N117" s="9" t="s">
        <v>81</v>
      </c>
    </row>
    <row r="118" ht="19.9" customHeight="1" spans="1:14">
      <c r="A118" s="9" t="s">
        <v>27</v>
      </c>
      <c r="B118" s="18" t="s">
        <v>475</v>
      </c>
      <c r="C118" s="19" t="s">
        <v>476</v>
      </c>
      <c r="D118" s="19" t="s">
        <v>113</v>
      </c>
      <c r="E118" s="19" t="s">
        <v>114</v>
      </c>
      <c r="F118" s="20" t="s">
        <v>409</v>
      </c>
      <c r="G118" s="19" t="s">
        <v>75</v>
      </c>
      <c r="H118" s="21">
        <v>4</v>
      </c>
      <c r="I118" s="23" t="s">
        <v>110</v>
      </c>
      <c r="J118" s="24" t="s">
        <v>477</v>
      </c>
      <c r="K118" s="9" t="s">
        <v>117</v>
      </c>
      <c r="L118" s="9" t="s">
        <v>118</v>
      </c>
      <c r="M118" s="9" t="s">
        <v>230</v>
      </c>
      <c r="N118" s="9" t="s">
        <v>81</v>
      </c>
    </row>
    <row r="119" ht="19.9" customHeight="1" spans="1:14">
      <c r="A119" s="9" t="s">
        <v>27</v>
      </c>
      <c r="B119" s="18" t="s">
        <v>478</v>
      </c>
      <c r="C119" s="19" t="s">
        <v>479</v>
      </c>
      <c r="D119" s="19" t="s">
        <v>107</v>
      </c>
      <c r="E119" s="19" t="s">
        <v>174</v>
      </c>
      <c r="F119" s="20" t="s">
        <v>480</v>
      </c>
      <c r="G119" s="19" t="s">
        <v>75</v>
      </c>
      <c r="H119" s="21">
        <v>4</v>
      </c>
      <c r="I119" s="23" t="s">
        <v>110</v>
      </c>
      <c r="J119" s="24" t="s">
        <v>481</v>
      </c>
      <c r="K119" s="9" t="s">
        <v>109</v>
      </c>
      <c r="L119" s="9" t="s">
        <v>178</v>
      </c>
      <c r="M119" s="9" t="s">
        <v>268</v>
      </c>
      <c r="N119" s="9" t="s">
        <v>81</v>
      </c>
    </row>
    <row r="120" ht="19.9" customHeight="1" spans="1:14">
      <c r="A120" s="9" t="s">
        <v>27</v>
      </c>
      <c r="B120" s="18" t="s">
        <v>482</v>
      </c>
      <c r="C120" s="19" t="s">
        <v>483</v>
      </c>
      <c r="D120" s="19" t="s">
        <v>98</v>
      </c>
      <c r="E120" s="19" t="s">
        <v>99</v>
      </c>
      <c r="F120" s="20" t="s">
        <v>100</v>
      </c>
      <c r="G120" s="19" t="s">
        <v>75</v>
      </c>
      <c r="H120" s="21">
        <v>4</v>
      </c>
      <c r="I120" s="23" t="s">
        <v>110</v>
      </c>
      <c r="J120" s="24" t="s">
        <v>484</v>
      </c>
      <c r="K120" s="9" t="s">
        <v>102</v>
      </c>
      <c r="L120" s="9" t="s">
        <v>103</v>
      </c>
      <c r="M120" s="9" t="s">
        <v>104</v>
      </c>
      <c r="N120" s="9" t="s">
        <v>81</v>
      </c>
    </row>
    <row r="121" ht="27.1" customHeight="1" spans="1:14">
      <c r="A121" s="9" t="s">
        <v>27</v>
      </c>
      <c r="B121" s="18" t="s">
        <v>485</v>
      </c>
      <c r="C121" s="19" t="s">
        <v>486</v>
      </c>
      <c r="D121" s="19" t="s">
        <v>352</v>
      </c>
      <c r="E121" s="19" t="s">
        <v>99</v>
      </c>
      <c r="F121" s="20" t="s">
        <v>487</v>
      </c>
      <c r="G121" s="19" t="s">
        <v>75</v>
      </c>
      <c r="H121" s="21">
        <v>4</v>
      </c>
      <c r="I121" s="23" t="s">
        <v>110</v>
      </c>
      <c r="J121" s="24" t="s">
        <v>488</v>
      </c>
      <c r="K121" s="9" t="s">
        <v>354</v>
      </c>
      <c r="L121" s="9" t="s">
        <v>103</v>
      </c>
      <c r="M121" s="9" t="s">
        <v>489</v>
      </c>
      <c r="N121" s="9" t="s">
        <v>81</v>
      </c>
    </row>
    <row r="122" ht="27.1" customHeight="1" spans="1:14">
      <c r="A122" s="9" t="s">
        <v>27</v>
      </c>
      <c r="B122" s="18" t="s">
        <v>490</v>
      </c>
      <c r="C122" s="19" t="s">
        <v>491</v>
      </c>
      <c r="D122" s="19" t="s">
        <v>149</v>
      </c>
      <c r="E122" s="19" t="s">
        <v>73</v>
      </c>
      <c r="F122" s="20" t="s">
        <v>492</v>
      </c>
      <c r="G122" s="19" t="s">
        <v>75</v>
      </c>
      <c r="H122" s="21">
        <v>19.92605</v>
      </c>
      <c r="I122" s="23" t="s">
        <v>76</v>
      </c>
      <c r="J122" s="24" t="s">
        <v>493</v>
      </c>
      <c r="K122" s="9" t="s">
        <v>152</v>
      </c>
      <c r="L122" s="9" t="s">
        <v>79</v>
      </c>
      <c r="M122" s="9" t="s">
        <v>494</v>
      </c>
      <c r="N122" s="9" t="s">
        <v>81</v>
      </c>
    </row>
    <row r="123" ht="19.9" customHeight="1" spans="1:14">
      <c r="A123" s="9" t="s">
        <v>27</v>
      </c>
      <c r="B123" s="18" t="s">
        <v>495</v>
      </c>
      <c r="C123" s="19" t="s">
        <v>496</v>
      </c>
      <c r="D123" s="19" t="s">
        <v>149</v>
      </c>
      <c r="E123" s="19" t="s">
        <v>73</v>
      </c>
      <c r="F123" s="20" t="s">
        <v>497</v>
      </c>
      <c r="G123" s="19" t="s">
        <v>75</v>
      </c>
      <c r="H123" s="21">
        <v>19.92605</v>
      </c>
      <c r="I123" s="23" t="s">
        <v>76</v>
      </c>
      <c r="J123" s="24" t="s">
        <v>498</v>
      </c>
      <c r="K123" s="9" t="s">
        <v>152</v>
      </c>
      <c r="L123" s="9" t="s">
        <v>79</v>
      </c>
      <c r="M123" s="9" t="s">
        <v>499</v>
      </c>
      <c r="N123" s="9" t="s">
        <v>81</v>
      </c>
    </row>
    <row r="124" ht="19.9" customHeight="1" spans="1:14">
      <c r="A124" s="9" t="s">
        <v>27</v>
      </c>
      <c r="B124" s="18" t="s">
        <v>500</v>
      </c>
      <c r="C124" s="19" t="s">
        <v>501</v>
      </c>
      <c r="D124" s="19" t="s">
        <v>84</v>
      </c>
      <c r="E124" s="19" t="s">
        <v>73</v>
      </c>
      <c r="F124" s="20" t="s">
        <v>74</v>
      </c>
      <c r="G124" s="19" t="s">
        <v>75</v>
      </c>
      <c r="H124" s="21">
        <v>19.92605</v>
      </c>
      <c r="I124" s="23" t="s">
        <v>76</v>
      </c>
      <c r="J124" s="24" t="s">
        <v>502</v>
      </c>
      <c r="K124" s="9" t="s">
        <v>86</v>
      </c>
      <c r="L124" s="9" t="s">
        <v>79</v>
      </c>
      <c r="M124" s="9" t="s">
        <v>80</v>
      </c>
      <c r="N124" s="9" t="s">
        <v>81</v>
      </c>
    </row>
    <row r="125" ht="19.9" customHeight="1" spans="1:14">
      <c r="A125" s="9" t="s">
        <v>27</v>
      </c>
      <c r="B125" s="18" t="s">
        <v>503</v>
      </c>
      <c r="C125" s="19" t="s">
        <v>504</v>
      </c>
      <c r="D125" s="19" t="s">
        <v>107</v>
      </c>
      <c r="E125" s="19" t="s">
        <v>99</v>
      </c>
      <c r="F125" s="20" t="s">
        <v>100</v>
      </c>
      <c r="G125" s="19" t="s">
        <v>75</v>
      </c>
      <c r="H125" s="21">
        <v>19.92605</v>
      </c>
      <c r="I125" s="23" t="s">
        <v>76</v>
      </c>
      <c r="J125" s="24" t="s">
        <v>505</v>
      </c>
      <c r="K125" s="9" t="s">
        <v>109</v>
      </c>
      <c r="L125" s="9" t="s">
        <v>103</v>
      </c>
      <c r="M125" s="9" t="s">
        <v>104</v>
      </c>
      <c r="N125" s="9" t="s">
        <v>81</v>
      </c>
    </row>
    <row r="126" ht="19.9" customHeight="1" spans="1:14">
      <c r="A126" s="9"/>
      <c r="B126" s="18"/>
      <c r="C126" s="19"/>
      <c r="D126" s="19"/>
      <c r="E126" s="19"/>
      <c r="F126" s="20"/>
      <c r="G126" s="19"/>
      <c r="H126" s="21">
        <v>1.3</v>
      </c>
      <c r="I126" s="23" t="s">
        <v>110</v>
      </c>
      <c r="J126" s="24" t="s">
        <v>505</v>
      </c>
      <c r="K126" s="9" t="s">
        <v>109</v>
      </c>
      <c r="L126" s="9" t="s">
        <v>103</v>
      </c>
      <c r="M126" s="9" t="s">
        <v>104</v>
      </c>
      <c r="N126" s="9" t="s">
        <v>81</v>
      </c>
    </row>
    <row r="127" ht="27.1" customHeight="1" spans="1:14">
      <c r="A127" s="9" t="s">
        <v>27</v>
      </c>
      <c r="B127" s="18" t="s">
        <v>506</v>
      </c>
      <c r="C127" s="19" t="s">
        <v>507</v>
      </c>
      <c r="D127" s="19" t="s">
        <v>508</v>
      </c>
      <c r="E127" s="19" t="s">
        <v>73</v>
      </c>
      <c r="F127" s="20" t="s">
        <v>242</v>
      </c>
      <c r="G127" s="19" t="s">
        <v>142</v>
      </c>
      <c r="H127" s="21">
        <v>4</v>
      </c>
      <c r="I127" s="23" t="s">
        <v>143</v>
      </c>
      <c r="J127" s="24" t="s">
        <v>509</v>
      </c>
      <c r="K127" s="9" t="s">
        <v>510</v>
      </c>
      <c r="L127" s="9" t="s">
        <v>79</v>
      </c>
      <c r="M127" s="9" t="s">
        <v>244</v>
      </c>
      <c r="N127" s="9" t="s">
        <v>146</v>
      </c>
    </row>
    <row r="128" ht="27.1" customHeight="1" spans="1:14">
      <c r="A128" s="9" t="s">
        <v>27</v>
      </c>
      <c r="B128" s="18" t="s">
        <v>511</v>
      </c>
      <c r="C128" s="19" t="s">
        <v>512</v>
      </c>
      <c r="D128" s="19" t="s">
        <v>149</v>
      </c>
      <c r="E128" s="19" t="s">
        <v>99</v>
      </c>
      <c r="F128" s="20" t="s">
        <v>473</v>
      </c>
      <c r="G128" s="19" t="s">
        <v>142</v>
      </c>
      <c r="H128" s="21">
        <v>4</v>
      </c>
      <c r="I128" s="23" t="s">
        <v>143</v>
      </c>
      <c r="J128" s="24" t="s">
        <v>513</v>
      </c>
      <c r="K128" s="9" t="s">
        <v>152</v>
      </c>
      <c r="L128" s="9" t="s">
        <v>103</v>
      </c>
      <c r="M128" s="9" t="s">
        <v>138</v>
      </c>
      <c r="N128" s="9" t="s">
        <v>146</v>
      </c>
    </row>
    <row r="129" ht="27.1" customHeight="1" spans="1:14">
      <c r="A129" s="9" t="s">
        <v>27</v>
      </c>
      <c r="B129" s="18" t="s">
        <v>514</v>
      </c>
      <c r="C129" s="19" t="s">
        <v>515</v>
      </c>
      <c r="D129" s="19" t="s">
        <v>156</v>
      </c>
      <c r="E129" s="19" t="s">
        <v>73</v>
      </c>
      <c r="F129" s="20" t="s">
        <v>516</v>
      </c>
      <c r="G129" s="19" t="s">
        <v>75</v>
      </c>
      <c r="H129" s="21">
        <v>1.3</v>
      </c>
      <c r="I129" s="23" t="s">
        <v>110</v>
      </c>
      <c r="J129" s="24" t="s">
        <v>517</v>
      </c>
      <c r="K129" s="9" t="s">
        <v>158</v>
      </c>
      <c r="L129" s="9" t="s">
        <v>79</v>
      </c>
      <c r="M129" s="9" t="s">
        <v>518</v>
      </c>
      <c r="N129" s="9" t="s">
        <v>81</v>
      </c>
    </row>
    <row r="130" ht="19.9" customHeight="1" spans="1:14">
      <c r="A130" s="9" t="s">
        <v>27</v>
      </c>
      <c r="B130" s="18" t="s">
        <v>519</v>
      </c>
      <c r="C130" s="19" t="s">
        <v>520</v>
      </c>
      <c r="D130" s="19" t="s">
        <v>156</v>
      </c>
      <c r="E130" s="19" t="s">
        <v>197</v>
      </c>
      <c r="F130" s="20" t="s">
        <v>198</v>
      </c>
      <c r="G130" s="19" t="s">
        <v>75</v>
      </c>
      <c r="H130" s="21">
        <v>4</v>
      </c>
      <c r="I130" s="23" t="s">
        <v>110</v>
      </c>
      <c r="J130" s="24" t="s">
        <v>521</v>
      </c>
      <c r="K130" s="9" t="s">
        <v>158</v>
      </c>
      <c r="L130" s="9" t="s">
        <v>200</v>
      </c>
      <c r="M130" s="9" t="s">
        <v>201</v>
      </c>
      <c r="N130" s="9" t="s">
        <v>81</v>
      </c>
    </row>
    <row r="131" ht="19.9" customHeight="1" spans="1:14">
      <c r="A131" s="9" t="s">
        <v>27</v>
      </c>
      <c r="B131" s="18" t="s">
        <v>522</v>
      </c>
      <c r="C131" s="19" t="s">
        <v>523</v>
      </c>
      <c r="D131" s="19" t="s">
        <v>257</v>
      </c>
      <c r="E131" s="19" t="s">
        <v>442</v>
      </c>
      <c r="F131" s="20" t="s">
        <v>524</v>
      </c>
      <c r="G131" s="19" t="s">
        <v>75</v>
      </c>
      <c r="H131" s="21">
        <v>4</v>
      </c>
      <c r="I131" s="23" t="s">
        <v>110</v>
      </c>
      <c r="J131" s="24" t="s">
        <v>525</v>
      </c>
      <c r="K131" s="9" t="s">
        <v>260</v>
      </c>
      <c r="L131" s="9" t="s">
        <v>445</v>
      </c>
      <c r="M131" s="9" t="s">
        <v>526</v>
      </c>
      <c r="N131" s="9" t="s">
        <v>81</v>
      </c>
    </row>
    <row r="132" ht="19.9" customHeight="1" spans="1:14">
      <c r="A132" s="9" t="s">
        <v>27</v>
      </c>
      <c r="B132" s="18" t="s">
        <v>527</v>
      </c>
      <c r="C132" s="19" t="s">
        <v>528</v>
      </c>
      <c r="D132" s="19" t="s">
        <v>149</v>
      </c>
      <c r="E132" s="19" t="s">
        <v>73</v>
      </c>
      <c r="F132" s="20" t="s">
        <v>529</v>
      </c>
      <c r="G132" s="19" t="s">
        <v>75</v>
      </c>
      <c r="H132" s="21">
        <v>19.92605</v>
      </c>
      <c r="I132" s="23" t="s">
        <v>76</v>
      </c>
      <c r="J132" s="24" t="s">
        <v>530</v>
      </c>
      <c r="K132" s="9" t="s">
        <v>152</v>
      </c>
      <c r="L132" s="9" t="s">
        <v>79</v>
      </c>
      <c r="M132" s="9" t="s">
        <v>531</v>
      </c>
      <c r="N132" s="9" t="s">
        <v>81</v>
      </c>
    </row>
    <row r="133" ht="27.1" customHeight="1" spans="1:14">
      <c r="A133" s="9" t="s">
        <v>27</v>
      </c>
      <c r="B133" s="18" t="s">
        <v>532</v>
      </c>
      <c r="C133" s="19" t="s">
        <v>533</v>
      </c>
      <c r="D133" s="19" t="s">
        <v>381</v>
      </c>
      <c r="E133" s="19" t="s">
        <v>215</v>
      </c>
      <c r="F133" s="20" t="s">
        <v>534</v>
      </c>
      <c r="G133" s="19" t="s">
        <v>75</v>
      </c>
      <c r="H133" s="21">
        <v>19.92605</v>
      </c>
      <c r="I133" s="23" t="s">
        <v>76</v>
      </c>
      <c r="J133" s="24" t="s">
        <v>535</v>
      </c>
      <c r="K133" s="9" t="s">
        <v>384</v>
      </c>
      <c r="L133" s="9" t="s">
        <v>219</v>
      </c>
      <c r="M133" s="9" t="s">
        <v>536</v>
      </c>
      <c r="N133" s="9" t="s">
        <v>81</v>
      </c>
    </row>
    <row r="134" ht="19.9" customHeight="1" spans="1:14">
      <c r="A134" s="9" t="s">
        <v>27</v>
      </c>
      <c r="B134" s="18" t="s">
        <v>537</v>
      </c>
      <c r="C134" s="19" t="s">
        <v>538</v>
      </c>
      <c r="D134" s="19" t="s">
        <v>539</v>
      </c>
      <c r="E134" s="19" t="s">
        <v>272</v>
      </c>
      <c r="F134" s="20" t="s">
        <v>281</v>
      </c>
      <c r="G134" s="19" t="s">
        <v>75</v>
      </c>
      <c r="H134" s="21">
        <v>19.92605</v>
      </c>
      <c r="I134" s="23" t="s">
        <v>76</v>
      </c>
      <c r="J134" s="24" t="s">
        <v>540</v>
      </c>
      <c r="K134" s="9" t="s">
        <v>541</v>
      </c>
      <c r="L134" s="9" t="s">
        <v>276</v>
      </c>
      <c r="M134" s="9" t="s">
        <v>542</v>
      </c>
      <c r="N134" s="9" t="s">
        <v>81</v>
      </c>
    </row>
    <row r="135" ht="19.9" customHeight="1" spans="1:14">
      <c r="A135" s="9"/>
      <c r="B135" s="18"/>
      <c r="C135" s="19"/>
      <c r="D135" s="19"/>
      <c r="E135" s="19"/>
      <c r="F135" s="20"/>
      <c r="G135" s="19"/>
      <c r="H135" s="21">
        <v>5.4</v>
      </c>
      <c r="I135" s="23" t="s">
        <v>110</v>
      </c>
      <c r="J135" s="24" t="s">
        <v>540</v>
      </c>
      <c r="K135" s="9" t="s">
        <v>541</v>
      </c>
      <c r="L135" s="9" t="s">
        <v>276</v>
      </c>
      <c r="M135" s="9" t="s">
        <v>542</v>
      </c>
      <c r="N135" s="9" t="s">
        <v>81</v>
      </c>
    </row>
    <row r="136" ht="27.1" customHeight="1" spans="1:14">
      <c r="A136" s="9" t="s">
        <v>27</v>
      </c>
      <c r="B136" s="18" t="s">
        <v>543</v>
      </c>
      <c r="C136" s="19" t="s">
        <v>544</v>
      </c>
      <c r="D136" s="19" t="s">
        <v>113</v>
      </c>
      <c r="E136" s="19" t="s">
        <v>114</v>
      </c>
      <c r="F136" s="20" t="s">
        <v>223</v>
      </c>
      <c r="G136" s="19" t="s">
        <v>75</v>
      </c>
      <c r="H136" s="21">
        <v>0.9</v>
      </c>
      <c r="I136" s="23" t="s">
        <v>76</v>
      </c>
      <c r="J136" s="24" t="s">
        <v>545</v>
      </c>
      <c r="K136" s="9" t="s">
        <v>117</v>
      </c>
      <c r="L136" s="9" t="s">
        <v>118</v>
      </c>
      <c r="M136" s="9" t="s">
        <v>225</v>
      </c>
      <c r="N136" s="9" t="s">
        <v>81</v>
      </c>
    </row>
    <row r="137" ht="27.1" customHeight="1" spans="1:14">
      <c r="A137" s="9" t="s">
        <v>27</v>
      </c>
      <c r="B137" s="18" t="s">
        <v>546</v>
      </c>
      <c r="C137" s="19" t="s">
        <v>547</v>
      </c>
      <c r="D137" s="19" t="s">
        <v>122</v>
      </c>
      <c r="E137" s="19" t="s">
        <v>123</v>
      </c>
      <c r="F137" s="20" t="s">
        <v>548</v>
      </c>
      <c r="G137" s="19" t="s">
        <v>125</v>
      </c>
      <c r="H137" s="21">
        <v>2.4</v>
      </c>
      <c r="I137" s="23" t="s">
        <v>126</v>
      </c>
      <c r="J137" s="24" t="s">
        <v>549</v>
      </c>
      <c r="K137" s="9" t="s">
        <v>128</v>
      </c>
      <c r="L137" s="9" t="s">
        <v>129</v>
      </c>
      <c r="M137" s="9" t="s">
        <v>550</v>
      </c>
      <c r="N137" s="9" t="s">
        <v>131</v>
      </c>
    </row>
    <row r="138" ht="27.1" customHeight="1" spans="1:14">
      <c r="A138" s="9" t="s">
        <v>27</v>
      </c>
      <c r="B138" s="18" t="s">
        <v>551</v>
      </c>
      <c r="C138" s="19" t="s">
        <v>552</v>
      </c>
      <c r="D138" s="19" t="s">
        <v>98</v>
      </c>
      <c r="E138" s="19" t="s">
        <v>99</v>
      </c>
      <c r="F138" s="20" t="s">
        <v>238</v>
      </c>
      <c r="G138" s="19" t="s">
        <v>75</v>
      </c>
      <c r="H138" s="21">
        <v>5</v>
      </c>
      <c r="I138" s="23" t="s">
        <v>110</v>
      </c>
      <c r="J138" s="24" t="s">
        <v>553</v>
      </c>
      <c r="K138" s="9" t="s">
        <v>102</v>
      </c>
      <c r="L138" s="9" t="s">
        <v>103</v>
      </c>
      <c r="M138" s="9" t="s">
        <v>138</v>
      </c>
      <c r="N138" s="9" t="s">
        <v>81</v>
      </c>
    </row>
    <row r="139" ht="27.1" customHeight="1" spans="1:14">
      <c r="A139" s="9" t="s">
        <v>27</v>
      </c>
      <c r="B139" s="18" t="s">
        <v>554</v>
      </c>
      <c r="C139" s="19" t="s">
        <v>555</v>
      </c>
      <c r="D139" s="19" t="s">
        <v>381</v>
      </c>
      <c r="E139" s="19" t="s">
        <v>215</v>
      </c>
      <c r="F139" s="20" t="s">
        <v>556</v>
      </c>
      <c r="G139" s="19" t="s">
        <v>142</v>
      </c>
      <c r="H139" s="21">
        <v>4</v>
      </c>
      <c r="I139" s="23" t="s">
        <v>143</v>
      </c>
      <c r="J139" s="24" t="s">
        <v>557</v>
      </c>
      <c r="K139" s="9" t="s">
        <v>384</v>
      </c>
      <c r="L139" s="9" t="s">
        <v>219</v>
      </c>
      <c r="M139" s="9" t="s">
        <v>558</v>
      </c>
      <c r="N139" s="9" t="s">
        <v>146</v>
      </c>
    </row>
    <row r="140" ht="27.1" customHeight="1" spans="1:14">
      <c r="A140" s="9" t="s">
        <v>27</v>
      </c>
      <c r="B140" s="18" t="s">
        <v>559</v>
      </c>
      <c r="C140" s="19" t="s">
        <v>560</v>
      </c>
      <c r="D140" s="19" t="s">
        <v>156</v>
      </c>
      <c r="E140" s="19" t="s">
        <v>73</v>
      </c>
      <c r="F140" s="20" t="s">
        <v>516</v>
      </c>
      <c r="G140" s="19" t="s">
        <v>75</v>
      </c>
      <c r="H140" s="21">
        <v>5.4</v>
      </c>
      <c r="I140" s="23" t="s">
        <v>110</v>
      </c>
      <c r="J140" s="24" t="s">
        <v>561</v>
      </c>
      <c r="K140" s="9" t="s">
        <v>158</v>
      </c>
      <c r="L140" s="9" t="s">
        <v>79</v>
      </c>
      <c r="M140" s="9" t="s">
        <v>518</v>
      </c>
      <c r="N140" s="9" t="s">
        <v>81</v>
      </c>
    </row>
    <row r="141" ht="19.9" customHeight="1" spans="1:14">
      <c r="A141" s="9" t="s">
        <v>27</v>
      </c>
      <c r="B141" s="18" t="s">
        <v>562</v>
      </c>
      <c r="C141" s="19" t="s">
        <v>563</v>
      </c>
      <c r="D141" s="19" t="s">
        <v>360</v>
      </c>
      <c r="E141" s="19" t="s">
        <v>99</v>
      </c>
      <c r="F141" s="20" t="s">
        <v>141</v>
      </c>
      <c r="G141" s="19" t="s">
        <v>75</v>
      </c>
      <c r="H141" s="21">
        <v>5.4</v>
      </c>
      <c r="I141" s="23" t="s">
        <v>110</v>
      </c>
      <c r="J141" s="24" t="s">
        <v>564</v>
      </c>
      <c r="K141" s="9" t="s">
        <v>362</v>
      </c>
      <c r="L141" s="9" t="s">
        <v>103</v>
      </c>
      <c r="M141" s="9" t="s">
        <v>145</v>
      </c>
      <c r="N141" s="9" t="s">
        <v>81</v>
      </c>
    </row>
    <row r="142" ht="19.9" customHeight="1" spans="1:14">
      <c r="A142" s="9"/>
      <c r="B142" s="18"/>
      <c r="C142" s="19"/>
      <c r="D142" s="19"/>
      <c r="E142" s="19"/>
      <c r="F142" s="20"/>
      <c r="G142" s="19"/>
      <c r="H142" s="21">
        <v>4</v>
      </c>
      <c r="I142" s="23" t="s">
        <v>110</v>
      </c>
      <c r="J142" s="24" t="s">
        <v>564</v>
      </c>
      <c r="K142" s="9" t="s">
        <v>362</v>
      </c>
      <c r="L142" s="9" t="s">
        <v>103</v>
      </c>
      <c r="M142" s="9" t="s">
        <v>145</v>
      </c>
      <c r="N142" s="9" t="s">
        <v>81</v>
      </c>
    </row>
    <row r="143" ht="27.1" customHeight="1" spans="1:14">
      <c r="A143" s="9" t="s">
        <v>27</v>
      </c>
      <c r="B143" s="18" t="s">
        <v>565</v>
      </c>
      <c r="C143" s="19" t="s">
        <v>566</v>
      </c>
      <c r="D143" s="19" t="s">
        <v>84</v>
      </c>
      <c r="E143" s="19" t="s">
        <v>280</v>
      </c>
      <c r="F143" s="20" t="s">
        <v>281</v>
      </c>
      <c r="G143" s="19" t="s">
        <v>75</v>
      </c>
      <c r="H143" s="21">
        <v>5.4</v>
      </c>
      <c r="I143" s="23" t="s">
        <v>110</v>
      </c>
      <c r="J143" s="24" t="s">
        <v>567</v>
      </c>
      <c r="K143" s="9" t="s">
        <v>86</v>
      </c>
      <c r="L143" s="9" t="s">
        <v>283</v>
      </c>
      <c r="M143" s="9" t="s">
        <v>284</v>
      </c>
      <c r="N143" s="9" t="s">
        <v>81</v>
      </c>
    </row>
    <row r="144" ht="19.9" customHeight="1" spans="1:14">
      <c r="A144" s="9" t="s">
        <v>27</v>
      </c>
      <c r="B144" s="18" t="s">
        <v>568</v>
      </c>
      <c r="C144" s="19" t="s">
        <v>569</v>
      </c>
      <c r="D144" s="19" t="s">
        <v>98</v>
      </c>
      <c r="E144" s="19" t="s">
        <v>99</v>
      </c>
      <c r="F144" s="20" t="s">
        <v>188</v>
      </c>
      <c r="G144" s="19" t="s">
        <v>75</v>
      </c>
      <c r="H144" s="21">
        <v>4</v>
      </c>
      <c r="I144" s="23" t="s">
        <v>110</v>
      </c>
      <c r="J144" s="24" t="s">
        <v>570</v>
      </c>
      <c r="K144" s="9" t="s">
        <v>102</v>
      </c>
      <c r="L144" s="9" t="s">
        <v>103</v>
      </c>
      <c r="M144" s="9" t="s">
        <v>190</v>
      </c>
      <c r="N144" s="9" t="s">
        <v>81</v>
      </c>
    </row>
    <row r="145" ht="27.1" customHeight="1" spans="1:14">
      <c r="A145" s="9" t="s">
        <v>27</v>
      </c>
      <c r="B145" s="18" t="s">
        <v>571</v>
      </c>
      <c r="C145" s="19" t="s">
        <v>572</v>
      </c>
      <c r="D145" s="19" t="s">
        <v>156</v>
      </c>
      <c r="E145" s="19" t="s">
        <v>99</v>
      </c>
      <c r="F145" s="20" t="s">
        <v>193</v>
      </c>
      <c r="G145" s="19" t="s">
        <v>75</v>
      </c>
      <c r="H145" s="21">
        <v>4</v>
      </c>
      <c r="I145" s="23" t="s">
        <v>110</v>
      </c>
      <c r="J145" s="24" t="s">
        <v>573</v>
      </c>
      <c r="K145" s="9" t="s">
        <v>158</v>
      </c>
      <c r="L145" s="9" t="s">
        <v>103</v>
      </c>
      <c r="M145" s="9" t="s">
        <v>138</v>
      </c>
      <c r="N145" s="9" t="s">
        <v>81</v>
      </c>
    </row>
    <row r="146" ht="27.1" customHeight="1" spans="1:14">
      <c r="A146" s="9" t="s">
        <v>27</v>
      </c>
      <c r="B146" s="18" t="s">
        <v>574</v>
      </c>
      <c r="C146" s="19" t="s">
        <v>575</v>
      </c>
      <c r="D146" s="19" t="s">
        <v>576</v>
      </c>
      <c r="E146" s="19" t="s">
        <v>73</v>
      </c>
      <c r="F146" s="20" t="s">
        <v>449</v>
      </c>
      <c r="G146" s="19" t="s">
        <v>75</v>
      </c>
      <c r="H146" s="21">
        <v>19.92605</v>
      </c>
      <c r="I146" s="23" t="s">
        <v>76</v>
      </c>
      <c r="J146" s="24" t="s">
        <v>577</v>
      </c>
      <c r="K146" s="9" t="s">
        <v>578</v>
      </c>
      <c r="L146" s="9" t="s">
        <v>79</v>
      </c>
      <c r="M146" s="9" t="s">
        <v>451</v>
      </c>
      <c r="N146" s="9" t="s">
        <v>81</v>
      </c>
    </row>
    <row r="147" ht="27.1" customHeight="1" spans="1:14">
      <c r="A147" s="9" t="s">
        <v>27</v>
      </c>
      <c r="B147" s="18" t="s">
        <v>579</v>
      </c>
      <c r="C147" s="19" t="s">
        <v>580</v>
      </c>
      <c r="D147" s="19" t="s">
        <v>581</v>
      </c>
      <c r="E147" s="19" t="s">
        <v>99</v>
      </c>
      <c r="F147" s="20" t="s">
        <v>582</v>
      </c>
      <c r="G147" s="19" t="s">
        <v>75</v>
      </c>
      <c r="H147" s="21">
        <v>19.92605</v>
      </c>
      <c r="I147" s="23" t="s">
        <v>76</v>
      </c>
      <c r="J147" s="24" t="s">
        <v>583</v>
      </c>
      <c r="K147" s="9" t="s">
        <v>584</v>
      </c>
      <c r="L147" s="9" t="s">
        <v>103</v>
      </c>
      <c r="M147" s="9" t="s">
        <v>585</v>
      </c>
      <c r="N147" s="9" t="s">
        <v>81</v>
      </c>
    </row>
    <row r="148" ht="27.1" customHeight="1" spans="1:14">
      <c r="A148" s="9" t="s">
        <v>27</v>
      </c>
      <c r="B148" s="18" t="s">
        <v>586</v>
      </c>
      <c r="C148" s="19" t="s">
        <v>587</v>
      </c>
      <c r="D148" s="19" t="s">
        <v>113</v>
      </c>
      <c r="E148" s="19" t="s">
        <v>114</v>
      </c>
      <c r="F148" s="20" t="s">
        <v>588</v>
      </c>
      <c r="G148" s="19" t="s">
        <v>75</v>
      </c>
      <c r="H148" s="21">
        <v>0.9</v>
      </c>
      <c r="I148" s="23" t="s">
        <v>76</v>
      </c>
      <c r="J148" s="24" t="s">
        <v>589</v>
      </c>
      <c r="K148" s="9" t="s">
        <v>117</v>
      </c>
      <c r="L148" s="9" t="s">
        <v>118</v>
      </c>
      <c r="M148" s="9" t="s">
        <v>590</v>
      </c>
      <c r="N148" s="9" t="s">
        <v>81</v>
      </c>
    </row>
    <row r="149" ht="27.1" customHeight="1" spans="1:14">
      <c r="A149" s="9" t="s">
        <v>27</v>
      </c>
      <c r="B149" s="18" t="s">
        <v>591</v>
      </c>
      <c r="C149" s="19" t="s">
        <v>592</v>
      </c>
      <c r="D149" s="19" t="s">
        <v>113</v>
      </c>
      <c r="E149" s="19" t="s">
        <v>114</v>
      </c>
      <c r="F149" s="20" t="s">
        <v>593</v>
      </c>
      <c r="G149" s="19" t="s">
        <v>75</v>
      </c>
      <c r="H149" s="21">
        <v>0.9</v>
      </c>
      <c r="I149" s="23" t="s">
        <v>76</v>
      </c>
      <c r="J149" s="24" t="s">
        <v>594</v>
      </c>
      <c r="K149" s="9" t="s">
        <v>117</v>
      </c>
      <c r="L149" s="9" t="s">
        <v>118</v>
      </c>
      <c r="M149" s="9" t="s">
        <v>595</v>
      </c>
      <c r="N149" s="9" t="s">
        <v>81</v>
      </c>
    </row>
    <row r="150" ht="27.1" customHeight="1" spans="1:14">
      <c r="A150" s="9" t="s">
        <v>27</v>
      </c>
      <c r="B150" s="18" t="s">
        <v>596</v>
      </c>
      <c r="C150" s="19" t="s">
        <v>597</v>
      </c>
      <c r="D150" s="19" t="s">
        <v>113</v>
      </c>
      <c r="E150" s="19" t="s">
        <v>114</v>
      </c>
      <c r="F150" s="20" t="s">
        <v>588</v>
      </c>
      <c r="G150" s="19" t="s">
        <v>75</v>
      </c>
      <c r="H150" s="21">
        <v>0.9</v>
      </c>
      <c r="I150" s="23" t="s">
        <v>76</v>
      </c>
      <c r="J150" s="24" t="s">
        <v>598</v>
      </c>
      <c r="K150" s="9" t="s">
        <v>117</v>
      </c>
      <c r="L150" s="9" t="s">
        <v>118</v>
      </c>
      <c r="M150" s="9" t="s">
        <v>590</v>
      </c>
      <c r="N150" s="9" t="s">
        <v>81</v>
      </c>
    </row>
    <row r="151" ht="27.1" customHeight="1" spans="1:14">
      <c r="A151" s="9" t="s">
        <v>27</v>
      </c>
      <c r="B151" s="18" t="s">
        <v>599</v>
      </c>
      <c r="C151" s="19" t="s">
        <v>600</v>
      </c>
      <c r="D151" s="19" t="s">
        <v>113</v>
      </c>
      <c r="E151" s="19" t="s">
        <v>114</v>
      </c>
      <c r="F151" s="20" t="s">
        <v>588</v>
      </c>
      <c r="G151" s="19" t="s">
        <v>75</v>
      </c>
      <c r="H151" s="21">
        <v>0.9</v>
      </c>
      <c r="I151" s="23" t="s">
        <v>76</v>
      </c>
      <c r="J151" s="24" t="s">
        <v>601</v>
      </c>
      <c r="K151" s="9" t="s">
        <v>117</v>
      </c>
      <c r="L151" s="9" t="s">
        <v>118</v>
      </c>
      <c r="M151" s="9" t="s">
        <v>590</v>
      </c>
      <c r="N151" s="9" t="s">
        <v>81</v>
      </c>
    </row>
    <row r="152" ht="27.1" customHeight="1" spans="1:14">
      <c r="A152" s="9" t="s">
        <v>27</v>
      </c>
      <c r="B152" s="18" t="s">
        <v>602</v>
      </c>
      <c r="C152" s="19" t="s">
        <v>603</v>
      </c>
      <c r="D152" s="19" t="s">
        <v>122</v>
      </c>
      <c r="E152" s="19" t="s">
        <v>287</v>
      </c>
      <c r="F152" s="20" t="s">
        <v>288</v>
      </c>
      <c r="G152" s="19" t="s">
        <v>125</v>
      </c>
      <c r="H152" s="21">
        <v>2.4</v>
      </c>
      <c r="I152" s="23" t="s">
        <v>126</v>
      </c>
      <c r="J152" s="24" t="s">
        <v>604</v>
      </c>
      <c r="K152" s="9" t="s">
        <v>128</v>
      </c>
      <c r="L152" s="9" t="s">
        <v>290</v>
      </c>
      <c r="M152" s="9" t="s">
        <v>291</v>
      </c>
      <c r="N152" s="9" t="s">
        <v>131</v>
      </c>
    </row>
    <row r="153" ht="27.1" customHeight="1" spans="1:14">
      <c r="A153" s="9" t="s">
        <v>27</v>
      </c>
      <c r="B153" s="18" t="s">
        <v>605</v>
      </c>
      <c r="C153" s="19" t="s">
        <v>606</v>
      </c>
      <c r="D153" s="19" t="s">
        <v>122</v>
      </c>
      <c r="E153" s="19" t="s">
        <v>99</v>
      </c>
      <c r="F153" s="20" t="s">
        <v>141</v>
      </c>
      <c r="G153" s="19" t="s">
        <v>125</v>
      </c>
      <c r="H153" s="21">
        <v>2.4</v>
      </c>
      <c r="I153" s="23" t="s">
        <v>126</v>
      </c>
      <c r="J153" s="24" t="s">
        <v>607</v>
      </c>
      <c r="K153" s="9" t="s">
        <v>128</v>
      </c>
      <c r="L153" s="9" t="s">
        <v>103</v>
      </c>
      <c r="M153" s="9" t="s">
        <v>145</v>
      </c>
      <c r="N153" s="9" t="s">
        <v>131</v>
      </c>
    </row>
    <row r="154" ht="27.1" customHeight="1" spans="1:14">
      <c r="A154" s="9" t="s">
        <v>27</v>
      </c>
      <c r="B154" s="18" t="s">
        <v>608</v>
      </c>
      <c r="C154" s="19" t="s">
        <v>609</v>
      </c>
      <c r="D154" s="19" t="s">
        <v>134</v>
      </c>
      <c r="E154" s="19" t="s">
        <v>73</v>
      </c>
      <c r="F154" s="20" t="s">
        <v>242</v>
      </c>
      <c r="G154" s="19" t="s">
        <v>142</v>
      </c>
      <c r="H154" s="21">
        <v>4</v>
      </c>
      <c r="I154" s="23" t="s">
        <v>143</v>
      </c>
      <c r="J154" s="24" t="s">
        <v>610</v>
      </c>
      <c r="K154" s="9" t="s">
        <v>137</v>
      </c>
      <c r="L154" s="9" t="s">
        <v>79</v>
      </c>
      <c r="M154" s="9" t="s">
        <v>244</v>
      </c>
      <c r="N154" s="9" t="s">
        <v>146</v>
      </c>
    </row>
    <row r="155" ht="27.1" customHeight="1" spans="1:14">
      <c r="A155" s="9" t="s">
        <v>27</v>
      </c>
      <c r="B155" s="18" t="s">
        <v>611</v>
      </c>
      <c r="C155" s="19" t="s">
        <v>612</v>
      </c>
      <c r="D155" s="19" t="s">
        <v>156</v>
      </c>
      <c r="E155" s="19" t="s">
        <v>99</v>
      </c>
      <c r="F155" s="20" t="s">
        <v>141</v>
      </c>
      <c r="G155" s="19" t="s">
        <v>142</v>
      </c>
      <c r="H155" s="21">
        <v>4</v>
      </c>
      <c r="I155" s="23" t="s">
        <v>143</v>
      </c>
      <c r="J155" s="24" t="s">
        <v>613</v>
      </c>
      <c r="K155" s="9" t="s">
        <v>158</v>
      </c>
      <c r="L155" s="9" t="s">
        <v>103</v>
      </c>
      <c r="M155" s="9" t="s">
        <v>145</v>
      </c>
      <c r="N155" s="9" t="s">
        <v>146</v>
      </c>
    </row>
    <row r="156" ht="27.1" customHeight="1" spans="1:14">
      <c r="A156" s="9" t="s">
        <v>27</v>
      </c>
      <c r="B156" s="18" t="s">
        <v>614</v>
      </c>
      <c r="C156" s="19" t="s">
        <v>615</v>
      </c>
      <c r="D156" s="19" t="s">
        <v>84</v>
      </c>
      <c r="E156" s="19" t="s">
        <v>99</v>
      </c>
      <c r="F156" s="20" t="s">
        <v>162</v>
      </c>
      <c r="G156" s="19" t="s">
        <v>75</v>
      </c>
      <c r="H156" s="21">
        <v>5.4</v>
      </c>
      <c r="I156" s="23" t="s">
        <v>110</v>
      </c>
      <c r="J156" s="24" t="s">
        <v>616</v>
      </c>
      <c r="K156" s="9" t="s">
        <v>86</v>
      </c>
      <c r="L156" s="9" t="s">
        <v>103</v>
      </c>
      <c r="M156" s="9" t="s">
        <v>138</v>
      </c>
      <c r="N156" s="9" t="s">
        <v>81</v>
      </c>
    </row>
    <row r="157" ht="19.9" customHeight="1" spans="1:14">
      <c r="A157" s="9" t="s">
        <v>27</v>
      </c>
      <c r="B157" s="18" t="s">
        <v>617</v>
      </c>
      <c r="C157" s="19" t="s">
        <v>618</v>
      </c>
      <c r="D157" s="19" t="s">
        <v>134</v>
      </c>
      <c r="E157" s="19" t="s">
        <v>99</v>
      </c>
      <c r="F157" s="20" t="s">
        <v>162</v>
      </c>
      <c r="G157" s="19" t="s">
        <v>75</v>
      </c>
      <c r="H157" s="21">
        <v>5.4</v>
      </c>
      <c r="I157" s="23" t="s">
        <v>110</v>
      </c>
      <c r="J157" s="24" t="s">
        <v>619</v>
      </c>
      <c r="K157" s="9" t="s">
        <v>137</v>
      </c>
      <c r="L157" s="9" t="s">
        <v>103</v>
      </c>
      <c r="M157" s="9" t="s">
        <v>138</v>
      </c>
      <c r="N157" s="9" t="s">
        <v>81</v>
      </c>
    </row>
    <row r="158" ht="40.7" customHeight="1" spans="1:14">
      <c r="A158" s="9" t="s">
        <v>27</v>
      </c>
      <c r="B158" s="18" t="s">
        <v>620</v>
      </c>
      <c r="C158" s="19" t="s">
        <v>621</v>
      </c>
      <c r="D158" s="19" t="s">
        <v>173</v>
      </c>
      <c r="E158" s="19" t="s">
        <v>174</v>
      </c>
      <c r="F158" s="20" t="s">
        <v>480</v>
      </c>
      <c r="G158" s="19" t="s">
        <v>75</v>
      </c>
      <c r="H158" s="21">
        <v>4</v>
      </c>
      <c r="I158" s="23" t="s">
        <v>110</v>
      </c>
      <c r="J158" s="24" t="s">
        <v>622</v>
      </c>
      <c r="K158" s="9" t="s">
        <v>177</v>
      </c>
      <c r="L158" s="9" t="s">
        <v>178</v>
      </c>
      <c r="M158" s="9" t="s">
        <v>268</v>
      </c>
      <c r="N158" s="9" t="s">
        <v>81</v>
      </c>
    </row>
    <row r="159" ht="27.1" customHeight="1" spans="1:14">
      <c r="A159" s="9" t="s">
        <v>27</v>
      </c>
      <c r="B159" s="18" t="s">
        <v>623</v>
      </c>
      <c r="C159" s="19" t="s">
        <v>624</v>
      </c>
      <c r="D159" s="19" t="s">
        <v>156</v>
      </c>
      <c r="E159" s="19" t="s">
        <v>174</v>
      </c>
      <c r="F159" s="20" t="s">
        <v>175</v>
      </c>
      <c r="G159" s="19" t="s">
        <v>75</v>
      </c>
      <c r="H159" s="21">
        <v>4</v>
      </c>
      <c r="I159" s="23" t="s">
        <v>110</v>
      </c>
      <c r="J159" s="24" t="s">
        <v>625</v>
      </c>
      <c r="K159" s="9" t="s">
        <v>158</v>
      </c>
      <c r="L159" s="9" t="s">
        <v>178</v>
      </c>
      <c r="M159" s="9" t="s">
        <v>179</v>
      </c>
      <c r="N159" s="9" t="s">
        <v>81</v>
      </c>
    </row>
    <row r="160" ht="27.1" customHeight="1" spans="1:14">
      <c r="A160" s="9" t="s">
        <v>27</v>
      </c>
      <c r="B160" s="18" t="s">
        <v>626</v>
      </c>
      <c r="C160" s="19" t="s">
        <v>627</v>
      </c>
      <c r="D160" s="19" t="s">
        <v>156</v>
      </c>
      <c r="E160" s="19" t="s">
        <v>99</v>
      </c>
      <c r="F160" s="20" t="s">
        <v>193</v>
      </c>
      <c r="G160" s="19" t="s">
        <v>75</v>
      </c>
      <c r="H160" s="21">
        <v>4</v>
      </c>
      <c r="I160" s="23" t="s">
        <v>110</v>
      </c>
      <c r="J160" s="24" t="s">
        <v>628</v>
      </c>
      <c r="K160" s="9" t="s">
        <v>158</v>
      </c>
      <c r="L160" s="9" t="s">
        <v>103</v>
      </c>
      <c r="M160" s="9" t="s">
        <v>138</v>
      </c>
      <c r="N160" s="9" t="s">
        <v>81</v>
      </c>
    </row>
    <row r="161" ht="19.9" customHeight="1" spans="1:14">
      <c r="A161" s="9" t="s">
        <v>27</v>
      </c>
      <c r="B161" s="18" t="s">
        <v>629</v>
      </c>
      <c r="C161" s="19" t="s">
        <v>630</v>
      </c>
      <c r="D161" s="19" t="s">
        <v>161</v>
      </c>
      <c r="E161" s="19" t="s">
        <v>99</v>
      </c>
      <c r="F161" s="20" t="s">
        <v>141</v>
      </c>
      <c r="G161" s="19" t="s">
        <v>75</v>
      </c>
      <c r="H161" s="21">
        <v>4</v>
      </c>
      <c r="I161" s="23" t="s">
        <v>110</v>
      </c>
      <c r="J161" s="24" t="s">
        <v>631</v>
      </c>
      <c r="K161" s="9" t="s">
        <v>164</v>
      </c>
      <c r="L161" s="9" t="s">
        <v>103</v>
      </c>
      <c r="M161" s="9" t="s">
        <v>145</v>
      </c>
      <c r="N161" s="9" t="s">
        <v>81</v>
      </c>
    </row>
    <row r="162" ht="19.9" customHeight="1" spans="1:14">
      <c r="A162" s="9" t="s">
        <v>27</v>
      </c>
      <c r="B162" s="18" t="s">
        <v>632</v>
      </c>
      <c r="C162" s="19" t="s">
        <v>633</v>
      </c>
      <c r="D162" s="19" t="s">
        <v>156</v>
      </c>
      <c r="E162" s="19" t="s">
        <v>197</v>
      </c>
      <c r="F162" s="20" t="s">
        <v>198</v>
      </c>
      <c r="G162" s="19" t="s">
        <v>75</v>
      </c>
      <c r="H162" s="21">
        <v>4</v>
      </c>
      <c r="I162" s="23" t="s">
        <v>110</v>
      </c>
      <c r="J162" s="24" t="s">
        <v>634</v>
      </c>
      <c r="K162" s="9" t="s">
        <v>158</v>
      </c>
      <c r="L162" s="9" t="s">
        <v>200</v>
      </c>
      <c r="M162" s="9" t="s">
        <v>201</v>
      </c>
      <c r="N162" s="9" t="s">
        <v>81</v>
      </c>
    </row>
    <row r="163" ht="14.2" customHeight="1" spans="1:10">
      <c r="A163" s="9">
        <v>0</v>
      </c>
      <c r="B163" s="9"/>
      <c r="C163" s="9"/>
      <c r="D163" s="9"/>
      <c r="E163" s="9"/>
      <c r="F163" s="9"/>
      <c r="G163" s="9"/>
      <c r="H163" s="9"/>
      <c r="I163" s="9"/>
      <c r="J163" s="9"/>
    </row>
  </sheetData>
  <mergeCells count="190">
    <mergeCell ref="B5:F5"/>
    <mergeCell ref="B6:I6"/>
    <mergeCell ref="B163:J163"/>
    <mergeCell ref="A12:A13"/>
    <mergeCell ref="A16:A17"/>
    <mergeCell ref="A19:A20"/>
    <mergeCell ref="A23:A24"/>
    <mergeCell ref="A26:A27"/>
    <mergeCell ref="A28:A29"/>
    <mergeCell ref="A31:A32"/>
    <mergeCell ref="A40:A43"/>
    <mergeCell ref="A44:A45"/>
    <mergeCell ref="A48:A49"/>
    <mergeCell ref="A50:A52"/>
    <mergeCell ref="A53:A54"/>
    <mergeCell ref="A55:A56"/>
    <mergeCell ref="A61:A62"/>
    <mergeCell ref="A67:A69"/>
    <mergeCell ref="A75:A76"/>
    <mergeCell ref="A80:A81"/>
    <mergeCell ref="A89:A90"/>
    <mergeCell ref="A94:A95"/>
    <mergeCell ref="A97:A98"/>
    <mergeCell ref="A99:A102"/>
    <mergeCell ref="A103:A104"/>
    <mergeCell ref="A107:A108"/>
    <mergeCell ref="A109:A110"/>
    <mergeCell ref="A125:A126"/>
    <mergeCell ref="A134:A135"/>
    <mergeCell ref="A141:A142"/>
    <mergeCell ref="B12:B13"/>
    <mergeCell ref="B16:B17"/>
    <mergeCell ref="B19:B20"/>
    <mergeCell ref="B23:B24"/>
    <mergeCell ref="B26:B27"/>
    <mergeCell ref="B28:B29"/>
    <mergeCell ref="B31:B32"/>
    <mergeCell ref="B40:B43"/>
    <mergeCell ref="B44:B45"/>
    <mergeCell ref="B48:B49"/>
    <mergeCell ref="B50:B52"/>
    <mergeCell ref="B53:B54"/>
    <mergeCell ref="B55:B56"/>
    <mergeCell ref="B61:B62"/>
    <mergeCell ref="B67:B69"/>
    <mergeCell ref="B75:B76"/>
    <mergeCell ref="B80:B81"/>
    <mergeCell ref="B89:B90"/>
    <mergeCell ref="B94:B95"/>
    <mergeCell ref="B97:B98"/>
    <mergeCell ref="B99:B102"/>
    <mergeCell ref="B103:B104"/>
    <mergeCell ref="B107:B108"/>
    <mergeCell ref="B109:B110"/>
    <mergeCell ref="B125:B126"/>
    <mergeCell ref="B134:B135"/>
    <mergeCell ref="B141:B142"/>
    <mergeCell ref="C12:C13"/>
    <mergeCell ref="C16:C17"/>
    <mergeCell ref="C19:C20"/>
    <mergeCell ref="C23:C24"/>
    <mergeCell ref="C26:C27"/>
    <mergeCell ref="C28:C29"/>
    <mergeCell ref="C31:C32"/>
    <mergeCell ref="C40:C43"/>
    <mergeCell ref="C44:C45"/>
    <mergeCell ref="C48:C49"/>
    <mergeCell ref="C50:C52"/>
    <mergeCell ref="C53:C54"/>
    <mergeCell ref="C55:C56"/>
    <mergeCell ref="C61:C62"/>
    <mergeCell ref="C67:C69"/>
    <mergeCell ref="C75:C76"/>
    <mergeCell ref="C80:C81"/>
    <mergeCell ref="C89:C90"/>
    <mergeCell ref="C94:C95"/>
    <mergeCell ref="C97:C98"/>
    <mergeCell ref="C99:C102"/>
    <mergeCell ref="C103:C104"/>
    <mergeCell ref="C107:C108"/>
    <mergeCell ref="C109:C110"/>
    <mergeCell ref="C125:C126"/>
    <mergeCell ref="C134:C135"/>
    <mergeCell ref="C141:C142"/>
    <mergeCell ref="D12:D13"/>
    <mergeCell ref="D16:D17"/>
    <mergeCell ref="D19:D20"/>
    <mergeCell ref="D23:D24"/>
    <mergeCell ref="D26:D27"/>
    <mergeCell ref="D28:D29"/>
    <mergeCell ref="D31:D32"/>
    <mergeCell ref="D40:D43"/>
    <mergeCell ref="D44:D45"/>
    <mergeCell ref="D48:D49"/>
    <mergeCell ref="D50:D52"/>
    <mergeCell ref="D53:D54"/>
    <mergeCell ref="D55:D56"/>
    <mergeCell ref="D61:D62"/>
    <mergeCell ref="D67:D69"/>
    <mergeCell ref="D75:D76"/>
    <mergeCell ref="D80:D81"/>
    <mergeCell ref="D89:D90"/>
    <mergeCell ref="D94:D95"/>
    <mergeCell ref="D97:D98"/>
    <mergeCell ref="D99:D102"/>
    <mergeCell ref="D103:D104"/>
    <mergeCell ref="D107:D108"/>
    <mergeCell ref="D109:D110"/>
    <mergeCell ref="D125:D126"/>
    <mergeCell ref="D134:D135"/>
    <mergeCell ref="D141:D142"/>
    <mergeCell ref="E12:E13"/>
    <mergeCell ref="E16:E17"/>
    <mergeCell ref="E19:E20"/>
    <mergeCell ref="E23:E24"/>
    <mergeCell ref="E26:E27"/>
    <mergeCell ref="E28:E29"/>
    <mergeCell ref="E31:E32"/>
    <mergeCell ref="E40:E43"/>
    <mergeCell ref="E44:E45"/>
    <mergeCell ref="E48:E49"/>
    <mergeCell ref="E50:E52"/>
    <mergeCell ref="E53:E54"/>
    <mergeCell ref="E55:E56"/>
    <mergeCell ref="E61:E62"/>
    <mergeCell ref="E67:E69"/>
    <mergeCell ref="E75:E76"/>
    <mergeCell ref="E80:E81"/>
    <mergeCell ref="E89:E90"/>
    <mergeCell ref="E94:E95"/>
    <mergeCell ref="E97:E98"/>
    <mergeCell ref="E99:E102"/>
    <mergeCell ref="E103:E104"/>
    <mergeCell ref="E107:E108"/>
    <mergeCell ref="E109:E110"/>
    <mergeCell ref="E125:E126"/>
    <mergeCell ref="E134:E135"/>
    <mergeCell ref="E141:E142"/>
    <mergeCell ref="F12:F13"/>
    <mergeCell ref="F16:F17"/>
    <mergeCell ref="F19:F20"/>
    <mergeCell ref="F23:F24"/>
    <mergeCell ref="F26:F27"/>
    <mergeCell ref="F28:F29"/>
    <mergeCell ref="F31:F32"/>
    <mergeCell ref="F40:F43"/>
    <mergeCell ref="F44:F45"/>
    <mergeCell ref="F48:F49"/>
    <mergeCell ref="F50:F52"/>
    <mergeCell ref="F53:F54"/>
    <mergeCell ref="F55:F56"/>
    <mergeCell ref="F61:F62"/>
    <mergeCell ref="F67:F69"/>
    <mergeCell ref="F75:F76"/>
    <mergeCell ref="F80:F81"/>
    <mergeCell ref="F89:F90"/>
    <mergeCell ref="F94:F95"/>
    <mergeCell ref="F97:F98"/>
    <mergeCell ref="F99:F102"/>
    <mergeCell ref="F103:F104"/>
    <mergeCell ref="F107:F108"/>
    <mergeCell ref="F109:F110"/>
    <mergeCell ref="F125:F126"/>
    <mergeCell ref="F134:F135"/>
    <mergeCell ref="F141:F142"/>
    <mergeCell ref="G12:G13"/>
    <mergeCell ref="G16:G17"/>
    <mergeCell ref="G19:G20"/>
    <mergeCell ref="G23:G24"/>
    <mergeCell ref="G26:G27"/>
    <mergeCell ref="G28:G29"/>
    <mergeCell ref="G31:G32"/>
    <mergeCell ref="G40:G43"/>
    <mergeCell ref="G44:G45"/>
    <mergeCell ref="G48:G49"/>
    <mergeCell ref="G50:G52"/>
    <mergeCell ref="G55:G56"/>
    <mergeCell ref="G61:G62"/>
    <mergeCell ref="G67:G69"/>
    <mergeCell ref="G75:G76"/>
    <mergeCell ref="G80:G81"/>
    <mergeCell ref="G89:G90"/>
    <mergeCell ref="G97:G98"/>
    <mergeCell ref="G99:G102"/>
    <mergeCell ref="G103:G104"/>
    <mergeCell ref="G107:G108"/>
    <mergeCell ref="G109:G110"/>
    <mergeCell ref="G125:G126"/>
    <mergeCell ref="G134:G135"/>
    <mergeCell ref="G141:G142"/>
  </mergeCells>
  <pageMargins left="0.751388888888889" right="0.751388888888889" top="0.267361111111111" bottom="0.267361111111111" header="0" footer="0"/>
  <pageSetup paperSize="9" scale="6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topLeftCell="C1" workbookViewId="0">
      <pane ySplit="7" topLeftCell="A8" activePane="bottomLeft" state="frozen"/>
      <selection/>
      <selection pane="bottomLeft" activeCell="D31" sqref="D31:E31"/>
    </sheetView>
  </sheetViews>
  <sheetFormatPr defaultColWidth="10" defaultRowHeight="13.5" outlineLevelCol="5"/>
  <cols>
    <col min="1" max="2" width="9" hidden="1"/>
    <col min="3" max="3" width="55.5" customWidth="1"/>
    <col min="4" max="4" width="30.9416666666667" customWidth="1"/>
    <col min="5" max="5" width="29.7166666666667" customWidth="1"/>
    <col min="6" max="6" width="9" hidden="1"/>
    <col min="7" max="7" width="9.76666666666667" customWidth="1"/>
  </cols>
  <sheetData>
    <row r="1" ht="22.5" hidden="1" spans="1:3">
      <c r="A1" s="3">
        <v>0</v>
      </c>
      <c r="B1" s="3" t="s">
        <v>635</v>
      </c>
      <c r="C1" s="3" t="s">
        <v>1</v>
      </c>
    </row>
    <row r="2" ht="22.5" hidden="1" spans="1:6">
      <c r="A2" s="3">
        <v>0</v>
      </c>
      <c r="B2" s="3" t="s">
        <v>3</v>
      </c>
      <c r="C2" s="3" t="s">
        <v>45</v>
      </c>
      <c r="D2" s="3" t="s">
        <v>4</v>
      </c>
      <c r="E2" s="3" t="s">
        <v>46</v>
      </c>
      <c r="F2" s="3" t="s">
        <v>5</v>
      </c>
    </row>
    <row r="3" hidden="1" spans="1:6">
      <c r="A3" s="3">
        <v>0</v>
      </c>
      <c r="B3" s="3" t="s">
        <v>636</v>
      </c>
      <c r="C3" s="3" t="s">
        <v>47</v>
      </c>
      <c r="D3" s="3" t="s">
        <v>637</v>
      </c>
      <c r="E3" s="3" t="s">
        <v>638</v>
      </c>
      <c r="F3" s="3" t="s">
        <v>639</v>
      </c>
    </row>
    <row r="4" ht="14.3" customHeight="1" spans="1:3">
      <c r="A4" s="3">
        <v>0</v>
      </c>
      <c r="C4" s="3" t="s">
        <v>640</v>
      </c>
    </row>
    <row r="5" ht="28.6" customHeight="1" spans="1:5">
      <c r="A5" s="3">
        <v>0</v>
      </c>
      <c r="C5" s="4" t="s">
        <v>641</v>
      </c>
      <c r="D5" s="4"/>
      <c r="E5" s="4"/>
    </row>
    <row r="6" ht="14.3" customHeight="1" spans="1:5">
      <c r="A6" s="3">
        <v>0</v>
      </c>
      <c r="E6" s="5" t="s">
        <v>14</v>
      </c>
    </row>
    <row r="7" ht="19.55" customHeight="1" spans="1:5">
      <c r="A7" s="3">
        <v>0</v>
      </c>
      <c r="C7" s="6" t="s">
        <v>642</v>
      </c>
      <c r="D7" s="6" t="s">
        <v>643</v>
      </c>
      <c r="E7" s="6" t="s">
        <v>644</v>
      </c>
    </row>
    <row r="8" ht="19.55" customHeight="1" spans="1:6">
      <c r="A8" s="3" t="s">
        <v>27</v>
      </c>
      <c r="B8" s="3" t="s">
        <v>645</v>
      </c>
      <c r="C8" s="7" t="s">
        <v>646</v>
      </c>
      <c r="D8" s="8">
        <f>SUM(D9:D10)</f>
        <v>196.5467</v>
      </c>
      <c r="E8" s="8">
        <f>SUM(E9:E10)</f>
        <v>41.6515</v>
      </c>
      <c r="F8" s="3">
        <v>1</v>
      </c>
    </row>
    <row r="9" ht="19.55" customHeight="1" spans="1:6">
      <c r="A9" s="3" t="s">
        <v>27</v>
      </c>
      <c r="B9" s="3" t="s">
        <v>647</v>
      </c>
      <c r="C9" s="7" t="s">
        <v>648</v>
      </c>
      <c r="D9" s="8">
        <v>172.2609</v>
      </c>
      <c r="E9" s="8">
        <v>41.0755</v>
      </c>
      <c r="F9" s="3">
        <v>2</v>
      </c>
    </row>
    <row r="10" ht="19.55" customHeight="1" spans="1:6">
      <c r="A10" s="3" t="s">
        <v>27</v>
      </c>
      <c r="B10" s="3" t="s">
        <v>649</v>
      </c>
      <c r="C10" s="7" t="s">
        <v>650</v>
      </c>
      <c r="D10" s="8">
        <v>24.2858</v>
      </c>
      <c r="E10" s="8">
        <v>0.576</v>
      </c>
      <c r="F10" s="3">
        <v>3</v>
      </c>
    </row>
    <row r="11" ht="19.55" customHeight="1" spans="1:6">
      <c r="A11" s="3" t="s">
        <v>27</v>
      </c>
      <c r="B11" s="3" t="s">
        <v>651</v>
      </c>
      <c r="C11" s="7" t="s">
        <v>652</v>
      </c>
      <c r="D11" s="8">
        <f>SUM(D12:D13)</f>
        <v>192.06</v>
      </c>
      <c r="E11" s="8">
        <f>SUM(E12:E13)</f>
        <v>40.0532</v>
      </c>
      <c r="F11" s="3">
        <v>4</v>
      </c>
    </row>
    <row r="12" ht="19.55" customHeight="1" spans="1:6">
      <c r="A12" s="3" t="s">
        <v>27</v>
      </c>
      <c r="B12" s="3" t="s">
        <v>653</v>
      </c>
      <c r="C12" s="7" t="s">
        <v>648</v>
      </c>
      <c r="D12" s="8">
        <v>166.19</v>
      </c>
      <c r="E12" s="8">
        <v>39.4726</v>
      </c>
      <c r="F12" s="3">
        <v>5</v>
      </c>
    </row>
    <row r="13" ht="19.55" customHeight="1" spans="1:6">
      <c r="A13" s="3" t="s">
        <v>27</v>
      </c>
      <c r="B13" s="3" t="s">
        <v>654</v>
      </c>
      <c r="C13" s="7" t="s">
        <v>650</v>
      </c>
      <c r="D13" s="8">
        <v>25.87</v>
      </c>
      <c r="E13" s="8">
        <v>0.5806</v>
      </c>
      <c r="F13" s="3">
        <v>6</v>
      </c>
    </row>
    <row r="14" ht="19.55" customHeight="1" spans="1:6">
      <c r="A14" s="3" t="s">
        <v>27</v>
      </c>
      <c r="B14" s="3" t="s">
        <v>655</v>
      </c>
      <c r="C14" s="7" t="s">
        <v>656</v>
      </c>
      <c r="D14" s="8">
        <f>SUM(D15:D21)</f>
        <v>45.5998</v>
      </c>
      <c r="E14" s="8">
        <f>SUM(E15:E21)</f>
        <v>12.7775332186</v>
      </c>
      <c r="F14" s="3">
        <v>7</v>
      </c>
    </row>
    <row r="15" s="1" customFormat="1" ht="17.05" customHeight="1" spans="1:6">
      <c r="A15" s="9" t="s">
        <v>27</v>
      </c>
      <c r="B15" s="9" t="s">
        <v>657</v>
      </c>
      <c r="C15" s="10" t="s">
        <v>658</v>
      </c>
      <c r="D15" s="11">
        <v>20.7</v>
      </c>
      <c r="E15" s="11">
        <v>2</v>
      </c>
      <c r="F15" s="9">
        <v>8</v>
      </c>
    </row>
    <row r="16" s="1" customFormat="1" ht="17.05" customHeight="1" spans="1:6">
      <c r="A16" s="9" t="s">
        <v>27</v>
      </c>
      <c r="B16" s="9" t="s">
        <v>659</v>
      </c>
      <c r="C16" s="10" t="s">
        <v>660</v>
      </c>
      <c r="D16" s="11">
        <v>4.6278</v>
      </c>
      <c r="E16" s="11">
        <v>0.9301</v>
      </c>
      <c r="F16" s="9">
        <v>9</v>
      </c>
    </row>
    <row r="17" s="1" customFormat="1" ht="17.05" customHeight="1" spans="1:6">
      <c r="A17" s="9" t="s">
        <v>27</v>
      </c>
      <c r="B17" s="9" t="s">
        <v>661</v>
      </c>
      <c r="C17" s="10" t="s">
        <v>662</v>
      </c>
      <c r="D17" s="11">
        <v>6.5</v>
      </c>
      <c r="E17" s="11">
        <v>0</v>
      </c>
      <c r="F17" s="9">
        <v>10</v>
      </c>
    </row>
    <row r="18" s="1" customFormat="1" ht="17.05" customHeight="1" spans="1:6">
      <c r="A18" s="9" t="s">
        <v>27</v>
      </c>
      <c r="B18" s="9" t="s">
        <v>663</v>
      </c>
      <c r="C18" s="10" t="s">
        <v>664</v>
      </c>
      <c r="D18" s="11">
        <v>0.3056</v>
      </c>
      <c r="E18" s="11">
        <v>0.0093</v>
      </c>
      <c r="F18" s="9">
        <v>11</v>
      </c>
    </row>
    <row r="19" s="1" customFormat="1" ht="17.05" customHeight="1" spans="1:6">
      <c r="A19" s="9" t="s">
        <v>27</v>
      </c>
      <c r="B19" s="9" t="s">
        <v>665</v>
      </c>
      <c r="C19" s="10" t="s">
        <v>666</v>
      </c>
      <c r="D19" s="11">
        <v>11.8649</v>
      </c>
      <c r="E19" s="11">
        <v>9.7838831092</v>
      </c>
      <c r="F19" s="9">
        <v>12</v>
      </c>
    </row>
    <row r="20" s="1" customFormat="1" ht="17.05" customHeight="1" spans="1:6">
      <c r="A20" s="9" t="s">
        <v>27</v>
      </c>
      <c r="B20" s="9" t="s">
        <v>667</v>
      </c>
      <c r="C20" s="10" t="s">
        <v>668</v>
      </c>
      <c r="D20" s="11">
        <v>1.6015</v>
      </c>
      <c r="E20" s="11">
        <v>0.0542501094</v>
      </c>
      <c r="F20" s="9">
        <v>13</v>
      </c>
    </row>
    <row r="21" ht="17.05" customHeight="1" spans="1:6">
      <c r="A21" s="3" t="s">
        <v>27</v>
      </c>
      <c r="B21" s="3" t="s">
        <v>661</v>
      </c>
      <c r="C21" s="7" t="s">
        <v>669</v>
      </c>
      <c r="D21" s="8">
        <v>0</v>
      </c>
      <c r="E21" s="8">
        <v>0</v>
      </c>
      <c r="F21" s="3">
        <v>14</v>
      </c>
    </row>
    <row r="22" ht="19.55" customHeight="1" spans="1:6">
      <c r="A22" s="3" t="s">
        <v>27</v>
      </c>
      <c r="B22" s="3" t="s">
        <v>670</v>
      </c>
      <c r="C22" s="7" t="s">
        <v>671</v>
      </c>
      <c r="D22" s="8">
        <f>SUM(D23:D24)</f>
        <v>22.8589</v>
      </c>
      <c r="E22" s="8">
        <f>SUM(E23:E24)</f>
        <v>9.2286</v>
      </c>
      <c r="F22" s="3">
        <v>15</v>
      </c>
    </row>
    <row r="23" s="2" customFormat="1" ht="19.55" customHeight="1" spans="1:6">
      <c r="A23" s="12" t="s">
        <v>27</v>
      </c>
      <c r="B23" s="12" t="s">
        <v>672</v>
      </c>
      <c r="C23" s="10" t="s">
        <v>673</v>
      </c>
      <c r="D23" s="11">
        <v>20.5903</v>
      </c>
      <c r="E23" s="11">
        <v>9.2102</v>
      </c>
      <c r="F23" s="12">
        <v>16</v>
      </c>
    </row>
    <row r="24" s="2" customFormat="1" ht="19.55" customHeight="1" spans="1:6">
      <c r="A24" s="12" t="s">
        <v>27</v>
      </c>
      <c r="B24" s="12" t="s">
        <v>674</v>
      </c>
      <c r="C24" s="10" t="s">
        <v>650</v>
      </c>
      <c r="D24" s="11">
        <v>2.2686</v>
      </c>
      <c r="E24" s="11">
        <v>0.0184</v>
      </c>
      <c r="F24" s="12">
        <v>17</v>
      </c>
    </row>
    <row r="25" ht="19.55" customHeight="1" spans="1:6">
      <c r="A25" s="3" t="s">
        <v>27</v>
      </c>
      <c r="B25" s="3" t="s">
        <v>675</v>
      </c>
      <c r="C25" s="10" t="s">
        <v>676</v>
      </c>
      <c r="D25" s="11">
        <f>SUM(D26:D27)</f>
        <v>8.4522</v>
      </c>
      <c r="E25" s="11">
        <f>SUM(E26:E27)</f>
        <v>2.6263</v>
      </c>
      <c r="F25" s="3">
        <v>18</v>
      </c>
    </row>
    <row r="26" s="2" customFormat="1" ht="18" customHeight="1" spans="1:6">
      <c r="A26" s="12" t="s">
        <v>27</v>
      </c>
      <c r="B26" s="12" t="s">
        <v>677</v>
      </c>
      <c r="C26" s="10" t="s">
        <v>673</v>
      </c>
      <c r="D26" s="11">
        <v>7.6296</v>
      </c>
      <c r="E26" s="11">
        <v>2.6072</v>
      </c>
      <c r="F26" s="12">
        <v>19</v>
      </c>
    </row>
    <row r="27" s="2" customFormat="1" ht="19.55" customHeight="1" spans="1:6">
      <c r="A27" s="12" t="s">
        <v>27</v>
      </c>
      <c r="B27" s="12" t="s">
        <v>678</v>
      </c>
      <c r="C27" s="10" t="s">
        <v>650</v>
      </c>
      <c r="D27" s="11">
        <v>0.8226</v>
      </c>
      <c r="E27" s="11">
        <v>0.0191</v>
      </c>
      <c r="F27" s="12">
        <v>20</v>
      </c>
    </row>
    <row r="28" ht="19.55" customHeight="1" spans="1:6">
      <c r="A28" s="3" t="s">
        <v>27</v>
      </c>
      <c r="B28" s="3" t="s">
        <v>679</v>
      </c>
      <c r="C28" s="7" t="s">
        <v>680</v>
      </c>
      <c r="D28" s="8">
        <f>SUM(D29:D30)</f>
        <v>220.316</v>
      </c>
      <c r="E28" s="8">
        <f>SUM(E29:E30)</f>
        <v>46.8813</v>
      </c>
      <c r="F28" s="3">
        <v>21</v>
      </c>
    </row>
    <row r="29" ht="19.55" customHeight="1" spans="1:6">
      <c r="A29" s="3" t="s">
        <v>27</v>
      </c>
      <c r="B29" s="3" t="s">
        <v>681</v>
      </c>
      <c r="C29" s="7" t="s">
        <v>648</v>
      </c>
      <c r="D29" s="8">
        <v>189.8921</v>
      </c>
      <c r="E29" s="8">
        <v>46.2602</v>
      </c>
      <c r="F29" s="3">
        <v>22</v>
      </c>
    </row>
    <row r="30" ht="19.55" customHeight="1" spans="1:6">
      <c r="A30" s="3" t="s">
        <v>27</v>
      </c>
      <c r="B30" s="3" t="s">
        <v>682</v>
      </c>
      <c r="C30" s="7" t="s">
        <v>650</v>
      </c>
      <c r="D30" s="8">
        <v>30.4239</v>
      </c>
      <c r="E30" s="8">
        <v>0.6211</v>
      </c>
      <c r="F30" s="3">
        <v>23</v>
      </c>
    </row>
    <row r="31" ht="19.55" customHeight="1" spans="1:6">
      <c r="A31" s="3" t="s">
        <v>27</v>
      </c>
      <c r="B31" s="3" t="s">
        <v>683</v>
      </c>
      <c r="C31" s="7" t="s">
        <v>684</v>
      </c>
      <c r="D31" s="8">
        <f>SUM(D32:D33)</f>
        <v>220.94</v>
      </c>
      <c r="E31" s="8">
        <f>SUM(E32:E33)</f>
        <v>43.7332</v>
      </c>
      <c r="F31" s="3">
        <v>24</v>
      </c>
    </row>
    <row r="32" ht="19.55" customHeight="1" spans="1:6">
      <c r="A32" s="3" t="s">
        <v>27</v>
      </c>
      <c r="B32" s="3" t="s">
        <v>685</v>
      </c>
      <c r="C32" s="7" t="s">
        <v>648</v>
      </c>
      <c r="D32" s="8">
        <v>188.57</v>
      </c>
      <c r="E32" s="8">
        <v>43.1526</v>
      </c>
      <c r="F32" s="3">
        <v>25</v>
      </c>
    </row>
    <row r="33" ht="19.55" customHeight="1" spans="1:6">
      <c r="A33" s="3" t="s">
        <v>27</v>
      </c>
      <c r="B33" s="3" t="s">
        <v>686</v>
      </c>
      <c r="C33" s="7" t="s">
        <v>650</v>
      </c>
      <c r="D33" s="8">
        <v>32.37</v>
      </c>
      <c r="E33" s="8">
        <v>0.5806</v>
      </c>
      <c r="F33" s="3">
        <v>26</v>
      </c>
    </row>
    <row r="34" ht="14.3" customHeight="1" spans="1:5">
      <c r="A34" s="3"/>
      <c r="C34" s="3"/>
      <c r="D34" s="3"/>
      <c r="E34" s="3"/>
    </row>
  </sheetData>
  <mergeCells count="2">
    <mergeCell ref="C5:E5"/>
    <mergeCell ref="C34:E34"/>
  </mergeCells>
  <pageMargins left="0.75" right="0.75" top="0.268999993801117" bottom="0.268999993801117" header="0" footer="0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表4-1 地方政府债务限额及余额决算情况表</vt:lpstr>
      <vt:lpstr>表4-2 地方政府债券使用情况表</vt:lpstr>
      <vt:lpstr>表4-3 地方政府债务发行及还本付息情况表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白杨</cp:lastModifiedBy>
  <dcterms:created xsi:type="dcterms:W3CDTF">2021-05-23T08:06:00Z</dcterms:created>
  <dcterms:modified xsi:type="dcterms:W3CDTF">2021-06-01T08:02:51Z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B9660E7826A94834BB78923B812A4B5C</vt:lpwstr>
  </property>
</Properties>
</file>