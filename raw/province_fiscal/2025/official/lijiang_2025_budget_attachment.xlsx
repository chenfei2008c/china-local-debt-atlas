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1985" activeTab="3"/>
  </bookViews>
  <sheets>
    <sheet name="封面" sheetId="4" r:id="rId1"/>
    <sheet name="目录" sheetId="5" r:id="rId2"/>
    <sheet name="01-1 " sheetId="6" r:id="rId3"/>
    <sheet name="01-2" sheetId="7" r:id="rId4"/>
    <sheet name="02" sheetId="8" r:id="rId5"/>
    <sheet name="03-1" sheetId="9" r:id="rId6"/>
    <sheet name="03-2" sheetId="10" r:id="rId7"/>
    <sheet name="04" sheetId="11" r:id="rId8"/>
    <sheet name="05" sheetId="12" r:id="rId9"/>
    <sheet name="06" sheetId="13" r:id="rId10"/>
    <sheet name="07" sheetId="14" r:id="rId11"/>
    <sheet name="08" sheetId="15" r:id="rId12"/>
    <sheet name="09" sheetId="16" r:id="rId13"/>
    <sheet name="10" sheetId="17" r:id="rId14"/>
    <sheet name="11" sheetId="18" r:id="rId15"/>
    <sheet name="12" sheetId="19" r:id="rId16"/>
    <sheet name="13" sheetId="20" r:id="rId17"/>
    <sheet name="14" sheetId="21" r:id="rId18"/>
    <sheet name="15" sheetId="22" r:id="rId19"/>
    <sheet name="16" sheetId="23" r:id="rId20"/>
    <sheet name="17" sheetId="24" r:id="rId21"/>
    <sheet name="18" sheetId="25" r:id="rId22"/>
    <sheet name="19" sheetId="26" r:id="rId23"/>
    <sheet name="20-1 " sheetId="27" r:id="rId24"/>
    <sheet name="20-2" sheetId="28" r:id="rId25"/>
    <sheet name="21" sheetId="29" r:id="rId26"/>
    <sheet name="22-1" sheetId="30" r:id="rId27"/>
    <sheet name="22-2" sheetId="31" r:id="rId28"/>
    <sheet name="23" sheetId="32" r:id="rId29"/>
    <sheet name="24" sheetId="33" r:id="rId30"/>
    <sheet name="25" sheetId="34" r:id="rId31"/>
    <sheet name="26" sheetId="35" r:id="rId32"/>
    <sheet name="27" sheetId="36" r:id="rId33"/>
    <sheet name="28" sheetId="37" r:id="rId34"/>
    <sheet name="29" sheetId="38" r:id="rId35"/>
    <sheet name="30" sheetId="39" r:id="rId36"/>
    <sheet name="31" sheetId="40" r:id="rId37"/>
    <sheet name="32" sheetId="41" r:id="rId38"/>
    <sheet name="33" sheetId="42" r:id="rId39"/>
    <sheet name="34" sheetId="43" r:id="rId40"/>
    <sheet name="35" sheetId="44" r:id="rId41"/>
    <sheet name="36" sheetId="45" r:id="rId42"/>
    <sheet name="37" sheetId="46" r:id="rId43"/>
    <sheet name="38" sheetId="47" r:id="rId44"/>
    <sheet name="39" sheetId="48" r:id="rId45"/>
    <sheet name="40" sheetId="49" r:id="rId46"/>
    <sheet name="41" sheetId="50" r:id="rId47"/>
    <sheet name="42" sheetId="51" r:id="rId48"/>
    <sheet name="43" sheetId="52" r:id="rId49"/>
    <sheet name="44" sheetId="53" r:id="rId50"/>
    <sheet name="45" sheetId="54" r:id="rId51"/>
    <sheet name="46" sheetId="58" r:id="rId52"/>
    <sheet name="47" sheetId="56" r:id="rId53"/>
    <sheet name="48" sheetId="57" r:id="rId54"/>
  </sheets>
  <externalReferences>
    <externalReference r:id="rId55"/>
    <externalReference r:id="rId56"/>
    <externalReference r:id="rId57"/>
    <externalReference r:id="rId58"/>
    <externalReference r:id="rId59"/>
  </externalReferences>
  <definedNames>
    <definedName name="_xlnm._FilterDatabase" localSheetId="2" hidden="1">'01-1 '!$A$4:$I$50</definedName>
    <definedName name="_xlnm._FilterDatabase" localSheetId="3" hidden="1">'01-2'!$A$4:$I$50</definedName>
    <definedName name="_xlnm._FilterDatabase" localSheetId="4" hidden="1">'02'!$B$4:$I$1335</definedName>
    <definedName name="_xlnm._FilterDatabase" localSheetId="5" hidden="1">'03-1'!$A$4:$I$43</definedName>
    <definedName name="_xlnm._FilterDatabase" localSheetId="6" hidden="1">'03-2'!$A$4:$I$44</definedName>
    <definedName name="_xlnm._FilterDatabase" localSheetId="7" hidden="1">'04'!$B$4:$J$1324</definedName>
    <definedName name="_xlnm._FilterDatabase" localSheetId="8" hidden="1">'05'!$A$3:$D$10</definedName>
    <definedName name="_xlnm._FilterDatabase" localSheetId="9" hidden="1">'06'!$A$4:$I$35</definedName>
    <definedName name="_xlnm._FilterDatabase" localSheetId="10" hidden="1">'07'!$A$4:$J$346</definedName>
    <definedName name="_xlnm._FilterDatabase" localSheetId="11" hidden="1">'08'!$A$4:$I$36</definedName>
    <definedName name="_xlnm._FilterDatabase" localSheetId="12" hidden="1">'09'!$A$4:$J$337</definedName>
    <definedName name="_xlnm._FilterDatabase" localSheetId="13" hidden="1">'10'!$A$4:$G$43</definedName>
    <definedName name="_xlnm._FilterDatabase" localSheetId="14" hidden="1">'11'!$A$4:$G$29</definedName>
    <definedName name="_xlnm._FilterDatabase" localSheetId="15" hidden="1">'12'!$A$4:$G$35</definedName>
    <definedName name="_xlnm._FilterDatabase" localSheetId="16" hidden="1">'13'!$A$4:$G$20</definedName>
    <definedName name="_xlnm._FilterDatabase" localSheetId="17" hidden="1">'14'!$A$4:$G$37</definedName>
    <definedName name="_xlnm._FilterDatabase" localSheetId="18" hidden="1">'15'!$A$4:$G$21</definedName>
    <definedName name="_xlnm._FilterDatabase" localSheetId="19" hidden="1">'16'!$A$4:$G$20</definedName>
    <definedName name="_xlnm._FilterDatabase" localSheetId="20" hidden="1">'17'!$A$4:$H$37</definedName>
    <definedName name="_xlnm._FilterDatabase" localSheetId="21" hidden="1">'18'!$A$4:$I$21</definedName>
    <definedName name="_xlnm._FilterDatabase" localSheetId="22" hidden="1">'19'!$A$4:$H$20</definedName>
    <definedName name="_xlnm._FilterDatabase" localSheetId="23" hidden="1">'20-1 '!$A$3:$F$40</definedName>
    <definedName name="_xlnm._FilterDatabase" localSheetId="24" hidden="1">'20-2'!$A$3:$F$39</definedName>
    <definedName name="_xlnm._FilterDatabase" localSheetId="25" hidden="1">'21'!$B$3:$G$1324</definedName>
    <definedName name="_xlnm._FilterDatabase" localSheetId="26" hidden="1">'22-1'!$A$4:$H$43</definedName>
    <definedName name="_xlnm._FilterDatabase" localSheetId="28" hidden="1">'23'!$B$4:$I$1325</definedName>
    <definedName name="_xlnm._FilterDatabase" localSheetId="29" hidden="1">'24'!$B$3:$D$66</definedName>
    <definedName name="_xlnm._FilterDatabase" localSheetId="31" hidden="1">'26'!$A$3:$E$31</definedName>
    <definedName name="_xlnm._FilterDatabase" localSheetId="32" hidden="1">'27'!$A$3:$H$23</definedName>
    <definedName name="_xlnm._FilterDatabase" localSheetId="33" hidden="1">'28'!$A$3:$F$34</definedName>
    <definedName name="_xlnm._FilterDatabase" localSheetId="34" hidden="1">'29'!$A$3:$G$345</definedName>
    <definedName name="_xlnm._FilterDatabase" localSheetId="35" hidden="1">'30'!$A$4:$I$36</definedName>
    <definedName name="_xlnm._FilterDatabase" localSheetId="36" hidden="1">'31'!$A$4:$J$337</definedName>
    <definedName name="_xlnm._FilterDatabase" localSheetId="37" hidden="1">'32'!$A$3:$E$15</definedName>
    <definedName name="_xlnm._FilterDatabase" localSheetId="38" hidden="1">'33'!$A$3:$E$42</definedName>
    <definedName name="_xlnm._FilterDatabase" localSheetId="39" hidden="1">'34'!$A$3:$E$28</definedName>
    <definedName name="_xlnm._FilterDatabase" localSheetId="40" hidden="1">'35'!$A$3:$E$34</definedName>
    <definedName name="_xlnm._FilterDatabase" localSheetId="41" hidden="1">'36'!$A$3:$E$19</definedName>
    <definedName name="_xlnm._FilterDatabase" localSheetId="43" hidden="1">'38'!$A$3:$E$36</definedName>
    <definedName name="_xlnm._FilterDatabase" localSheetId="44" hidden="1">'39'!$A$3:$E$20</definedName>
    <definedName name="_xlnm._FilterDatabase" localSheetId="45" hidden="1">'40'!$A$3:$E$19</definedName>
    <definedName name="_xlnm._FilterDatabase" localSheetId="46" hidden="1">'41'!$A$3:$E$36</definedName>
    <definedName name="_xlnm._FilterDatabase" localSheetId="47" hidden="1">'42'!$A$3:$F$20</definedName>
    <definedName name="_xlnm._FilterDatabase" localSheetId="48" hidden="1">'43'!$A$3:$E$19</definedName>
    <definedName name="_lst_r_地方财政预算表2015年全省汇总_10_科目编码名称">[1]_ESList!$A$1:$A$27</definedName>
    <definedName name="专项收入年初预算数">#REF!</definedName>
    <definedName name="专项收入全年预计数">#REF!</definedName>
    <definedName name="_xlnm.Print_Area" localSheetId="0">封面!$A$1:$D$7</definedName>
    <definedName name="_xlnm.Print_Area" localSheetId="1">目录!$A$1:$A$50</definedName>
    <definedName name="_xlnm.Print_Titles" localSheetId="1">目录!$1:$2</definedName>
    <definedName name="_xlnm.Print_Area" localSheetId="2">'01-1 '!$B$1:$H$41</definedName>
    <definedName name="_xlnm.Print_Titles" localSheetId="2">'01-1 '!$1:$2</definedName>
    <definedName name="_xlnm.Print_Area" localSheetId="3">'01-2'!$B$1:$H$40</definedName>
    <definedName name="_xlnm.Print_Titles" localSheetId="3">'01-2'!$1:$4</definedName>
    <definedName name="专项收入年初预算数" localSheetId="3">#REF!</definedName>
    <definedName name="专项收入全年预计数" localSheetId="3">#REF!</definedName>
    <definedName name="_xlnm.Print_Area" localSheetId="4">'02'!$B$1:$G$1335</definedName>
    <definedName name="_xlnm.Print_Titles" localSheetId="4">'02'!$1:$4</definedName>
    <definedName name="专项收入年初预算数" localSheetId="5">#REF!</definedName>
    <definedName name="专项收入全年预计数" localSheetId="5">#REF!</definedName>
    <definedName name="_xlnm.Print_Area" localSheetId="5">'03-1'!$B$1:$H$42</definedName>
    <definedName name="_xlnm.Print_Titles" localSheetId="5">'03-1'!$1:$4</definedName>
    <definedName name="专项收入年初预算数" localSheetId="6">#REF!</definedName>
    <definedName name="专项收入全年预计数" localSheetId="6">#REF!</definedName>
    <definedName name="_xlnm.Print_Area" localSheetId="6">'03-2'!$B$1:$H$44</definedName>
    <definedName name="_xlnm.Print_Titles" localSheetId="6">'03-2'!$1:$4</definedName>
    <definedName name="专项收入年初预算数" localSheetId="7">#REF!</definedName>
    <definedName name="专项收入全年预计数" localSheetId="7">#REF!</definedName>
    <definedName name="_xlnm.Print_Area" localSheetId="7">'04'!$B$1:$H$1324</definedName>
    <definedName name="_xlnm.Print_Titles" localSheetId="7">'04'!$1:$4</definedName>
    <definedName name="专项收入年初预算数" localSheetId="8">#REF!</definedName>
    <definedName name="专项收入全年预计数" localSheetId="8">#REF!</definedName>
    <definedName name="_xlnm.Print_Area" localSheetId="8">'05'!$A$1:$C$10</definedName>
    <definedName name="_xlnm.Print_Titles" localSheetId="8">'05'!$1:$3</definedName>
    <definedName name="专项收入年初预算数" localSheetId="9">#REF!</definedName>
    <definedName name="专项收入全年预计数" localSheetId="9">#REF!</definedName>
    <definedName name="_xlnm.Print_Area" localSheetId="9">'06'!$B$1:$H$35</definedName>
    <definedName name="_xlnm.Print_Titles" localSheetId="9">'06'!$1:$4</definedName>
    <definedName name="专项收入年初预算数" localSheetId="10">#REF!</definedName>
    <definedName name="专项收入全年预计数" localSheetId="10">#REF!</definedName>
    <definedName name="_xlnm.Print_Area" localSheetId="10">'07'!$B$1:$H$346</definedName>
    <definedName name="_xlnm.Print_Titles" localSheetId="10">'07'!$1:$4</definedName>
    <definedName name="专项收入年初预算数" localSheetId="11">#REF!</definedName>
    <definedName name="专项收入全年预计数" localSheetId="11">#REF!</definedName>
    <definedName name="_xlnm.Print_Area" localSheetId="11">'08'!$B$1:$H$36</definedName>
    <definedName name="_xlnm.Print_Titles" localSheetId="11">'08'!$1:$3</definedName>
    <definedName name="专项收入年初预算数" localSheetId="12">#REF!</definedName>
    <definedName name="专项收入全年预计数" localSheetId="12">#REF!</definedName>
    <definedName name="_xlnm.Print_Area" localSheetId="12">'09'!$B$1:$H$337</definedName>
    <definedName name="_xlnm.Print_Titles" localSheetId="12">'09'!$1:$4</definedName>
    <definedName name="专项收入年初预算数" localSheetId="13">#REF!</definedName>
    <definedName name="专项收入全年预计数" localSheetId="13">#REF!</definedName>
    <definedName name="_xlnm.Print_Area" localSheetId="13">'10'!$A$1:$F$43</definedName>
    <definedName name="_xlnm.Print_Titles" localSheetId="13">'10'!$1:$4</definedName>
    <definedName name="专项收入年初预算数" localSheetId="14">#REF!</definedName>
    <definedName name="专项收入全年预计数" localSheetId="14">#REF!</definedName>
    <definedName name="_xlnm.Print_Area" localSheetId="14">'11'!$A$1:$F$29</definedName>
    <definedName name="_xlnm.Print_Titles" localSheetId="14">'11'!$1:$4</definedName>
    <definedName name="专项收入年初预算数" localSheetId="15">#REF!</definedName>
    <definedName name="专项收入全年预计数" localSheetId="15">#REF!</definedName>
    <definedName name="_xlnm.Print_Area" localSheetId="15">'12'!$A$1:$F$35</definedName>
    <definedName name="_xlnm.Print_Titles" localSheetId="15">'12'!$1:$4</definedName>
    <definedName name="专项收入年初预算数" localSheetId="16">#REF!</definedName>
    <definedName name="专项收入全年预计数" localSheetId="16">#REF!</definedName>
    <definedName name="_xlnm.Print_Area" localSheetId="16">'13'!$A$1:$F$20</definedName>
    <definedName name="_lst_r_地方财政预算表2015年全省汇总_10_科目编码名称" localSheetId="17">[3]_ESList!$A$1:$A$27</definedName>
    <definedName name="专项收入年初预算数" localSheetId="17">#REF!</definedName>
    <definedName name="专项收入全年预计数" localSheetId="17">#REF!</definedName>
    <definedName name="_xlnm.Print_Area" localSheetId="17">'14'!$A$1:$F$37</definedName>
    <definedName name="_xlnm.Print_Titles" localSheetId="17">'14'!$1:$4</definedName>
    <definedName name="_lst_r_地方财政预算表2015年全省汇总_10_科目编码名称" localSheetId="18">[3]_ESList!$A$1:$A$27</definedName>
    <definedName name="专项收入年初预算数" localSheetId="18">#REF!</definedName>
    <definedName name="专项收入全年预计数" localSheetId="18">#REF!</definedName>
    <definedName name="_xlnm.Print_Area" localSheetId="18">'15'!$A$1:$F$21</definedName>
    <definedName name="_lst_r_地方财政预算表2015年全省汇总_10_科目编码名称" localSheetId="19">[3]_ESList!$A$1:$A$27</definedName>
    <definedName name="专项收入年初预算数" localSheetId="19">#REF!</definedName>
    <definedName name="专项收入全年预计数" localSheetId="19">#REF!</definedName>
    <definedName name="_xlnm.Print_Area" localSheetId="19">'16'!$A$1:$F$20</definedName>
    <definedName name="_lst_r_地方财政预算表2015年全省汇总_10_科目编码名称" localSheetId="20">[4]_ESList!$A$1:$A$27</definedName>
    <definedName name="专项收入年初预算数" localSheetId="20">#REF!</definedName>
    <definedName name="专项收入全年预计数" localSheetId="20">#REF!</definedName>
    <definedName name="_xlnm.Print_Area" localSheetId="20">'17'!$A$1:$G$37</definedName>
    <definedName name="_xlnm.Print_Titles" localSheetId="20">'17'!$1:$4</definedName>
    <definedName name="_lst_r_地方财政预算表2015年全省汇总_10_科目编码名称" localSheetId="21">[3]_ESList!$A$1:$A$27</definedName>
    <definedName name="专项收入年初预算数" localSheetId="21">#REF!</definedName>
    <definedName name="专项收入全年预计数" localSheetId="21">#REF!</definedName>
    <definedName name="_xlnm.Print_Area" localSheetId="21">'18'!$A$1:$G$21</definedName>
    <definedName name="_lst_r_地方财政预算表2015年全省汇总_10_科目编码名称" localSheetId="22">[3]_ESList!$A$1:$A$27</definedName>
    <definedName name="专项收入年初预算数" localSheetId="22">#REF!</definedName>
    <definedName name="专项收入全年预计数" localSheetId="22">#REF!</definedName>
    <definedName name="_xlnm.Print_Area" localSheetId="22">'19'!$A$1:$G$20</definedName>
    <definedName name="_xlnm.Print_Titles" localSheetId="22">'19'!$1:$4</definedName>
    <definedName name="专项收入年初预算数" localSheetId="23">#REF!</definedName>
    <definedName name="专项收入全年预计数" localSheetId="23">#REF!</definedName>
    <definedName name="_xlnm.Print_Area" localSheetId="23">'20-1 '!$B$1:$E$40</definedName>
    <definedName name="_xlnm.Print_Titles" localSheetId="23">'20-1 '!$1:$2</definedName>
    <definedName name="专项收入年初预算数" localSheetId="24">#REF!</definedName>
    <definedName name="专项收入全年预计数" localSheetId="24">#REF!</definedName>
    <definedName name="_xlnm.Print_Area" localSheetId="24">'20-2'!$B$1:$E$39</definedName>
    <definedName name="_xlnm.Print_Titles" localSheetId="24">'20-2'!$1:$3</definedName>
    <definedName name="专项收入年初预算数" localSheetId="25">#REF!</definedName>
    <definedName name="专项收入全年预计数" localSheetId="25">#REF!</definedName>
    <definedName name="_xlnm.Print_Area" localSheetId="25">'21'!$B$1:$E$1324</definedName>
    <definedName name="_xlnm.Print_Titles" localSheetId="25">'21'!$1:$3</definedName>
    <definedName name="专项收入年初预算数" localSheetId="26">#REF!</definedName>
    <definedName name="专项收入全年预计数" localSheetId="26">#REF!</definedName>
    <definedName name="_xlnm.Print_Area" localSheetId="26">'22-1'!$B$1:$G$42</definedName>
    <definedName name="_xlnm.Print_Titles" localSheetId="26">'22-1'!$1:$4</definedName>
    <definedName name="专项收入年初预算数" localSheetId="27">#REF!</definedName>
    <definedName name="专项收入全年预计数" localSheetId="27">#REF!</definedName>
    <definedName name="_xlnm._FilterDatabase" localSheetId="27" hidden="1">'22-2'!$A$3:$H$4</definedName>
    <definedName name="_xlnm.Print_Area" localSheetId="27">'22-2'!$B$1:$G$44</definedName>
    <definedName name="_xlnm.Print_Titles" localSheetId="27">'22-2'!$1:$4</definedName>
    <definedName name="专项收入年初预算数" localSheetId="28">#REF!</definedName>
    <definedName name="专项收入全年预计数" localSheetId="28">#REF!</definedName>
    <definedName name="_xlnm.Print_Area" localSheetId="28">'23'!$B$1:$G$1325</definedName>
    <definedName name="_xlnm.Print_Titles" localSheetId="28">'23'!$1:$4</definedName>
    <definedName name="专项收入年初预算数" localSheetId="29">#REF!</definedName>
    <definedName name="专项收入全年预计数" localSheetId="29">#REF!</definedName>
    <definedName name="_xlnm.Print_Area" localSheetId="29">'24'!$A$1:$C$66</definedName>
    <definedName name="_xlnm.Print_Titles" localSheetId="29">'24'!$1:$3</definedName>
    <definedName name="专项收入年初预算数" localSheetId="30">#REF!</definedName>
    <definedName name="专项收入全年预计数" localSheetId="30">#REF!</definedName>
    <definedName name="_xlnm.Print_Area" localSheetId="30">'25'!$A$1:$D$10</definedName>
    <definedName name="_xlnm.Print_Titles" localSheetId="30">'25'!$1:$3</definedName>
    <definedName name="专项收入年初预算数" localSheetId="31">#REF!</definedName>
    <definedName name="专项收入全年预计数" localSheetId="31">#REF!</definedName>
    <definedName name="_xlnm.Print_Area" localSheetId="31">'26'!$A$1:$D$31</definedName>
    <definedName name="_xlnm.Print_Titles" localSheetId="31">'26'!$1:$3</definedName>
    <definedName name="专项收入年初预算数" localSheetId="32">#REF!</definedName>
    <definedName name="专项收入全年预计数" localSheetId="32">#REF!</definedName>
    <definedName name="_xlnm.Print_Area" localSheetId="32">'27'!$A$1:$D$23</definedName>
    <definedName name="专项收入年初预算数" localSheetId="33">#REF!</definedName>
    <definedName name="专项收入全年预计数" localSheetId="33">#REF!</definedName>
    <definedName name="_xlnm.Print_Area" localSheetId="33">'28'!$B$1:$E$34</definedName>
    <definedName name="_xlnm.Print_Titles" localSheetId="33">'28'!$1:$3</definedName>
    <definedName name="专项收入年初预算数" localSheetId="34">#REF!</definedName>
    <definedName name="专项收入全年预计数" localSheetId="34">#REF!</definedName>
    <definedName name="_xlnm.Print_Area" localSheetId="34">'29'!$B$1:$E$345</definedName>
    <definedName name="_xlnm.Print_Titles" localSheetId="34">'29'!$1:$2</definedName>
    <definedName name="专项收入年初预算数" localSheetId="35">#REF!</definedName>
    <definedName name="专项收入全年预计数" localSheetId="35">#REF!</definedName>
    <definedName name="_xlnm.Print_Area" localSheetId="35">'30'!$B$1:$H$36</definedName>
    <definedName name="_xlnm.Print_Titles" localSheetId="35">'30'!$1:$3</definedName>
    <definedName name="专项收入年初预算数" localSheetId="36">#REF!</definedName>
    <definedName name="专项收入全年预计数" localSheetId="36">#REF!</definedName>
    <definedName name="_xlnm.Print_Area" localSheetId="36">'31'!$B$1:$H$337</definedName>
    <definedName name="_xlnm.Print_Titles" localSheetId="36">'31'!$1:$4</definedName>
    <definedName name="专项收入年初预算数" localSheetId="37">#REF!</definedName>
    <definedName name="专项收入全年预计数" localSheetId="37">#REF!</definedName>
    <definedName name="_xlnm.Print_Area" localSheetId="37">'32'!$A$1:$D$15</definedName>
    <definedName name="_xlnm.Print_Titles" localSheetId="37">'32'!$1:$3</definedName>
    <definedName name="专项收入年初预算数" localSheetId="38">#REF!</definedName>
    <definedName name="专项收入全年预计数" localSheetId="38">#REF!</definedName>
    <definedName name="_xlnm.Print_Area" localSheetId="38">'33'!$A$1:$D$42</definedName>
    <definedName name="_xlnm.Print_Titles" localSheetId="38">'33'!$1:$3</definedName>
    <definedName name="专项收入年初预算数" localSheetId="39">#REF!</definedName>
    <definedName name="专项收入全年预计数" localSheetId="39">#REF!</definedName>
    <definedName name="_xlnm.Print_Area" localSheetId="39">'34'!$A$1:$D$28</definedName>
    <definedName name="_xlnm.Print_Titles" localSheetId="39">'34'!$1:$3</definedName>
    <definedName name="专项收入年初预算数" localSheetId="40">#REF!</definedName>
    <definedName name="专项收入全年预计数" localSheetId="40">#REF!</definedName>
    <definedName name="_xlnm.Print_Area" localSheetId="40">'35'!$A$1:$D$34</definedName>
    <definedName name="_xlnm.Print_Titles" localSheetId="40">'35'!$1:$3</definedName>
    <definedName name="专项收入年初预算数" localSheetId="41">#REF!</definedName>
    <definedName name="专项收入全年预计数" localSheetId="41">#REF!</definedName>
    <definedName name="_xlnm.Print_Area" localSheetId="41">'36'!$A$1:$D$19</definedName>
    <definedName name="专项收入年初预算数" localSheetId="42">#REF!</definedName>
    <definedName name="专项收入全年预计数" localSheetId="42">#REF!</definedName>
    <definedName name="_lst_r_地方财政预算表2015年全省汇总_10_科目编码名称" localSheetId="43">[3]_ESList!$A$1:$A$27</definedName>
    <definedName name="专项收入年初预算数" localSheetId="43">#REF!</definedName>
    <definedName name="专项收入全年预计数" localSheetId="43">#REF!</definedName>
    <definedName name="_xlnm.Print_Area" localSheetId="43">'38'!$A$1:$D$36</definedName>
    <definedName name="_xlnm.Print_Titles" localSheetId="43">'38'!$1:$3</definedName>
    <definedName name="_lst_r_地方财政预算表2015年全省汇总_10_科目编码名称" localSheetId="44">[3]_ESList!$A$1:$A$27</definedName>
    <definedName name="专项收入年初预算数" localSheetId="44">#REF!</definedName>
    <definedName name="专项收入全年预计数" localSheetId="44">#REF!</definedName>
    <definedName name="_xlnm.Print_Area" localSheetId="44">'39'!$A$1:$D$20</definedName>
    <definedName name="_lst_r_地方财政预算表2015年全省汇总_10_科目编码名称" localSheetId="45">[3]_ESList!$A$1:$A$27</definedName>
    <definedName name="专项收入年初预算数" localSheetId="45">#REF!</definedName>
    <definedName name="专项收入全年预计数" localSheetId="45">#REF!</definedName>
    <definedName name="_xlnm.Print_Area" localSheetId="45">'40'!$A$1:$D$19</definedName>
    <definedName name="_lst_r_地方财政预算表2015年全省汇总_10_科目编码名称" localSheetId="46">[3]_ESList!$A$1:$A$27</definedName>
    <definedName name="专项收入年初预算数" localSheetId="46">#REF!</definedName>
    <definedName name="专项收入全年预计数" localSheetId="46">#REF!</definedName>
    <definedName name="_xlnm.Print_Area" localSheetId="46">'41'!$A$1:$D$36</definedName>
    <definedName name="_xlnm.Print_Titles" localSheetId="46">'41'!$1:$3</definedName>
    <definedName name="_lst_r_地方财政预算表2015年全省汇总_10_科目编码名称" localSheetId="47">[3]_ESList!$A$1:$A$27</definedName>
    <definedName name="专项收入年初预算数" localSheetId="47">#REF!</definedName>
    <definedName name="专项收入全年预计数" localSheetId="47">#REF!</definedName>
    <definedName name="_xlnm.Print_Area" localSheetId="47">'42'!$A$1:$D$20</definedName>
    <definedName name="_lst_r_地方财政预算表2015年全省汇总_10_科目编码名称" localSheetId="48">[3]_ESList!$A$1:$A$27</definedName>
    <definedName name="专项收入年初预算数" localSheetId="48">#REF!</definedName>
    <definedName name="专项收入全年预计数" localSheetId="48">#REF!</definedName>
    <definedName name="_xlnm.Print_Area" localSheetId="48">'43'!$A$1:$D$19</definedName>
    <definedName name="_xlnm.Print_Titles" localSheetId="48">'43'!$1:$3</definedName>
    <definedName name="_xlnm.Print_Area" localSheetId="50">'45'!$A$1:$L$24</definedName>
    <definedName name="专项收入年初预算数" localSheetId="51">#REF!</definedName>
    <definedName name="专项收入全年预计数" localSheetId="51">#REF!</definedName>
  </definedNames>
  <calcPr calcId="144525"/>
</workbook>
</file>

<file path=xl/sharedStrings.xml><?xml version="1.0" encoding="utf-8"?>
<sst xmlns="http://schemas.openxmlformats.org/spreadsheetml/2006/main" count="9044" uniqueCount="1997">
  <si>
    <t>会议资料
妥善保存</t>
  </si>
  <si>
    <t>丽      江      市</t>
  </si>
  <si>
    <t xml:space="preserve">                                                                                                                                   </t>
  </si>
  <si>
    <t xml:space="preserve"> </t>
  </si>
  <si>
    <t>丽江市财政局编制</t>
  </si>
  <si>
    <t>目   录</t>
  </si>
  <si>
    <t>非打印区域（过程）</t>
  </si>
  <si>
    <t>表一</t>
  </si>
  <si>
    <t>2025年丽江市一般公共预算收支情况表</t>
  </si>
  <si>
    <t>表二</t>
  </si>
  <si>
    <t>2025年丽江市一般公共预算支出执行情况表</t>
  </si>
  <si>
    <t>表三</t>
  </si>
  <si>
    <t>2025年市本级一般公共预算收支情况表</t>
  </si>
  <si>
    <t>表四</t>
  </si>
  <si>
    <t>2025年市本级一般公共预算支出执行情况表</t>
  </si>
  <si>
    <t>表五</t>
  </si>
  <si>
    <t>2025年市本级预备费安排情况表</t>
  </si>
  <si>
    <t>表六</t>
  </si>
  <si>
    <t>2025年丽江市政府性基金预算收入执行情况表</t>
  </si>
  <si>
    <t>表七</t>
  </si>
  <si>
    <t>2025年丽江市政府性基金预算支出执行情况表</t>
  </si>
  <si>
    <t>表八</t>
  </si>
  <si>
    <t>2025年市本级政府性基金预算收入执行情况表</t>
  </si>
  <si>
    <t>表九</t>
  </si>
  <si>
    <t>2025年市本级政府性基金预算支出执行情况表</t>
  </si>
  <si>
    <t>表十</t>
  </si>
  <si>
    <t>2025年丽江市国有资本经营预算收入执行情况表</t>
  </si>
  <si>
    <t>表十一</t>
  </si>
  <si>
    <t>2025年丽江市国有资本经营预算支出执行情况表</t>
  </si>
  <si>
    <t>表十二</t>
  </si>
  <si>
    <t>2025年市本级国有资本经营预算收入执行情况表</t>
  </si>
  <si>
    <t>表十三</t>
  </si>
  <si>
    <t>2025年市本级国有资本经营预算支出执行情况表</t>
  </si>
  <si>
    <t>表十四</t>
  </si>
  <si>
    <t>2025年丽江市社会保险基金预算收入执行情况表</t>
  </si>
  <si>
    <t>表十五</t>
  </si>
  <si>
    <t>2025年丽江市社会保险基金预算支出执行情况表</t>
  </si>
  <si>
    <t>表十六</t>
  </si>
  <si>
    <t>2025年丽江市社会保险基金预算结余执行情况表</t>
  </si>
  <si>
    <t>表十七</t>
  </si>
  <si>
    <t>2025年市本级社会保险基金预算收入执行情况表</t>
  </si>
  <si>
    <t>表十八</t>
  </si>
  <si>
    <t>2025年市本级社会保险基金预算支出执行情况表</t>
  </si>
  <si>
    <t>表十九</t>
  </si>
  <si>
    <t>2025年市本级社会保险基金预算结余执行情况表</t>
  </si>
  <si>
    <t>表二十</t>
  </si>
  <si>
    <t>2026年丽江市一般公共预算收支情况表</t>
  </si>
  <si>
    <t>表二十一</t>
  </si>
  <si>
    <t>2026年丽江市一般公共预算支出情况表</t>
  </si>
  <si>
    <t>表二十二</t>
  </si>
  <si>
    <t>2026年市本级一般公共预算收支情况表</t>
  </si>
  <si>
    <t>表二十三</t>
  </si>
  <si>
    <t>2026年市本级一般公共预算支出情况表</t>
  </si>
  <si>
    <t>表二十四</t>
  </si>
  <si>
    <t>2026年丽江市市本级一般公共预算支出表(市对下转移支付项目)</t>
  </si>
  <si>
    <t>表二十五</t>
  </si>
  <si>
    <t>2026年丽江市分地区税收返还和转移支付预算表</t>
  </si>
  <si>
    <t>表二十六</t>
  </si>
  <si>
    <t>2026年丽江市市本级一般公共预算政府预算经济分类表(基本支出)</t>
  </si>
  <si>
    <t>表二十七</t>
  </si>
  <si>
    <t>2026年丽江市市本级一般公共预算重点项目情况表</t>
  </si>
  <si>
    <t>表二十八</t>
  </si>
  <si>
    <t>2026年丽江市政府性基金预算收入情况表</t>
  </si>
  <si>
    <t>表二十九</t>
  </si>
  <si>
    <t>2026年丽江市政府性基金预算支出情况表</t>
  </si>
  <si>
    <t>表三十</t>
  </si>
  <si>
    <t>2026年市本级政府性基金预算收入情况表</t>
  </si>
  <si>
    <t>表三十一</t>
  </si>
  <si>
    <t>2026年市本级政府性基金预算支出情况表</t>
  </si>
  <si>
    <t>表三十二</t>
  </si>
  <si>
    <t>2026年丽江市市本级政府性基金支出表(市对下转移支付)</t>
  </si>
  <si>
    <t>表三十三</t>
  </si>
  <si>
    <t>2026年丽江市国有资本经营预算收入情况表</t>
  </si>
  <si>
    <t>表三十四</t>
  </si>
  <si>
    <t>2026年丽江市国有资本经营预算支出情况表</t>
  </si>
  <si>
    <t>表三十五</t>
  </si>
  <si>
    <t>2026年市本级国有资本经营预算收入情况表</t>
  </si>
  <si>
    <t>表三十六</t>
  </si>
  <si>
    <t>2026年市本级国有资本经营预算支出情况表</t>
  </si>
  <si>
    <t>表三十七</t>
  </si>
  <si>
    <t>2026年市本级国有资本经营预算支出明细表</t>
  </si>
  <si>
    <t>表三十八</t>
  </si>
  <si>
    <t>2026年丽江市社会保险基金预算收入情况表</t>
  </si>
  <si>
    <t>表三十九</t>
  </si>
  <si>
    <t>2026年丽江市社会保险基金预算支出情况表</t>
  </si>
  <si>
    <t>表四十</t>
  </si>
  <si>
    <t>2026年丽江市社会保险基金预算结余情况表</t>
  </si>
  <si>
    <t>表四十一</t>
  </si>
  <si>
    <t>2026年市本级社会保险基金预算收入情况表</t>
  </si>
  <si>
    <t>表四十二</t>
  </si>
  <si>
    <t>2026年市本级社会保险基金预算支出情况表</t>
  </si>
  <si>
    <t>表四十三</t>
  </si>
  <si>
    <t>2026年市本级社会保险基金预算结余情况表</t>
  </si>
  <si>
    <t>表四十四</t>
  </si>
  <si>
    <t>2025年丽江市政府债务限额和余额情况表</t>
  </si>
  <si>
    <t>表四十五</t>
  </si>
  <si>
    <t>2025年丽江市地方政府债务投向情况表</t>
  </si>
  <si>
    <t>表四十六</t>
  </si>
  <si>
    <t>2025年市本级地方政府债务投向情况表</t>
  </si>
  <si>
    <t>表四十七</t>
  </si>
  <si>
    <t>2026年丽江市政府债务限额和余额情况表</t>
  </si>
  <si>
    <t>表四十八</t>
  </si>
  <si>
    <t>丽江市2025年地方政府债务限额分地区情况表</t>
  </si>
  <si>
    <t>单位：万元</t>
  </si>
  <si>
    <t>科目编码</t>
  </si>
  <si>
    <t>项目</t>
  </si>
  <si>
    <t>2024年决算数</t>
  </si>
  <si>
    <t>2025年</t>
  </si>
  <si>
    <t>比较</t>
  </si>
  <si>
    <t>预算数</t>
  </si>
  <si>
    <t>执行数</t>
  </si>
  <si>
    <t>比2024年决算数增长%</t>
  </si>
  <si>
    <t>完成2025年预算数的%</t>
  </si>
  <si>
    <t>打印</t>
  </si>
  <si>
    <t>101</t>
  </si>
  <si>
    <t>一、税收收入</t>
  </si>
  <si>
    <t>10101</t>
  </si>
  <si>
    <t xml:space="preserve">   增值税</t>
  </si>
  <si>
    <t>10104</t>
  </si>
  <si>
    <t xml:space="preserve">   企业所得税</t>
  </si>
  <si>
    <t>10106</t>
  </si>
  <si>
    <t xml:space="preserve">   个人所得税</t>
  </si>
  <si>
    <t>10107</t>
  </si>
  <si>
    <t xml:space="preserve">   资源税</t>
  </si>
  <si>
    <t>10109</t>
  </si>
  <si>
    <t xml:space="preserve">   城市维护建设税</t>
  </si>
  <si>
    <t>10110</t>
  </si>
  <si>
    <t xml:space="preserve">   房产税</t>
  </si>
  <si>
    <t>10111</t>
  </si>
  <si>
    <t xml:space="preserve">   印花税</t>
  </si>
  <si>
    <t>10112</t>
  </si>
  <si>
    <t xml:space="preserve">   城镇土地使用税</t>
  </si>
  <si>
    <t>10113</t>
  </si>
  <si>
    <t xml:space="preserve">   土地增值税</t>
  </si>
  <si>
    <t>10114</t>
  </si>
  <si>
    <t xml:space="preserve">   车船税</t>
  </si>
  <si>
    <t>10118</t>
  </si>
  <si>
    <t xml:space="preserve">   耕地占用税</t>
  </si>
  <si>
    <t>10119</t>
  </si>
  <si>
    <t xml:space="preserve">   契税</t>
  </si>
  <si>
    <t>10120</t>
  </si>
  <si>
    <t xml:space="preserve">   烟叶税</t>
  </si>
  <si>
    <t>10121</t>
  </si>
  <si>
    <t xml:space="preserve">   环境保护税</t>
  </si>
  <si>
    <t>10199</t>
  </si>
  <si>
    <t xml:space="preserve">   其他税收收入</t>
  </si>
  <si>
    <t>103</t>
  </si>
  <si>
    <t>二、非税收入</t>
  </si>
  <si>
    <t>10302</t>
  </si>
  <si>
    <t xml:space="preserve">   专项收入</t>
  </si>
  <si>
    <t>10304</t>
  </si>
  <si>
    <t xml:space="preserve">   行政事业性收费收入</t>
  </si>
  <si>
    <t>10305</t>
  </si>
  <si>
    <t xml:space="preserve">   罚没收入</t>
  </si>
  <si>
    <t>10306</t>
  </si>
  <si>
    <t xml:space="preserve">   国有资本经营收入</t>
  </si>
  <si>
    <t>10307</t>
  </si>
  <si>
    <t xml:space="preserve">   国有资源（资产）有偿使用收入</t>
  </si>
  <si>
    <t>10308</t>
  </si>
  <si>
    <t xml:space="preserve">   捐赠收入</t>
  </si>
  <si>
    <t>10309</t>
  </si>
  <si>
    <t xml:space="preserve">   政府住房基金收入</t>
  </si>
  <si>
    <t>10399</t>
  </si>
  <si>
    <t xml:space="preserve">   其他收入</t>
  </si>
  <si>
    <t>全市一般公共预算收入</t>
  </si>
  <si>
    <t>地方政府一般债务收入</t>
  </si>
  <si>
    <t>转移性收入</t>
  </si>
  <si>
    <t xml:space="preserve">   返还性收入</t>
  </si>
  <si>
    <t xml:space="preserve">   一般性转移支付收入</t>
  </si>
  <si>
    <t xml:space="preserve">   专项转移支付收入</t>
  </si>
  <si>
    <t xml:space="preserve">   上年结余收入</t>
  </si>
  <si>
    <t xml:space="preserve">   调入资金</t>
  </si>
  <si>
    <t xml:space="preserve">   动用预算稳定调节基金</t>
  </si>
  <si>
    <t xml:space="preserve">   区域间转移性收入</t>
  </si>
  <si>
    <t>各项收入合计</t>
  </si>
  <si>
    <t>一、一般公共服务支出</t>
  </si>
  <si>
    <t>二、外交支出</t>
  </si>
  <si>
    <t>三、国防支出</t>
  </si>
  <si>
    <t>四、公共安全支出</t>
  </si>
  <si>
    <t>五、教育支出</t>
  </si>
  <si>
    <t>六、科学技术支出</t>
  </si>
  <si>
    <t>七、文化旅游体育与传媒支出</t>
  </si>
  <si>
    <t>八、社会保障和就业支出</t>
  </si>
  <si>
    <t>九、卫生健康支出</t>
  </si>
  <si>
    <t>十、节能环保支出</t>
  </si>
  <si>
    <t>十一、城乡社区支出</t>
  </si>
  <si>
    <t>十二、农林水支出</t>
  </si>
  <si>
    <t>十三、交通运输支出</t>
  </si>
  <si>
    <t>十四、资源勘探工业信息等支出</t>
  </si>
  <si>
    <t>十五、商业服务业等支出</t>
  </si>
  <si>
    <t>十六、金融支出</t>
  </si>
  <si>
    <t>十七、援助其他地区支出</t>
  </si>
  <si>
    <t>十八、自然资源海洋气象等支出</t>
  </si>
  <si>
    <t>十九、住房保障支出</t>
  </si>
  <si>
    <t>二十、粮油物资储备支出</t>
  </si>
  <si>
    <t>二十一、灾害防治及应急管理支出</t>
  </si>
  <si>
    <t>二十二、预备费</t>
  </si>
  <si>
    <t>二十三、债务付息支出</t>
  </si>
  <si>
    <t>二十四、债务发行费用支出</t>
  </si>
  <si>
    <t>二十五、其他支出</t>
  </si>
  <si>
    <t>全市一般公共预算支出</t>
  </si>
  <si>
    <t>转移性支出</t>
  </si>
  <si>
    <t xml:space="preserve">    上解支出</t>
  </si>
  <si>
    <t xml:space="preserve">    调出资金</t>
  </si>
  <si>
    <t xml:space="preserve">    安排预算稳定调节基金</t>
  </si>
  <si>
    <t xml:space="preserve">    补充预算周转金</t>
  </si>
  <si>
    <t>地方政府一般债务还本支出</t>
  </si>
  <si>
    <t>区域间转移性支出</t>
  </si>
  <si>
    <t>年终结转</t>
  </si>
  <si>
    <t>各项支出合计</t>
  </si>
  <si>
    <t>类-款-项</t>
  </si>
  <si>
    <t xml:space="preserve">   人大事务</t>
  </si>
  <si>
    <t xml:space="preserve">     行政运行</t>
  </si>
  <si>
    <t xml:space="preserve">     一般行政管理事务</t>
  </si>
  <si>
    <t xml:space="preserve">     机关服务</t>
  </si>
  <si>
    <t xml:space="preserve">     人大会议</t>
  </si>
  <si>
    <t xml:space="preserve">     人大立法</t>
  </si>
  <si>
    <t xml:space="preserve">     人大监督</t>
  </si>
  <si>
    <t xml:space="preserve">     人大代表履职能力提升</t>
  </si>
  <si>
    <t xml:space="preserve">     代表工作</t>
  </si>
  <si>
    <t xml:space="preserve">     人大信访工作</t>
  </si>
  <si>
    <t xml:space="preserve">     事业运行</t>
  </si>
  <si>
    <t xml:space="preserve">     其他人大事务支出</t>
  </si>
  <si>
    <t xml:space="preserve">   政协事务</t>
  </si>
  <si>
    <t xml:space="preserve">     政协会议</t>
  </si>
  <si>
    <t xml:space="preserve">     委员视察</t>
  </si>
  <si>
    <t xml:space="preserve">     参政议政</t>
  </si>
  <si>
    <t xml:space="preserve">     其他政协事务支出</t>
  </si>
  <si>
    <t xml:space="preserve">   政府办公厅(室)及相关机构事务</t>
  </si>
  <si>
    <t xml:space="preserve">     专项服务</t>
  </si>
  <si>
    <t xml:space="preserve">     专项业务及机关事务管理</t>
  </si>
  <si>
    <t xml:space="preserve">     政务公开审批</t>
  </si>
  <si>
    <t xml:space="preserve">     参事事务</t>
  </si>
  <si>
    <t xml:space="preserve">     其他政府办公厅（室）及相关机构事务支出</t>
  </si>
  <si>
    <t xml:space="preserve">   发展与改革事务</t>
  </si>
  <si>
    <t xml:space="preserve">     战略规划与实施</t>
  </si>
  <si>
    <t xml:space="preserve">     日常经济运行调节</t>
  </si>
  <si>
    <t xml:space="preserve">     社会事业发展规划</t>
  </si>
  <si>
    <t xml:space="preserve">     经济体制改革研究</t>
  </si>
  <si>
    <t xml:space="preserve">     物价管理</t>
  </si>
  <si>
    <t xml:space="preserve">     其他发展与改革事务支出</t>
  </si>
  <si>
    <t xml:space="preserve">   统计信息事务</t>
  </si>
  <si>
    <t xml:space="preserve">     信息事务</t>
  </si>
  <si>
    <t xml:space="preserve">     专项统计业务</t>
  </si>
  <si>
    <t xml:space="preserve">     统计管理</t>
  </si>
  <si>
    <t xml:space="preserve">     专项普查活动</t>
  </si>
  <si>
    <t xml:space="preserve">     统计抽样调查</t>
  </si>
  <si>
    <t xml:space="preserve">     其他统计信息事务支出</t>
  </si>
  <si>
    <t xml:space="preserve">   财政事务</t>
  </si>
  <si>
    <t xml:space="preserve">     预算改革业务</t>
  </si>
  <si>
    <t xml:space="preserve">     财政国库业务</t>
  </si>
  <si>
    <t xml:space="preserve">     财政监察</t>
  </si>
  <si>
    <t xml:space="preserve">     信息化建设</t>
  </si>
  <si>
    <t xml:space="preserve">     财政委托业务支出</t>
  </si>
  <si>
    <t xml:space="preserve">     其他财政事务支出</t>
  </si>
  <si>
    <t xml:space="preserve">   税收事务</t>
  </si>
  <si>
    <t xml:space="preserve">     税收业务</t>
  </si>
  <si>
    <t xml:space="preserve">     其他税收事务支出</t>
  </si>
  <si>
    <t xml:space="preserve">   审计事务</t>
  </si>
  <si>
    <t xml:space="preserve">     审计业务</t>
  </si>
  <si>
    <t xml:space="preserve">     审计管理</t>
  </si>
  <si>
    <t xml:space="preserve">     其他审计事务支出</t>
  </si>
  <si>
    <t xml:space="preserve">   海关事务</t>
  </si>
  <si>
    <t xml:space="preserve">     缉私办案</t>
  </si>
  <si>
    <t xml:space="preserve">     口岸管理</t>
  </si>
  <si>
    <t xml:space="preserve">     海关关务</t>
  </si>
  <si>
    <t xml:space="preserve">     关税征管</t>
  </si>
  <si>
    <t xml:space="preserve">     海关监管</t>
  </si>
  <si>
    <t xml:space="preserve">     检验检疫</t>
  </si>
  <si>
    <t xml:space="preserve">     其他海关事务支出</t>
  </si>
  <si>
    <t xml:space="preserve">   纪检监察事务</t>
  </si>
  <si>
    <t xml:space="preserve">     大案要案查处</t>
  </si>
  <si>
    <t xml:space="preserve">     派驻派出机构</t>
  </si>
  <si>
    <t xml:space="preserve">     巡视工作</t>
  </si>
  <si>
    <t xml:space="preserve">     其他纪检监察事务支出</t>
  </si>
  <si>
    <t xml:space="preserve">   商贸事务</t>
  </si>
  <si>
    <t xml:space="preserve">     对外贸易管理</t>
  </si>
  <si>
    <t xml:space="preserve">     国际经济合作</t>
  </si>
  <si>
    <t xml:space="preserve">     外资管理</t>
  </si>
  <si>
    <t xml:space="preserve">     国内贸易管理</t>
  </si>
  <si>
    <t xml:space="preserve">     招商引资</t>
  </si>
  <si>
    <t xml:space="preserve">     其他商贸事务支出</t>
  </si>
  <si>
    <t xml:space="preserve">   知识产权事务</t>
  </si>
  <si>
    <t xml:space="preserve">     专利审批</t>
  </si>
  <si>
    <t xml:space="preserve">     产权战略与规划</t>
  </si>
  <si>
    <t xml:space="preserve">     国际合作与交流</t>
  </si>
  <si>
    <t xml:space="preserve">     知识产权宏观管理</t>
  </si>
  <si>
    <t xml:space="preserve">     商标管理</t>
  </si>
  <si>
    <t xml:space="preserve">     原产地地理标志管理</t>
  </si>
  <si>
    <t xml:space="preserve">     其他知识产权事务支出</t>
  </si>
  <si>
    <t xml:space="preserve">   民族事务</t>
  </si>
  <si>
    <t xml:space="preserve">     民族工作专项</t>
  </si>
  <si>
    <t xml:space="preserve">     其他民族事务支出</t>
  </si>
  <si>
    <t xml:space="preserve">   港澳台事务</t>
  </si>
  <si>
    <t xml:space="preserve">     港澳事务</t>
  </si>
  <si>
    <t xml:space="preserve">     台湾事务</t>
  </si>
  <si>
    <t xml:space="preserve">     其他港澳台事务支出</t>
  </si>
  <si>
    <t xml:space="preserve">   档案事务</t>
  </si>
  <si>
    <t xml:space="preserve">     档案馆</t>
  </si>
  <si>
    <t xml:space="preserve">     其他档案事务支出</t>
  </si>
  <si>
    <t xml:space="preserve">   民主党派及工商联事务</t>
  </si>
  <si>
    <t xml:space="preserve">     其他民主党派及工商联事务支出</t>
  </si>
  <si>
    <t xml:space="preserve">   群众团体事务</t>
  </si>
  <si>
    <t xml:space="preserve">     工会事务</t>
  </si>
  <si>
    <t xml:space="preserve">     其他群众团体事务支出</t>
  </si>
  <si>
    <t xml:space="preserve">   党委办公厅（室）及相关机构事务</t>
  </si>
  <si>
    <t xml:space="preserve">     专项业务</t>
  </si>
  <si>
    <t xml:space="preserve">     其他党委办公厅（室）及相关机构事务支出</t>
  </si>
  <si>
    <t xml:space="preserve">   组织事务</t>
  </si>
  <si>
    <t xml:space="preserve">     公务员事务</t>
  </si>
  <si>
    <t xml:space="preserve">     其他组织事务支出</t>
  </si>
  <si>
    <t xml:space="preserve">   宣传事务</t>
  </si>
  <si>
    <t xml:space="preserve">     宣传管理</t>
  </si>
  <si>
    <t xml:space="preserve">     其他宣传事务支出</t>
  </si>
  <si>
    <t xml:space="preserve">   统战事务</t>
  </si>
  <si>
    <t xml:space="preserve">     宗教事务</t>
  </si>
  <si>
    <t xml:space="preserve">     华侨事务</t>
  </si>
  <si>
    <t xml:space="preserve">     其他统战事务支出</t>
  </si>
  <si>
    <t xml:space="preserve">   对外联络事务</t>
  </si>
  <si>
    <t xml:space="preserve">     其他对外联络事务支出</t>
  </si>
  <si>
    <t xml:space="preserve">   其他共产党事务支出</t>
  </si>
  <si>
    <t xml:space="preserve">     其他共产党事务支出</t>
  </si>
  <si>
    <t xml:space="preserve">   网信事务</t>
  </si>
  <si>
    <t xml:space="preserve">     信息安全事务</t>
  </si>
  <si>
    <t xml:space="preserve">     其他网信事务支出</t>
  </si>
  <si>
    <t xml:space="preserve">   市场监督管理事务</t>
  </si>
  <si>
    <t xml:space="preserve">     经营主体管理</t>
  </si>
  <si>
    <t xml:space="preserve">     市场秩序执法</t>
  </si>
  <si>
    <t xml:space="preserve">     质量基础</t>
  </si>
  <si>
    <t xml:space="preserve">     药品事务</t>
  </si>
  <si>
    <t xml:space="preserve">     医疗器械事务</t>
  </si>
  <si>
    <t xml:space="preserve">     化妆品事务</t>
  </si>
  <si>
    <t xml:space="preserve">     质量安全监管</t>
  </si>
  <si>
    <t xml:space="preserve">     食品安全监管</t>
  </si>
  <si>
    <t xml:space="preserve">     其他市场监督管理事务</t>
  </si>
  <si>
    <t xml:space="preserve">   社会工作事务</t>
  </si>
  <si>
    <t xml:space="preserve">     其他社会工作事务支出</t>
  </si>
  <si>
    <t xml:space="preserve">   信访事务</t>
  </si>
  <si>
    <t xml:space="preserve">     信访业务</t>
  </si>
  <si>
    <t xml:space="preserve">     其他信访事务支出</t>
  </si>
  <si>
    <t xml:space="preserve">   数据事务</t>
  </si>
  <si>
    <t xml:space="preserve">     其他数据事务支出</t>
  </si>
  <si>
    <t xml:space="preserve">   其他一般公共服务支出</t>
  </si>
  <si>
    <t xml:space="preserve">     国家赔偿费用支出</t>
  </si>
  <si>
    <t xml:space="preserve">     其他一般公共服务支出</t>
  </si>
  <si>
    <t xml:space="preserve">   外交管理事务</t>
  </si>
  <si>
    <t xml:space="preserve">     其他外交管理事务支出</t>
  </si>
  <si>
    <t xml:space="preserve">   驻外机构</t>
  </si>
  <si>
    <t xml:space="preserve">     驻外使领馆（团、处）</t>
  </si>
  <si>
    <t xml:space="preserve">     其他驻外机构支出</t>
  </si>
  <si>
    <t xml:space="preserve">   对外援助</t>
  </si>
  <si>
    <t xml:space="preserve">     援外优惠贷款贴息</t>
  </si>
  <si>
    <t xml:space="preserve">     对外援助</t>
  </si>
  <si>
    <t xml:space="preserve">   国际组织</t>
  </si>
  <si>
    <t xml:space="preserve">     国际组织会费</t>
  </si>
  <si>
    <t xml:space="preserve">     国际组织捐赠</t>
  </si>
  <si>
    <t xml:space="preserve">     维和摊款</t>
  </si>
  <si>
    <t xml:space="preserve">     国际组织股金及基金</t>
  </si>
  <si>
    <t xml:space="preserve">     其他国际组织支出</t>
  </si>
  <si>
    <t xml:space="preserve">   对外合作与交流</t>
  </si>
  <si>
    <t xml:space="preserve">     在华国际会议</t>
  </si>
  <si>
    <t xml:space="preserve">     国际交流活动</t>
  </si>
  <si>
    <t xml:space="preserve">     对外合作活动</t>
  </si>
  <si>
    <t xml:space="preserve">     其他对外合作与交流支出</t>
  </si>
  <si>
    <t xml:space="preserve">   对外宣传</t>
  </si>
  <si>
    <t xml:space="preserve">     对外宣传</t>
  </si>
  <si>
    <t xml:space="preserve">   边界勘界联检</t>
  </si>
  <si>
    <t xml:space="preserve">     边界勘界</t>
  </si>
  <si>
    <t xml:space="preserve">     边界联检</t>
  </si>
  <si>
    <t xml:space="preserve">     边界界桩维护</t>
  </si>
  <si>
    <t xml:space="preserve">     其他支出</t>
  </si>
  <si>
    <t xml:space="preserve">   国际发展合作</t>
  </si>
  <si>
    <t xml:space="preserve">     其他国际发展合作支出</t>
  </si>
  <si>
    <t xml:space="preserve">   其他外交支出</t>
  </si>
  <si>
    <t xml:space="preserve">     其他外交支出</t>
  </si>
  <si>
    <t xml:space="preserve">   军费</t>
  </si>
  <si>
    <t xml:space="preserve">     现役部队</t>
  </si>
  <si>
    <t xml:space="preserve">     预备役部队</t>
  </si>
  <si>
    <t xml:space="preserve">     其他军费支出</t>
  </si>
  <si>
    <t xml:space="preserve">   国防科研事业</t>
  </si>
  <si>
    <t xml:space="preserve">     国防科研事业</t>
  </si>
  <si>
    <t xml:space="preserve">   专项工程</t>
  </si>
  <si>
    <t xml:space="preserve">     专项工程</t>
  </si>
  <si>
    <t xml:space="preserve">   国防动员</t>
  </si>
  <si>
    <t xml:space="preserve">     兵役征集</t>
  </si>
  <si>
    <t xml:space="preserve">     经济动员</t>
  </si>
  <si>
    <t xml:space="preserve">     人民防空</t>
  </si>
  <si>
    <t xml:space="preserve">     交通战备</t>
  </si>
  <si>
    <t xml:space="preserve">     民兵</t>
  </si>
  <si>
    <t xml:space="preserve">     边海防</t>
  </si>
  <si>
    <t xml:space="preserve">     其他国防动员支出</t>
  </si>
  <si>
    <t xml:space="preserve">   其他国防支出</t>
  </si>
  <si>
    <t xml:space="preserve">     其他国防支出</t>
  </si>
  <si>
    <t xml:space="preserve">   武装警察部队</t>
  </si>
  <si>
    <t xml:space="preserve">     武装警察部队</t>
  </si>
  <si>
    <t xml:space="preserve">     其他武装警察部队支出</t>
  </si>
  <si>
    <t xml:space="preserve">   公安</t>
  </si>
  <si>
    <t xml:space="preserve">     执法办案</t>
  </si>
  <si>
    <t xml:space="preserve">     特别业务</t>
  </si>
  <si>
    <t xml:space="preserve">     特勤业务</t>
  </si>
  <si>
    <t xml:space="preserve">     移民事务</t>
  </si>
  <si>
    <t xml:space="preserve">     其他公安支出</t>
  </si>
  <si>
    <t xml:space="preserve">   国家安全</t>
  </si>
  <si>
    <t xml:space="preserve">     安全业务</t>
  </si>
  <si>
    <t xml:space="preserve">     其他国家安全支出</t>
  </si>
  <si>
    <t xml:space="preserve">   检察</t>
  </si>
  <si>
    <t xml:space="preserve">     “两房”建设</t>
  </si>
  <si>
    <t xml:space="preserve">     检察监督</t>
  </si>
  <si>
    <t xml:space="preserve">     其他检察支出</t>
  </si>
  <si>
    <t xml:space="preserve">   法院</t>
  </si>
  <si>
    <t xml:space="preserve">     案件审判</t>
  </si>
  <si>
    <t xml:space="preserve">     案件执行</t>
  </si>
  <si>
    <t xml:space="preserve">     “两庭”建设</t>
  </si>
  <si>
    <t xml:space="preserve">     其他法院支出</t>
  </si>
  <si>
    <t xml:space="preserve">   司法</t>
  </si>
  <si>
    <t xml:space="preserve">     基层司法业务</t>
  </si>
  <si>
    <t xml:space="preserve">     普法宣传</t>
  </si>
  <si>
    <t xml:space="preserve">     律师管理</t>
  </si>
  <si>
    <t xml:space="preserve">     公共法律服务</t>
  </si>
  <si>
    <t xml:space="preserve">     国家统一法律职业资格考试</t>
  </si>
  <si>
    <t xml:space="preserve">     社区矫正</t>
  </si>
  <si>
    <t xml:space="preserve">     法治建设</t>
  </si>
  <si>
    <t xml:space="preserve">     其他司法支出</t>
  </si>
  <si>
    <t xml:space="preserve">   监狱</t>
  </si>
  <si>
    <t xml:space="preserve">     罪犯生活及医疗卫生</t>
  </si>
  <si>
    <t xml:space="preserve">     监狱业务及罪犯改造</t>
  </si>
  <si>
    <t xml:space="preserve">     狱政设施建设</t>
  </si>
  <si>
    <t xml:space="preserve">     其他监狱支出</t>
  </si>
  <si>
    <t xml:space="preserve">   强制隔离戒毒</t>
  </si>
  <si>
    <t xml:space="preserve">     强制隔离戒毒人员生活</t>
  </si>
  <si>
    <t xml:space="preserve">     强制隔离戒毒人员教育</t>
  </si>
  <si>
    <t xml:space="preserve">     所政设施建设</t>
  </si>
  <si>
    <t xml:space="preserve">     其他强制隔离戒毒支出</t>
  </si>
  <si>
    <t xml:space="preserve">   国家保密</t>
  </si>
  <si>
    <t xml:space="preserve">     保密技术</t>
  </si>
  <si>
    <t xml:space="preserve">     保密管理</t>
  </si>
  <si>
    <t xml:space="preserve">     其他国家保密支出</t>
  </si>
  <si>
    <t xml:space="preserve">   缉私警察</t>
  </si>
  <si>
    <t xml:space="preserve">     缉私业务</t>
  </si>
  <si>
    <t xml:space="preserve">     其他缉私警察支出</t>
  </si>
  <si>
    <t xml:space="preserve">   其他公共安全支出</t>
  </si>
  <si>
    <t xml:space="preserve">     国家司法救助支出</t>
  </si>
  <si>
    <t xml:space="preserve">     其他公共安全支出</t>
  </si>
  <si>
    <t xml:space="preserve">   教育管理事务</t>
  </si>
  <si>
    <t xml:space="preserve">     其他教育管理事务支出</t>
  </si>
  <si>
    <t xml:space="preserve">   普通教育</t>
  </si>
  <si>
    <t xml:space="preserve">     学前教育</t>
  </si>
  <si>
    <t xml:space="preserve">     小学教育</t>
  </si>
  <si>
    <t xml:space="preserve">     初中教育</t>
  </si>
  <si>
    <t xml:space="preserve">     高中教育</t>
  </si>
  <si>
    <t xml:space="preserve">     高等教育</t>
  </si>
  <si>
    <t xml:space="preserve">     其他普通教育支出</t>
  </si>
  <si>
    <t xml:space="preserve">   职业教育</t>
  </si>
  <si>
    <t xml:space="preserve">     初等职业教育</t>
  </si>
  <si>
    <t xml:space="preserve">     中等职业教育</t>
  </si>
  <si>
    <t xml:space="preserve">     技校教育</t>
  </si>
  <si>
    <t xml:space="preserve">     高等职业教育</t>
  </si>
  <si>
    <t xml:space="preserve">     其他职业教育支出</t>
  </si>
  <si>
    <t xml:space="preserve">   成人教育</t>
  </si>
  <si>
    <t xml:space="preserve">     成人初等教育</t>
  </si>
  <si>
    <t xml:space="preserve">     成人中等教育</t>
  </si>
  <si>
    <t xml:space="preserve">     成人高等教育</t>
  </si>
  <si>
    <t xml:space="preserve">     成人广播电视教育</t>
  </si>
  <si>
    <t xml:space="preserve">     其他成人教育支出</t>
  </si>
  <si>
    <t xml:space="preserve">   广播电视教育</t>
  </si>
  <si>
    <t xml:space="preserve">     广播电视学校</t>
  </si>
  <si>
    <t xml:space="preserve">     教育电视台</t>
  </si>
  <si>
    <t xml:space="preserve">     其他广播电视教育支出</t>
  </si>
  <si>
    <t xml:space="preserve">   留学教育</t>
  </si>
  <si>
    <t xml:space="preserve">     出国留学教育</t>
  </si>
  <si>
    <t xml:space="preserve">     来华留学教育</t>
  </si>
  <si>
    <t xml:space="preserve">     其他留学教育支出</t>
  </si>
  <si>
    <t xml:space="preserve">   特殊教育</t>
  </si>
  <si>
    <t xml:space="preserve">     特殊学校教育</t>
  </si>
  <si>
    <t xml:space="preserve">     专门学校教育</t>
  </si>
  <si>
    <t xml:space="preserve">     其他特殊教育支出</t>
  </si>
  <si>
    <t xml:space="preserve">   进修及培训</t>
  </si>
  <si>
    <t xml:space="preserve">     教师进修</t>
  </si>
  <si>
    <t xml:space="preserve">     干部教育</t>
  </si>
  <si>
    <t xml:space="preserve">     培训支出</t>
  </si>
  <si>
    <t xml:space="preserve">     退役士兵能力提升</t>
  </si>
  <si>
    <t xml:space="preserve">     其他进修及培训</t>
  </si>
  <si>
    <t xml:space="preserve">   教育费附加安排的支出</t>
  </si>
  <si>
    <t xml:space="preserve">     农村中小学校舍建设</t>
  </si>
  <si>
    <t xml:space="preserve">     农村中小学教学设施</t>
  </si>
  <si>
    <t xml:space="preserve">     城市中小学校舍建设</t>
  </si>
  <si>
    <t xml:space="preserve">     城市中小学教学设施</t>
  </si>
  <si>
    <t xml:space="preserve">     中等职业学校教学设施</t>
  </si>
  <si>
    <t xml:space="preserve">     其他教育费附加安排的支出</t>
  </si>
  <si>
    <t xml:space="preserve">   其他教育支出</t>
  </si>
  <si>
    <t xml:space="preserve">     其他教育支出</t>
  </si>
  <si>
    <t xml:space="preserve">   科学技术管理事务</t>
  </si>
  <si>
    <t xml:space="preserve">     其他科学技术管理事务支出</t>
  </si>
  <si>
    <t xml:space="preserve">   基础研究</t>
  </si>
  <si>
    <t xml:space="preserve">     机构运行</t>
  </si>
  <si>
    <t xml:space="preserve">     自然科学基金</t>
  </si>
  <si>
    <t xml:space="preserve">     实验室及相关设施</t>
  </si>
  <si>
    <t xml:space="preserve">     重大科学工程</t>
  </si>
  <si>
    <t xml:space="preserve">     专项基础科研</t>
  </si>
  <si>
    <t xml:space="preserve">     专项技术基础</t>
  </si>
  <si>
    <t xml:space="preserve">     科技人才队伍建设</t>
  </si>
  <si>
    <t xml:space="preserve">     其他基础研究支出</t>
  </si>
  <si>
    <t xml:space="preserve">   应用研究</t>
  </si>
  <si>
    <t xml:space="preserve">     社会公益研究</t>
  </si>
  <si>
    <t xml:space="preserve">     高技术研究</t>
  </si>
  <si>
    <t xml:space="preserve">     专项科研试制</t>
  </si>
  <si>
    <t xml:space="preserve">     其他应用研究支出</t>
  </si>
  <si>
    <t xml:space="preserve">   技术研究与开发</t>
  </si>
  <si>
    <t xml:space="preserve">     科技成果转化与扩散</t>
  </si>
  <si>
    <t xml:space="preserve">     共性技术研究与开发</t>
  </si>
  <si>
    <t xml:space="preserve">     其他技术研究与开发支出</t>
  </si>
  <si>
    <t xml:space="preserve">   科技条件与服务</t>
  </si>
  <si>
    <t xml:space="preserve">     技术创新服务体系</t>
  </si>
  <si>
    <t xml:space="preserve">     科技条件专项</t>
  </si>
  <si>
    <t xml:space="preserve">     其他科技条件与服务支出</t>
  </si>
  <si>
    <t xml:space="preserve">   社会科学</t>
  </si>
  <si>
    <t xml:space="preserve">     社会科学研究机构</t>
  </si>
  <si>
    <t xml:space="preserve">     社会科学研究</t>
  </si>
  <si>
    <t xml:space="preserve">     社科基金支出</t>
  </si>
  <si>
    <t xml:space="preserve">     其他社会科学支出</t>
  </si>
  <si>
    <t xml:space="preserve">   科学技术普及</t>
  </si>
  <si>
    <t xml:space="preserve">     科普活动</t>
  </si>
  <si>
    <t xml:space="preserve">     青少年科技活动</t>
  </si>
  <si>
    <t xml:space="preserve">     学术交流活动</t>
  </si>
  <si>
    <t xml:space="preserve">     科技馆站</t>
  </si>
  <si>
    <t xml:space="preserve">     其他科学技术普及支出</t>
  </si>
  <si>
    <t xml:space="preserve">   科技交流与合作</t>
  </si>
  <si>
    <t xml:space="preserve">     国际交流与合作</t>
  </si>
  <si>
    <t xml:space="preserve">     重大科技合作项目</t>
  </si>
  <si>
    <t xml:space="preserve">     其他科技交流与合作支出</t>
  </si>
  <si>
    <t xml:space="preserve">   科技重大项目</t>
  </si>
  <si>
    <t xml:space="preserve">     科技重大专项</t>
  </si>
  <si>
    <t xml:space="preserve">     重点研发计划</t>
  </si>
  <si>
    <t xml:space="preserve">     其他科技重大项目</t>
  </si>
  <si>
    <t xml:space="preserve">   其他科学技术支出</t>
  </si>
  <si>
    <t xml:space="preserve">     科技奖励</t>
  </si>
  <si>
    <t xml:space="preserve">     核应急</t>
  </si>
  <si>
    <t xml:space="preserve">     转制科研机构</t>
  </si>
  <si>
    <t xml:space="preserve">     其他科学技术支出</t>
  </si>
  <si>
    <t xml:space="preserve">   文化和旅游</t>
  </si>
  <si>
    <t xml:space="preserve">     图书馆</t>
  </si>
  <si>
    <t xml:space="preserve">     文化展示及纪念机构</t>
  </si>
  <si>
    <t xml:space="preserve">     艺术表演场所</t>
  </si>
  <si>
    <t xml:space="preserve">     艺术表演团体</t>
  </si>
  <si>
    <t xml:space="preserve">     文化活动</t>
  </si>
  <si>
    <t xml:space="preserve">     群众文化</t>
  </si>
  <si>
    <t xml:space="preserve">     文化和旅游交流与合作</t>
  </si>
  <si>
    <t xml:space="preserve">     文化创作与保护</t>
  </si>
  <si>
    <t xml:space="preserve">     文化和旅游市场管理</t>
  </si>
  <si>
    <t xml:space="preserve">     旅游宣传</t>
  </si>
  <si>
    <t xml:space="preserve">     文化和旅游管理事务</t>
  </si>
  <si>
    <t xml:space="preserve">     其他文化和旅游支出</t>
  </si>
  <si>
    <t xml:space="preserve">   文物</t>
  </si>
  <si>
    <t xml:space="preserve">     文物保护</t>
  </si>
  <si>
    <t xml:space="preserve">     博物馆</t>
  </si>
  <si>
    <t xml:space="preserve">     历史名城与古迹</t>
  </si>
  <si>
    <t xml:space="preserve">     其他文物支出</t>
  </si>
  <si>
    <t xml:space="preserve">   体育</t>
  </si>
  <si>
    <t xml:space="preserve">     运动项目管理</t>
  </si>
  <si>
    <t xml:space="preserve">     体育竞赛</t>
  </si>
  <si>
    <t xml:space="preserve">     体育训练</t>
  </si>
  <si>
    <t xml:space="preserve">     体育场馆</t>
  </si>
  <si>
    <t xml:space="preserve">     群众体育</t>
  </si>
  <si>
    <t xml:space="preserve">     体育交流与合作</t>
  </si>
  <si>
    <t xml:space="preserve">     其他体育支出</t>
  </si>
  <si>
    <t xml:space="preserve">   新闻出版电影</t>
  </si>
  <si>
    <t xml:space="preserve">     新闻通讯</t>
  </si>
  <si>
    <t xml:space="preserve">     出版发行</t>
  </si>
  <si>
    <t xml:space="preserve">     版权管理</t>
  </si>
  <si>
    <t xml:space="preserve">     电影</t>
  </si>
  <si>
    <t xml:space="preserve">     其他新闻出版电影支出</t>
  </si>
  <si>
    <t xml:space="preserve">   广播电视</t>
  </si>
  <si>
    <t xml:space="preserve">     监测监管</t>
  </si>
  <si>
    <t xml:space="preserve">     传输发射</t>
  </si>
  <si>
    <t xml:space="preserve">     广播电视事务</t>
  </si>
  <si>
    <t xml:space="preserve">     其他广播电视支出</t>
  </si>
  <si>
    <t xml:space="preserve">   其他文化旅游体育与传媒支出</t>
  </si>
  <si>
    <t xml:space="preserve">     宣传文化发展专项支出</t>
  </si>
  <si>
    <t xml:space="preserve">     文化产业发展专项支出</t>
  </si>
  <si>
    <t xml:space="preserve">     其他文化旅游体育与传媒支出</t>
  </si>
  <si>
    <t xml:space="preserve">   人力资源和社会保障管理事务</t>
  </si>
  <si>
    <t xml:space="preserve">     综合业务管理</t>
  </si>
  <si>
    <t xml:space="preserve">     劳动保障监察</t>
  </si>
  <si>
    <t xml:space="preserve">     就业管理事务</t>
  </si>
  <si>
    <t xml:space="preserve">     社会保险业务管理事务</t>
  </si>
  <si>
    <t xml:space="preserve">     社会保险经办机构</t>
  </si>
  <si>
    <t xml:space="preserve">     劳动关系和维权</t>
  </si>
  <si>
    <t xml:space="preserve">     公共就业服务和职业技能鉴定机构</t>
  </si>
  <si>
    <t xml:space="preserve">     劳动人事争议调解仲裁</t>
  </si>
  <si>
    <t xml:space="preserve">     政府特殊津贴</t>
  </si>
  <si>
    <t xml:space="preserve">     资助留学回国人员</t>
  </si>
  <si>
    <t xml:space="preserve">     博士后日常经费</t>
  </si>
  <si>
    <t xml:space="preserve">     引进人才费用</t>
  </si>
  <si>
    <t xml:space="preserve">     其他人力资源和社会保障管理事务支出</t>
  </si>
  <si>
    <t xml:space="preserve">   民政管理事务</t>
  </si>
  <si>
    <t xml:space="preserve">     社会组织管理</t>
  </si>
  <si>
    <t xml:space="preserve">     行政区划和地名管理</t>
  </si>
  <si>
    <t xml:space="preserve">     基层政权建设和社区治理</t>
  </si>
  <si>
    <t xml:space="preserve">     老龄事务</t>
  </si>
  <si>
    <t xml:space="preserve">     其他民政管理事务支出</t>
  </si>
  <si>
    <t xml:space="preserve">   补充全国社会保障基金</t>
  </si>
  <si>
    <t xml:space="preserve">     用一般公共预算补充基金</t>
  </si>
  <si>
    <t xml:space="preserve">   行政事业单位养老支出</t>
  </si>
  <si>
    <t xml:space="preserve">     行政单位离退休</t>
  </si>
  <si>
    <t xml:space="preserve">     事业单位离退休</t>
  </si>
  <si>
    <t xml:space="preserve">     离退休人员管理机构</t>
  </si>
  <si>
    <t xml:space="preserve">     机关事业单位基本养老保险缴费支出</t>
  </si>
  <si>
    <t xml:space="preserve">     机关事业单位职业年金缴费支出</t>
  </si>
  <si>
    <t xml:space="preserve">     对机关事业单位基本养老保险基金的补助</t>
  </si>
  <si>
    <t xml:space="preserve">     对机关事业单位职业年金的补助</t>
  </si>
  <si>
    <t xml:space="preserve">     其他行政事业单位养老支出</t>
  </si>
  <si>
    <t xml:space="preserve">   企业改革补助</t>
  </si>
  <si>
    <t xml:space="preserve">     企业关闭破产补助</t>
  </si>
  <si>
    <t xml:space="preserve">     厂办大集体改革补助</t>
  </si>
  <si>
    <t xml:space="preserve">     其他企业改革发展补助</t>
  </si>
  <si>
    <t xml:space="preserve">   就业补助</t>
  </si>
  <si>
    <t xml:space="preserve">     就业创业服务补助</t>
  </si>
  <si>
    <t xml:space="preserve">     职业培训补贴</t>
  </si>
  <si>
    <t xml:space="preserve">     社会保险补贴</t>
  </si>
  <si>
    <t xml:space="preserve">     公益性岗位补贴</t>
  </si>
  <si>
    <t xml:space="preserve">     职业技能评价补贴</t>
  </si>
  <si>
    <t xml:space="preserve">     就业见习补贴</t>
  </si>
  <si>
    <t xml:space="preserve">     高技能人才培养补助</t>
  </si>
  <si>
    <t xml:space="preserve">     求职和创业补贴</t>
  </si>
  <si>
    <t xml:space="preserve">     其他就业补助支出</t>
  </si>
  <si>
    <t xml:space="preserve">   抚恤</t>
  </si>
  <si>
    <t xml:space="preserve">     死亡抚恤</t>
  </si>
  <si>
    <t xml:space="preserve">     伤残抚恤</t>
  </si>
  <si>
    <t xml:space="preserve">     在乡复员、退伍军人生活补助</t>
  </si>
  <si>
    <t xml:space="preserve">     义务兵优待</t>
  </si>
  <si>
    <t xml:space="preserve">     农村籍退役士兵老年生活补助</t>
  </si>
  <si>
    <t xml:space="preserve">     光荣院</t>
  </si>
  <si>
    <t xml:space="preserve">     褒扬纪念</t>
  </si>
  <si>
    <t xml:space="preserve">     其他优抚支出</t>
  </si>
  <si>
    <t xml:space="preserve">   退役安置</t>
  </si>
  <si>
    <t xml:space="preserve">     退役士兵安置</t>
  </si>
  <si>
    <t xml:space="preserve">     军队移交政府的离退休人员安置</t>
  </si>
  <si>
    <t xml:space="preserve">     军队移交政府离退休干部管理机构</t>
  </si>
  <si>
    <t xml:space="preserve">     退役士兵管理教育</t>
  </si>
  <si>
    <t xml:space="preserve">     军队转业干部安置</t>
  </si>
  <si>
    <t xml:space="preserve">     其他退役安置支出</t>
  </si>
  <si>
    <t xml:space="preserve">   社会福利</t>
  </si>
  <si>
    <t xml:space="preserve">     儿童福利</t>
  </si>
  <si>
    <t xml:space="preserve">     老年福利</t>
  </si>
  <si>
    <t xml:space="preserve">     康复辅具</t>
  </si>
  <si>
    <t xml:space="preserve">     殡葬</t>
  </si>
  <si>
    <t xml:space="preserve">     社会福利事业单位</t>
  </si>
  <si>
    <t xml:space="preserve">     养老服务</t>
  </si>
  <si>
    <t xml:space="preserve">     其他社会福利支出</t>
  </si>
  <si>
    <t xml:space="preserve">   残疾人事业</t>
  </si>
  <si>
    <t xml:space="preserve">     残疾人康复</t>
  </si>
  <si>
    <t xml:space="preserve">     残疾人就业</t>
  </si>
  <si>
    <t xml:space="preserve">     残疾人体育</t>
  </si>
  <si>
    <t xml:space="preserve">     残疾人生活和护理补贴</t>
  </si>
  <si>
    <t xml:space="preserve">     其他残疾人事业支出</t>
  </si>
  <si>
    <t xml:space="preserve">   红十字事业</t>
  </si>
  <si>
    <t xml:space="preserve">     其他红十字事业支出</t>
  </si>
  <si>
    <t xml:space="preserve">   最低生活保障</t>
  </si>
  <si>
    <t xml:space="preserve">     城市最低生活保障金支出</t>
  </si>
  <si>
    <t xml:space="preserve">     农村最低生活保障金支出</t>
  </si>
  <si>
    <t xml:space="preserve">   临时救助</t>
  </si>
  <si>
    <t xml:space="preserve">     临时救助支出</t>
  </si>
  <si>
    <t xml:space="preserve">     流浪乞讨人员救助支出</t>
  </si>
  <si>
    <t xml:space="preserve">   特困人员救助供养</t>
  </si>
  <si>
    <t xml:space="preserve">     城市特困人员救助供养支出</t>
  </si>
  <si>
    <t xml:space="preserve">     农村特困人员救助供养支出</t>
  </si>
  <si>
    <t xml:space="preserve">   补充道路交通事故社会救助基金</t>
  </si>
  <si>
    <t xml:space="preserve">     交强险增值税补助基金支出</t>
  </si>
  <si>
    <t xml:space="preserve">     交强险罚款收入补助基金支出</t>
  </si>
  <si>
    <t xml:space="preserve">   其他生活救助</t>
  </si>
  <si>
    <t xml:space="preserve">     其他城市生活救助</t>
  </si>
  <si>
    <t xml:space="preserve">     其他农村生活救助</t>
  </si>
  <si>
    <t xml:space="preserve">   财政对基本养老保险基金的补助</t>
  </si>
  <si>
    <t xml:space="preserve">     财政对企业职工基本养老保险基金的补助</t>
  </si>
  <si>
    <t xml:space="preserve">     财政对城乡居民基本养老保险基金的补助</t>
  </si>
  <si>
    <t xml:space="preserve">     财政对其他基本养老保险基金的补助</t>
  </si>
  <si>
    <t xml:space="preserve">   财政对其他社会保险基金的补助</t>
  </si>
  <si>
    <t xml:space="preserve">     财政对失业保险基金的补助</t>
  </si>
  <si>
    <t xml:space="preserve">     财政对工伤保险基金的补助</t>
  </si>
  <si>
    <t xml:space="preserve">     其他财政对社会保险基金的补助</t>
  </si>
  <si>
    <t xml:space="preserve">   退役军人管理事务</t>
  </si>
  <si>
    <t xml:space="preserve">     拥军优属</t>
  </si>
  <si>
    <t xml:space="preserve">     军供保障</t>
  </si>
  <si>
    <t xml:space="preserve">     其他退役军人事务管理支出</t>
  </si>
  <si>
    <t xml:space="preserve">   财政代缴社会保险费支出</t>
  </si>
  <si>
    <t xml:space="preserve">     财政代缴城乡居民基本养老保险费支出</t>
  </si>
  <si>
    <t xml:space="preserve">     财政代缴其他社会保险费支出</t>
  </si>
  <si>
    <t xml:space="preserve">   其他社会保障和就业支出</t>
  </si>
  <si>
    <t xml:space="preserve">      其他社会保障和就业支出</t>
  </si>
  <si>
    <t xml:space="preserve">   卫生健康管理事务</t>
  </si>
  <si>
    <t xml:space="preserve">     其他卫生健康管理事务支出</t>
  </si>
  <si>
    <t xml:space="preserve">   公立医院</t>
  </si>
  <si>
    <t xml:space="preserve">     综合医院</t>
  </si>
  <si>
    <t xml:space="preserve">     中医（民族）医院</t>
  </si>
  <si>
    <t xml:space="preserve">     传染病医院</t>
  </si>
  <si>
    <t xml:space="preserve">     职业病防治医院</t>
  </si>
  <si>
    <t xml:space="preserve">     精神病医院</t>
  </si>
  <si>
    <t xml:space="preserve">     妇幼保健医院</t>
  </si>
  <si>
    <t xml:space="preserve">     儿童医院</t>
  </si>
  <si>
    <t xml:space="preserve">     其他专科医院</t>
  </si>
  <si>
    <t xml:space="preserve">     福利医院</t>
  </si>
  <si>
    <t xml:space="preserve">     行业医院</t>
  </si>
  <si>
    <t xml:space="preserve">     处理医疗欠费</t>
  </si>
  <si>
    <t xml:space="preserve">     康复医院</t>
  </si>
  <si>
    <t xml:space="preserve">     优抚医院</t>
  </si>
  <si>
    <t xml:space="preserve">     其他公立医院支出</t>
  </si>
  <si>
    <t xml:space="preserve">   基层医疗卫生机构</t>
  </si>
  <si>
    <t xml:space="preserve">     城市社区卫生机构</t>
  </si>
  <si>
    <t xml:space="preserve">     乡镇卫生院</t>
  </si>
  <si>
    <t xml:space="preserve">     其他基层医疗卫生机构支出</t>
  </si>
  <si>
    <t xml:space="preserve">   公共卫生</t>
  </si>
  <si>
    <t xml:space="preserve">     疾病预防控制机构</t>
  </si>
  <si>
    <t xml:space="preserve">     卫生监督机构</t>
  </si>
  <si>
    <t xml:space="preserve">     妇幼保健机构</t>
  </si>
  <si>
    <t xml:space="preserve">     精神卫生机构</t>
  </si>
  <si>
    <t xml:space="preserve">     应急救治机构</t>
  </si>
  <si>
    <t xml:space="preserve">     采供血机构</t>
  </si>
  <si>
    <t xml:space="preserve">     其他专业公共卫生机构</t>
  </si>
  <si>
    <t xml:space="preserve">     基本公共卫生服务</t>
  </si>
  <si>
    <t xml:space="preserve">     重大公共卫生服务</t>
  </si>
  <si>
    <t xml:space="preserve">     突发公共卫生事件应急处置</t>
  </si>
  <si>
    <t xml:space="preserve">     其他公共卫生支出</t>
  </si>
  <si>
    <t xml:space="preserve">   计划生育事务</t>
  </si>
  <si>
    <t xml:space="preserve">     计划生育机构</t>
  </si>
  <si>
    <t xml:space="preserve">     计划生育服务</t>
  </si>
  <si>
    <t xml:space="preserve">     其他计划生育事务支出</t>
  </si>
  <si>
    <t xml:space="preserve">   行政事业单位医疗</t>
  </si>
  <si>
    <t xml:space="preserve">     行政单位医疗</t>
  </si>
  <si>
    <t xml:space="preserve">     事业单位医疗</t>
  </si>
  <si>
    <t xml:space="preserve">     公务员医疗补助</t>
  </si>
  <si>
    <t xml:space="preserve">     其他行政事业单位医疗支出</t>
  </si>
  <si>
    <t xml:space="preserve">   财政对基本医疗保险基金的补助</t>
  </si>
  <si>
    <t xml:space="preserve">     财政对职工基本医疗保险基金的补助</t>
  </si>
  <si>
    <t xml:space="preserve">     财政对城乡居民基本医疗保险基金的补助</t>
  </si>
  <si>
    <t xml:space="preserve">     财政对其他基本医疗保险基金的补助</t>
  </si>
  <si>
    <t xml:space="preserve">   医疗救助</t>
  </si>
  <si>
    <t xml:space="preserve">     城乡医疗救助</t>
  </si>
  <si>
    <t xml:space="preserve">     疾病应急救助</t>
  </si>
  <si>
    <t xml:space="preserve">     其他医疗救助支出</t>
  </si>
  <si>
    <t xml:space="preserve">   优抚对象医疗</t>
  </si>
  <si>
    <t xml:space="preserve">     优抚对象医疗补助</t>
  </si>
  <si>
    <t xml:space="preserve">     其他优抚对象医疗支出</t>
  </si>
  <si>
    <t xml:space="preserve">   医疗保障管理事务</t>
  </si>
  <si>
    <t xml:space="preserve">     医疗保障政策管理</t>
  </si>
  <si>
    <t xml:space="preserve">     医疗保障经办事务</t>
  </si>
  <si>
    <t xml:space="preserve">     其他医疗保障管理事务支出</t>
  </si>
  <si>
    <t xml:space="preserve">   老龄卫生健康事务</t>
  </si>
  <si>
    <t xml:space="preserve">     老龄卫生健康事务</t>
  </si>
  <si>
    <t xml:space="preserve">   中医药事务</t>
  </si>
  <si>
    <t xml:space="preserve">     中医（民族医）药专项</t>
  </si>
  <si>
    <t xml:space="preserve">     其他中医药事务支出</t>
  </si>
  <si>
    <t xml:space="preserve">   疾病预防控制事务</t>
  </si>
  <si>
    <t xml:space="preserve">     其他疾病预防控制事务支出</t>
  </si>
  <si>
    <t xml:space="preserve">   托育服务</t>
  </si>
  <si>
    <t xml:space="preserve">     托育机构</t>
  </si>
  <si>
    <t xml:space="preserve">     其他托育服务支出</t>
  </si>
  <si>
    <t xml:space="preserve">   其他卫生健康支出</t>
  </si>
  <si>
    <t xml:space="preserve">     其他卫生健康支出</t>
  </si>
  <si>
    <t xml:space="preserve">   环境保护管理事务</t>
  </si>
  <si>
    <t xml:space="preserve">     生态环境保护宣传</t>
  </si>
  <si>
    <t xml:space="preserve">     环境保护法规、规划及标准</t>
  </si>
  <si>
    <t xml:space="preserve">     生态环境国际合作及履约</t>
  </si>
  <si>
    <t xml:space="preserve">     生态环境保护行政许可</t>
  </si>
  <si>
    <t xml:space="preserve">     应对气候变化管理事务</t>
  </si>
  <si>
    <t xml:space="preserve">     其他环境保护管理事务支出</t>
  </si>
  <si>
    <t xml:space="preserve">   环境监测与监察</t>
  </si>
  <si>
    <t xml:space="preserve">     建设项目环评审查与监督</t>
  </si>
  <si>
    <t xml:space="preserve">     核与辐射安全监督</t>
  </si>
  <si>
    <t xml:space="preserve">     其他环境监测与监察支出</t>
  </si>
  <si>
    <t xml:space="preserve">   污染防治</t>
  </si>
  <si>
    <t xml:space="preserve">     大气</t>
  </si>
  <si>
    <t xml:space="preserve">     水体</t>
  </si>
  <si>
    <t xml:space="preserve">     噪声</t>
  </si>
  <si>
    <t xml:space="preserve">     固体废弃物与化学品</t>
  </si>
  <si>
    <t xml:space="preserve">     放射源和放射性废物监管</t>
  </si>
  <si>
    <t xml:space="preserve">     辐射</t>
  </si>
  <si>
    <t xml:space="preserve">     土壤</t>
  </si>
  <si>
    <t xml:space="preserve">     其他污染防治支出</t>
  </si>
  <si>
    <t xml:space="preserve">   自然生态保护</t>
  </si>
  <si>
    <t xml:space="preserve">     生态保护</t>
  </si>
  <si>
    <t xml:space="preserve">     农村环境保护</t>
  </si>
  <si>
    <t xml:space="preserve">     生物及物种资源保护</t>
  </si>
  <si>
    <t xml:space="preserve">     草原生态修复治理</t>
  </si>
  <si>
    <t xml:space="preserve">     自然保护地</t>
  </si>
  <si>
    <t xml:space="preserve">     其他自然生态保护支出</t>
  </si>
  <si>
    <t xml:space="preserve">   森林保护修复</t>
  </si>
  <si>
    <t xml:space="preserve">     森林管护</t>
  </si>
  <si>
    <t xml:space="preserve">     社会保险补助</t>
  </si>
  <si>
    <t xml:space="preserve">     政策性社会性支出补助</t>
  </si>
  <si>
    <t xml:space="preserve">     天然林保护工程建设</t>
  </si>
  <si>
    <t xml:space="preserve">     停伐补助</t>
  </si>
  <si>
    <t xml:space="preserve">     其他森林保护修复支出</t>
  </si>
  <si>
    <t xml:space="preserve">   风沙荒漠治理</t>
  </si>
  <si>
    <t xml:space="preserve">     京津风沙源治理工程建设</t>
  </si>
  <si>
    <t xml:space="preserve">     其他风沙荒漠治理支出</t>
  </si>
  <si>
    <t xml:space="preserve">   退牧还草</t>
  </si>
  <si>
    <t xml:space="preserve">     退牧还草工程建设</t>
  </si>
  <si>
    <t xml:space="preserve">     其他退牧还草支出</t>
  </si>
  <si>
    <t xml:space="preserve">   已垦草原退耕还草</t>
  </si>
  <si>
    <t xml:space="preserve">     已垦草原退耕还草</t>
  </si>
  <si>
    <t xml:space="preserve">   能源节约利用</t>
  </si>
  <si>
    <t xml:space="preserve">     能源节约利用</t>
  </si>
  <si>
    <t xml:space="preserve">   污染减排</t>
  </si>
  <si>
    <t xml:space="preserve">     生态环境监测与信息</t>
  </si>
  <si>
    <t xml:space="preserve">     生态环境执法监察</t>
  </si>
  <si>
    <t xml:space="preserve">     减排专项支出</t>
  </si>
  <si>
    <t xml:space="preserve">     清洁生产专项支出</t>
  </si>
  <si>
    <t xml:space="preserve">     其他污染减排支出</t>
  </si>
  <si>
    <t xml:space="preserve">   清洁能源</t>
  </si>
  <si>
    <t xml:space="preserve">     可再生能源</t>
  </si>
  <si>
    <t xml:space="preserve">     其他清洁能源支出</t>
  </si>
  <si>
    <t xml:space="preserve">   循环经济</t>
  </si>
  <si>
    <t xml:space="preserve">     循环经济</t>
  </si>
  <si>
    <t xml:space="preserve">   能源管理事务</t>
  </si>
  <si>
    <t xml:space="preserve">     能源科技装备</t>
  </si>
  <si>
    <t xml:space="preserve">     能源行业管理</t>
  </si>
  <si>
    <t xml:space="preserve">     能源管理</t>
  </si>
  <si>
    <t xml:space="preserve">     农村电网建设</t>
  </si>
  <si>
    <t xml:space="preserve">     其他能源管理事务支出</t>
  </si>
  <si>
    <t xml:space="preserve">   其他节能环保支出</t>
  </si>
  <si>
    <t xml:space="preserve">     其他节能环保支出</t>
  </si>
  <si>
    <t xml:space="preserve">   城乡社区管理事务</t>
  </si>
  <si>
    <t xml:space="preserve">     城管执法</t>
  </si>
  <si>
    <t xml:space="preserve">     工程建设标准规范编制与监管</t>
  </si>
  <si>
    <t xml:space="preserve">     工程建设管理</t>
  </si>
  <si>
    <t xml:space="preserve">     市政公用行业市场监管</t>
  </si>
  <si>
    <t xml:space="preserve">     住宅建设与房地产市场监管</t>
  </si>
  <si>
    <t xml:space="preserve">     执业资格注册、资质审查</t>
  </si>
  <si>
    <t xml:space="preserve">     其他城乡社区管理事务支出</t>
  </si>
  <si>
    <t xml:space="preserve">   城乡社区规划与管理</t>
  </si>
  <si>
    <t xml:space="preserve">     城乡社区规划与管理</t>
  </si>
  <si>
    <t xml:space="preserve">   城乡社区公共设施</t>
  </si>
  <si>
    <t xml:space="preserve">     小城镇基础设施建设</t>
  </si>
  <si>
    <t xml:space="preserve">     其他城乡社区公共设施支出</t>
  </si>
  <si>
    <t xml:space="preserve">   城乡社区环境卫生</t>
  </si>
  <si>
    <t xml:space="preserve">     城乡社区环境卫生</t>
  </si>
  <si>
    <t xml:space="preserve">   建设市场管理与监督</t>
  </si>
  <si>
    <t xml:space="preserve">     建设市场管理与监督</t>
  </si>
  <si>
    <t xml:space="preserve">   其他城乡社区支出</t>
  </si>
  <si>
    <t xml:space="preserve">     其他城乡社区支出</t>
  </si>
  <si>
    <t xml:space="preserve">   农业农村</t>
  </si>
  <si>
    <t xml:space="preserve">     农垦运行</t>
  </si>
  <si>
    <t xml:space="preserve">     科技转化与推广服务</t>
  </si>
  <si>
    <t xml:space="preserve">     病虫害控制</t>
  </si>
  <si>
    <t xml:space="preserve">     农产品质量安全</t>
  </si>
  <si>
    <t xml:space="preserve">     执法监管</t>
  </si>
  <si>
    <t xml:space="preserve">     统计监测与信息服务</t>
  </si>
  <si>
    <t xml:space="preserve">     行业业务管理</t>
  </si>
  <si>
    <t xml:space="preserve">     对外交流与合作</t>
  </si>
  <si>
    <t xml:space="preserve">     防灾救灾</t>
  </si>
  <si>
    <t xml:space="preserve">     稳定农民收入补贴</t>
  </si>
  <si>
    <t xml:space="preserve">     农业结构调整补贴</t>
  </si>
  <si>
    <t xml:space="preserve">     农业生产发展</t>
  </si>
  <si>
    <t xml:space="preserve">     农村合作经济</t>
  </si>
  <si>
    <t xml:space="preserve">     农产品加工与促销</t>
  </si>
  <si>
    <t xml:space="preserve">     农村社会事业</t>
  </si>
  <si>
    <t xml:space="preserve">     农业生态资源保护</t>
  </si>
  <si>
    <t xml:space="preserve">     乡村道路建设</t>
  </si>
  <si>
    <t xml:space="preserve">     渔业发展</t>
  </si>
  <si>
    <t xml:space="preserve">     对高校毕业生到基层任职补助</t>
  </si>
  <si>
    <t xml:space="preserve">     耕地建设与利用</t>
  </si>
  <si>
    <t xml:space="preserve">     其他农业农村支出</t>
  </si>
  <si>
    <t xml:space="preserve">   林业和草原</t>
  </si>
  <si>
    <t xml:space="preserve">     事业机构</t>
  </si>
  <si>
    <t xml:space="preserve">     森林资源培育</t>
  </si>
  <si>
    <t xml:space="preserve">     技术推广与转化</t>
  </si>
  <si>
    <t xml:space="preserve">     森林资源管理</t>
  </si>
  <si>
    <t xml:space="preserve">     森林生态效益补偿</t>
  </si>
  <si>
    <t xml:space="preserve">     动植物保护</t>
  </si>
  <si>
    <t xml:space="preserve">     湿地保护</t>
  </si>
  <si>
    <t xml:space="preserve">     执法与监督</t>
  </si>
  <si>
    <t xml:space="preserve">     防沙治沙</t>
  </si>
  <si>
    <t xml:space="preserve">     对外合作与交流</t>
  </si>
  <si>
    <t xml:space="preserve">     产业化管理</t>
  </si>
  <si>
    <t xml:space="preserve">     信息管理</t>
  </si>
  <si>
    <t xml:space="preserve">     林区公共支出</t>
  </si>
  <si>
    <t xml:space="preserve">     贷款贴息</t>
  </si>
  <si>
    <t xml:space="preserve">     林业草原防灾减灾</t>
  </si>
  <si>
    <t xml:space="preserve">     草原管理</t>
  </si>
  <si>
    <t xml:space="preserve">     退耕还林还草</t>
  </si>
  <si>
    <t xml:space="preserve">     其他林业和草原支出</t>
  </si>
  <si>
    <t xml:space="preserve">   水利</t>
  </si>
  <si>
    <t xml:space="preserve">     水利行业业务管理</t>
  </si>
  <si>
    <t xml:space="preserve">     水利工程建设</t>
  </si>
  <si>
    <t xml:space="preserve">     水利工程运行与维护</t>
  </si>
  <si>
    <t xml:space="preserve">     长江黄河等流域管理</t>
  </si>
  <si>
    <t xml:space="preserve">     水利前期工作</t>
  </si>
  <si>
    <t xml:space="preserve">     水利执法监督</t>
  </si>
  <si>
    <t xml:space="preserve">     水土保持</t>
  </si>
  <si>
    <t xml:space="preserve">     水资源节约管理与保护</t>
  </si>
  <si>
    <t xml:space="preserve">     水质监测</t>
  </si>
  <si>
    <t xml:space="preserve">     水文测报</t>
  </si>
  <si>
    <t xml:space="preserve">     防汛</t>
  </si>
  <si>
    <t xml:space="preserve">     抗旱</t>
  </si>
  <si>
    <t xml:space="preserve">     农村水利</t>
  </si>
  <si>
    <t xml:space="preserve">     水利技术推广</t>
  </si>
  <si>
    <t xml:space="preserve">     国际河流治理与管理</t>
  </si>
  <si>
    <t xml:space="preserve">     江河湖库水系综合整治</t>
  </si>
  <si>
    <t xml:space="preserve">     大中型水库移民后期扶持专项支出</t>
  </si>
  <si>
    <t xml:space="preserve">     水利安全监督</t>
  </si>
  <si>
    <t xml:space="preserve">     水利建设征地及移民支出</t>
  </si>
  <si>
    <t xml:space="preserve">     农村供水</t>
  </si>
  <si>
    <t xml:space="preserve">     南水北调工程建设</t>
  </si>
  <si>
    <t xml:space="preserve">     南水北调工程管理</t>
  </si>
  <si>
    <t xml:space="preserve">     其他水利支出</t>
  </si>
  <si>
    <t xml:space="preserve">   巩固脱贫攻坚成果衔接乡村振兴</t>
  </si>
  <si>
    <t xml:space="preserve">     农村基础设施建设</t>
  </si>
  <si>
    <t xml:space="preserve">     生产发展</t>
  </si>
  <si>
    <t xml:space="preserve">     社会发展</t>
  </si>
  <si>
    <t xml:space="preserve">     贷款奖补和贴息</t>
  </si>
  <si>
    <t xml:space="preserve">     “三西”农业建设专项补助</t>
  </si>
  <si>
    <t xml:space="preserve">     其他巩固脱贫攻坚成果衔接乡村振兴支出</t>
  </si>
  <si>
    <t xml:space="preserve">   农村综合改革</t>
  </si>
  <si>
    <t xml:space="preserve">     对村级公益事业建设的补助</t>
  </si>
  <si>
    <t xml:space="preserve">     对村民委员会和村党支部的补助</t>
  </si>
  <si>
    <t xml:space="preserve">     对村集体经济组织的补助</t>
  </si>
  <si>
    <t xml:space="preserve">     农村综合改革示范试点补助</t>
  </si>
  <si>
    <t xml:space="preserve">     其他农村综合改革支出</t>
  </si>
  <si>
    <t xml:space="preserve">   普惠金融发展支出</t>
  </si>
  <si>
    <t xml:space="preserve">     支持农村金融机构</t>
  </si>
  <si>
    <t xml:space="preserve">     农业保险保费补贴</t>
  </si>
  <si>
    <t xml:space="preserve">     创业担保贷款贴息及奖补</t>
  </si>
  <si>
    <t xml:space="preserve">     补充创业担保贷款基金</t>
  </si>
  <si>
    <t xml:space="preserve">     其他普惠金融发展支出</t>
  </si>
  <si>
    <t xml:space="preserve">   目标价格补贴</t>
  </si>
  <si>
    <t xml:space="preserve">     棉花目标价格补贴</t>
  </si>
  <si>
    <t xml:space="preserve">     其他目标价格补贴</t>
  </si>
  <si>
    <t xml:space="preserve">   其他农林水支出</t>
  </si>
  <si>
    <t xml:space="preserve">     化解其他公益性乡村债务支出</t>
  </si>
  <si>
    <t xml:space="preserve">     其他农林水支出</t>
  </si>
  <si>
    <t xml:space="preserve">   公路水路运输</t>
  </si>
  <si>
    <t xml:space="preserve">     公路建设</t>
  </si>
  <si>
    <t xml:space="preserve">     公路养护</t>
  </si>
  <si>
    <t xml:space="preserve">     交通运输信息化建设</t>
  </si>
  <si>
    <t xml:space="preserve">     公路和运输安全</t>
  </si>
  <si>
    <t xml:space="preserve">     公路运输管理</t>
  </si>
  <si>
    <t xml:space="preserve">     公路和运输技术标准化建设</t>
  </si>
  <si>
    <t xml:space="preserve">     水运建设</t>
  </si>
  <si>
    <t xml:space="preserve">     航道维护</t>
  </si>
  <si>
    <t xml:space="preserve">     船舶检验</t>
  </si>
  <si>
    <t xml:space="preserve">     救助打捞</t>
  </si>
  <si>
    <t xml:space="preserve">     内河运输</t>
  </si>
  <si>
    <t xml:space="preserve">     远洋运输</t>
  </si>
  <si>
    <t xml:space="preserve">     海事管理</t>
  </si>
  <si>
    <t xml:space="preserve">     航标事业发展支出</t>
  </si>
  <si>
    <t xml:space="preserve">     水路运输管理支出</t>
  </si>
  <si>
    <t xml:space="preserve">     口岸建设</t>
  </si>
  <si>
    <t xml:space="preserve">     其他公路水路运输支出</t>
  </si>
  <si>
    <t xml:space="preserve">   铁路运输</t>
  </si>
  <si>
    <t xml:space="preserve">     铁路路网建设</t>
  </si>
  <si>
    <t xml:space="preserve">     铁路还贷专项</t>
  </si>
  <si>
    <t xml:space="preserve">     铁路安全</t>
  </si>
  <si>
    <t xml:space="preserve">     铁路专项运输</t>
  </si>
  <si>
    <t xml:space="preserve">     行业监管</t>
  </si>
  <si>
    <t xml:space="preserve">     其他铁路运输支出</t>
  </si>
  <si>
    <t xml:space="preserve">   民用航空运输</t>
  </si>
  <si>
    <t xml:space="preserve">     机场建设</t>
  </si>
  <si>
    <t xml:space="preserve">     空管系统建设</t>
  </si>
  <si>
    <t xml:space="preserve">     民航还贷专项支出</t>
  </si>
  <si>
    <t xml:space="preserve">     民用航空安全</t>
  </si>
  <si>
    <t xml:space="preserve">     民航专项运输</t>
  </si>
  <si>
    <t xml:space="preserve">     其他民用航空运输支出</t>
  </si>
  <si>
    <t xml:space="preserve">   邮政业支出</t>
  </si>
  <si>
    <t xml:space="preserve">     邮政普遍服务与特殊服务</t>
  </si>
  <si>
    <t xml:space="preserve">     其他邮政业支出</t>
  </si>
  <si>
    <t xml:space="preserve">   其他交通运输支出</t>
  </si>
  <si>
    <t xml:space="preserve">     公共交通运营补助</t>
  </si>
  <si>
    <t xml:space="preserve">     其他交通运输支出</t>
  </si>
  <si>
    <t xml:space="preserve">   资源勘探开发</t>
  </si>
  <si>
    <t xml:space="preserve">     煤炭勘探开采和洗选</t>
  </si>
  <si>
    <t xml:space="preserve">     石油和天然气勘探开采</t>
  </si>
  <si>
    <t xml:space="preserve">     黑色金属矿勘探和采选</t>
  </si>
  <si>
    <t xml:space="preserve">     有色金属矿勘探和采选</t>
  </si>
  <si>
    <t xml:space="preserve">     非金属矿勘探和采选</t>
  </si>
  <si>
    <t xml:space="preserve">     其他资源勘探业支出</t>
  </si>
  <si>
    <t xml:space="preserve">   制造业</t>
  </si>
  <si>
    <t xml:space="preserve">     纺织业</t>
  </si>
  <si>
    <t xml:space="preserve">     医药制造业</t>
  </si>
  <si>
    <t xml:space="preserve">     非金属矿物制品业</t>
  </si>
  <si>
    <t xml:space="preserve">     通信设备、计算机及其他电子设备制造业</t>
  </si>
  <si>
    <t xml:space="preserve">     交通运输设备制造业</t>
  </si>
  <si>
    <t xml:space="preserve">     电气机械及器材制造业</t>
  </si>
  <si>
    <t xml:space="preserve">     工艺品及其他制造业</t>
  </si>
  <si>
    <t xml:space="preserve">     石油加工、炼焦及核燃料加工业</t>
  </si>
  <si>
    <t xml:space="preserve">     化学原料及化学制品制造业</t>
  </si>
  <si>
    <t xml:space="preserve">     黑色金属冶炼及压延加工业</t>
  </si>
  <si>
    <t xml:space="preserve">     有色金属冶炼及压延加工业</t>
  </si>
  <si>
    <t xml:space="preserve">     其他制造业支出</t>
  </si>
  <si>
    <t xml:space="preserve">   建筑业</t>
  </si>
  <si>
    <t xml:space="preserve">     其他建筑业支出</t>
  </si>
  <si>
    <t xml:space="preserve">   工业和信息产业</t>
  </si>
  <si>
    <t xml:space="preserve">     战备应急</t>
  </si>
  <si>
    <t xml:space="preserve">     专用通信</t>
  </si>
  <si>
    <t xml:space="preserve">     无线电及信息通信监管</t>
  </si>
  <si>
    <t xml:space="preserve">     工程建设及运行维护</t>
  </si>
  <si>
    <t xml:space="preserve">     产业发展</t>
  </si>
  <si>
    <t xml:space="preserve">     其他工业和信息产业支出</t>
  </si>
  <si>
    <t xml:space="preserve">   国有资产监管</t>
  </si>
  <si>
    <t xml:space="preserve">     国有企业监事会专项</t>
  </si>
  <si>
    <t xml:space="preserve">     中央企业专项管理</t>
  </si>
  <si>
    <t xml:space="preserve">     其他国有资产监管支出</t>
  </si>
  <si>
    <t xml:space="preserve">   支持中小企业发展和管理支出</t>
  </si>
  <si>
    <t xml:space="preserve">     科技型中小企业技术创新基金</t>
  </si>
  <si>
    <t xml:space="preserve">     中小企业发展专项</t>
  </si>
  <si>
    <t xml:space="preserve">     减免房租补贴</t>
  </si>
  <si>
    <t xml:space="preserve">     其他支持中小企业发展和管理支出</t>
  </si>
  <si>
    <t xml:space="preserve">   其他资源勘探工业信息等支出</t>
  </si>
  <si>
    <t xml:space="preserve">     黄金事务</t>
  </si>
  <si>
    <t xml:space="preserve">     技术改造支出</t>
  </si>
  <si>
    <t xml:space="preserve">     中药材扶持资金支出</t>
  </si>
  <si>
    <t xml:space="preserve">     重点产业振兴和技术改造项目贷款贴息</t>
  </si>
  <si>
    <t xml:space="preserve">     其他资源勘探工业信息等支出</t>
  </si>
  <si>
    <t xml:space="preserve">   商业流通事务</t>
  </si>
  <si>
    <t xml:space="preserve">     食品流通安全补贴</t>
  </si>
  <si>
    <t xml:space="preserve">     市场监测及信息管理</t>
  </si>
  <si>
    <t xml:space="preserve">     民贸企业补贴</t>
  </si>
  <si>
    <t xml:space="preserve">     民贸民品贷款贴息</t>
  </si>
  <si>
    <t xml:space="preserve">     其他商业流通事务支出</t>
  </si>
  <si>
    <t xml:space="preserve">   涉外发展服务支出</t>
  </si>
  <si>
    <t xml:space="preserve">     外商投资环境建设补助资金</t>
  </si>
  <si>
    <t xml:space="preserve">     其他涉外发展服务支出</t>
  </si>
  <si>
    <t xml:space="preserve">   其他商业服务业等支出</t>
  </si>
  <si>
    <t xml:space="preserve">     服务业基础设施建设</t>
  </si>
  <si>
    <t xml:space="preserve">     其他商业服务业等支出</t>
  </si>
  <si>
    <t xml:space="preserve">   金融部门行政支出</t>
  </si>
  <si>
    <t xml:space="preserve">     安全防卫</t>
  </si>
  <si>
    <t xml:space="preserve">     金融部门其他行政支出</t>
  </si>
  <si>
    <t xml:space="preserve">   金融部门监管支出</t>
  </si>
  <si>
    <t xml:space="preserve">     货币发行</t>
  </si>
  <si>
    <t xml:space="preserve">     金融服务</t>
  </si>
  <si>
    <t xml:space="preserve">     反假币</t>
  </si>
  <si>
    <t xml:space="preserve">     重点金融机构监管</t>
  </si>
  <si>
    <t xml:space="preserve">     金融稽查与案件处理</t>
  </si>
  <si>
    <t xml:space="preserve">     金融行业电子化建设</t>
  </si>
  <si>
    <t xml:space="preserve">     从业人员资格考试</t>
  </si>
  <si>
    <t xml:space="preserve">     反洗钱</t>
  </si>
  <si>
    <t xml:space="preserve">     金融部门其他监管支出</t>
  </si>
  <si>
    <t xml:space="preserve">   金融发展支出</t>
  </si>
  <si>
    <t xml:space="preserve">     政策性银行亏损补贴</t>
  </si>
  <si>
    <t xml:space="preserve">     利息费用补贴支出</t>
  </si>
  <si>
    <t xml:space="preserve">     补充资本金</t>
  </si>
  <si>
    <t xml:space="preserve">     风险基金补助</t>
  </si>
  <si>
    <t xml:space="preserve">     其他金融发展支出</t>
  </si>
  <si>
    <t xml:space="preserve">   金融调控支出</t>
  </si>
  <si>
    <t xml:space="preserve">     中央银行亏损补贴</t>
  </si>
  <si>
    <t xml:space="preserve">     其他金融调控支出</t>
  </si>
  <si>
    <t xml:space="preserve">   其他金融支出</t>
  </si>
  <si>
    <t xml:space="preserve">     重点企业贷款贴息</t>
  </si>
  <si>
    <t xml:space="preserve">   一般公共服务</t>
  </si>
  <si>
    <t xml:space="preserve">   教育</t>
  </si>
  <si>
    <t xml:space="preserve">   文化旅游体育与传媒</t>
  </si>
  <si>
    <t xml:space="preserve">   卫生健康</t>
  </si>
  <si>
    <t xml:space="preserve">   节能环保</t>
  </si>
  <si>
    <t xml:space="preserve">   交通运输</t>
  </si>
  <si>
    <t xml:space="preserve">   住房保障</t>
  </si>
  <si>
    <t xml:space="preserve">   其他支出</t>
  </si>
  <si>
    <t xml:space="preserve">   自然资源事务</t>
  </si>
  <si>
    <t xml:space="preserve">     自然资源规划及管理</t>
  </si>
  <si>
    <t xml:space="preserve">     自然资源利用与保护</t>
  </si>
  <si>
    <t xml:space="preserve">     自然资源社会公益服务</t>
  </si>
  <si>
    <t xml:space="preserve">     自然资源行业业务管理</t>
  </si>
  <si>
    <t xml:space="preserve">     自然资源调查与确权登记</t>
  </si>
  <si>
    <t xml:space="preserve">     土地资源储备支出</t>
  </si>
  <si>
    <t xml:space="preserve">     地质矿产资源与环境调查</t>
  </si>
  <si>
    <t xml:space="preserve">     地质勘查与矿产资源管理</t>
  </si>
  <si>
    <t xml:space="preserve">     地质转产项目财政贴息</t>
  </si>
  <si>
    <t xml:space="preserve">     国外风险勘查</t>
  </si>
  <si>
    <t xml:space="preserve">     地质勘查基金（周转金）支出</t>
  </si>
  <si>
    <t xml:space="preserve">     海域与海岛管理</t>
  </si>
  <si>
    <t xml:space="preserve">     自然资源国际合作与海洋权益维护</t>
  </si>
  <si>
    <t xml:space="preserve">     自然资源卫星</t>
  </si>
  <si>
    <t xml:space="preserve">     极地考察</t>
  </si>
  <si>
    <t xml:space="preserve">     深海调查与资源开发</t>
  </si>
  <si>
    <t xml:space="preserve">     海港航标维护</t>
  </si>
  <si>
    <t xml:space="preserve">     海水淡化</t>
  </si>
  <si>
    <t xml:space="preserve">     无居民海岛使用金支出</t>
  </si>
  <si>
    <t xml:space="preserve">     海洋战略规划与预警监测</t>
  </si>
  <si>
    <t xml:space="preserve">     基础测绘与地理信息监管</t>
  </si>
  <si>
    <t xml:space="preserve">     其他自然资源事务支出</t>
  </si>
  <si>
    <t xml:space="preserve">   气象事务</t>
  </si>
  <si>
    <t xml:space="preserve">     气象事业机构</t>
  </si>
  <si>
    <t xml:space="preserve">     气象探测</t>
  </si>
  <si>
    <t xml:space="preserve">     气象信息传输及管理</t>
  </si>
  <si>
    <t xml:space="preserve">     气象预报预测</t>
  </si>
  <si>
    <t xml:space="preserve">     气象服务</t>
  </si>
  <si>
    <t xml:space="preserve">     气象装备保障维护</t>
  </si>
  <si>
    <t xml:space="preserve">     气象基础设施建设与维修</t>
  </si>
  <si>
    <t xml:space="preserve">     气象卫星</t>
  </si>
  <si>
    <t xml:space="preserve">     气象法规与标准</t>
  </si>
  <si>
    <t xml:space="preserve">     气象资金审计稽查</t>
  </si>
  <si>
    <t xml:space="preserve">     其他气象事务支出</t>
  </si>
  <si>
    <t xml:space="preserve">   其他自然资源海洋气象等支出</t>
  </si>
  <si>
    <t xml:space="preserve">     其他自然资源海洋气象等支出</t>
  </si>
  <si>
    <t xml:space="preserve">   保障性安居工程支出</t>
  </si>
  <si>
    <t xml:space="preserve">     沉陷区治理</t>
  </si>
  <si>
    <t xml:space="preserve">     棚户区改造</t>
  </si>
  <si>
    <t xml:space="preserve">     少数民族地区游牧民定居工程</t>
  </si>
  <si>
    <t xml:space="preserve">     农村危房改造</t>
  </si>
  <si>
    <t xml:space="preserve">     公共租赁住房</t>
  </si>
  <si>
    <t xml:space="preserve">     保障性住房租金补贴</t>
  </si>
  <si>
    <t xml:space="preserve">     老旧小区改造</t>
  </si>
  <si>
    <t xml:space="preserve">     保障性租赁住房</t>
  </si>
  <si>
    <t xml:space="preserve">     配租型住房保障</t>
  </si>
  <si>
    <t xml:space="preserve">     配售型保障性住房</t>
  </si>
  <si>
    <t xml:space="preserve">     城中村改造</t>
  </si>
  <si>
    <t xml:space="preserve">     其他保障性安居工程支出</t>
  </si>
  <si>
    <t xml:space="preserve">   住房改革支出</t>
  </si>
  <si>
    <t xml:space="preserve">     住房公积金</t>
  </si>
  <si>
    <t xml:space="preserve">     提租补贴</t>
  </si>
  <si>
    <t xml:space="preserve">     购房补贴</t>
  </si>
  <si>
    <t xml:space="preserve">   城乡社区住宅</t>
  </si>
  <si>
    <t xml:space="preserve">     公有住房建设和维修改造支出</t>
  </si>
  <si>
    <t xml:space="preserve">     住房公积金管理</t>
  </si>
  <si>
    <t xml:space="preserve">     其他城乡社区住宅支出</t>
  </si>
  <si>
    <t xml:space="preserve">   粮油物资事务</t>
  </si>
  <si>
    <t xml:space="preserve">     财务与审计支出</t>
  </si>
  <si>
    <t xml:space="preserve">     信息统计</t>
  </si>
  <si>
    <t xml:space="preserve">     专项业务活动</t>
  </si>
  <si>
    <t xml:space="preserve">     国家粮油差价补贴</t>
  </si>
  <si>
    <t xml:space="preserve">     粮食财务挂账利息补贴</t>
  </si>
  <si>
    <t xml:space="preserve">     粮食财务挂账消化款</t>
  </si>
  <si>
    <t xml:space="preserve">     处理陈化粮补贴</t>
  </si>
  <si>
    <t xml:space="preserve">     粮食风险基金</t>
  </si>
  <si>
    <t xml:space="preserve">     粮油市场调控专项资金</t>
  </si>
  <si>
    <t xml:space="preserve">     设施建设</t>
  </si>
  <si>
    <t xml:space="preserve">     设施安全</t>
  </si>
  <si>
    <t xml:space="preserve">     物资保管保养</t>
  </si>
  <si>
    <t xml:space="preserve">     其他粮油物资事务支出</t>
  </si>
  <si>
    <t xml:space="preserve">   能源储备</t>
  </si>
  <si>
    <t xml:space="preserve">     石油储备</t>
  </si>
  <si>
    <t xml:space="preserve">     天然铀能源储备</t>
  </si>
  <si>
    <t xml:space="preserve">     煤炭储备</t>
  </si>
  <si>
    <t xml:space="preserve">     成品油储备</t>
  </si>
  <si>
    <t xml:space="preserve">     天然气储备</t>
  </si>
  <si>
    <t xml:space="preserve">     其他能源储备支出</t>
  </si>
  <si>
    <t xml:space="preserve">   粮油储备</t>
  </si>
  <si>
    <t xml:space="preserve">     储备粮油补贴</t>
  </si>
  <si>
    <t xml:space="preserve">     储备粮油差价补贴</t>
  </si>
  <si>
    <t xml:space="preserve">     储备粮（油）库建设</t>
  </si>
  <si>
    <t xml:space="preserve">     最低收购价政策支出</t>
  </si>
  <si>
    <t xml:space="preserve">     其他粮油储备支出</t>
  </si>
  <si>
    <t xml:space="preserve">   重要商品储备</t>
  </si>
  <si>
    <t xml:space="preserve">     棉花储备</t>
  </si>
  <si>
    <t xml:space="preserve">     食糖储备</t>
  </si>
  <si>
    <t xml:space="preserve">     肉类储备</t>
  </si>
  <si>
    <t xml:space="preserve">     化肥储备</t>
  </si>
  <si>
    <t xml:space="preserve">     农药储备</t>
  </si>
  <si>
    <t xml:space="preserve">     边销茶储备</t>
  </si>
  <si>
    <t xml:space="preserve">     羊毛储备</t>
  </si>
  <si>
    <t xml:space="preserve">     医药储备</t>
  </si>
  <si>
    <t xml:space="preserve">     食盐储备</t>
  </si>
  <si>
    <t xml:space="preserve">     战略物资储备</t>
  </si>
  <si>
    <t xml:space="preserve">     应急物资储备</t>
  </si>
  <si>
    <t xml:space="preserve">     其他重要商品储备支出</t>
  </si>
  <si>
    <t xml:space="preserve">   应急管理事务</t>
  </si>
  <si>
    <t xml:space="preserve">     灾害风险防治</t>
  </si>
  <si>
    <t xml:space="preserve">     国务院安委会专项</t>
  </si>
  <si>
    <t xml:space="preserve">     安全监管</t>
  </si>
  <si>
    <t xml:space="preserve">     应急救援</t>
  </si>
  <si>
    <t xml:space="preserve">     应急管理</t>
  </si>
  <si>
    <t xml:space="preserve">     其他应急管理支出</t>
  </si>
  <si>
    <t xml:space="preserve">   消防救援事务</t>
  </si>
  <si>
    <t xml:space="preserve">     消防应急救援</t>
  </si>
  <si>
    <t xml:space="preserve">     其他消防救援事务支出</t>
  </si>
  <si>
    <t xml:space="preserve">   矿山安全</t>
  </si>
  <si>
    <t xml:space="preserve">     矿山安全监察事务</t>
  </si>
  <si>
    <t xml:space="preserve">     矿山应急救援事务</t>
  </si>
  <si>
    <t xml:space="preserve">     其他矿山安全支出</t>
  </si>
  <si>
    <t xml:space="preserve">   地震事务</t>
  </si>
  <si>
    <t xml:space="preserve">     地震监测</t>
  </si>
  <si>
    <t xml:space="preserve">     地震预测预报</t>
  </si>
  <si>
    <t xml:space="preserve">     地震灾害预防</t>
  </si>
  <si>
    <t xml:space="preserve">     地震应急救援</t>
  </si>
  <si>
    <t xml:space="preserve">     地震环境探察</t>
  </si>
  <si>
    <t xml:space="preserve">     防震减灾信息管理</t>
  </si>
  <si>
    <t xml:space="preserve">     防震减灾基础管理</t>
  </si>
  <si>
    <t xml:space="preserve">     地震事业机构</t>
  </si>
  <si>
    <t xml:space="preserve">     其他地震事务支出</t>
  </si>
  <si>
    <t xml:space="preserve">   自然灾害防治</t>
  </si>
  <si>
    <t xml:space="preserve">     地质灾害防治</t>
  </si>
  <si>
    <t xml:space="preserve">     森林草原防灾减灾</t>
  </si>
  <si>
    <t xml:space="preserve">     其他自然灾害防治支出</t>
  </si>
  <si>
    <t xml:space="preserve">   自然灾害救灾及恢复重建支出</t>
  </si>
  <si>
    <t xml:space="preserve">     自然灾害救灾补助</t>
  </si>
  <si>
    <t xml:space="preserve">     自然灾害灾后重建补助</t>
  </si>
  <si>
    <t xml:space="preserve">     其他自然灾害救灾及恢复重建支出</t>
  </si>
  <si>
    <t xml:space="preserve">   其他灾害防治及应急管理支出</t>
  </si>
  <si>
    <t xml:space="preserve">     其他灾害防治及应急管理支出</t>
  </si>
  <si>
    <t xml:space="preserve">   地方政府一般债务付息支出</t>
  </si>
  <si>
    <t xml:space="preserve">     地方政府一般债券付息支出</t>
  </si>
  <si>
    <t xml:space="preserve">     地方政府向外国政府借款付息支出</t>
  </si>
  <si>
    <t xml:space="preserve">     地方政府向国际组织借款付息支出</t>
  </si>
  <si>
    <t xml:space="preserve">     地方政府其他一般债务付息支出</t>
  </si>
  <si>
    <t xml:space="preserve">   地方政府一般债务发行费用支出</t>
  </si>
  <si>
    <t xml:space="preserve">   年初预留</t>
  </si>
  <si>
    <t>支出合计</t>
  </si>
  <si>
    <t>调整预算数</t>
  </si>
  <si>
    <r>
      <rPr>
        <sz val="14"/>
        <rFont val="宋体"/>
        <charset val="134"/>
      </rPr>
      <t>10199</t>
    </r>
  </si>
  <si>
    <t>市本级一般公共预算收入</t>
  </si>
  <si>
    <t xml:space="preserve">   上解收入</t>
  </si>
  <si>
    <t>201</t>
  </si>
  <si>
    <t>一、一般公共服务</t>
  </si>
  <si>
    <t>202</t>
  </si>
  <si>
    <t>203</t>
  </si>
  <si>
    <t>204</t>
  </si>
  <si>
    <t>205</t>
  </si>
  <si>
    <t>206</t>
  </si>
  <si>
    <t>207</t>
  </si>
  <si>
    <t>208</t>
  </si>
  <si>
    <t>210</t>
  </si>
  <si>
    <t>211</t>
  </si>
  <si>
    <t>212</t>
  </si>
  <si>
    <t>213</t>
  </si>
  <si>
    <t>214</t>
  </si>
  <si>
    <t>215</t>
  </si>
  <si>
    <t>216</t>
  </si>
  <si>
    <t>217</t>
  </si>
  <si>
    <t>219</t>
  </si>
  <si>
    <t>220</t>
  </si>
  <si>
    <t>221</t>
  </si>
  <si>
    <t>222</t>
  </si>
  <si>
    <t>224</t>
  </si>
  <si>
    <t>227</t>
  </si>
  <si>
    <t>232</t>
  </si>
  <si>
    <t>233</t>
  </si>
  <si>
    <t>229</t>
  </si>
  <si>
    <t>市本级一般公共预算支出</t>
  </si>
  <si>
    <t xml:space="preserve">   返还性支出</t>
  </si>
  <si>
    <t xml:space="preserve">   一般性转移支付支出</t>
  </si>
  <si>
    <t xml:space="preserve">   专项转移支付支出</t>
  </si>
  <si>
    <t xml:space="preserve">   上解支出</t>
  </si>
  <si>
    <t xml:space="preserve">   调出资金</t>
  </si>
  <si>
    <t xml:space="preserve">   地方政府一般债务转贷支出</t>
  </si>
  <si>
    <t xml:space="preserve">   安排预算稳定调节基金</t>
  </si>
  <si>
    <t xml:space="preserve">   补充预算周转金</t>
  </si>
  <si>
    <t>22902</t>
  </si>
  <si>
    <t>22999</t>
  </si>
  <si>
    <t>序号</t>
  </si>
  <si>
    <t>项 目</t>
  </si>
  <si>
    <t>金 额</t>
  </si>
  <si>
    <t>合 计</t>
  </si>
  <si>
    <t>世界银行云南城建项目还本付息专项资金</t>
  </si>
  <si>
    <t>新增化企业账款专项补助资金</t>
  </si>
  <si>
    <t>永宾高速公路征地拆迁缺口资金</t>
  </si>
  <si>
    <t>专项任务经费（319专项工作任务经费）</t>
  </si>
  <si>
    <t>新增丽江市技工学校综合教学楼项目代建管理经费</t>
  </si>
  <si>
    <t>金山高新区管委会专项债券本息偿还资金</t>
  </si>
  <si>
    <t>1030102</t>
  </si>
  <si>
    <t>一、农网还贷资金收入</t>
  </si>
  <si>
    <t>1030129</t>
  </si>
  <si>
    <t>二、国家电影事业发展专项资金收入</t>
  </si>
  <si>
    <t>1030146</t>
  </si>
  <si>
    <t>三、国有土地收益基金收入</t>
  </si>
  <si>
    <t>1030147</t>
  </si>
  <si>
    <t>四、农业土地开发资金收入</t>
  </si>
  <si>
    <t>1030148</t>
  </si>
  <si>
    <t>五、国有土地使用权出让收入</t>
  </si>
  <si>
    <t>103014801</t>
  </si>
  <si>
    <t xml:space="preserve">   土地出让价款收入</t>
  </si>
  <si>
    <t>103014802</t>
  </si>
  <si>
    <t xml:space="preserve">   补缴的土地价款</t>
  </si>
  <si>
    <t>103014803</t>
  </si>
  <si>
    <t xml:space="preserve">   划拨土地收入</t>
  </si>
  <si>
    <t>103014898</t>
  </si>
  <si>
    <t xml:space="preserve">   缴纳新增建设用地土地有偿使用费</t>
  </si>
  <si>
    <t>103014899</t>
  </si>
  <si>
    <t xml:space="preserve">   其他土地出让收入</t>
  </si>
  <si>
    <t>1030150</t>
  </si>
  <si>
    <t>六、大中型水库库区基金收入</t>
  </si>
  <si>
    <t>1030155</t>
  </si>
  <si>
    <t>七、彩票公益金收入</t>
  </si>
  <si>
    <t>103015501</t>
  </si>
  <si>
    <t xml:space="preserve">   福利彩票公益金收入</t>
  </si>
  <si>
    <t>103015502</t>
  </si>
  <si>
    <t xml:space="preserve">   体育彩票公益金收入</t>
  </si>
  <si>
    <t>1030156</t>
  </si>
  <si>
    <t>八、城市基础设施配套费收入</t>
  </si>
  <si>
    <t>1030157</t>
  </si>
  <si>
    <t>九、小型水库移民扶助基金收入</t>
  </si>
  <si>
    <t>1030158</t>
  </si>
  <si>
    <t>十、国家重大水利工程建设基金收入</t>
  </si>
  <si>
    <t>1030159</t>
  </si>
  <si>
    <t>十一、车辆通行费</t>
  </si>
  <si>
    <t>1030178</t>
  </si>
  <si>
    <t>十二、污水处理费收入</t>
  </si>
  <si>
    <t>1030180</t>
  </si>
  <si>
    <t>十三、彩票发行机构和彩票销售机构的业务费用</t>
  </si>
  <si>
    <t>1030199</t>
  </si>
  <si>
    <t>十四、其他政府性基金收入</t>
  </si>
  <si>
    <t>10310</t>
  </si>
  <si>
    <t>十五、专项债券对应项目专项收入</t>
  </si>
  <si>
    <t>全市政府性基金预算收入</t>
  </si>
  <si>
    <t>地方政府专项债务收入</t>
  </si>
  <si>
    <t xml:space="preserve">   政府性基金转移支付收入</t>
  </si>
  <si>
    <t xml:space="preserve">     政府性基金补助收入</t>
  </si>
  <si>
    <t>一、教育支出</t>
  </si>
  <si>
    <t xml:space="preserve">   超长期特别国债安排的支出</t>
  </si>
  <si>
    <t xml:space="preserve">      基础教育</t>
  </si>
  <si>
    <t xml:space="preserve">      高等教育</t>
  </si>
  <si>
    <t xml:space="preserve">      职业教育</t>
  </si>
  <si>
    <t xml:space="preserve">      特殊教育</t>
  </si>
  <si>
    <t xml:space="preserve">      其他教育支出</t>
  </si>
  <si>
    <t>二、科学技术支出</t>
  </si>
  <si>
    <t xml:space="preserve">      基础研究</t>
  </si>
  <si>
    <t xml:space="preserve">      应用研究</t>
  </si>
  <si>
    <t xml:space="preserve">      技术研究与开发</t>
  </si>
  <si>
    <t xml:space="preserve">      科技条件与服务</t>
  </si>
  <si>
    <t xml:space="preserve">      科技重大项目</t>
  </si>
  <si>
    <t xml:space="preserve">      其他科技支出</t>
  </si>
  <si>
    <t>三、文化旅游体育与传媒支出</t>
  </si>
  <si>
    <t xml:space="preserve">   国家电影事业发展专项资金安排的支出</t>
  </si>
  <si>
    <t xml:space="preserve">      资助国产影片放映</t>
  </si>
  <si>
    <t xml:space="preserve">      资助影院建设</t>
  </si>
  <si>
    <t xml:space="preserve">      资助少数民族语电影译制</t>
  </si>
  <si>
    <t xml:space="preserve">      购买农村电影公益性放映版权服务</t>
  </si>
  <si>
    <t xml:space="preserve">      其他国家电影事业发展专项资金支出</t>
  </si>
  <si>
    <t xml:space="preserve">   旅游发展基金支出</t>
  </si>
  <si>
    <t xml:space="preserve">      宣传促销</t>
  </si>
  <si>
    <t xml:space="preserve">      行业规划</t>
  </si>
  <si>
    <t xml:space="preserve">      旅游事业补助</t>
  </si>
  <si>
    <t xml:space="preserve">      地方旅游开发项目补助</t>
  </si>
  <si>
    <t xml:space="preserve">      其他旅游发展基金支出 </t>
  </si>
  <si>
    <t xml:space="preserve">   国家电影事业发展专项资金对应专项债务收入安排的支出</t>
  </si>
  <si>
    <t xml:space="preserve">      资助城市影院</t>
  </si>
  <si>
    <t xml:space="preserve">      其他国家电影事业发展专项资金对应专项债务收入支出</t>
  </si>
  <si>
    <t xml:space="preserve">     文化和旅游</t>
  </si>
  <si>
    <t xml:space="preserve">     文物</t>
  </si>
  <si>
    <t xml:space="preserve">     体育</t>
  </si>
  <si>
    <t xml:space="preserve">     新闻出版电影</t>
  </si>
  <si>
    <t xml:space="preserve">     广播电视</t>
  </si>
  <si>
    <t>四、社会保障和就业支出</t>
  </si>
  <si>
    <t xml:space="preserve">    超长期特别国债安排的支出</t>
  </si>
  <si>
    <t xml:space="preserve">      养老机构及服务设施</t>
  </si>
  <si>
    <t xml:space="preserve">      公共就业服务设施</t>
  </si>
  <si>
    <t xml:space="preserve">      其他社会保险和就业支出</t>
  </si>
  <si>
    <t>五、卫生健康支出</t>
  </si>
  <si>
    <t xml:space="preserve">      公立医院</t>
  </si>
  <si>
    <t xml:space="preserve">      基层医疗卫生机构</t>
  </si>
  <si>
    <t xml:space="preserve">      公共卫生机构</t>
  </si>
  <si>
    <t xml:space="preserve">      托育机构</t>
  </si>
  <si>
    <t xml:space="preserve">      其他卫生健康支出</t>
  </si>
  <si>
    <t>六、节能环保支出</t>
  </si>
  <si>
    <t xml:space="preserve">    可再生能源电价附加收入安排的支出</t>
  </si>
  <si>
    <t xml:space="preserve">      风力发电补助</t>
  </si>
  <si>
    <t xml:space="preserve">      太阳能发电补助</t>
  </si>
  <si>
    <t xml:space="preserve">      生物质能发电补助</t>
  </si>
  <si>
    <t xml:space="preserve">      其他可再生能源电价附加收入安排的支出</t>
  </si>
  <si>
    <t xml:space="preserve">    废弃电器电子产品处理基金支出</t>
  </si>
  <si>
    <t xml:space="preserve">      回收处理费用补贴</t>
  </si>
  <si>
    <t xml:space="preserve">      信息系统建设</t>
  </si>
  <si>
    <t xml:space="preserve">      基金征管经费</t>
  </si>
  <si>
    <t xml:space="preserve">      其他废弃电器电子产品处理基金支出</t>
  </si>
  <si>
    <t xml:space="preserve">      水污染综合治理</t>
  </si>
  <si>
    <t xml:space="preserve">      应对气候变化</t>
  </si>
  <si>
    <t xml:space="preserve">      "三北"工程建设</t>
  </si>
  <si>
    <t xml:space="preserve">      其他节能环保支出</t>
  </si>
  <si>
    <t>七、城乡社区支出</t>
  </si>
  <si>
    <t xml:space="preserve">    国有土地使用权出让收入安排的支出</t>
  </si>
  <si>
    <t xml:space="preserve">      征地和拆迁补偿支出</t>
  </si>
  <si>
    <t xml:space="preserve">      土地开发支出</t>
  </si>
  <si>
    <t xml:space="preserve">      城市建设支出</t>
  </si>
  <si>
    <t xml:space="preserve">      农村基础设施建设支出</t>
  </si>
  <si>
    <t xml:space="preserve">      补助被征地农民支出</t>
  </si>
  <si>
    <t xml:space="preserve">      土地出让业务支出</t>
  </si>
  <si>
    <t xml:space="preserve">      廉租住房支出</t>
  </si>
  <si>
    <t xml:space="preserve">      支付破产或改制企业职工安置费</t>
  </si>
  <si>
    <t xml:space="preserve">      棚户区改造支出</t>
  </si>
  <si>
    <t xml:space="preserve">      公共租赁住房支出</t>
  </si>
  <si>
    <t xml:space="preserve">      保障性住房租金补贴</t>
  </si>
  <si>
    <t xml:space="preserve">      农业生产发展支出</t>
  </si>
  <si>
    <t xml:space="preserve">      农村社会事业支出</t>
  </si>
  <si>
    <t xml:space="preserve">      农业农村生态环境支出</t>
  </si>
  <si>
    <t xml:space="preserve">      其他国有土地使用权出让收入安排的支出</t>
  </si>
  <si>
    <t xml:space="preserve">    国有土地收益基金安排的支出</t>
  </si>
  <si>
    <t xml:space="preserve">      其他国有土地收益基金支出</t>
  </si>
  <si>
    <t xml:space="preserve">    农业土地开发资金安排的支出</t>
  </si>
  <si>
    <t xml:space="preserve">    城市基础设施配套费安排的支出</t>
  </si>
  <si>
    <t xml:space="preserve">      城市公共设施</t>
  </si>
  <si>
    <t xml:space="preserve">      城市环境卫生</t>
  </si>
  <si>
    <t xml:space="preserve">      公有房屋</t>
  </si>
  <si>
    <t xml:space="preserve">      城市防洪</t>
  </si>
  <si>
    <t xml:space="preserve">      其他城市基础设施配套费安排的支出</t>
  </si>
  <si>
    <t xml:space="preserve">    污水处理费收入安排的支出</t>
  </si>
  <si>
    <t xml:space="preserve">      污水处理设施建设和运营</t>
  </si>
  <si>
    <t xml:space="preserve">      代征手续费</t>
  </si>
  <si>
    <t xml:space="preserve">      其他污水处理费安排的支出</t>
  </si>
  <si>
    <t xml:space="preserve">    土地储备专项债券收入安排的支出</t>
  </si>
  <si>
    <t xml:space="preserve">      其他土地储备专项债券收入安排的支出</t>
  </si>
  <si>
    <t xml:space="preserve">    棚户区改造专项债券收入安排的支出</t>
  </si>
  <si>
    <t xml:space="preserve">      其他棚户区改造专项债券收入安排的支出</t>
  </si>
  <si>
    <t xml:space="preserve">    城市基础设施配套费对应专项债务收入安排的支出</t>
  </si>
  <si>
    <t xml:space="preserve">      其他城市基础设施配套费对应专项债务收入安排的支出</t>
  </si>
  <si>
    <t xml:space="preserve">    污水处理费对应专项债务收入安排的支出</t>
  </si>
  <si>
    <t xml:space="preserve">      其他污水处理费对应专项债务收入安排的支出</t>
  </si>
  <si>
    <t xml:space="preserve">    国有土地使用权出让收入对应专项债务收入安排的支出</t>
  </si>
  <si>
    <t xml:space="preserve">      其他国有土地使用权出让收入对应专项债务收入安排的支出</t>
  </si>
  <si>
    <t xml:space="preserve">      城乡社区公共设施</t>
  </si>
  <si>
    <t xml:space="preserve">      其他城乡社区支出</t>
  </si>
  <si>
    <t>八、农林水支出</t>
  </si>
  <si>
    <t xml:space="preserve">    大中型水库库区基金安排的支出</t>
  </si>
  <si>
    <t xml:space="preserve">      基础设施建设和经济发展</t>
  </si>
  <si>
    <t xml:space="preserve">      解决移民遗留问题</t>
  </si>
  <si>
    <t xml:space="preserve">      库区防护工程维护</t>
  </si>
  <si>
    <t xml:space="preserve">      其他大中型水库库区基金支出</t>
  </si>
  <si>
    <t xml:space="preserve">    三峡水库库区基金支出</t>
  </si>
  <si>
    <t xml:space="preserve">      库区维护和管理</t>
  </si>
  <si>
    <t xml:space="preserve">      其他三峡水库库区基金支出</t>
  </si>
  <si>
    <t xml:space="preserve">    国家重大水利工程建设基金安排的支出</t>
  </si>
  <si>
    <t xml:space="preserve">      南水北调工程建设</t>
  </si>
  <si>
    <t xml:space="preserve">      三峡后续工作</t>
  </si>
  <si>
    <t xml:space="preserve">      地方重大水利工程建设</t>
  </si>
  <si>
    <t xml:space="preserve">      其他重大水利工程建设基金支出</t>
  </si>
  <si>
    <t xml:space="preserve">    大中型水库库区基金对应专项债务收入安排的支出</t>
  </si>
  <si>
    <t xml:space="preserve">      其他大中型水库库区基金对应专项债务收入支出</t>
  </si>
  <si>
    <t xml:space="preserve">    国家重大水利工程建设基金对应专项债务收入安排的支出</t>
  </si>
  <si>
    <t xml:space="preserve">      三峡工程后续工作</t>
  </si>
  <si>
    <t xml:space="preserve">      其他重大水利工程建设基金对应专项债务收入支出</t>
  </si>
  <si>
    <t xml:space="preserve">    大中型水库移民后期扶持基金支出</t>
  </si>
  <si>
    <t xml:space="preserve">      移民补助</t>
  </si>
  <si>
    <t xml:space="preserve">      其他大中型水库移民后期扶持基金支出</t>
  </si>
  <si>
    <t xml:space="preserve">    小型水库移民扶助基金安排的支出</t>
  </si>
  <si>
    <t xml:space="preserve">      其他小型水库移民扶助基金支出</t>
  </si>
  <si>
    <t xml:space="preserve">    小型水库移民扶助基金对应专项债务收入安排的支出</t>
  </si>
  <si>
    <t xml:space="preserve">      其他小型水库移民扶助基金对应专项债务收入安排的支出</t>
  </si>
  <si>
    <t xml:space="preserve">      农业农村支出</t>
  </si>
  <si>
    <t xml:space="preserve">      水利支出</t>
  </si>
  <si>
    <t xml:space="preserve">      其他农林水支出</t>
  </si>
  <si>
    <t>九、交通运输支出</t>
  </si>
  <si>
    <t xml:space="preserve">    海南省高等级公路车辆通行附加费安排的支出</t>
  </si>
  <si>
    <t xml:space="preserve">      公路建设</t>
  </si>
  <si>
    <t xml:space="preserve">      公路养护</t>
  </si>
  <si>
    <t xml:space="preserve">      公路还贷</t>
  </si>
  <si>
    <t xml:space="preserve">      其他海南省高等级公路车辆通行附加费安排的支出</t>
  </si>
  <si>
    <t xml:space="preserve">    车辆通行费安排的支出</t>
  </si>
  <si>
    <t xml:space="preserve">      政府还贷公路养护</t>
  </si>
  <si>
    <t xml:space="preserve">      政府还贷公路管理</t>
  </si>
  <si>
    <t xml:space="preserve">      其他车辆通行费安排的支出</t>
  </si>
  <si>
    <t xml:space="preserve">    铁路建设基金支出</t>
  </si>
  <si>
    <t xml:space="preserve">      铁路建设投资</t>
  </si>
  <si>
    <t xml:space="preserve">      购置铁路机车车辆</t>
  </si>
  <si>
    <t xml:space="preserve">      铁路还贷</t>
  </si>
  <si>
    <t xml:space="preserve">      建设项目铺底资金</t>
  </si>
  <si>
    <t xml:space="preserve">      勘测设计</t>
  </si>
  <si>
    <t xml:space="preserve">      注册资本金</t>
  </si>
  <si>
    <t xml:space="preserve">      周转资金</t>
  </si>
  <si>
    <t xml:space="preserve">      其他铁路建设基金支出</t>
  </si>
  <si>
    <t xml:space="preserve">    船舶油污损害赔偿基金支出</t>
  </si>
  <si>
    <t xml:space="preserve">      应急处置费用</t>
  </si>
  <si>
    <t xml:space="preserve">      控制清除污染</t>
  </si>
  <si>
    <t xml:space="preserve">      损失补偿</t>
  </si>
  <si>
    <t xml:space="preserve">      生态恢复</t>
  </si>
  <si>
    <t xml:space="preserve">      监视监测</t>
  </si>
  <si>
    <t xml:space="preserve">      其他船舶油污损害赔偿基金支出</t>
  </si>
  <si>
    <t xml:space="preserve">    民航发展基金支出</t>
  </si>
  <si>
    <t xml:space="preserve">      民航机场建设</t>
  </si>
  <si>
    <t xml:space="preserve">      空管系统建设</t>
  </si>
  <si>
    <t xml:space="preserve">      民航安全</t>
  </si>
  <si>
    <t xml:space="preserve">      航线和机场补贴</t>
  </si>
  <si>
    <t xml:space="preserve">      民航节能减排</t>
  </si>
  <si>
    <t xml:space="preserve">      通用航空发展</t>
  </si>
  <si>
    <t xml:space="preserve">      征管经费</t>
  </si>
  <si>
    <t xml:space="preserve">      民航科教和信息建设</t>
  </si>
  <si>
    <t xml:space="preserve">      其他民航发展基金支出</t>
  </si>
  <si>
    <t xml:space="preserve">    海南省高等级公路车辆通行附加费对应专项债务收入安排的支出</t>
  </si>
  <si>
    <t xml:space="preserve">      其他海南省高等级公路车辆通行附加费对应专项债务收入安排的支出</t>
  </si>
  <si>
    <t xml:space="preserve">    政府收费公路专项债券收入安排的支出</t>
  </si>
  <si>
    <t xml:space="preserve">      其他政府收费公路专项债券收入安排的支出</t>
  </si>
  <si>
    <t xml:space="preserve">    车辆通行费对应专项债务收入安排的支出</t>
  </si>
  <si>
    <t xml:space="preserve">      公路水路运输</t>
  </si>
  <si>
    <t xml:space="preserve">      铁路运输</t>
  </si>
  <si>
    <t xml:space="preserve">      民用航空运输</t>
  </si>
  <si>
    <t xml:space="preserve">      邮政业支出</t>
  </si>
  <si>
    <t xml:space="preserve">      其他交通运输支出</t>
  </si>
  <si>
    <t>十、资源勘探工业信息等支出</t>
  </si>
  <si>
    <t xml:space="preserve">    农网还贷资金支出</t>
  </si>
  <si>
    <t xml:space="preserve">      地方农网还贷资金支出</t>
  </si>
  <si>
    <t xml:space="preserve">      其他农网还贷资金支出</t>
  </si>
  <si>
    <t xml:space="preserve">      资源勘探开发</t>
  </si>
  <si>
    <t xml:space="preserve">      制造业</t>
  </si>
  <si>
    <t xml:space="preserve">      工业和信息产业</t>
  </si>
  <si>
    <t xml:space="preserve">      其他资源勘探工业信息等支出</t>
  </si>
  <si>
    <t>十一、金融支出</t>
  </si>
  <si>
    <t xml:space="preserve">    金融调控支出</t>
  </si>
  <si>
    <t xml:space="preserve">      中央特别国债经营基金支出</t>
  </si>
  <si>
    <t xml:space="preserve">      中央特别国债经营基金财务支出</t>
  </si>
  <si>
    <t xml:space="preserve">      中央金融机构注资特别国债支出</t>
  </si>
  <si>
    <t>十二、自然资源海洋气象等支出</t>
  </si>
  <si>
    <t xml:space="preserve">    耕地保护考核奖惩基金支出</t>
  </si>
  <si>
    <t xml:space="preserve">      耕地保护</t>
  </si>
  <si>
    <t xml:space="preserve">      补充耕地</t>
  </si>
  <si>
    <t>十三、住房保障支出</t>
  </si>
  <si>
    <t xml:space="preserve">      保障性租赁住房</t>
  </si>
  <si>
    <t xml:space="preserve">      其他住房保障支出</t>
  </si>
  <si>
    <t>十四、粮油物资储备支出</t>
  </si>
  <si>
    <t xml:space="preserve">      设施建设</t>
  </si>
  <si>
    <t xml:space="preserve">      其他粮油物资储备支出</t>
  </si>
  <si>
    <t>十五、灾害防治及应急管理支出</t>
  </si>
  <si>
    <t xml:space="preserve">      自然灾害防治</t>
  </si>
  <si>
    <t xml:space="preserve">      自然灾害恢复重建支出</t>
  </si>
  <si>
    <t xml:space="preserve">      其他灾害防治及应急管理支出</t>
  </si>
  <si>
    <t>十六、其他支出</t>
  </si>
  <si>
    <t xml:space="preserve">    其他政府性基金及对应专项债务收入安排的支出</t>
  </si>
  <si>
    <t xml:space="preserve">      其他政府性基金安排的支出</t>
  </si>
  <si>
    <t xml:space="preserve">      其他地方自行试点项目收益专项债券收入安排的支出</t>
  </si>
  <si>
    <t xml:space="preserve">      其他政府性基金债务收入安排的支出</t>
  </si>
  <si>
    <t xml:space="preserve">    彩票发行销售机构业务费安排的支出</t>
  </si>
  <si>
    <t xml:space="preserve">      福利彩票发行机构的业务费支出</t>
  </si>
  <si>
    <t xml:space="preserve">      体育彩票发行机构的业务费支出</t>
  </si>
  <si>
    <t xml:space="preserve">      福利彩票销售机构的业务费支出</t>
  </si>
  <si>
    <t xml:space="preserve">      体育彩票销售机构的业务费支出</t>
  </si>
  <si>
    <t xml:space="preserve">      彩票兑奖周转金支出</t>
  </si>
  <si>
    <t xml:space="preserve">      彩票发行销售风险基金支出</t>
  </si>
  <si>
    <t xml:space="preserve">      彩票市场调控资金支出</t>
  </si>
  <si>
    <t xml:space="preserve">      其他彩票发行销售机构业务费安排的支出</t>
  </si>
  <si>
    <t xml:space="preserve">    抗疫特别国债财务基金支出</t>
  </si>
  <si>
    <t xml:space="preserve">      抗疫特别国债财务基金支出</t>
  </si>
  <si>
    <t xml:space="preserve">    超长期特别国债财务基金支出</t>
  </si>
  <si>
    <t xml:space="preserve">      超长期特别国债财务基金支出</t>
  </si>
  <si>
    <t xml:space="preserve">    彩票公益金安排的支出</t>
  </si>
  <si>
    <t xml:space="preserve">      用于补充全国社会保障基金的彩票公益金支出</t>
  </si>
  <si>
    <t xml:space="preserve">      用于社会福利的彩票公益金支出</t>
  </si>
  <si>
    <t xml:space="preserve">      用于体育事业的彩票公益金支出</t>
  </si>
  <si>
    <t xml:space="preserve">      用于教育事业的彩票公益金支出</t>
  </si>
  <si>
    <t xml:space="preserve">      用于红十字事业的彩票公益金支出</t>
  </si>
  <si>
    <t xml:space="preserve">      用于残疾人事业的彩票公益金支出</t>
  </si>
  <si>
    <t xml:space="preserve">      用于文化事业的彩票公益金支出</t>
  </si>
  <si>
    <t xml:space="preserve">      用于扶贫的彩票公益金支出</t>
  </si>
  <si>
    <t xml:space="preserve">      用于法律援助的彩票公益金支出</t>
  </si>
  <si>
    <t xml:space="preserve">      用于城乡医疗救助的的彩票公益金支出</t>
  </si>
  <si>
    <t xml:space="preserve">      用于其他社会公益事业的彩票公益金支出</t>
  </si>
  <si>
    <t xml:space="preserve">    超长期特别国债安排的其他支出</t>
  </si>
  <si>
    <t xml:space="preserve">      其他支出</t>
  </si>
  <si>
    <t>十七、债务付息支出</t>
  </si>
  <si>
    <t xml:space="preserve">    地方政府专项债务付息支出</t>
  </si>
  <si>
    <t xml:space="preserve">      海南省高等级公路车辆通行附加费债务付息支出</t>
  </si>
  <si>
    <t xml:space="preserve">      国家电影事业发展专项资金债务付息支出</t>
  </si>
  <si>
    <t xml:space="preserve">      国有土地使用权出让金债务付息支出</t>
  </si>
  <si>
    <t xml:space="preserve">      农业土地开发资金债务付息支出</t>
  </si>
  <si>
    <t xml:space="preserve">      大中型水库库区基金债务付息支出</t>
  </si>
  <si>
    <t xml:space="preserve">      城市基础设施配套费债务付息支出</t>
  </si>
  <si>
    <t xml:space="preserve">      小型水库移民扶助基金债务付息支出</t>
  </si>
  <si>
    <t xml:space="preserve">      国家重大水利工程建设基金债务付息支出</t>
  </si>
  <si>
    <t xml:space="preserve">      车辆通行费债务付息支出</t>
  </si>
  <si>
    <t xml:space="preserve">      污水处理费债务付息支出</t>
  </si>
  <si>
    <t xml:space="preserve">      土地储备专项债券付息支出</t>
  </si>
  <si>
    <t xml:space="preserve">      政府收费公路专项债券付息支出</t>
  </si>
  <si>
    <t xml:space="preserve">      棚户区改造专项债券付息支出</t>
  </si>
  <si>
    <t xml:space="preserve">      其他地方自行试点项目收益专项债券付息支出</t>
  </si>
  <si>
    <t xml:space="preserve">      其他政府性基金债务付息支出</t>
  </si>
  <si>
    <t>十八、债务发行费用支出</t>
  </si>
  <si>
    <t xml:space="preserve">    地方政府专项债务发行费用支出</t>
  </si>
  <si>
    <t xml:space="preserve">      海南省高等级公路车辆通行附加费债务发行费用支出</t>
  </si>
  <si>
    <t xml:space="preserve">      国家电影事业发展专项资金债务发行费用支出</t>
  </si>
  <si>
    <t xml:space="preserve">      国有土地使用权出让金债务发行费用支出</t>
  </si>
  <si>
    <t xml:space="preserve">      农业土地开发资金债务发行费用支出</t>
  </si>
  <si>
    <t xml:space="preserve">      大中型水库库区基金债务发行费用支出</t>
  </si>
  <si>
    <t xml:space="preserve">      城市基础设施配套费债务发行费用支出</t>
  </si>
  <si>
    <t xml:space="preserve">      小型水库移民扶助基金债务发行费用支出</t>
  </si>
  <si>
    <t xml:space="preserve">      国家重大水利工程建设基金债务发行费用支出</t>
  </si>
  <si>
    <t xml:space="preserve">      车辆通行费债务发行费用支出</t>
  </si>
  <si>
    <t xml:space="preserve">      污水处理费债务发行费用支出</t>
  </si>
  <si>
    <t xml:space="preserve">      土地储备专项债券发行费用支出</t>
  </si>
  <si>
    <t xml:space="preserve">      政府收费公路专项债券发行费用支出</t>
  </si>
  <si>
    <t xml:space="preserve">      棚户区改造专项债券发行费用支出</t>
  </si>
  <si>
    <t xml:space="preserve">      其他地方自行试点项目收益专项债务发行费用支出</t>
  </si>
  <si>
    <t xml:space="preserve">      其他政府性基金债务发行费用支出</t>
  </si>
  <si>
    <t>十九、抗疫特别国债安排的支出</t>
  </si>
  <si>
    <t xml:space="preserve">    基础设施建设</t>
  </si>
  <si>
    <t xml:space="preserve">      公共卫生体系建设</t>
  </si>
  <si>
    <t xml:space="preserve">      重大疫情防控救治体系建设</t>
  </si>
  <si>
    <t xml:space="preserve">      粮食安全</t>
  </si>
  <si>
    <t xml:space="preserve">      能源安全</t>
  </si>
  <si>
    <t xml:space="preserve">      应急物资保障</t>
  </si>
  <si>
    <t xml:space="preserve">      产业链改造升级</t>
  </si>
  <si>
    <t xml:space="preserve">      城镇老旧小区改造</t>
  </si>
  <si>
    <t xml:space="preserve">      生态环境治理</t>
  </si>
  <si>
    <t xml:space="preserve">      交通基础设施建设</t>
  </si>
  <si>
    <t xml:space="preserve">      市政设施建设</t>
  </si>
  <si>
    <t xml:space="preserve">      重大区域规划基础设施建设</t>
  </si>
  <si>
    <t xml:space="preserve">      其他基础设施建设</t>
  </si>
  <si>
    <t xml:space="preserve">    抗疫相关支出</t>
  </si>
  <si>
    <t xml:space="preserve">      减免房租补贴</t>
  </si>
  <si>
    <t xml:space="preserve">      重点企业贷款贴息</t>
  </si>
  <si>
    <t xml:space="preserve">      创业担保贷款贴息</t>
  </si>
  <si>
    <t xml:space="preserve">      援企稳岗补贴</t>
  </si>
  <si>
    <t xml:space="preserve">      困难群众基本生活补助</t>
  </si>
  <si>
    <t xml:space="preserve">      其他抗疫相关支出</t>
  </si>
  <si>
    <t>全市政府性基金支出</t>
  </si>
  <si>
    <t>230</t>
  </si>
  <si>
    <t>23006</t>
  </si>
  <si>
    <t>23008</t>
  </si>
  <si>
    <t>23009</t>
  </si>
  <si>
    <t xml:space="preserve">   年终结余</t>
  </si>
  <si>
    <t>231</t>
  </si>
  <si>
    <t>地方政府专项债务还本支出</t>
  </si>
  <si>
    <t xml:space="preserve">  土地出让价款收入</t>
  </si>
  <si>
    <t xml:space="preserve">  补缴的土地价款</t>
  </si>
  <si>
    <t xml:space="preserve">  划拨土地收入</t>
  </si>
  <si>
    <t xml:space="preserve">  缴纳新增建设用地土地有偿使用费</t>
  </si>
  <si>
    <t xml:space="preserve">  其他土地出让收入</t>
  </si>
  <si>
    <t xml:space="preserve">  福利彩票公益金收入</t>
  </si>
  <si>
    <t xml:space="preserve">  体育彩票公益金收入</t>
  </si>
  <si>
    <t>市本级政府性基金预算收入</t>
  </si>
  <si>
    <t>类</t>
  </si>
  <si>
    <t xml:space="preserve">   地方政府专项债务付息支出</t>
  </si>
  <si>
    <t>市本级政府性基金支出</t>
  </si>
  <si>
    <t>23004</t>
  </si>
  <si>
    <t xml:space="preserve">   政府性基金转移支付</t>
  </si>
  <si>
    <t>2300401</t>
  </si>
  <si>
    <t xml:space="preserve">     政府性基金补助支出</t>
  </si>
  <si>
    <t>23011</t>
  </si>
  <si>
    <t xml:space="preserve">   地方政府专项债务转贷支出</t>
  </si>
  <si>
    <r>
      <rPr>
        <sz val="14"/>
        <rFont val="MS Serif"/>
        <charset val="134"/>
      </rPr>
      <t xml:space="preserve">    </t>
    </r>
    <r>
      <rPr>
        <sz val="14"/>
        <color indexed="8"/>
        <rFont val="宋体"/>
        <charset val="134"/>
      </rPr>
      <t>单位：万元</t>
    </r>
  </si>
  <si>
    <t>项        目</t>
  </si>
  <si>
    <t xml:space="preserve">  利润收入</t>
  </si>
  <si>
    <t xml:space="preserve">     电力企业利润收入</t>
  </si>
  <si>
    <t xml:space="preserve">     运输企业利润收入</t>
  </si>
  <si>
    <t xml:space="preserve">     投资服务企业利润收入</t>
  </si>
  <si>
    <t xml:space="preserve">     贸易企业利润收入</t>
  </si>
  <si>
    <t xml:space="preserve">     建筑施工企业利润收入</t>
  </si>
  <si>
    <t xml:space="preserve">     房地产企业利润收入</t>
  </si>
  <si>
    <t xml:space="preserve">     建材企业利润收入</t>
  </si>
  <si>
    <t xml:space="preserve">     医药企业利润收入</t>
  </si>
  <si>
    <t xml:space="preserve">     农林牧渔企业利润收入</t>
  </si>
  <si>
    <t xml:space="preserve">     军工企业利润收入</t>
  </si>
  <si>
    <t xml:space="preserve">     转制科研院所利润收入</t>
  </si>
  <si>
    <t xml:space="preserve">     地质勘查企业利润收入</t>
  </si>
  <si>
    <r>
      <rPr>
        <sz val="14"/>
        <rFont val="宋体"/>
        <charset val="134"/>
      </rPr>
      <t xml:space="preserve">  </t>
    </r>
    <r>
      <rPr>
        <sz val="14"/>
        <rFont val="宋体"/>
        <charset val="134"/>
      </rPr>
      <t xml:space="preserve"> </t>
    </r>
    <r>
      <rPr>
        <sz val="14"/>
        <rFont val="宋体"/>
        <charset val="134"/>
      </rPr>
      <t xml:space="preserve">  卫生体育福利企业利润收入</t>
    </r>
  </si>
  <si>
    <t xml:space="preserve">     教育文化广播企业利润收入</t>
  </si>
  <si>
    <t xml:space="preserve">     科学研究企业利润收入</t>
  </si>
  <si>
    <t xml:space="preserve">     机关社团所属企业利润收入</t>
  </si>
  <si>
    <t xml:space="preserve">     化工企业利润收入</t>
  </si>
  <si>
    <t xml:space="preserve">     金融企业利润收入（国资预算）</t>
  </si>
  <si>
    <t xml:space="preserve">     其他国有资本经营预算企业利润收入</t>
  </si>
  <si>
    <t xml:space="preserve">  股利、股息收入</t>
  </si>
  <si>
    <t xml:space="preserve">     国有控股公司股利、股息收入</t>
  </si>
  <si>
    <t xml:space="preserve">     国有参股公司股利、股息收入</t>
  </si>
  <si>
    <t xml:space="preserve">     金融企业股利、股息收入（国资预算）</t>
  </si>
  <si>
    <t xml:space="preserve">     其他国有资本经营预算企业股利、股息收入</t>
  </si>
  <si>
    <t xml:space="preserve">  产权转让收入</t>
  </si>
  <si>
    <t xml:space="preserve">     国有股权、股份转让收入</t>
  </si>
  <si>
    <t xml:space="preserve">     国有独资企业产权转让收入</t>
  </si>
  <si>
    <t xml:space="preserve">     其他国有资本经营预算企业产权转让收入</t>
  </si>
  <si>
    <t xml:space="preserve">  清算收入</t>
  </si>
  <si>
    <t xml:space="preserve">     国有股权、股份清算收入</t>
  </si>
  <si>
    <t xml:space="preserve">     国有独资企业清算收入</t>
  </si>
  <si>
    <t xml:space="preserve">     其他国有资本经营预算企业清算收入</t>
  </si>
  <si>
    <t xml:space="preserve">  其他国有资本经营预算收入</t>
  </si>
  <si>
    <t>全市国有资本经营收入</t>
  </si>
  <si>
    <t xml:space="preserve"> 转移性收入</t>
  </si>
  <si>
    <t xml:space="preserve"> 上年结转</t>
  </si>
  <si>
    <t xml:space="preserve"> 账务调整收入</t>
  </si>
  <si>
    <t xml:space="preserve">  解决历史遗留问题及改革成本支出</t>
  </si>
  <si>
    <t xml:space="preserve">    “三供一业”移交补助支出</t>
  </si>
  <si>
    <t xml:space="preserve">    国有企业办职教幼教补助支出</t>
  </si>
  <si>
    <t xml:space="preserve">    国有企业退休人员社会化管理补助支出</t>
  </si>
  <si>
    <t xml:space="preserve">    国有企业改革成本支出</t>
  </si>
  <si>
    <t xml:space="preserve">    离休干部医药费补助支出</t>
  </si>
  <si>
    <t xml:space="preserve">    其他解决历史遗留问题及改革成本支出</t>
  </si>
  <si>
    <t xml:space="preserve">  国有企业资本金注入</t>
  </si>
  <si>
    <t xml:space="preserve">    国有经济结构调整支出</t>
  </si>
  <si>
    <t xml:space="preserve">    公益性设施投资支出</t>
  </si>
  <si>
    <t xml:space="preserve">    前瞻性战略性产业发展支出</t>
  </si>
  <si>
    <t xml:space="preserve">    生态环境保护支出</t>
  </si>
  <si>
    <t xml:space="preserve">    其他国有企业资本金注入</t>
  </si>
  <si>
    <t xml:space="preserve">  国有企业政策性补贴</t>
  </si>
  <si>
    <t xml:space="preserve">    国有企业政策性补贴（项）</t>
  </si>
  <si>
    <t xml:space="preserve">  金融国有资本经营预算支出</t>
  </si>
  <si>
    <t xml:space="preserve">    其他金融国有资本经营预算支出</t>
  </si>
  <si>
    <t xml:space="preserve">  其他国有资本经营预算支出</t>
  </si>
  <si>
    <t xml:space="preserve">    其他国有资本经营预算支出（项）</t>
  </si>
  <si>
    <t>全市国有资本经营支出</t>
  </si>
  <si>
    <t>国有资本经营预算转移支付</t>
  </si>
  <si>
    <t xml:space="preserve">  调出资金</t>
  </si>
  <si>
    <t>结转下年</t>
  </si>
  <si>
    <t xml:space="preserve">    电力企业利润收入</t>
  </si>
  <si>
    <t xml:space="preserve">    运输企业利润收入</t>
  </si>
  <si>
    <t xml:space="preserve">    投资服务企业利润收入</t>
  </si>
  <si>
    <t xml:space="preserve">    贸易企业利润收入</t>
  </si>
  <si>
    <t xml:space="preserve">    建筑施工企业利润收入</t>
  </si>
  <si>
    <t xml:space="preserve">    农林牧渔企业利润收入</t>
  </si>
  <si>
    <t xml:space="preserve">    军工企业利润收入</t>
  </si>
  <si>
    <t xml:space="preserve">    转制科研院所利润收入</t>
  </si>
  <si>
    <t xml:space="preserve">    地质勘查企业利润收入</t>
  </si>
  <si>
    <t xml:space="preserve">    医药企业利润收入</t>
  </si>
  <si>
    <t xml:space="preserve">    卫生体育福利企业利润收入</t>
  </si>
  <si>
    <t xml:space="preserve">    教育文化广播企业利润收入</t>
  </si>
  <si>
    <t xml:space="preserve">    科学研究企业利润收入</t>
  </si>
  <si>
    <t xml:space="preserve">    机关社团所属企业利润收入</t>
  </si>
  <si>
    <t xml:space="preserve">    金融企业利润收入（国资预算）</t>
  </si>
  <si>
    <t xml:space="preserve">    其他国有资本经营预算企业利润收入</t>
  </si>
  <si>
    <t xml:space="preserve">    国有控股公司股利、股息收入</t>
  </si>
  <si>
    <t xml:space="preserve">    国有参股公司股利、股息收入</t>
  </si>
  <si>
    <t xml:space="preserve">    国有股权、股份转让收入</t>
  </si>
  <si>
    <t xml:space="preserve">    国有独资企业产权转让收入</t>
  </si>
  <si>
    <t xml:space="preserve">    国有独资企业清算收入</t>
  </si>
  <si>
    <t>市本级国有资本经营收入</t>
  </si>
  <si>
    <t>项   目</t>
  </si>
  <si>
    <t xml:space="preserve">    "三供一业"移交补助支出</t>
  </si>
  <si>
    <t>市本级国有资本经营支出</t>
  </si>
  <si>
    <t>调出资金</t>
  </si>
  <si>
    <t>项     目</t>
  </si>
  <si>
    <t>一、企业职工基本养老保险基金收入</t>
  </si>
  <si>
    <t xml:space="preserve">    其中：保险费收入</t>
  </si>
  <si>
    <t xml:space="preserve">          利息收入</t>
  </si>
  <si>
    <t xml:space="preserve">          财政补贴收入</t>
  </si>
  <si>
    <t>二、机关事业单位基本养老保险基金收入</t>
  </si>
  <si>
    <t>三、失业保险基金收入</t>
  </si>
  <si>
    <t>四、城镇职工基本医疗保险基金收入</t>
  </si>
  <si>
    <t>五、工伤保险基金收入</t>
  </si>
  <si>
    <t>六、城乡居民基本养老保险基金收入</t>
  </si>
  <si>
    <t>七、居民基本医疗保险基金收入</t>
  </si>
  <si>
    <t>收入小计</t>
  </si>
  <si>
    <t xml:space="preserve">  其中：保险费收入</t>
  </si>
  <si>
    <t xml:space="preserve">        利息收入</t>
  </si>
  <si>
    <t xml:space="preserve">        财政补贴收入</t>
  </si>
  <si>
    <t>收入合计</t>
  </si>
  <si>
    <r>
      <rPr>
        <sz val="14"/>
        <rFont val="宋体"/>
        <charset val="134"/>
      </rPr>
      <t xml:space="preserve">    </t>
    </r>
    <r>
      <rPr>
        <sz val="14"/>
        <color indexed="8"/>
        <rFont val="宋体"/>
        <charset val="134"/>
      </rPr>
      <t>单位：万元</t>
    </r>
  </si>
  <si>
    <t>项       目</t>
  </si>
  <si>
    <t>一、企业职工基本养老保险基金支出</t>
  </si>
  <si>
    <t xml:space="preserve">    其中：待遇支出</t>
  </si>
  <si>
    <t>二、机关事业单位基本养老保险基金支出</t>
  </si>
  <si>
    <t>三、失业保险基金支出</t>
  </si>
  <si>
    <t>四、城镇职工基本医疗保险基金支出</t>
  </si>
  <si>
    <t>五、工伤保险基金支出</t>
  </si>
  <si>
    <t>六、城乡居民基本养老保险基金支出</t>
  </si>
  <si>
    <t>七、居民基本医疗保险基金支出</t>
  </si>
  <si>
    <t>支出小计</t>
  </si>
  <si>
    <t xml:space="preserve">    其中：社会保险待遇支出</t>
  </si>
  <si>
    <t>一、企业职工基本养老保险基金本年收支结余</t>
  </si>
  <si>
    <t xml:space="preserve">    企业职工基本养老保险基金年末滚存结余</t>
  </si>
  <si>
    <t>二、机关事业单位基本养老保险基金本年收支结余</t>
  </si>
  <si>
    <t xml:space="preserve">    机关事业单位基本养老保险基金年末滚存结余</t>
  </si>
  <si>
    <t>三、失业保险基金本年收支结余</t>
  </si>
  <si>
    <t xml:space="preserve">    失业保险基金年末滚存结余</t>
  </si>
  <si>
    <t>四、城镇职工基本医疗保险基金本年收支结余</t>
  </si>
  <si>
    <t xml:space="preserve">    城镇职工基本医疗保险基金年末滚存结余</t>
  </si>
  <si>
    <t>五、工伤保险基金本年收支结余</t>
  </si>
  <si>
    <t xml:space="preserve">    工伤保险基金年末滚存结余</t>
  </si>
  <si>
    <t>六、城乡居民基本养老保险基金本年收支结余</t>
  </si>
  <si>
    <t xml:space="preserve">    城乡居民基本养老保险基金年末滚存结余</t>
  </si>
  <si>
    <t>七、居民基本医疗保险基金本年收支结余</t>
  </si>
  <si>
    <t xml:space="preserve">    居民基本医疗保险基金年末滚存结余</t>
  </si>
  <si>
    <t>本年收支结余</t>
  </si>
  <si>
    <t>年末滚存结余</t>
  </si>
  <si>
    <r>
      <rPr>
        <sz val="14"/>
        <rFont val="Times New Roman"/>
        <charset val="134"/>
      </rPr>
      <t xml:space="preserve">    </t>
    </r>
    <r>
      <rPr>
        <sz val="14"/>
        <rFont val="宋体"/>
        <charset val="134"/>
      </rPr>
      <t>单位：万元</t>
    </r>
  </si>
  <si>
    <t>96167</t>
  </si>
  <si>
    <t>二、机关事业单位基本养老保险基金本年收支结余（或缺口）</t>
  </si>
  <si>
    <t>五、工伤保险基金本年收支结余（或缺口）</t>
  </si>
  <si>
    <t>六、城乡居民基本养老保险收支结余(或缺口)</t>
  </si>
  <si>
    <t xml:space="preserve">   城乡居民基本养老保险滚存结余</t>
  </si>
  <si>
    <t>七、居民基本医疗保险收支结余（或缺口）</t>
  </si>
  <si>
    <t xml:space="preserve">    居民基本医疗保险滚存结余</t>
  </si>
  <si>
    <t>2025年执行数</t>
  </si>
  <si>
    <t>2026年预算数</t>
  </si>
  <si>
    <t>预算数比上年执行数增长%</t>
  </si>
  <si>
    <t xml:space="preserve">   育幼服务</t>
  </si>
  <si>
    <t xml:space="preserve">     育儿补贴</t>
  </si>
  <si>
    <t xml:space="preserve">     其他育幼服务支出</t>
  </si>
  <si>
    <t>比上年预算数增长%</t>
  </si>
  <si>
    <t>比上年执行数增长%</t>
  </si>
  <si>
    <t>23303</t>
  </si>
  <si>
    <t>丽江市“争一流、促跨越”行动“优秀”等次县（区）奖励资金</t>
  </si>
  <si>
    <t>是</t>
  </si>
  <si>
    <t>项目投资以奖代补（本级）工作经费</t>
  </si>
  <si>
    <t>丽江市重点项目前期经费</t>
  </si>
  <si>
    <t>2026年度丽江市中小企业发展专项资金</t>
  </si>
  <si>
    <t>美术馆、公共图书馆、文化馆（站）博物馆免费开放市级配套资金</t>
  </si>
  <si>
    <t>教育领域财政事权改革（对区县）市级配套资金</t>
  </si>
  <si>
    <t>巩固拓展脱贫攻坚成果同乡村振兴有效衔接专项经费</t>
  </si>
  <si>
    <t>国土综合整治（提质改造、补充耕地）对下专项资金</t>
  </si>
  <si>
    <t>丽江市农村公路日常养护市级配套专项资金</t>
  </si>
  <si>
    <t>高速公路征地拆迁市级补助资金</t>
  </si>
  <si>
    <t>丽江市购买新建商品住房契税补贴市级奖补资金</t>
  </si>
  <si>
    <t>永胜县程海流域生态综合治理应急补水工程电费补助资金</t>
  </si>
  <si>
    <t>村（社区）干部补贴及党组织活动经费</t>
  </si>
  <si>
    <t>（对下）换届工作经费</t>
  </si>
  <si>
    <t>农村困难党员关爱资金</t>
  </si>
  <si>
    <t>（对下）县乡两级人大换届选举工作经费</t>
  </si>
  <si>
    <t>老年人健康补贴经费</t>
  </si>
  <si>
    <t>丽江市困难群众救助补助资金市级财政配套经费</t>
  </si>
  <si>
    <t>残疾人“两项补贴”经费</t>
  </si>
  <si>
    <t>经济困难老年人补助经费</t>
  </si>
  <si>
    <t>孤儿保障金专项资金</t>
  </si>
  <si>
    <t>火化及火化补助经费</t>
  </si>
  <si>
    <t>城乡居民基本养老保险市级财政补助资金</t>
  </si>
  <si>
    <t>防治艾滋病（对下）专项资金</t>
  </si>
  <si>
    <t>国家基本公共卫生服务项目市级补助经费</t>
  </si>
  <si>
    <t>计划生育事业（对下）专项经费</t>
  </si>
  <si>
    <t>实施国家基本药物制度专项资金</t>
  </si>
  <si>
    <t>老年人意外伤害保险补助资金</t>
  </si>
  <si>
    <t>家庭医生签约服务市级补助经费</t>
  </si>
  <si>
    <t>重点优抚对象及退役士兵补助经费</t>
  </si>
  <si>
    <t>市村（社区）全日制选聘的工作人员补助经费</t>
  </si>
  <si>
    <t>大学生志愿服务西部计划专项经费</t>
  </si>
  <si>
    <t>大学生参军入伍奖励经费</t>
  </si>
  <si>
    <t>二次入伍人员奖励经费</t>
  </si>
  <si>
    <t>丽江市地质灾害监测员市级补助资金</t>
  </si>
  <si>
    <t>高火险期增聘临时护林员经费</t>
  </si>
  <si>
    <t>森林草原防灭火“三三制”专项经费</t>
  </si>
  <si>
    <t>市级救灾救助资金</t>
  </si>
  <si>
    <t>丽江市农业保险市级配套补助经费</t>
  </si>
  <si>
    <t>高标准农田建设市级配套补助资金</t>
  </si>
  <si>
    <t>丽江市农村乱占耕地建房住宅类房屋专项整治第二步试点（对下）项目经费</t>
  </si>
  <si>
    <t>猪瘟、高致病性猪蓝耳病强制免疫项目经费</t>
  </si>
  <si>
    <t>森林火灾保险补助经费</t>
  </si>
  <si>
    <t>应急处突辅警（对下）经费</t>
  </si>
  <si>
    <t>第五轮禁毒人民战争经费</t>
  </si>
  <si>
    <t>新开办企业免费刻章保障经费</t>
  </si>
  <si>
    <t>出口信用保险扶持补助资金</t>
  </si>
  <si>
    <t>生育支持项目经费</t>
  </si>
  <si>
    <t>市本级国有企业退休人员移交管理服务专项资金</t>
  </si>
  <si>
    <t>商贸业限下抽样调查工作购买社会服务及商务发展项目专项资金</t>
  </si>
  <si>
    <t>丽江市金山高新技术产业园区基础设施建设项目资金</t>
  </si>
  <si>
    <t>省级疫病检验站工作经费</t>
  </si>
  <si>
    <t>古城区消防救援站营房改造重建项目市级财政资金</t>
  </si>
  <si>
    <t>泸沽湖景区森林草原防灭火专项经费</t>
  </si>
  <si>
    <t>林长制奖补（县区）经费</t>
  </si>
  <si>
    <t>世界文化遗产丽江古城保护专项资金</t>
  </si>
  <si>
    <t>全市重点事业建设发展专项资金</t>
  </si>
  <si>
    <t>关注民生项目及拉动内需项目市级配套专项资金</t>
  </si>
  <si>
    <t>基层治理补助经费</t>
  </si>
  <si>
    <t>社会保障专项资金</t>
  </si>
  <si>
    <t>基本公共服务能力提升项目资金</t>
  </si>
  <si>
    <t>其他债务还本付息支出</t>
  </si>
  <si>
    <t>合       计</t>
  </si>
  <si>
    <t>县（区）</t>
  </si>
  <si>
    <t>合计</t>
  </si>
  <si>
    <t>税收返还</t>
  </si>
  <si>
    <t>转移支付</t>
  </si>
  <si>
    <t>一、提前下达数</t>
  </si>
  <si>
    <t>古城区</t>
  </si>
  <si>
    <t>永胜县</t>
  </si>
  <si>
    <t>华坪县</t>
  </si>
  <si>
    <t>宁蒗县</t>
  </si>
  <si>
    <t>玉龙县</t>
  </si>
  <si>
    <t>二、预算数</t>
  </si>
  <si>
    <t>2026年丽江市市本级一般公共预算政府预算经济分类表（基本支出）</t>
  </si>
  <si>
    <t>经济科目名称</t>
  </si>
  <si>
    <t>2025年预算数</t>
  </si>
  <si>
    <t>机关工资福利支出</t>
  </si>
  <si>
    <t>工资奖金津补贴</t>
  </si>
  <si>
    <t>社会保障缴费</t>
  </si>
  <si>
    <t>住房公积金</t>
  </si>
  <si>
    <t>其他工资福利支出</t>
  </si>
  <si>
    <t>机关商品和服务支出</t>
  </si>
  <si>
    <t>办公经费</t>
  </si>
  <si>
    <t>会议费</t>
  </si>
  <si>
    <t>培训费</t>
  </si>
  <si>
    <t>专用材料购置费</t>
  </si>
  <si>
    <t>委托业务费</t>
  </si>
  <si>
    <t>公务接待费</t>
  </si>
  <si>
    <t>因公出国（境）费用</t>
  </si>
  <si>
    <t>公务用车运行维护费</t>
  </si>
  <si>
    <t>维修(护)费</t>
  </si>
  <si>
    <t>其他商品和服务支出</t>
  </si>
  <si>
    <t>机关资本性支出</t>
  </si>
  <si>
    <t>设备购置</t>
  </si>
  <si>
    <t>对事业单位经常性补助</t>
  </si>
  <si>
    <t>工资福利支出</t>
  </si>
  <si>
    <t>商品和服务支出</t>
  </si>
  <si>
    <t>对事业单位资本性补助</t>
  </si>
  <si>
    <t>资本性支出（一）</t>
  </si>
  <si>
    <t>对个人和家庭的补助</t>
  </si>
  <si>
    <t>社会福利和救助</t>
  </si>
  <si>
    <t>离退休费</t>
  </si>
  <si>
    <t>其他对个人和家庭补助</t>
  </si>
  <si>
    <t>支 出 合 计</t>
  </si>
  <si>
    <t>项目设立依据及绩效目标</t>
  </si>
  <si>
    <t>丽江市人才发展专项资金</t>
  </si>
  <si>
    <t>根据《中共丽江市委 丽江市人民政府关于印发&lt;丽江市打造人才高地十条措施&gt;的通知》（丽发〔2021〕8号），支持全市人才事业建设。</t>
  </si>
  <si>
    <t>丽江市教育发展专项资金</t>
  </si>
  <si>
    <t>根据《中共丽江市委办公室丽江市人民政府办公室关于印发&lt;丽江市教育高质量发展二十条措施&gt;的通知》（丽政办发[2021]23号），每年设立5000万元教育发展专项资金，专项用于教育教学质量提升、师资全员培训、考核激励等方面。</t>
  </si>
  <si>
    <t>丽江泸沽湖旅游开发有限公司增资资金</t>
  </si>
  <si>
    <t>根据市政府关于泸沽湖经营权出让方案，逐年安排资金支持泸沽湖管理公司强化管理，优化景区服务。</t>
  </si>
  <si>
    <t>泸沽湖5A景区创建经费</t>
  </si>
  <si>
    <t>根据市委、市政府关于支持泸沽湖创建5A景区实施方案，支持景区各项事业发展。</t>
  </si>
  <si>
    <t>泸沽湖管理运行经费</t>
  </si>
  <si>
    <t>根据市委、市政府决策部署，支持泸沽湖正常运营管理。</t>
  </si>
  <si>
    <t>玉龙雪山景区保护专项资金</t>
  </si>
  <si>
    <t>根据玉龙雪山收入使用管理规定，安排资金支持玉龙雪山景区创建世界级旅游景区。</t>
  </si>
  <si>
    <t>根据古城维护费使用管理办法，支持古城景区正常运行维护。</t>
  </si>
  <si>
    <t>航线开行补贴资金</t>
  </si>
  <si>
    <t>根据市交通局与各航空公司签订的协议，全年需安排4349万元，用于加密航线，方便来丽游客，支持旅游事业发展。</t>
  </si>
  <si>
    <t>项目投资建设专项资金</t>
  </si>
  <si>
    <t>根据市委、市政府决策部署，安排专项资金用于支持储备、建设一批利当前、惠长远的重大项目，有效拉动投资，支持全市经济建设事业发展。</t>
  </si>
  <si>
    <t>民营经济、中小企业暨产业园区发展专项资金</t>
  </si>
  <si>
    <t>根据《丽江市人民政府关于印发丽江市促进中小企业发展实施细则的通知》（丽政规〔2022〕5号）、《促进民营经济高质量发展若干措施》（丽办字〔2024〕2号）设立专项资金，主要用于产业园区补助及支持中小企业、民营经济发展。</t>
  </si>
  <si>
    <t>文明城市创建巩固提升专项经费</t>
  </si>
  <si>
    <t>根据全市开展创建文明城市工作安排部署，支持开展巩固文明城市创建成果工作。</t>
  </si>
  <si>
    <t>丽江市高速公路智慧公安交通管理项目经费</t>
  </si>
  <si>
    <t>根据丽政办函（2023）8号文件要求，通过购买相关服务实现现代科技与高速公路交通安全管理工作深度融合，不断织密高速公路圈层防控体系，提高区域联动效能，实现情报融合、指挥调度。</t>
  </si>
  <si>
    <t>国土综合整治项目专项经费</t>
  </si>
  <si>
    <t>根据审计结果，逐年安排以往年度国企承担土地整治项目补助资金。</t>
  </si>
  <si>
    <t>外宣工作经费</t>
  </si>
  <si>
    <t>统筹协调媒体开展高质量发展调研行主题采访，持续讲好丽江经济高质量发展故事；不断完善新闻宣传体制机制，努力构建大宣传格局；强化内容生产、做优新媒体宣传；持续加强国际传播能力建设。</t>
  </si>
  <si>
    <t>丽江市科技计划项目专项资金</t>
  </si>
  <si>
    <t>根据《丽江市科技计划项目管理办法》设立专项资金，用于加强科技成果转化政策支持，实施10个以上重点科技项目。</t>
  </si>
  <si>
    <t>丽江市市级科普经费</t>
  </si>
  <si>
    <t>根据《丽江市人民政府关于印发丽江市全民科学素质行动实施方案的通知》（丽政发〔2022〕12号），按125万人、人均3元测算市级科普经费，用于强化科普宣传，提升全面科学素质。</t>
  </si>
  <si>
    <t>铸牢中华民族共同体意识及民族宗教专项经费</t>
  </si>
  <si>
    <t>根据市委办 、市政府办出台的全市铸牢中华民族共同体意识工作实施方案及考核要求，市级财政每年安排300万元，用于铸牢中华民族共同体意识教育、弘扬传承优秀文化、推动“互联网+民族团结”、推进“四项计划”、第十三届云南省少数民族传统体育锦标赛筹备工作、积极培育民族团结进步创建示范点、开展理论研究、组织召开好民族工作领域会议、开展铸牢中华民族共同体意识系列主题活动以及推进宗教中国化、丽江市宗教团体工作经费、丽江市宗教团体教职人员生活补助和宗教人士慰问。</t>
  </si>
  <si>
    <t>推进政府性融资担保高质量发展的市级资金</t>
  </si>
  <si>
    <t>根据《丽江市关于加快推进政府性融资担保高质量发展的实施方案》设立，逐年安排市担保公司注册资本金，推动政府性融资担保高质量发展。</t>
  </si>
  <si>
    <t>“平安丽江”视频系统运维服务经费</t>
  </si>
  <si>
    <t>根据丽江市人民政府第二十一次常务会议纪要（2018年第82期），按照“平安丽江”综合视频管理系统租赁合同约定，2026年需支付622万元。通过系统手段，加强平安丽江建设。</t>
  </si>
  <si>
    <t xml:space="preserve">      购买电影公益性放映版权服务</t>
  </si>
  <si>
    <t>一、文化旅游体育与传媒支出</t>
  </si>
  <si>
    <t>二、社会保障和就业支出</t>
  </si>
  <si>
    <t>三、节能环保支出</t>
  </si>
  <si>
    <t>四、城乡社区支出</t>
  </si>
  <si>
    <t>五、农林水支出</t>
  </si>
  <si>
    <t>六、交通运输支出</t>
  </si>
  <si>
    <t>七、资源勘探工业信息等支出</t>
  </si>
  <si>
    <t>八、其他支出</t>
  </si>
  <si>
    <t>九、债务付息支出</t>
  </si>
  <si>
    <t>十、债务发行费用支出</t>
  </si>
  <si>
    <t>十一、抗疫特别国债安排的支出</t>
  </si>
  <si>
    <t>本年支出小计</t>
  </si>
  <si>
    <t>解决历史遗留问题</t>
  </si>
  <si>
    <t>市直四户企业内退人员解决历史遗留问题经费</t>
  </si>
  <si>
    <t>雪山景区公司垫付印象丽江股权置换产生所得税及滞纳金</t>
  </si>
  <si>
    <t>其他国有资本经营预算支出</t>
  </si>
  <si>
    <t>市属国有企业专职外部董事薪酬</t>
  </si>
  <si>
    <t>市 本 级 国 有 资 本 经 营 支 出</t>
  </si>
  <si>
    <t>转移支付支出</t>
  </si>
  <si>
    <t>企业社会化管理中央、省补助资金</t>
  </si>
  <si>
    <t>玉龙县原新华纸厂天保人员工资</t>
  </si>
  <si>
    <t>各     项     支     出     合     计</t>
  </si>
  <si>
    <t> 单位：万元</t>
  </si>
  <si>
    <t>项         目</t>
  </si>
  <si>
    <t>全市</t>
  </si>
  <si>
    <t>市本级</t>
  </si>
  <si>
    <t>执行数比上年决算数增长%</t>
  </si>
  <si>
    <t>一般债务</t>
  </si>
  <si>
    <t>一、上年末地方政府一般债务余额</t>
  </si>
  <si>
    <t>二、当年末地方政府一般债务余额限额</t>
  </si>
  <si>
    <t>三、当年地方政府一般债务发行额</t>
  </si>
  <si>
    <t>1.发行新增一般债券</t>
  </si>
  <si>
    <t>2.发行再融资一般债券</t>
  </si>
  <si>
    <t>3.发行置换一般债券</t>
  </si>
  <si>
    <t xml:space="preserve">  4.外国政府及国际金融组织借款</t>
  </si>
  <si>
    <t>四、当年地方政府一般债务还本额</t>
  </si>
  <si>
    <t>五、调减未置换地方政府一般存量债务</t>
  </si>
  <si>
    <t>六、当年末地方政府一般债务余额</t>
  </si>
  <si>
    <t>专项债务</t>
  </si>
  <si>
    <t>一、上年末地方政府专项债务余额</t>
  </si>
  <si>
    <t>二、当年末地方政府专项债务余额限额</t>
  </si>
  <si>
    <t>三、当年地方政府专项债务发行额</t>
  </si>
  <si>
    <t>1.发行新增专项债券</t>
  </si>
  <si>
    <t>2.发行再融资专项债券</t>
  </si>
  <si>
    <t>3.发行置换专项债券</t>
  </si>
  <si>
    <t>四、当年地方政府专项债务还本额</t>
  </si>
  <si>
    <t>五、调减未置换地方政府专项存量债务</t>
  </si>
  <si>
    <t>六、当年末地方政府专项债务余额</t>
  </si>
  <si>
    <t>一、上年末地方政府债务余额</t>
  </si>
  <si>
    <t>二、当年末地方政府债务余额限额</t>
  </si>
  <si>
    <t>三、当年地方政府债务发行额</t>
  </si>
  <si>
    <t>1.发行新增政府债券</t>
  </si>
  <si>
    <t>2.发行再融资债券</t>
  </si>
  <si>
    <t>3.发行置换债券</t>
  </si>
  <si>
    <t>四、当年地方政府债务还本额</t>
  </si>
  <si>
    <t>五、调减未置换地方政府存量债务</t>
  </si>
  <si>
    <t>六、当年末地方政府债务余额</t>
  </si>
  <si>
    <t>项    目</t>
  </si>
  <si>
    <t>政府债务</t>
  </si>
  <si>
    <t>其中:政府一般债务</t>
  </si>
  <si>
    <t>其中:政府专项债务</t>
  </si>
  <si>
    <t>2025年增减变化</t>
  </si>
  <si>
    <t>一、基础设施</t>
  </si>
  <si>
    <t xml:space="preserve">    1、铁路（不含城市轨道交通）</t>
  </si>
  <si>
    <t xml:space="preserve">    2、公路</t>
  </si>
  <si>
    <t xml:space="preserve">    3、机场</t>
  </si>
  <si>
    <t xml:space="preserve">    4、市政建设</t>
  </si>
  <si>
    <t xml:space="preserve">       其中：轨道交通</t>
  </si>
  <si>
    <t xml:space="preserve">             道路</t>
  </si>
  <si>
    <t xml:space="preserve">             地下管线</t>
  </si>
  <si>
    <t>二、土地储备</t>
  </si>
  <si>
    <t>三、保障性住房</t>
  </si>
  <si>
    <t xml:space="preserve">    其中：廉租房</t>
  </si>
  <si>
    <t xml:space="preserve">          公共租赁住房</t>
  </si>
  <si>
    <t xml:space="preserve">          棚户区改造</t>
  </si>
  <si>
    <t>四、生态建设和环境保护</t>
  </si>
  <si>
    <t>五、社会事业</t>
  </si>
  <si>
    <t>六、农林水利建设</t>
  </si>
  <si>
    <t xml:space="preserve">    其中：农业及农村建设</t>
  </si>
  <si>
    <t xml:space="preserve">          水利建设</t>
  </si>
  <si>
    <t>七、其他</t>
  </si>
  <si>
    <t>单位：亿元</t>
  </si>
  <si>
    <t>地  区</t>
  </si>
  <si>
    <t>2024年政府债务限额</t>
  </si>
  <si>
    <t>2025年新增政府债务限额</t>
  </si>
  <si>
    <t>2025年省级收回政府债务限额</t>
  </si>
  <si>
    <t>2025年政府债务调整限额</t>
  </si>
  <si>
    <t>2025年政府债务限额</t>
  </si>
  <si>
    <t>丽江市</t>
  </si>
  <si>
    <t>备注：2024年经省人民政府同意调整宁蒗县拉大高速专项债券资金14亿元，用于古城区机场三期改扩建项目5亿元、玉维高速9亿元，相关调整情况已在2024年专项预算调整向市人大报告。因2024年只收回拉大高速专项债券资金4亿元，调整至机场项目4亿元，剩余10亿元限额在2025年进行收回并调整下达完毕。</t>
  </si>
</sst>
</file>

<file path=xl/styles.xml><?xml version="1.0" encoding="utf-8"?>
<styleSheet xmlns="http://schemas.openxmlformats.org/spreadsheetml/2006/main">
  <numFmts count="19">
    <numFmt numFmtId="176" formatCode="yyyy&quot;年&quot;m&quot;月&quot;;@"/>
    <numFmt numFmtId="177" formatCode="_ * #,##0_ ;_ * \-#,##0_ ;_ * &quot;-&quot;??_ ;_ @_ "/>
    <numFmt numFmtId="178" formatCode="#,##0_ "/>
    <numFmt numFmtId="179" formatCode="0.0"/>
    <numFmt numFmtId="180" formatCode="#,##0.00_);[Red]\(#,##0.00\)"/>
    <numFmt numFmtId="181" formatCode="#,##0.0_ "/>
    <numFmt numFmtId="182" formatCode="_ * #,##0.0_ ;_ * \-#,##0.0_ ;_ * &quot;-&quot;??_ ;_ @_ "/>
    <numFmt numFmtId="183" formatCode="0.0%"/>
    <numFmt numFmtId="41" formatCode="_ * #,##0_ ;_ * \-#,##0_ ;_ * &quot;-&quot;_ ;_ @_ "/>
    <numFmt numFmtId="43" formatCode="_ * #,##0.00_ ;_ * \-#,##0.00_ ;_ * &quot;-&quot;??_ ;_ @_ "/>
    <numFmt numFmtId="184" formatCode="_(* #,##0.00_);_(* \(#,##0.00\);_(* &quot;-&quot;??_);_(@_)"/>
    <numFmt numFmtId="185" formatCode="#,##0.00_ "/>
    <numFmt numFmtId="186" formatCode="0.0_ "/>
    <numFmt numFmtId="42" formatCode="_ &quot;￥&quot;* #,##0_ ;_ &quot;￥&quot;* \-#,##0_ ;_ &quot;￥&quot;* &quot;-&quot;_ ;_ @_ "/>
    <numFmt numFmtId="44" formatCode="_ &quot;￥&quot;* #,##0.00_ ;_ &quot;￥&quot;* \-#,##0.00_ ;_ &quot;￥&quot;* &quot;-&quot;??_ ;_ @_ "/>
    <numFmt numFmtId="187" formatCode="0\.0,&quot;0&quot;"/>
    <numFmt numFmtId="188" formatCode="#,##0_ ;[Red]\-#,##0\ "/>
    <numFmt numFmtId="189" formatCode="0_ "/>
    <numFmt numFmtId="190" formatCode="0.00_ "/>
  </numFmts>
  <fonts count="83">
    <font>
      <sz val="12"/>
      <name val="宋体"/>
      <charset val="134"/>
    </font>
    <font>
      <sz val="10"/>
      <name val="宋体"/>
      <charset val="134"/>
    </font>
    <font>
      <b/>
      <sz val="26"/>
      <name val="方正小标宋简体"/>
      <charset val="134"/>
    </font>
    <font>
      <sz val="11"/>
      <name val="宋体"/>
      <charset val="134"/>
    </font>
    <font>
      <b/>
      <sz val="11"/>
      <color indexed="8"/>
      <name val="宋体"/>
      <charset val="134"/>
    </font>
    <font>
      <b/>
      <sz val="11"/>
      <name val="宋体"/>
      <charset val="134"/>
    </font>
    <font>
      <b/>
      <sz val="11"/>
      <color theme="1"/>
      <name val="宋体"/>
      <charset val="134"/>
      <scheme val="major"/>
    </font>
    <font>
      <sz val="11"/>
      <color indexed="8"/>
      <name val="宋体"/>
      <charset val="134"/>
    </font>
    <font>
      <sz val="11"/>
      <name val="SimSun"/>
      <charset val="134"/>
    </font>
    <font>
      <sz val="20"/>
      <name val="方正小标宋简体"/>
      <charset val="134"/>
    </font>
    <font>
      <sz val="26"/>
      <name val="方正小标宋简体"/>
      <charset val="134"/>
    </font>
    <font>
      <sz val="14"/>
      <name val="宋体"/>
      <charset val="134"/>
    </font>
    <font>
      <b/>
      <sz val="14"/>
      <name val="宋体"/>
      <charset val="134"/>
    </font>
    <font>
      <b/>
      <sz val="16"/>
      <name val="宋体"/>
      <charset val="134"/>
    </font>
    <font>
      <sz val="16"/>
      <name val="楷体_GB2312"/>
      <charset val="134"/>
    </font>
    <font>
      <sz val="11"/>
      <color rgb="FFFF0000"/>
      <name val="宋体"/>
      <charset val="134"/>
    </font>
    <font>
      <sz val="26"/>
      <color indexed="8"/>
      <name val="方正小标宋简体"/>
      <charset val="134"/>
    </font>
    <font>
      <sz val="14"/>
      <color indexed="8"/>
      <name val="宋体"/>
      <charset val="134"/>
    </font>
    <font>
      <b/>
      <sz val="14"/>
      <color indexed="8"/>
      <name val="宋体"/>
      <charset val="134"/>
    </font>
    <font>
      <sz val="14"/>
      <name val="MS Serif"/>
      <charset val="134"/>
    </font>
    <font>
      <b/>
      <sz val="14"/>
      <color theme="1"/>
      <name val="宋体"/>
      <charset val="134"/>
    </font>
    <font>
      <sz val="14"/>
      <color theme="1"/>
      <name val="宋体"/>
      <charset val="134"/>
    </font>
    <font>
      <sz val="14"/>
      <name val="宋体"/>
      <charset val="134"/>
      <scheme val="minor"/>
    </font>
    <font>
      <sz val="14"/>
      <color theme="1"/>
      <name val="宋体"/>
      <charset val="134"/>
      <scheme val="minor"/>
    </font>
    <font>
      <sz val="14"/>
      <name val="Times New Roman"/>
      <charset val="134"/>
    </font>
    <font>
      <sz val="10"/>
      <name val="Arial"/>
      <charset val="134"/>
    </font>
    <font>
      <b/>
      <sz val="10"/>
      <name val="Arial"/>
      <charset val="134"/>
    </font>
    <font>
      <sz val="26"/>
      <color rgb="FF000000"/>
      <name val="方正小标宋简体"/>
      <charset val="134"/>
    </font>
    <font>
      <sz val="14"/>
      <color rgb="FF000000"/>
      <name val="宋体"/>
      <charset val="134"/>
    </font>
    <font>
      <b/>
      <sz val="14"/>
      <name val="宋体"/>
      <charset val="134"/>
      <scheme val="minor"/>
    </font>
    <font>
      <b/>
      <sz val="14"/>
      <color rgb="FF000000"/>
      <name val="宋体"/>
      <charset val="134"/>
      <scheme val="minor"/>
    </font>
    <font>
      <sz val="16"/>
      <name val="宋体"/>
      <charset val="134"/>
    </font>
    <font>
      <sz val="16"/>
      <color indexed="8"/>
      <name val="宋体"/>
      <charset val="134"/>
    </font>
    <font>
      <sz val="20"/>
      <color indexed="8"/>
      <name val="华文中宋"/>
      <charset val="134"/>
    </font>
    <font>
      <sz val="20"/>
      <color indexed="8"/>
      <name val="宋体"/>
      <charset val="134"/>
    </font>
    <font>
      <sz val="24"/>
      <color indexed="8"/>
      <name val="方正小标宋简体"/>
      <charset val="134"/>
    </font>
    <font>
      <b/>
      <sz val="12"/>
      <name val="宋体"/>
      <charset val="134"/>
    </font>
    <font>
      <sz val="11"/>
      <color theme="1"/>
      <name val="宋体"/>
      <charset val="134"/>
      <scheme val="minor"/>
    </font>
    <font>
      <b/>
      <sz val="14"/>
      <name val="黑体"/>
      <charset val="134"/>
    </font>
    <font>
      <sz val="12"/>
      <name val="仿宋_GB2312"/>
      <charset val="134"/>
    </font>
    <font>
      <sz val="18"/>
      <color indexed="8"/>
      <name val="方正小标宋简体"/>
      <charset val="134"/>
    </font>
    <font>
      <sz val="10"/>
      <color theme="1"/>
      <name val="宋体"/>
      <charset val="134"/>
    </font>
    <font>
      <sz val="10"/>
      <color theme="1"/>
      <name val="宋体"/>
      <charset val="134"/>
      <scheme val="minor"/>
    </font>
    <font>
      <b/>
      <sz val="14"/>
      <color theme="1"/>
      <name val="宋体"/>
      <charset val="134"/>
      <scheme val="minor"/>
    </font>
    <font>
      <b/>
      <sz val="10"/>
      <name val="宋体"/>
      <charset val="134"/>
    </font>
    <font>
      <sz val="14"/>
      <name val="Arial"/>
      <charset val="134"/>
    </font>
    <font>
      <sz val="22"/>
      <name val="方正小标宋简体"/>
      <charset val="134"/>
    </font>
    <font>
      <sz val="20"/>
      <name val="宋体"/>
      <charset val="134"/>
    </font>
    <font>
      <sz val="12"/>
      <color indexed="8"/>
      <name val="宋体"/>
      <charset val="134"/>
    </font>
    <font>
      <sz val="12"/>
      <name val="宋体"/>
      <charset val="134"/>
      <scheme val="minor"/>
    </font>
    <font>
      <sz val="14"/>
      <color rgb="FFFF0000"/>
      <name val="宋体"/>
      <charset val="134"/>
    </font>
    <font>
      <sz val="14"/>
      <color indexed="9"/>
      <name val="宋体"/>
      <charset val="134"/>
    </font>
    <font>
      <sz val="12"/>
      <color rgb="FFFF0000"/>
      <name val="宋体"/>
      <charset val="134"/>
    </font>
    <font>
      <sz val="15"/>
      <name val="宋体"/>
      <charset val="134"/>
    </font>
    <font>
      <sz val="28"/>
      <name val="方正小标宋简体"/>
      <charset val="134"/>
    </font>
    <font>
      <sz val="20"/>
      <name val="华文中宋"/>
      <charset val="134"/>
    </font>
    <font>
      <sz val="18"/>
      <name val="仿宋_GB2312"/>
      <charset val="134"/>
    </font>
    <font>
      <sz val="16"/>
      <name val="黑体"/>
      <charset val="134"/>
    </font>
    <font>
      <sz val="12"/>
      <name val="黑体"/>
      <charset val="134"/>
    </font>
    <font>
      <sz val="30"/>
      <name val="方正小标宋简体"/>
      <charset val="134"/>
    </font>
    <font>
      <sz val="100"/>
      <name val="华文行楷"/>
      <charset val="134"/>
    </font>
    <font>
      <sz val="20"/>
      <name val="楷体_GB2312"/>
      <charset val="134"/>
    </font>
    <font>
      <sz val="11"/>
      <color theme="0"/>
      <name val="宋体"/>
      <charset val="134"/>
      <scheme val="minor"/>
    </font>
    <font>
      <sz val="9"/>
      <name val="宋体"/>
      <charset val="134"/>
    </font>
    <font>
      <b/>
      <sz val="18"/>
      <color theme="3"/>
      <name val="宋体"/>
      <charset val="134"/>
      <scheme val="minor"/>
    </font>
    <font>
      <u/>
      <sz val="11"/>
      <color rgb="FF800080"/>
      <name val="宋体"/>
      <charset val="134"/>
      <scheme val="minor"/>
    </font>
    <font>
      <sz val="11"/>
      <color rgb="FF9C6500"/>
      <name val="宋体"/>
      <charset val="134"/>
      <scheme val="minor"/>
    </font>
    <font>
      <b/>
      <sz val="13"/>
      <color theme="3"/>
      <name val="宋体"/>
      <charset val="134"/>
      <scheme val="minor"/>
    </font>
    <font>
      <sz val="11"/>
      <color rgb="FF9C0006"/>
      <name val="宋体"/>
      <charset val="134"/>
      <scheme val="minor"/>
    </font>
    <font>
      <b/>
      <sz val="11"/>
      <color rgb="FFFA7D00"/>
      <name val="宋体"/>
      <charset val="134"/>
      <scheme val="minor"/>
    </font>
    <font>
      <sz val="11"/>
      <color rgb="FFFA7D00"/>
      <name val="宋体"/>
      <charset val="134"/>
      <scheme val="minor"/>
    </font>
    <font>
      <sz val="9"/>
      <name val="微软雅黑"/>
      <charset val="134"/>
    </font>
    <font>
      <sz val="11"/>
      <color rgb="FF3F3F76"/>
      <name val="宋体"/>
      <charset val="134"/>
      <scheme val="minor"/>
    </font>
    <font>
      <b/>
      <sz val="11"/>
      <color theme="3"/>
      <name val="宋体"/>
      <charset val="134"/>
      <scheme val="minor"/>
    </font>
    <font>
      <b/>
      <sz val="11"/>
      <color theme="1"/>
      <name val="宋体"/>
      <charset val="134"/>
      <scheme val="minor"/>
    </font>
    <font>
      <b/>
      <sz val="15"/>
      <color theme="3"/>
      <name val="宋体"/>
      <charset val="134"/>
      <scheme val="minor"/>
    </font>
    <font>
      <sz val="11"/>
      <color rgb="FFFF0000"/>
      <name val="宋体"/>
      <charset val="134"/>
      <scheme val="minor"/>
    </font>
    <font>
      <b/>
      <sz val="11"/>
      <color rgb="FF3F3F3F"/>
      <name val="宋体"/>
      <charset val="134"/>
      <scheme val="minor"/>
    </font>
    <font>
      <sz val="11"/>
      <color rgb="FF006100"/>
      <name val="宋体"/>
      <charset val="134"/>
      <scheme val="minor"/>
    </font>
    <font>
      <i/>
      <sz val="11"/>
      <color rgb="FF7F7F7F"/>
      <name val="宋体"/>
      <charset val="134"/>
      <scheme val="minor"/>
    </font>
    <font>
      <sz val="11"/>
      <color indexed="8"/>
      <name val="宋体"/>
      <charset val="134"/>
      <scheme val="minor"/>
    </font>
    <font>
      <u/>
      <sz val="11"/>
      <color rgb="FF0000FF"/>
      <name val="宋体"/>
      <charset val="134"/>
      <scheme val="minor"/>
    </font>
    <font>
      <b/>
      <sz val="11"/>
      <color rgb="FFFFFFFF"/>
      <name val="宋体"/>
      <charset val="134"/>
      <scheme val="minor"/>
    </font>
  </fonts>
  <fills count="38">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theme="9"/>
        <bgColor indexed="64"/>
      </patternFill>
    </fill>
    <fill>
      <patternFill patternType="solid">
        <fgColor theme="8" tint="0.799981688894314"/>
        <bgColor indexed="64"/>
      </patternFill>
    </fill>
    <fill>
      <patternFill patternType="solid">
        <fgColor theme="7"/>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theme="4"/>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bgColor indexed="64"/>
      </patternFill>
    </fill>
    <fill>
      <patternFill patternType="solid">
        <fgColor theme="8"/>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C6EFCE"/>
        <bgColor indexed="64"/>
      </patternFill>
    </fill>
    <fill>
      <patternFill patternType="solid">
        <fgColor theme="7" tint="0.599993896298105"/>
        <bgColor indexed="64"/>
      </patternFill>
    </fill>
    <fill>
      <patternFill patternType="solid">
        <fgColor theme="6"/>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theme="9" tint="0.599993896298105"/>
        <bgColor indexed="64"/>
      </patternFill>
    </fill>
    <fill>
      <patternFill patternType="solid">
        <fgColor rgb="FFA5A5A5"/>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indexed="8"/>
      </left>
      <right/>
      <top/>
      <bottom style="thin">
        <color indexed="8"/>
      </bottom>
      <diagonal/>
    </border>
    <border>
      <left style="thin">
        <color indexed="8"/>
      </left>
      <right/>
      <top/>
      <bottom/>
      <diagonal/>
    </border>
    <border>
      <left/>
      <right style="thin">
        <color rgb="FF000000"/>
      </right>
      <top/>
      <bottom style="thin">
        <color rgb="FF000000"/>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89">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7" fillId="0" borderId="0">
      <alignment vertical="center"/>
    </xf>
    <xf numFmtId="9" fontId="0" fillId="0" borderId="0" applyFont="0" applyFill="0" applyBorder="0" applyAlignment="0" applyProtection="0">
      <alignment vertical="center"/>
    </xf>
    <xf numFmtId="184" fontId="7" fillId="0" borderId="0" applyFont="0" applyFill="0" applyBorder="0" applyAlignment="0" applyProtection="0">
      <alignment vertical="center"/>
    </xf>
    <xf numFmtId="43" fontId="7" fillId="0" borderId="0" applyFont="0" applyFill="0" applyBorder="0" applyAlignment="0" applyProtection="0">
      <alignment vertical="center"/>
    </xf>
    <xf numFmtId="0" fontId="0" fillId="0" borderId="0">
      <alignment vertical="center"/>
    </xf>
    <xf numFmtId="0" fontId="7" fillId="0" borderId="0">
      <alignment vertical="center"/>
    </xf>
    <xf numFmtId="0" fontId="0" fillId="0" borderId="0">
      <alignment vertical="center"/>
    </xf>
    <xf numFmtId="0" fontId="0" fillId="0" borderId="0">
      <alignment vertical="center"/>
    </xf>
    <xf numFmtId="0" fontId="0" fillId="0" borderId="0">
      <alignment vertical="center"/>
    </xf>
    <xf numFmtId="43" fontId="7" fillId="0" borderId="0" applyFont="0" applyFill="0" applyBorder="0" applyAlignment="0" applyProtection="0">
      <alignment vertical="center"/>
    </xf>
    <xf numFmtId="0" fontId="37" fillId="19" borderId="0" applyNumberFormat="0" applyBorder="0" applyAlignment="0" applyProtection="0">
      <alignment vertical="center"/>
    </xf>
    <xf numFmtId="0" fontId="62" fillId="18" borderId="0" applyNumberFormat="0" applyBorder="0" applyAlignment="0" applyProtection="0">
      <alignment vertical="center"/>
    </xf>
    <xf numFmtId="0" fontId="62" fillId="17" borderId="0" applyNumberFormat="0" applyBorder="0" applyAlignment="0" applyProtection="0">
      <alignment vertical="center"/>
    </xf>
    <xf numFmtId="0" fontId="66" fillId="14" borderId="0" applyNumberFormat="0" applyBorder="0" applyAlignment="0" applyProtection="0">
      <alignment vertical="center"/>
    </xf>
    <xf numFmtId="0" fontId="76" fillId="0" borderId="0" applyNumberFormat="0" applyFill="0" applyBorder="0" applyAlignment="0" applyProtection="0">
      <alignment vertical="center"/>
    </xf>
    <xf numFmtId="0" fontId="37" fillId="31" borderId="0" applyNumberFormat="0" applyBorder="0" applyAlignment="0" applyProtection="0">
      <alignment vertical="center"/>
    </xf>
    <xf numFmtId="49" fontId="63" fillId="0" borderId="14">
      <alignment horizontal="left" vertical="center" wrapText="1"/>
    </xf>
    <xf numFmtId="0" fontId="68" fillId="15" borderId="0" applyNumberFormat="0" applyBorder="0" applyAlignment="0" applyProtection="0">
      <alignment vertical="center"/>
    </xf>
    <xf numFmtId="0" fontId="62" fillId="23" borderId="0" applyNumberFormat="0" applyBorder="0" applyAlignment="0" applyProtection="0">
      <alignment vertical="center"/>
    </xf>
    <xf numFmtId="0" fontId="74" fillId="0" borderId="19" applyNumberFormat="0" applyFill="0" applyAlignment="0" applyProtection="0">
      <alignment vertical="center"/>
    </xf>
    <xf numFmtId="0" fontId="62" fillId="24" borderId="0" applyNumberFormat="0" applyBorder="0" applyAlignment="0" applyProtection="0">
      <alignment vertical="center"/>
    </xf>
    <xf numFmtId="0" fontId="0" fillId="0" borderId="0">
      <alignment vertical="center"/>
    </xf>
    <xf numFmtId="0" fontId="37" fillId="26" borderId="0" applyNumberFormat="0" applyBorder="0" applyAlignment="0" applyProtection="0">
      <alignment vertical="center"/>
    </xf>
    <xf numFmtId="0" fontId="37" fillId="29" borderId="0" applyNumberFormat="0" applyBorder="0" applyAlignment="0" applyProtection="0">
      <alignment vertical="center"/>
    </xf>
    <xf numFmtId="0" fontId="73" fillId="0" borderId="0" applyNumberFormat="0" applyFill="0" applyBorder="0" applyAlignment="0" applyProtection="0">
      <alignment vertical="center"/>
    </xf>
    <xf numFmtId="0" fontId="0" fillId="0" borderId="0">
      <alignment vertical="center"/>
    </xf>
    <xf numFmtId="0" fontId="67" fillId="0" borderId="15" applyNumberFormat="0" applyFill="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0" fontId="78" fillId="28" borderId="0" applyNumberFormat="0" applyBorder="0" applyAlignment="0" applyProtection="0">
      <alignment vertical="center"/>
    </xf>
    <xf numFmtId="0" fontId="0" fillId="0" borderId="0">
      <alignment vertical="center"/>
    </xf>
    <xf numFmtId="0" fontId="62" fillId="32" borderId="0" applyNumberFormat="0" applyBorder="0" applyAlignment="0" applyProtection="0">
      <alignment vertical="center"/>
    </xf>
    <xf numFmtId="41" fontId="0" fillId="0" borderId="0" applyFont="0" applyFill="0" applyBorder="0" applyAlignment="0" applyProtection="0">
      <alignment vertical="center"/>
    </xf>
    <xf numFmtId="0" fontId="62" fillId="33" borderId="0" applyNumberFormat="0" applyBorder="0" applyAlignment="0" applyProtection="0">
      <alignment vertical="center"/>
    </xf>
    <xf numFmtId="0" fontId="69" fillId="16" borderId="16" applyNumberFormat="0" applyAlignment="0" applyProtection="0">
      <alignment vertical="center"/>
    </xf>
    <xf numFmtId="0" fontId="70" fillId="0" borderId="17" applyNumberFormat="0" applyFill="0" applyAlignment="0" applyProtection="0">
      <alignment vertical="center"/>
    </xf>
    <xf numFmtId="0" fontId="80" fillId="35" borderId="21" applyNumberFormat="0" applyFont="0" applyAlignment="0" applyProtection="0">
      <alignment vertical="center"/>
    </xf>
    <xf numFmtId="0" fontId="79" fillId="0" borderId="0" applyNumberFormat="0" applyFill="0" applyBorder="0" applyAlignment="0" applyProtection="0">
      <alignment vertical="center"/>
    </xf>
    <xf numFmtId="0" fontId="71" fillId="0" borderId="0">
      <alignment vertical="top"/>
      <protection locked="0"/>
    </xf>
    <xf numFmtId="42" fontId="0" fillId="0" borderId="0" applyFont="0" applyFill="0" applyBorder="0" applyAlignment="0" applyProtection="0">
      <alignment vertical="center"/>
    </xf>
    <xf numFmtId="0" fontId="37" fillId="25" borderId="0" applyNumberFormat="0" applyBorder="0" applyAlignment="0" applyProtection="0">
      <alignment vertical="center"/>
    </xf>
    <xf numFmtId="0" fontId="0" fillId="0" borderId="0">
      <alignment vertical="center"/>
    </xf>
    <xf numFmtId="0" fontId="37" fillId="36" borderId="0" applyNumberFormat="0" applyBorder="0" applyAlignment="0" applyProtection="0">
      <alignment vertical="center"/>
    </xf>
    <xf numFmtId="0" fontId="77" fillId="16" borderId="20" applyNumberFormat="0" applyAlignment="0" applyProtection="0">
      <alignment vertical="center"/>
    </xf>
    <xf numFmtId="0" fontId="81" fillId="0" borderId="0" applyNumberFormat="0" applyFill="0" applyBorder="0" applyAlignment="0" applyProtection="0">
      <alignment vertical="center"/>
    </xf>
    <xf numFmtId="0" fontId="7" fillId="0" borderId="0">
      <alignment vertical="center"/>
    </xf>
    <xf numFmtId="0" fontId="72" fillId="21" borderId="16" applyNumberFormat="0" applyAlignment="0" applyProtection="0">
      <alignment vertical="center"/>
    </xf>
    <xf numFmtId="0" fontId="75" fillId="0" borderId="15" applyNumberFormat="0" applyFill="0" applyAlignment="0" applyProtection="0">
      <alignment vertical="center"/>
    </xf>
    <xf numFmtId="0" fontId="0" fillId="0" borderId="0">
      <alignment vertical="center"/>
    </xf>
    <xf numFmtId="0" fontId="82" fillId="37" borderId="22" applyNumberFormat="0" applyAlignment="0" applyProtection="0">
      <alignment vertical="center"/>
    </xf>
    <xf numFmtId="0" fontId="7" fillId="0" borderId="0">
      <alignment vertical="center"/>
    </xf>
    <xf numFmtId="0" fontId="73" fillId="0" borderId="18" applyNumberFormat="0" applyFill="0" applyAlignment="0" applyProtection="0">
      <alignment vertical="center"/>
    </xf>
    <xf numFmtId="0" fontId="65" fillId="0" borderId="0" applyNumberFormat="0" applyFill="0" applyBorder="0" applyAlignment="0" applyProtection="0">
      <alignment vertical="center"/>
    </xf>
    <xf numFmtId="0" fontId="7" fillId="0" borderId="0">
      <alignment vertical="center"/>
    </xf>
    <xf numFmtId="0" fontId="64" fillId="0" borderId="0" applyNumberFormat="0" applyFill="0" applyBorder="0" applyAlignment="0" applyProtection="0">
      <alignment vertical="center"/>
    </xf>
    <xf numFmtId="0" fontId="0" fillId="0" borderId="0">
      <alignment vertical="center"/>
    </xf>
    <xf numFmtId="0" fontId="37" fillId="13" borderId="0" applyNumberFormat="0" applyBorder="0" applyAlignment="0" applyProtection="0">
      <alignment vertical="center"/>
    </xf>
    <xf numFmtId="0" fontId="7" fillId="0" borderId="0">
      <alignment vertical="center"/>
    </xf>
    <xf numFmtId="0" fontId="0" fillId="0" borderId="0">
      <alignment vertical="center"/>
    </xf>
    <xf numFmtId="0" fontId="37" fillId="22" borderId="0" applyNumberFormat="0" applyBorder="0" applyAlignment="0" applyProtection="0">
      <alignment vertical="center"/>
    </xf>
    <xf numFmtId="43" fontId="7" fillId="0" borderId="0" applyFont="0" applyFill="0" applyBorder="0" applyAlignment="0" applyProtection="0">
      <alignment vertical="center"/>
    </xf>
    <xf numFmtId="0" fontId="37" fillId="12" borderId="0" applyNumberFormat="0" applyBorder="0" applyAlignment="0" applyProtection="0">
      <alignment vertical="center"/>
    </xf>
    <xf numFmtId="0" fontId="62" fillId="34" borderId="0" applyNumberFormat="0" applyBorder="0" applyAlignment="0" applyProtection="0">
      <alignment vertical="center"/>
    </xf>
    <xf numFmtId="0" fontId="62" fillId="11" borderId="0" applyNumberFormat="0" applyBorder="0" applyAlignment="0" applyProtection="0">
      <alignment vertical="center"/>
    </xf>
    <xf numFmtId="0" fontId="62" fillId="30" borderId="0" applyNumberFormat="0" applyBorder="0" applyAlignment="0" applyProtection="0">
      <alignment vertical="center"/>
    </xf>
    <xf numFmtId="0" fontId="37" fillId="20" borderId="0" applyNumberFormat="0" applyBorder="0" applyAlignment="0" applyProtection="0">
      <alignment vertical="center"/>
    </xf>
    <xf numFmtId="0" fontId="62" fillId="10" borderId="0" applyNumberFormat="0" applyBorder="0" applyAlignment="0" applyProtection="0">
      <alignment vertical="center"/>
    </xf>
    <xf numFmtId="0" fontId="0" fillId="0" borderId="0">
      <alignment vertical="center"/>
    </xf>
    <xf numFmtId="0" fontId="25" fillId="0" borderId="0">
      <alignment vertical="center"/>
    </xf>
    <xf numFmtId="0" fontId="62" fillId="9" borderId="0" applyNumberFormat="0" applyBorder="0" applyAlignment="0" applyProtection="0">
      <alignment vertical="center"/>
    </xf>
    <xf numFmtId="0" fontId="0" fillId="0" borderId="0">
      <alignment vertical="center"/>
    </xf>
    <xf numFmtId="0" fontId="37" fillId="27" borderId="0" applyNumberFormat="0" applyBorder="0" applyAlignment="0" applyProtection="0">
      <alignment vertical="center"/>
    </xf>
    <xf numFmtId="0" fontId="37" fillId="8" borderId="0" applyNumberFormat="0" applyBorder="0" applyAlignment="0" applyProtection="0">
      <alignment vertical="center"/>
    </xf>
    <xf numFmtId="0" fontId="62" fillId="7" borderId="0" applyNumberFormat="0" applyBorder="0" applyAlignment="0" applyProtection="0">
      <alignment vertical="center"/>
    </xf>
    <xf numFmtId="0" fontId="7" fillId="0" borderId="0">
      <alignment vertical="center"/>
    </xf>
    <xf numFmtId="0" fontId="0" fillId="0" borderId="0">
      <alignment vertical="center"/>
    </xf>
    <xf numFmtId="0" fontId="63" fillId="0" borderId="0">
      <alignment vertical="center"/>
    </xf>
    <xf numFmtId="0" fontId="0" fillId="0" borderId="0">
      <alignment vertical="center"/>
    </xf>
    <xf numFmtId="0" fontId="0" fillId="0" borderId="0">
      <alignment vertical="center"/>
    </xf>
    <xf numFmtId="0" fontId="7" fillId="0" borderId="0">
      <alignment vertical="center"/>
    </xf>
    <xf numFmtId="0" fontId="1" fillId="0" borderId="0">
      <alignment vertical="center"/>
    </xf>
    <xf numFmtId="0" fontId="0" fillId="0" borderId="0">
      <alignment vertical="center"/>
    </xf>
  </cellStyleXfs>
  <cellXfs count="757">
    <xf numFmtId="0" fontId="0" fillId="0" borderId="0" xfId="0">
      <alignment vertical="center"/>
    </xf>
    <xf numFmtId="0" fontId="1" fillId="0" borderId="0" xfId="0" applyFont="1" applyFill="1" applyBorder="1" applyAlignment="1">
      <alignment vertical="center" wrapText="1"/>
    </xf>
    <xf numFmtId="185" fontId="1" fillId="0" borderId="0" xfId="0" applyNumberFormat="1" applyFont="1" applyFill="1" applyBorder="1" applyAlignment="1">
      <alignment vertical="center" wrapText="1"/>
    </xf>
    <xf numFmtId="0" fontId="0" fillId="0" borderId="0" xfId="0" applyFont="1" applyFill="1" applyBorder="1" applyAlignment="1"/>
    <xf numFmtId="0" fontId="1" fillId="0" borderId="0" xfId="0" applyFont="1" applyFill="1" applyBorder="1" applyAlignment="1">
      <alignment horizontal="center" vertical="center" wrapText="1"/>
    </xf>
    <xf numFmtId="189" fontId="1" fillId="0" borderId="0" xfId="0" applyNumberFormat="1" applyFont="1" applyFill="1" applyBorder="1" applyAlignment="1">
      <alignment vertical="center" wrapText="1"/>
    </xf>
    <xf numFmtId="186" fontId="1" fillId="0" borderId="0" xfId="0" applyNumberFormat="1" applyFont="1" applyFill="1" applyBorder="1" applyAlignment="1">
      <alignment vertical="center" wrapText="1"/>
    </xf>
    <xf numFmtId="0" fontId="2" fillId="0" borderId="0" xfId="82" applyFont="1" applyBorder="1" applyAlignment="1">
      <alignment horizontal="center" vertical="center"/>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4" fillId="0" borderId="1" xfId="0" applyNumberFormat="1" applyFont="1" applyFill="1" applyBorder="1" applyAlignment="1" applyProtection="1">
      <alignment horizontal="center" vertical="center" wrapText="1"/>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185" fontId="4" fillId="2" borderId="1" xfId="0" applyNumberFormat="1" applyFont="1" applyFill="1" applyBorder="1" applyAlignment="1" applyProtection="1">
      <alignment horizontal="left" vertical="center" wrapText="1"/>
    </xf>
    <xf numFmtId="190" fontId="6" fillId="0" borderId="1" xfId="34" applyNumberFormat="1" applyFont="1" applyFill="1" applyBorder="1" applyAlignment="1">
      <alignment horizontal="center" vertical="center"/>
    </xf>
    <xf numFmtId="185" fontId="7" fillId="0" borderId="1" xfId="0" applyNumberFormat="1" applyFont="1" applyFill="1" applyBorder="1" applyAlignment="1">
      <alignment horizontal="center" vertical="center" wrapText="1"/>
    </xf>
    <xf numFmtId="185" fontId="8" fillId="0" borderId="1" xfId="0" applyNumberFormat="1" applyFont="1" applyFill="1" applyBorder="1" applyAlignment="1">
      <alignment horizontal="center" vertical="center" wrapText="1"/>
    </xf>
    <xf numFmtId="0" fontId="1" fillId="0" borderId="0" xfId="0" applyFont="1" applyFill="1" applyAlignment="1">
      <alignment horizontal="left" vertical="center" wrapText="1"/>
    </xf>
    <xf numFmtId="189" fontId="5" fillId="0" borderId="2" xfId="0" applyNumberFormat="1" applyFont="1" applyFill="1" applyBorder="1" applyAlignment="1">
      <alignment horizontal="center" vertical="center" wrapText="1"/>
    </xf>
    <xf numFmtId="189" fontId="5" fillId="0" borderId="3" xfId="0" applyNumberFormat="1" applyFont="1" applyFill="1" applyBorder="1" applyAlignment="1">
      <alignment horizontal="center" vertical="center" wrapText="1"/>
    </xf>
    <xf numFmtId="189" fontId="5" fillId="0" borderId="4" xfId="0" applyNumberFormat="1" applyFont="1" applyFill="1" applyBorder="1" applyAlignment="1">
      <alignment horizontal="center" vertical="center" wrapText="1"/>
    </xf>
    <xf numFmtId="185" fontId="3" fillId="0" borderId="1" xfId="0" applyNumberFormat="1" applyFont="1" applyFill="1" applyBorder="1" applyAlignment="1">
      <alignment horizontal="center" vertical="center" wrapText="1"/>
    </xf>
    <xf numFmtId="189" fontId="5" fillId="0" borderId="5" xfId="0" applyNumberFormat="1" applyFont="1" applyFill="1" applyBorder="1" applyAlignment="1">
      <alignment horizontal="center" vertical="center" wrapText="1"/>
    </xf>
    <xf numFmtId="189" fontId="5" fillId="0" borderId="6" xfId="0" applyNumberFormat="1" applyFont="1" applyFill="1" applyBorder="1" applyAlignment="1">
      <alignment horizontal="center" vertical="center" wrapText="1"/>
    </xf>
    <xf numFmtId="189" fontId="5" fillId="0" borderId="1" xfId="0" applyNumberFormat="1" applyFont="1" applyFill="1" applyBorder="1" applyAlignment="1">
      <alignment horizontal="center" vertical="center" wrapText="1"/>
    </xf>
    <xf numFmtId="0" fontId="3" fillId="0" borderId="0" xfId="0" applyFont="1" applyFill="1" applyAlignment="1">
      <alignment horizontal="right" vertical="center" wrapText="1"/>
    </xf>
    <xf numFmtId="186" fontId="5" fillId="0" borderId="1" xfId="0" applyNumberFormat="1" applyFont="1" applyFill="1" applyBorder="1" applyAlignment="1">
      <alignment horizontal="center" vertical="center" wrapText="1"/>
    </xf>
    <xf numFmtId="186" fontId="5" fillId="0" borderId="7" xfId="0" applyNumberFormat="1" applyFont="1" applyFill="1" applyBorder="1" applyAlignment="1">
      <alignment horizontal="center" vertical="center" wrapText="1"/>
    </xf>
    <xf numFmtId="0" fontId="9" fillId="0" borderId="0" xfId="64" applyFont="1" applyFill="1">
      <alignment vertical="center"/>
    </xf>
    <xf numFmtId="0" fontId="3" fillId="0" borderId="0" xfId="64" applyFont="1" applyFill="1" applyBorder="1">
      <alignment vertical="center"/>
    </xf>
    <xf numFmtId="0" fontId="3" fillId="0" borderId="0" xfId="64" applyFont="1" applyFill="1">
      <alignment vertical="center"/>
    </xf>
    <xf numFmtId="0" fontId="10" fillId="0" borderId="0" xfId="64" applyFont="1" applyFill="1" applyAlignment="1">
      <alignment horizontal="center" vertical="center"/>
    </xf>
    <xf numFmtId="0" fontId="11" fillId="0" borderId="0" xfId="64" applyFont="1" applyFill="1" applyBorder="1">
      <alignment vertical="center"/>
    </xf>
    <xf numFmtId="0" fontId="11" fillId="0" borderId="0" xfId="64" applyFont="1" applyFill="1" applyBorder="1" applyAlignment="1">
      <alignment horizontal="right" vertical="center"/>
    </xf>
    <xf numFmtId="0" fontId="12" fillId="0" borderId="1" xfId="64" applyFont="1" applyFill="1" applyBorder="1" applyAlignment="1">
      <alignment horizontal="center" vertical="center"/>
    </xf>
    <xf numFmtId="0" fontId="13" fillId="0" borderId="1" xfId="64" applyFont="1" applyFill="1" applyBorder="1" applyAlignment="1">
      <alignment horizontal="center" vertical="center"/>
    </xf>
    <xf numFmtId="188" fontId="12" fillId="0" borderId="1" xfId="82" applyNumberFormat="1" applyFont="1" applyFill="1" applyBorder="1" applyAlignment="1">
      <alignment horizontal="center" vertical="center" wrapText="1"/>
    </xf>
    <xf numFmtId="0" fontId="11" fillId="0" borderId="1" xfId="64" applyFont="1" applyFill="1" applyBorder="1" applyAlignment="1">
      <alignment vertical="center"/>
    </xf>
    <xf numFmtId="185" fontId="11" fillId="0" borderId="1" xfId="9" applyNumberFormat="1" applyFont="1" applyFill="1" applyBorder="1" applyAlignment="1">
      <alignment vertical="center" wrapText="1"/>
    </xf>
    <xf numFmtId="183" fontId="11" fillId="0" borderId="1" xfId="2" applyNumberFormat="1" applyFont="1" applyFill="1" applyBorder="1" applyAlignment="1">
      <alignment horizontal="right" vertical="center" wrapText="1"/>
    </xf>
    <xf numFmtId="185" fontId="11" fillId="0" borderId="1" xfId="15" applyNumberFormat="1" applyFont="1" applyFill="1" applyBorder="1" applyAlignment="1">
      <alignment vertical="center" wrapText="1"/>
    </xf>
    <xf numFmtId="0" fontId="11" fillId="0" borderId="1" xfId="64" applyFont="1" applyFill="1" applyBorder="1" applyAlignment="1">
      <alignment horizontal="left" vertical="center" indent="1"/>
    </xf>
    <xf numFmtId="0" fontId="11" fillId="0" borderId="1" xfId="64" applyFont="1" applyFill="1" applyBorder="1" applyAlignment="1">
      <alignment vertical="center" wrapText="1"/>
    </xf>
    <xf numFmtId="183" fontId="11" fillId="0" borderId="1" xfId="7" applyNumberFormat="1" applyFont="1" applyFill="1" applyBorder="1" applyAlignment="1">
      <alignment vertical="center" wrapText="1"/>
    </xf>
    <xf numFmtId="185" fontId="11" fillId="0" borderId="1" xfId="64" applyNumberFormat="1" applyFont="1" applyFill="1" applyBorder="1" applyAlignment="1">
      <alignment vertical="center" wrapText="1"/>
    </xf>
    <xf numFmtId="0" fontId="14" fillId="0" borderId="0" xfId="64" applyFont="1" applyFill="1" applyAlignment="1">
      <alignment horizontal="left" vertical="center" wrapText="1"/>
    </xf>
    <xf numFmtId="0" fontId="14" fillId="0" borderId="0" xfId="64" applyFont="1" applyFill="1" applyAlignment="1">
      <alignment horizontal="left" vertical="center"/>
    </xf>
    <xf numFmtId="182" fontId="3" fillId="0" borderId="0" xfId="64" applyNumberFormat="1" applyFont="1" applyFill="1">
      <alignment vertical="center"/>
    </xf>
    <xf numFmtId="43" fontId="3" fillId="0" borderId="0" xfId="64" applyNumberFormat="1" applyFont="1" applyFill="1">
      <alignment vertical="center"/>
    </xf>
    <xf numFmtId="0" fontId="14" fillId="0" borderId="0" xfId="64" applyFont="1" applyFill="1" applyBorder="1" applyAlignment="1">
      <alignment horizontal="left" vertical="center" wrapText="1"/>
    </xf>
    <xf numFmtId="183" fontId="3" fillId="0" borderId="0" xfId="33" applyNumberFormat="1" applyFont="1" applyFill="1">
      <alignment vertical="center"/>
    </xf>
    <xf numFmtId="0" fontId="7" fillId="0" borderId="0" xfId="60" applyFill="1">
      <alignment vertical="center"/>
    </xf>
    <xf numFmtId="0" fontId="7" fillId="0" borderId="0" xfId="60" applyFill="1" applyAlignment="1">
      <alignment horizontal="center" vertical="center"/>
    </xf>
    <xf numFmtId="0" fontId="4" fillId="0" borderId="0" xfId="60" applyFont="1" applyFill="1">
      <alignment vertical="center"/>
    </xf>
    <xf numFmtId="0" fontId="7" fillId="0" borderId="0" xfId="60" applyFont="1" applyFill="1">
      <alignment vertical="center"/>
    </xf>
    <xf numFmtId="0" fontId="4" fillId="0" borderId="0" xfId="60" applyFont="1" applyFill="1" applyAlignment="1">
      <alignment horizontal="center" vertical="center"/>
    </xf>
    <xf numFmtId="0" fontId="15" fillId="0" borderId="0" xfId="60" applyFont="1" applyFill="1">
      <alignment vertical="center"/>
    </xf>
    <xf numFmtId="0" fontId="10" fillId="0" borderId="0" xfId="60" applyFont="1" applyFill="1" applyAlignment="1">
      <alignment horizontal="center" vertical="center"/>
    </xf>
    <xf numFmtId="0" fontId="11" fillId="0" borderId="0" xfId="60" applyFont="1" applyFill="1" applyAlignment="1">
      <alignment horizontal="left" vertical="center"/>
    </xf>
    <xf numFmtId="0" fontId="11" fillId="0" borderId="0" xfId="60" applyFont="1" applyFill="1" applyAlignment="1">
      <alignment horizontal="center" vertical="center"/>
    </xf>
    <xf numFmtId="0" fontId="11" fillId="0" borderId="0" xfId="60" applyFont="1" applyFill="1">
      <alignment vertical="center"/>
    </xf>
    <xf numFmtId="0" fontId="11" fillId="0" borderId="0" xfId="60" applyFont="1" applyFill="1" applyAlignment="1">
      <alignment horizontal="right" vertical="center"/>
    </xf>
    <xf numFmtId="0" fontId="12" fillId="0" borderId="1" xfId="60" applyFont="1" applyFill="1" applyBorder="1" applyAlignment="1">
      <alignment horizontal="center" vertical="center"/>
    </xf>
    <xf numFmtId="0" fontId="12" fillId="0" borderId="1" xfId="64" applyFont="1" applyFill="1" applyBorder="1" applyAlignment="1">
      <alignment horizontal="center" vertical="center" wrapText="1"/>
    </xf>
    <xf numFmtId="181" fontId="12" fillId="0" borderId="1" xfId="60" applyNumberFormat="1" applyFont="1" applyFill="1" applyBorder="1" applyAlignment="1">
      <alignment horizontal="left" vertical="center"/>
    </xf>
    <xf numFmtId="181" fontId="12" fillId="0" borderId="1" xfId="67" applyNumberFormat="1" applyFont="1" applyFill="1" applyBorder="1" applyAlignment="1">
      <alignment horizontal="right" vertical="center" wrapText="1"/>
    </xf>
    <xf numFmtId="181" fontId="11" fillId="0" borderId="1" xfId="60" applyNumberFormat="1" applyFont="1" applyFill="1" applyBorder="1" applyAlignment="1">
      <alignment horizontal="left" vertical="center"/>
    </xf>
    <xf numFmtId="181" fontId="11" fillId="0" borderId="1" xfId="67" applyNumberFormat="1" applyFont="1" applyFill="1" applyBorder="1" applyAlignment="1">
      <alignment horizontal="right" vertical="center" wrapText="1"/>
    </xf>
    <xf numFmtId="181" fontId="12" fillId="0" borderId="1" xfId="67" applyNumberFormat="1" applyFont="1" applyFill="1" applyBorder="1" applyAlignment="1">
      <alignment horizontal="right" vertical="center"/>
    </xf>
    <xf numFmtId="181" fontId="12" fillId="0" borderId="1" xfId="60" applyNumberFormat="1" applyFont="1" applyFill="1" applyBorder="1" applyAlignment="1">
      <alignment horizontal="center" vertical="center"/>
    </xf>
    <xf numFmtId="182" fontId="15" fillId="0" borderId="0" xfId="60" applyNumberFormat="1" applyFont="1" applyFill="1">
      <alignment vertical="center"/>
    </xf>
    <xf numFmtId="181" fontId="12" fillId="0" borderId="1" xfId="60" applyNumberFormat="1" applyFont="1" applyFill="1" applyBorder="1" applyAlignment="1">
      <alignment horizontal="left" vertical="center" wrapText="1"/>
    </xf>
    <xf numFmtId="181" fontId="11" fillId="0" borderId="1" xfId="60" applyNumberFormat="1" applyFont="1" applyFill="1" applyBorder="1" applyAlignment="1">
      <alignment horizontal="left" vertical="center" wrapText="1"/>
    </xf>
    <xf numFmtId="181" fontId="11" fillId="0" borderId="1" xfId="67" applyNumberFormat="1" applyFont="1" applyFill="1" applyBorder="1" applyAlignment="1">
      <alignment horizontal="right" vertical="center"/>
    </xf>
    <xf numFmtId="182" fontId="7" fillId="0" borderId="0" xfId="60" applyNumberFormat="1" applyFill="1">
      <alignment vertical="center"/>
    </xf>
    <xf numFmtId="0" fontId="7" fillId="0" borderId="0" xfId="60" applyFill="1" applyAlignment="1">
      <alignment vertical="center" wrapText="1"/>
    </xf>
    <xf numFmtId="0" fontId="7" fillId="0" borderId="0" xfId="60" applyFill="1" applyAlignment="1">
      <alignment horizontal="center" vertical="center" wrapText="1"/>
    </xf>
    <xf numFmtId="0" fontId="16" fillId="0" borderId="0" xfId="60" applyFont="1" applyFill="1" applyAlignment="1">
      <alignment horizontal="center" vertical="center" wrapText="1"/>
    </xf>
    <xf numFmtId="0" fontId="17" fillId="0" borderId="0" xfId="60" applyFont="1" applyFill="1" applyAlignment="1">
      <alignment horizontal="left" vertical="center" wrapText="1"/>
    </xf>
    <xf numFmtId="0" fontId="17" fillId="0" borderId="0" xfId="60" applyFont="1" applyFill="1" applyAlignment="1">
      <alignment horizontal="center" vertical="center" wrapText="1"/>
    </xf>
    <xf numFmtId="0" fontId="17" fillId="0" borderId="0" xfId="60" applyFont="1" applyFill="1" applyAlignment="1">
      <alignment vertical="center" wrapText="1"/>
    </xf>
    <xf numFmtId="0" fontId="17" fillId="0" borderId="0" xfId="60" applyFont="1" applyFill="1" applyAlignment="1">
      <alignment horizontal="right" vertical="center" wrapText="1"/>
    </xf>
    <xf numFmtId="0" fontId="18" fillId="0" borderId="1" xfId="60" applyFont="1" applyFill="1" applyBorder="1" applyAlignment="1">
      <alignment horizontal="center" vertical="center" wrapText="1"/>
    </xf>
    <xf numFmtId="0" fontId="18" fillId="0" borderId="1" xfId="64" applyFont="1" applyFill="1" applyBorder="1" applyAlignment="1">
      <alignment horizontal="center" vertical="center" wrapText="1"/>
    </xf>
    <xf numFmtId="181" fontId="18" fillId="0" borderId="1" xfId="60" applyNumberFormat="1" applyFont="1" applyFill="1" applyBorder="1" applyAlignment="1">
      <alignment horizontal="left" vertical="center"/>
    </xf>
    <xf numFmtId="181" fontId="18" fillId="0" borderId="1" xfId="67" applyNumberFormat="1" applyFont="1" applyFill="1" applyBorder="1" applyAlignment="1">
      <alignment horizontal="right" vertical="center" wrapText="1"/>
    </xf>
    <xf numFmtId="181" fontId="17" fillId="0" borderId="1" xfId="60" applyNumberFormat="1" applyFont="1" applyFill="1" applyBorder="1" applyAlignment="1">
      <alignment horizontal="left" vertical="center"/>
    </xf>
    <xf numFmtId="181" fontId="17" fillId="0" borderId="1" xfId="67" applyNumberFormat="1" applyFont="1" applyFill="1" applyBorder="1" applyAlignment="1">
      <alignment horizontal="right" vertical="center" wrapText="1"/>
    </xf>
    <xf numFmtId="181" fontId="18" fillId="0" borderId="1" xfId="60" applyNumberFormat="1" applyFont="1" applyFill="1" applyBorder="1" applyAlignment="1">
      <alignment horizontal="center" vertical="center"/>
    </xf>
    <xf numFmtId="182" fontId="7" fillId="0" borderId="0" xfId="60" applyNumberFormat="1" applyFill="1" applyAlignment="1">
      <alignment vertical="center" wrapText="1"/>
    </xf>
    <xf numFmtId="181" fontId="18" fillId="0" borderId="1" xfId="60" applyNumberFormat="1" applyFont="1" applyFill="1" applyBorder="1" applyAlignment="1">
      <alignment horizontal="left" vertical="center" wrapText="1"/>
    </xf>
    <xf numFmtId="181" fontId="17" fillId="0" borderId="1" xfId="60" applyNumberFormat="1" applyFont="1" applyFill="1" applyBorder="1" applyAlignment="1">
      <alignment horizontal="left" vertical="center" wrapText="1"/>
    </xf>
    <xf numFmtId="181" fontId="18" fillId="0" borderId="1" xfId="60" applyNumberFormat="1" applyFont="1" applyFill="1" applyBorder="1" applyAlignment="1">
      <alignment horizontal="center" vertical="center" wrapText="1"/>
    </xf>
    <xf numFmtId="0" fontId="11" fillId="0" borderId="0" xfId="82" applyFont="1" applyFill="1">
      <alignment vertical="center"/>
    </xf>
    <xf numFmtId="0" fontId="0" fillId="0" borderId="0" xfId="2" applyFill="1" applyAlignment="1"/>
    <xf numFmtId="0" fontId="0" fillId="0" borderId="0" xfId="2" applyAlignment="1"/>
    <xf numFmtId="0" fontId="10" fillId="0" borderId="0" xfId="2" applyNumberFormat="1" applyFont="1" applyFill="1" applyAlignment="1" applyProtection="1">
      <alignment horizontal="center" vertical="center" wrapText="1"/>
    </xf>
    <xf numFmtId="0" fontId="11" fillId="0" borderId="0" xfId="2" applyNumberFormat="1" applyFont="1" applyFill="1" applyBorder="1" applyAlignment="1" applyProtection="1">
      <alignment horizontal="left" vertical="center"/>
    </xf>
    <xf numFmtId="0" fontId="19" fillId="0" borderId="0" xfId="2" applyNumberFormat="1" applyFont="1" applyFill="1" applyBorder="1" applyAlignment="1" applyProtection="1"/>
    <xf numFmtId="0" fontId="11" fillId="0" borderId="0" xfId="2" applyNumberFormat="1" applyFont="1" applyFill="1" applyBorder="1" applyAlignment="1" applyProtection="1"/>
    <xf numFmtId="179" fontId="19" fillId="0" borderId="0" xfId="2" applyNumberFormat="1" applyFont="1" applyFill="1" applyBorder="1" applyAlignment="1" applyProtection="1">
      <alignment horizontal="right" vertical="center"/>
    </xf>
    <xf numFmtId="2" fontId="12" fillId="0" borderId="1" xfId="2" applyNumberFormat="1" applyFont="1" applyFill="1" applyBorder="1" applyAlignment="1" applyProtection="1">
      <alignment horizontal="center" vertical="center" wrapText="1"/>
    </xf>
    <xf numFmtId="188" fontId="12" fillId="0" borderId="1" xfId="82" applyNumberFormat="1" applyFont="1" applyBorder="1" applyAlignment="1">
      <alignment horizontal="center" vertical="center" wrapText="1"/>
    </xf>
    <xf numFmtId="49" fontId="12" fillId="0" borderId="1" xfId="55" applyNumberFormat="1" applyFont="1" applyFill="1" applyBorder="1" applyAlignment="1" applyProtection="1">
      <alignment horizontal="left" vertical="center" wrapText="1"/>
    </xf>
    <xf numFmtId="178" fontId="12" fillId="0" borderId="1" xfId="81" applyNumberFormat="1" applyFont="1" applyFill="1" applyBorder="1" applyAlignment="1">
      <alignment horizontal="right" vertical="center" wrapText="1"/>
    </xf>
    <xf numFmtId="178" fontId="12" fillId="0" borderId="1" xfId="34" applyNumberFormat="1" applyFont="1" applyFill="1" applyBorder="1" applyAlignment="1" applyProtection="1">
      <alignment horizontal="right" vertical="center" wrapText="1"/>
    </xf>
    <xf numFmtId="183" fontId="12" fillId="0" borderId="1" xfId="33" applyNumberFormat="1" applyFont="1" applyFill="1" applyBorder="1" applyAlignment="1">
      <alignment horizontal="right" vertical="center" wrapText="1"/>
    </xf>
    <xf numFmtId="49" fontId="11" fillId="0" borderId="1" xfId="55" applyNumberFormat="1" applyFont="1" applyFill="1" applyBorder="1" applyAlignment="1" applyProtection="1">
      <alignment horizontal="left" vertical="center" wrapText="1"/>
    </xf>
    <xf numFmtId="178" fontId="11" fillId="0" borderId="1" xfId="34" applyNumberFormat="1" applyFont="1" applyFill="1" applyBorder="1" applyAlignment="1" applyProtection="1">
      <alignment horizontal="right" vertical="center" wrapText="1"/>
    </xf>
    <xf numFmtId="178" fontId="20" fillId="0" borderId="1" xfId="34" applyNumberFormat="1" applyFont="1" applyFill="1" applyBorder="1" applyAlignment="1">
      <alignment horizontal="right" vertical="center" wrapText="1"/>
    </xf>
    <xf numFmtId="178" fontId="12" fillId="0" borderId="1" xfId="34" applyNumberFormat="1" applyFont="1" applyFill="1" applyBorder="1" applyAlignment="1">
      <alignment horizontal="right" vertical="center" wrapText="1"/>
    </xf>
    <xf numFmtId="178" fontId="21" fillId="0" borderId="1" xfId="34" applyNumberFormat="1" applyFont="1" applyFill="1" applyBorder="1" applyAlignment="1" applyProtection="1">
      <alignment horizontal="right" vertical="center" wrapText="1"/>
    </xf>
    <xf numFmtId="183" fontId="11" fillId="0" borderId="1" xfId="33" applyNumberFormat="1" applyFont="1" applyFill="1" applyBorder="1" applyAlignment="1">
      <alignment horizontal="right" vertical="center" wrapText="1"/>
    </xf>
    <xf numFmtId="178" fontId="20" fillId="0" borderId="1" xfId="34" applyNumberFormat="1" applyFont="1" applyFill="1" applyBorder="1" applyAlignment="1" applyProtection="1">
      <alignment horizontal="right" vertical="center" wrapText="1"/>
    </xf>
    <xf numFmtId="49" fontId="12" fillId="0" borderId="1" xfId="88" applyNumberFormat="1" applyFont="1" applyFill="1" applyBorder="1" applyAlignment="1" applyProtection="1">
      <alignment horizontal="left" vertical="center" wrapText="1"/>
    </xf>
    <xf numFmtId="49" fontId="11" fillId="3" borderId="1" xfId="55" applyNumberFormat="1" applyFont="1" applyFill="1" applyBorder="1" applyAlignment="1" applyProtection="1">
      <alignment horizontal="left" vertical="center" wrapText="1"/>
    </xf>
    <xf numFmtId="49" fontId="11" fillId="0" borderId="1" xfId="88" applyNumberFormat="1" applyFont="1" applyFill="1" applyBorder="1" applyAlignment="1" applyProtection="1">
      <alignment horizontal="left" vertical="center" wrapText="1"/>
    </xf>
    <xf numFmtId="49" fontId="12" fillId="0" borderId="1" xfId="88" applyNumberFormat="1" applyFont="1" applyFill="1" applyBorder="1" applyAlignment="1" applyProtection="1">
      <alignment horizontal="center" vertical="center" wrapText="1"/>
    </xf>
    <xf numFmtId="49" fontId="12" fillId="4" borderId="1" xfId="83" applyNumberFormat="1" applyFont="1" applyFill="1" applyBorder="1" applyAlignment="1" applyProtection="1">
      <alignment horizontal="center" vertical="center" wrapText="1"/>
    </xf>
    <xf numFmtId="178" fontId="0" fillId="0" borderId="0" xfId="2" applyNumberFormat="1" applyAlignment="1"/>
    <xf numFmtId="0" fontId="0" fillId="0" borderId="0" xfId="4" applyAlignment="1">
      <alignment horizontal="center" vertical="center"/>
    </xf>
    <xf numFmtId="0" fontId="0" fillId="0" borderId="0" xfId="2" applyAlignment="1">
      <alignment horizontal="right" vertical="center"/>
    </xf>
    <xf numFmtId="0" fontId="10" fillId="0" borderId="0" xfId="2" applyNumberFormat="1" applyFont="1" applyFill="1" applyAlignment="1" applyProtection="1">
      <alignment horizontal="right" vertical="center" wrapText="1"/>
    </xf>
    <xf numFmtId="0" fontId="17" fillId="0" borderId="0" xfId="83" applyFont="1" applyAlignment="1" applyProtection="1">
      <alignment horizontal="left" vertical="center"/>
    </xf>
    <xf numFmtId="187" fontId="19" fillId="0" borderId="0" xfId="83" applyNumberFormat="1" applyFont="1" applyAlignment="1">
      <alignment horizontal="right" vertical="center"/>
    </xf>
    <xf numFmtId="0" fontId="19" fillId="0" borderId="0" xfId="83" applyFont="1" applyAlignment="1">
      <alignment horizontal="right" vertical="center"/>
    </xf>
    <xf numFmtId="179" fontId="19" fillId="0" borderId="0" xfId="83" applyNumberFormat="1" applyFont="1" applyFill="1" applyBorder="1" applyAlignment="1" applyProtection="1">
      <alignment horizontal="right" vertical="center"/>
    </xf>
    <xf numFmtId="2" fontId="12" fillId="0" borderId="1" xfId="27" applyNumberFormat="1" applyFont="1" applyFill="1" applyBorder="1" applyAlignment="1" applyProtection="1">
      <alignment horizontal="center" vertical="center" wrapText="1"/>
    </xf>
    <xf numFmtId="49" fontId="12" fillId="0" borderId="1" xfId="88" applyNumberFormat="1" applyFont="1" applyFill="1" applyBorder="1" applyAlignment="1" applyProtection="1">
      <alignment horizontal="left" vertical="center"/>
    </xf>
    <xf numFmtId="178" fontId="18" fillId="0" borderId="1" xfId="52" applyNumberFormat="1" applyFont="1" applyFill="1" applyBorder="1" applyAlignment="1">
      <alignment horizontal="right" vertical="center" wrapText="1"/>
    </xf>
    <xf numFmtId="49" fontId="11" fillId="0" borderId="1" xfId="88" applyNumberFormat="1" applyFont="1" applyFill="1" applyBorder="1" applyAlignment="1" applyProtection="1">
      <alignment horizontal="left" vertical="center"/>
    </xf>
    <xf numFmtId="178" fontId="11" fillId="0" borderId="1" xfId="34" applyNumberFormat="1" applyFont="1" applyFill="1" applyBorder="1" applyAlignment="1" applyProtection="1">
      <alignment vertical="center" wrapText="1"/>
    </xf>
    <xf numFmtId="178" fontId="22" fillId="0" borderId="1" xfId="34" applyNumberFormat="1" applyFont="1" applyFill="1" applyBorder="1" applyAlignment="1" applyProtection="1">
      <alignment vertical="center" wrapText="1"/>
    </xf>
    <xf numFmtId="178" fontId="23" fillId="0" borderId="1" xfId="34" applyNumberFormat="1" applyFont="1" applyFill="1" applyBorder="1" applyAlignment="1" applyProtection="1">
      <alignment vertical="center" wrapText="1"/>
    </xf>
    <xf numFmtId="178" fontId="21" fillId="2" borderId="1" xfId="34" applyNumberFormat="1" applyFont="1" applyFill="1" applyBorder="1" applyAlignment="1" applyProtection="1">
      <alignment horizontal="right" vertical="center" wrapText="1"/>
    </xf>
    <xf numFmtId="178" fontId="11" fillId="2" borderId="1" xfId="34" applyNumberFormat="1" applyFont="1" applyFill="1" applyBorder="1" applyAlignment="1" applyProtection="1">
      <alignment horizontal="right" vertical="center" wrapText="1"/>
    </xf>
    <xf numFmtId="49" fontId="12" fillId="0" borderId="1" xfId="57" applyNumberFormat="1" applyFont="1" applyFill="1" applyBorder="1" applyAlignment="1" applyProtection="1">
      <alignment horizontal="distributed" vertical="center"/>
    </xf>
    <xf numFmtId="3" fontId="12" fillId="0" borderId="1" xfId="34" applyNumberFormat="1" applyFont="1" applyFill="1" applyBorder="1" applyAlignment="1">
      <alignment horizontal="right" vertical="center" wrapText="1"/>
    </xf>
    <xf numFmtId="3" fontId="11" fillId="0" borderId="1" xfId="34" applyNumberFormat="1" applyFont="1" applyFill="1" applyBorder="1" applyAlignment="1">
      <alignment horizontal="right" vertical="center" wrapText="1"/>
    </xf>
    <xf numFmtId="178" fontId="0" fillId="0" borderId="0" xfId="2" applyNumberFormat="1" applyAlignment="1">
      <alignment horizontal="right" vertical="center"/>
    </xf>
    <xf numFmtId="0" fontId="0" fillId="0" borderId="0" xfId="4" applyFill="1" applyAlignment="1"/>
    <xf numFmtId="0" fontId="0" fillId="0" borderId="0" xfId="4" applyAlignment="1"/>
    <xf numFmtId="0" fontId="10" fillId="0" borderId="0" xfId="4" applyNumberFormat="1" applyFont="1" applyFill="1" applyAlignment="1" applyProtection="1">
      <alignment horizontal="center" vertical="center" wrapText="1"/>
    </xf>
    <xf numFmtId="0" fontId="11" fillId="0" borderId="0" xfId="4" applyFont="1" applyFill="1" applyAlignment="1" applyProtection="1">
      <alignment horizontal="left" vertical="center"/>
    </xf>
    <xf numFmtId="187" fontId="11" fillId="0" borderId="0" xfId="4" applyNumberFormat="1" applyFont="1" applyFill="1" applyAlignment="1" applyProtection="1">
      <alignment horizontal="right"/>
    </xf>
    <xf numFmtId="0" fontId="24" fillId="0" borderId="0" xfId="4" applyFont="1" applyFill="1" applyAlignment="1">
      <alignment vertical="center"/>
    </xf>
    <xf numFmtId="0" fontId="11" fillId="0" borderId="0" xfId="4" applyFont="1" applyFill="1" applyAlignment="1">
      <alignment horizontal="right" vertical="center"/>
    </xf>
    <xf numFmtId="0" fontId="12" fillId="0" borderId="1" xfId="4" applyNumberFormat="1" applyFont="1" applyFill="1" applyBorder="1" applyAlignment="1" applyProtection="1">
      <alignment horizontal="center" vertical="center"/>
    </xf>
    <xf numFmtId="49" fontId="12" fillId="0" borderId="1" xfId="14" applyNumberFormat="1" applyFont="1" applyFill="1" applyBorder="1" applyAlignment="1" applyProtection="1">
      <alignment vertical="center"/>
    </xf>
    <xf numFmtId="178" fontId="18" fillId="0" borderId="1" xfId="11" applyNumberFormat="1" applyFont="1" applyFill="1" applyBorder="1" applyAlignment="1">
      <alignment horizontal="right" vertical="center" wrapText="1"/>
    </xf>
    <xf numFmtId="0" fontId="0" fillId="0" borderId="1" xfId="4" applyBorder="1" applyAlignment="1"/>
    <xf numFmtId="49" fontId="11" fillId="0" borderId="1" xfId="14" applyNumberFormat="1" applyFont="1" applyFill="1" applyBorder="1" applyAlignment="1" applyProtection="1">
      <alignment vertical="center"/>
    </xf>
    <xf numFmtId="0" fontId="0" fillId="0" borderId="1" xfId="4" applyFill="1" applyBorder="1" applyAlignment="1"/>
    <xf numFmtId="178" fontId="21" fillId="0" borderId="1" xfId="11" applyNumberFormat="1" applyFont="1" applyFill="1" applyBorder="1" applyAlignment="1">
      <alignment horizontal="right" vertical="center" wrapText="1"/>
    </xf>
    <xf numFmtId="178" fontId="11" fillId="0" borderId="1" xfId="11" applyNumberFormat="1" applyFont="1" applyFill="1" applyBorder="1" applyAlignment="1">
      <alignment horizontal="right" vertical="center" wrapText="1"/>
    </xf>
    <xf numFmtId="178" fontId="12" fillId="0" borderId="1" xfId="11" applyNumberFormat="1" applyFont="1" applyFill="1" applyBorder="1" applyAlignment="1">
      <alignment horizontal="right" vertical="center" wrapText="1"/>
    </xf>
    <xf numFmtId="178" fontId="11" fillId="0" borderId="1" xfId="34" applyNumberFormat="1" applyFont="1" applyFill="1" applyBorder="1" applyAlignment="1">
      <alignment horizontal="right" vertical="center" wrapText="1"/>
    </xf>
    <xf numFmtId="178" fontId="20" fillId="0" borderId="1" xfId="11" applyNumberFormat="1" applyFont="1" applyFill="1" applyBorder="1" applyAlignment="1">
      <alignment horizontal="right" vertical="center" wrapText="1"/>
    </xf>
    <xf numFmtId="178" fontId="21" fillId="0" borderId="1" xfId="86" applyNumberFormat="1" applyFont="1" applyFill="1" applyBorder="1" applyAlignment="1">
      <alignment horizontal="right" vertical="center" wrapText="1"/>
    </xf>
    <xf numFmtId="178" fontId="21" fillId="2" borderId="1" xfId="11" applyNumberFormat="1" applyFont="1" applyFill="1" applyBorder="1" applyAlignment="1">
      <alignment horizontal="right" vertical="center" wrapText="1"/>
    </xf>
    <xf numFmtId="178" fontId="11" fillId="2" borderId="1" xfId="11" applyNumberFormat="1" applyFont="1" applyFill="1" applyBorder="1" applyAlignment="1">
      <alignment horizontal="right" vertical="center" wrapText="1"/>
    </xf>
    <xf numFmtId="178" fontId="0" fillId="0" borderId="0" xfId="4" applyNumberFormat="1" applyAlignment="1"/>
    <xf numFmtId="0" fontId="0" fillId="0" borderId="0" xfId="37" applyFill="1" applyAlignment="1"/>
    <xf numFmtId="0" fontId="0" fillId="0" borderId="0" xfId="37" applyAlignment="1"/>
    <xf numFmtId="0" fontId="10" fillId="0" borderId="0" xfId="37" applyNumberFormat="1" applyFont="1" applyFill="1" applyAlignment="1" applyProtection="1">
      <alignment horizontal="center" vertical="center" wrapText="1"/>
    </xf>
    <xf numFmtId="0" fontId="19" fillId="0" borderId="0" xfId="83" applyFont="1" applyAlignment="1"/>
    <xf numFmtId="180" fontId="11" fillId="0" borderId="0" xfId="83" applyNumberFormat="1" applyFont="1" applyAlignment="1"/>
    <xf numFmtId="2" fontId="12" fillId="0" borderId="1" xfId="83" applyNumberFormat="1" applyFont="1" applyFill="1" applyBorder="1" applyAlignment="1" applyProtection="1">
      <alignment horizontal="center" vertical="center" wrapText="1"/>
    </xf>
    <xf numFmtId="49" fontId="12" fillId="0" borderId="1" xfId="83" applyNumberFormat="1" applyFont="1" applyFill="1" applyBorder="1" applyAlignment="1" applyProtection="1">
      <alignment horizontal="left" vertical="center" wrapText="1"/>
    </xf>
    <xf numFmtId="178" fontId="12" fillId="0" borderId="1" xfId="62" applyNumberFormat="1" applyFont="1" applyFill="1" applyBorder="1" applyAlignment="1">
      <alignment horizontal="right" vertical="center" wrapText="1"/>
    </xf>
    <xf numFmtId="49" fontId="11" fillId="0" borderId="1" xfId="83" applyNumberFormat="1" applyFont="1" applyFill="1" applyBorder="1" applyAlignment="1" applyProtection="1">
      <alignment horizontal="left" vertical="center" wrapText="1"/>
    </xf>
    <xf numFmtId="49" fontId="12" fillId="0" borderId="1" xfId="83" applyNumberFormat="1" applyFont="1" applyFill="1" applyBorder="1" applyAlignment="1" applyProtection="1">
      <alignment horizontal="center" vertical="center" wrapText="1"/>
    </xf>
    <xf numFmtId="178" fontId="0" fillId="0" borderId="0" xfId="37" applyNumberFormat="1" applyAlignment="1"/>
    <xf numFmtId="0" fontId="0" fillId="0" borderId="0" xfId="37" applyAlignment="1">
      <alignment horizontal="center" vertical="center"/>
    </xf>
    <xf numFmtId="0" fontId="3" fillId="0" borderId="0" xfId="5" applyFont="1" applyAlignment="1">
      <alignment horizontal="center" vertical="center"/>
    </xf>
    <xf numFmtId="49" fontId="12" fillId="0" borderId="1" xfId="31" applyNumberFormat="1" applyFont="1" applyFill="1" applyBorder="1" applyAlignment="1" applyProtection="1">
      <alignment vertical="center"/>
    </xf>
    <xf numFmtId="178" fontId="18" fillId="0" borderId="1" xfId="86" applyNumberFormat="1" applyFont="1" applyFill="1" applyBorder="1" applyAlignment="1">
      <alignment horizontal="right" vertical="center" wrapText="1"/>
    </xf>
    <xf numFmtId="49" fontId="11" fillId="0" borderId="1" xfId="31" applyNumberFormat="1" applyFont="1" applyFill="1" applyBorder="1" applyAlignment="1" applyProtection="1">
      <alignment vertical="center"/>
    </xf>
    <xf numFmtId="178" fontId="17" fillId="0" borderId="1" xfId="86" applyNumberFormat="1" applyFont="1" applyFill="1" applyBorder="1" applyAlignment="1">
      <alignment horizontal="right" vertical="center" wrapText="1"/>
    </xf>
    <xf numFmtId="178" fontId="12" fillId="0" borderId="1" xfId="86" applyNumberFormat="1" applyFont="1" applyFill="1" applyBorder="1" applyAlignment="1">
      <alignment horizontal="right" vertical="center" wrapText="1"/>
    </xf>
    <xf numFmtId="178" fontId="11" fillId="0" borderId="1" xfId="86" applyNumberFormat="1" applyFont="1" applyFill="1" applyBorder="1" applyAlignment="1">
      <alignment horizontal="right" vertical="center" wrapText="1"/>
    </xf>
    <xf numFmtId="178" fontId="18" fillId="0" borderId="1" xfId="34" applyNumberFormat="1" applyFont="1" applyFill="1" applyBorder="1" applyAlignment="1">
      <alignment horizontal="right" vertical="center" wrapText="1"/>
    </xf>
    <xf numFmtId="178" fontId="17" fillId="0" borderId="1" xfId="34" applyNumberFormat="1" applyFont="1" applyFill="1" applyBorder="1" applyAlignment="1">
      <alignment horizontal="right" vertical="center" wrapText="1"/>
    </xf>
    <xf numFmtId="0" fontId="17" fillId="0" borderId="0" xfId="77" applyFont="1" applyAlignment="1" applyProtection="1">
      <alignment horizontal="left" vertical="center"/>
    </xf>
    <xf numFmtId="0" fontId="19" fillId="0" borderId="0" xfId="77" applyFont="1" applyAlignment="1"/>
    <xf numFmtId="180" fontId="19" fillId="0" borderId="0" xfId="77" applyNumberFormat="1" applyFont="1" applyAlignment="1"/>
    <xf numFmtId="179" fontId="22" fillId="0" borderId="0" xfId="77" applyNumberFormat="1" applyFont="1" applyFill="1" applyBorder="1" applyAlignment="1" applyProtection="1">
      <alignment horizontal="right" vertical="center"/>
    </xf>
    <xf numFmtId="0" fontId="0" fillId="0" borderId="0" xfId="37" applyAlignment="1">
      <alignment vertical="center"/>
    </xf>
    <xf numFmtId="0" fontId="11" fillId="0" borderId="0" xfId="37" applyFont="1" applyFill="1" applyAlignment="1" applyProtection="1">
      <alignment horizontal="left" vertical="center"/>
    </xf>
    <xf numFmtId="4" fontId="11" fillId="0" borderId="0" xfId="37" applyNumberFormat="1" applyFont="1" applyFill="1" applyAlignment="1" applyProtection="1">
      <alignment horizontal="right" vertical="center"/>
    </xf>
    <xf numFmtId="180" fontId="24" fillId="0" borderId="0" xfId="37" applyNumberFormat="1" applyFont="1" applyFill="1" applyAlignment="1">
      <alignment vertical="center"/>
    </xf>
    <xf numFmtId="0" fontId="11" fillId="0" borderId="0" xfId="37" applyFont="1" applyFill="1" applyAlignment="1">
      <alignment horizontal="right" vertical="center"/>
    </xf>
    <xf numFmtId="0" fontId="12" fillId="0" borderId="1" xfId="12" applyNumberFormat="1" applyFont="1" applyFill="1" applyBorder="1" applyAlignment="1" applyProtection="1">
      <alignment horizontal="center" vertical="center"/>
    </xf>
    <xf numFmtId="178" fontId="20" fillId="0" borderId="1" xfId="86" applyNumberFormat="1" applyFont="1" applyFill="1" applyBorder="1" applyAlignment="1">
      <alignment horizontal="right" vertical="center" wrapText="1"/>
    </xf>
    <xf numFmtId="0" fontId="3" fillId="0" borderId="0" xfId="5" applyFont="1">
      <alignment vertical="center"/>
    </xf>
    <xf numFmtId="0" fontId="25" fillId="0" borderId="0" xfId="0" applyFont="1" applyFill="1" applyAlignment="1" applyProtection="1"/>
    <xf numFmtId="0" fontId="26" fillId="0" borderId="0" xfId="0" applyFont="1" applyFill="1" applyAlignment="1" applyProtection="1"/>
    <xf numFmtId="0" fontId="25" fillId="0" borderId="0" xfId="0" applyFont="1" applyFill="1" applyAlignment="1" applyProtection="1">
      <alignment horizontal="center"/>
    </xf>
    <xf numFmtId="0" fontId="25" fillId="0" borderId="0" xfId="0" applyFont="1" applyFill="1" applyAlignment="1" applyProtection="1">
      <alignment horizontal="left" wrapText="1"/>
    </xf>
    <xf numFmtId="0" fontId="25" fillId="0" borderId="0" xfId="0" applyFont="1" applyFill="1" applyAlignment="1" applyProtection="1">
      <alignment wrapText="1"/>
    </xf>
    <xf numFmtId="0" fontId="7" fillId="0" borderId="0" xfId="0" applyFont="1" applyFill="1" applyAlignment="1"/>
    <xf numFmtId="0" fontId="27" fillId="0" borderId="0" xfId="0" applyFont="1" applyFill="1" applyBorder="1" applyAlignment="1" applyProtection="1">
      <alignment horizontal="center" vertical="center" wrapText="1"/>
    </xf>
    <xf numFmtId="0" fontId="27" fillId="0" borderId="0" xfId="0" applyFont="1" applyFill="1" applyBorder="1" applyAlignment="1" applyProtection="1">
      <alignment horizontal="left" vertical="center" wrapText="1"/>
    </xf>
    <xf numFmtId="0" fontId="17" fillId="0" borderId="0" xfId="1" applyFont="1" applyAlignment="1">
      <alignment horizontal="left" vertical="center" wrapText="1"/>
    </xf>
    <xf numFmtId="0" fontId="28" fillId="0" borderId="0" xfId="0" applyFont="1" applyFill="1" applyAlignment="1" applyProtection="1">
      <alignment horizontal="left" vertical="center" wrapText="1"/>
    </xf>
    <xf numFmtId="0" fontId="28" fillId="0" borderId="0" xfId="0" applyFont="1" applyFill="1" applyAlignment="1" applyProtection="1">
      <alignment horizontal="right" vertical="center" wrapText="1"/>
    </xf>
    <xf numFmtId="0" fontId="29" fillId="0" borderId="1" xfId="0" applyFont="1" applyFill="1" applyBorder="1" applyAlignment="1" applyProtection="1">
      <alignment horizontal="center" vertical="center"/>
    </xf>
    <xf numFmtId="0" fontId="29" fillId="0" borderId="1" xfId="0" applyFont="1" applyFill="1" applyBorder="1" applyAlignment="1" applyProtection="1">
      <alignment horizontal="center" vertical="center" wrapText="1"/>
    </xf>
    <xf numFmtId="0" fontId="30" fillId="0" borderId="1" xfId="0" applyFont="1" applyFill="1" applyBorder="1" applyAlignment="1" applyProtection="1">
      <alignment horizontal="center" vertical="center" wrapText="1"/>
    </xf>
    <xf numFmtId="0" fontId="29" fillId="0" borderId="1" xfId="0" applyNumberFormat="1" applyFont="1" applyFill="1" applyBorder="1" applyAlignment="1" applyProtection="1">
      <alignment horizontal="left" vertical="center"/>
    </xf>
    <xf numFmtId="41" fontId="29" fillId="0" borderId="1" xfId="0" applyNumberFormat="1" applyFont="1" applyFill="1" applyBorder="1" applyAlignment="1" applyProtection="1">
      <alignment horizontal="right" vertical="center" wrapText="1"/>
    </xf>
    <xf numFmtId="0" fontId="22" fillId="0" borderId="1" xfId="0" applyFont="1" applyFill="1" applyBorder="1" applyAlignment="1" applyProtection="1">
      <alignment horizontal="center" vertical="center"/>
    </xf>
    <xf numFmtId="0" fontId="22" fillId="0" borderId="1" xfId="0" applyFont="1" applyFill="1" applyBorder="1" applyAlignment="1" applyProtection="1">
      <alignment horizontal="left" vertical="center" wrapText="1"/>
    </xf>
    <xf numFmtId="41" fontId="22" fillId="0" borderId="1" xfId="0" applyNumberFormat="1" applyFont="1" applyFill="1" applyBorder="1" applyAlignment="1" applyProtection="1">
      <alignment horizontal="right" vertical="center" wrapText="1"/>
    </xf>
    <xf numFmtId="0" fontId="29" fillId="0" borderId="1" xfId="0" applyNumberFormat="1" applyFont="1" applyFill="1" applyBorder="1" applyAlignment="1" applyProtection="1">
      <alignment horizontal="center" vertical="center" wrapText="1"/>
    </xf>
    <xf numFmtId="0" fontId="29" fillId="0" borderId="5" xfId="0" applyNumberFormat="1" applyFont="1" applyFill="1" applyBorder="1" applyAlignment="1" applyProtection="1">
      <alignment horizontal="left" vertical="center" wrapText="1"/>
    </xf>
    <xf numFmtId="0" fontId="29" fillId="0" borderId="7" xfId="0" applyNumberFormat="1" applyFont="1" applyFill="1" applyBorder="1" applyAlignment="1" applyProtection="1">
      <alignment horizontal="left" vertical="center" wrapText="1"/>
    </xf>
    <xf numFmtId="0" fontId="29" fillId="0" borderId="1" xfId="0" applyFont="1" applyFill="1" applyBorder="1" applyAlignment="1" applyProtection="1">
      <alignment vertical="center"/>
    </xf>
    <xf numFmtId="0" fontId="29" fillId="0" borderId="1" xfId="0" applyFont="1" applyFill="1" applyBorder="1" applyAlignment="1" applyProtection="1">
      <alignment vertical="center" wrapText="1"/>
    </xf>
    <xf numFmtId="178" fontId="18" fillId="0" borderId="1" xfId="0" applyNumberFormat="1" applyFont="1" applyFill="1" applyBorder="1" applyAlignment="1">
      <alignment horizontal="right" vertical="center" wrapText="1"/>
    </xf>
    <xf numFmtId="0" fontId="26" fillId="0" borderId="0" xfId="0" applyFont="1" applyFill="1" applyAlignment="1" applyProtection="1">
      <alignment horizontal="center"/>
    </xf>
    <xf numFmtId="41" fontId="25" fillId="0" borderId="0" xfId="0" applyNumberFormat="1" applyFont="1" applyFill="1" applyAlignment="1" applyProtection="1">
      <alignment wrapText="1"/>
    </xf>
    <xf numFmtId="0" fontId="16" fillId="0" borderId="0" xfId="1" applyFont="1" applyAlignment="1">
      <alignment horizontal="center" vertical="center" shrinkToFit="1"/>
    </xf>
    <xf numFmtId="0" fontId="17" fillId="0" borderId="0" xfId="1" applyFont="1" applyFill="1" applyAlignment="1">
      <alignment horizontal="left" vertical="center" wrapText="1"/>
    </xf>
    <xf numFmtId="188" fontId="11" fillId="0" borderId="0" xfId="74" applyNumberFormat="1" applyFont="1" applyBorder="1" applyAlignment="1">
      <alignment horizontal="right" vertical="center"/>
    </xf>
    <xf numFmtId="0" fontId="12" fillId="0" borderId="1" xfId="74" applyFont="1" applyBorder="1" applyAlignment="1">
      <alignment horizontal="center" vertical="center"/>
    </xf>
    <xf numFmtId="49" fontId="12" fillId="0" borderId="1" xfId="0" applyNumberFormat="1" applyFont="1" applyFill="1" applyBorder="1" applyAlignment="1" applyProtection="1">
      <alignment vertical="center" wrapText="1"/>
    </xf>
    <xf numFmtId="178" fontId="12" fillId="0" borderId="1" xfId="82" applyNumberFormat="1" applyFont="1" applyFill="1" applyBorder="1" applyAlignment="1">
      <alignment horizontal="right" vertical="center" wrapText="1"/>
    </xf>
    <xf numFmtId="0" fontId="11" fillId="0" borderId="1" xfId="48" applyNumberFormat="1" applyFont="1" applyFill="1" applyBorder="1" applyAlignment="1">
      <alignment horizontal="left" vertical="center" wrapText="1"/>
    </xf>
    <xf numFmtId="178" fontId="11" fillId="0" borderId="1" xfId="82" applyNumberFormat="1" applyFont="1" applyFill="1" applyBorder="1" applyAlignment="1">
      <alignment horizontal="right" vertical="center" wrapText="1"/>
    </xf>
    <xf numFmtId="0" fontId="12" fillId="2" borderId="1" xfId="82" applyFont="1" applyFill="1" applyBorder="1" applyAlignment="1">
      <alignment horizontal="distributed" vertical="center" wrapText="1"/>
    </xf>
    <xf numFmtId="0" fontId="12" fillId="0" borderId="1" xfId="48" applyNumberFormat="1" applyFont="1" applyFill="1" applyBorder="1" applyAlignment="1">
      <alignment horizontal="left" vertical="center" wrapText="1"/>
    </xf>
    <xf numFmtId="0" fontId="11" fillId="0" borderId="1" xfId="48" applyNumberFormat="1" applyFont="1" applyFill="1" applyBorder="1" applyAlignment="1">
      <alignment horizontal="left" vertical="center" wrapText="1" indent="1"/>
    </xf>
    <xf numFmtId="178" fontId="17" fillId="0" borderId="1" xfId="0" applyNumberFormat="1" applyFont="1" applyFill="1" applyBorder="1" applyAlignment="1">
      <alignment horizontal="right" vertical="center" wrapText="1"/>
    </xf>
    <xf numFmtId="0" fontId="12" fillId="2" borderId="1" xfId="82" applyFont="1" applyFill="1" applyBorder="1" applyAlignment="1">
      <alignment horizontal="left" vertical="center" wrapText="1"/>
    </xf>
    <xf numFmtId="41" fontId="7" fillId="0" borderId="0" xfId="0" applyNumberFormat="1" applyFont="1" applyFill="1" applyAlignment="1"/>
    <xf numFmtId="178" fontId="7" fillId="0" borderId="0" xfId="0" applyNumberFormat="1" applyFont="1" applyFill="1" applyAlignment="1"/>
    <xf numFmtId="0" fontId="0" fillId="0" borderId="0" xfId="48" applyAlignment="1"/>
    <xf numFmtId="0" fontId="31" fillId="4" borderId="0" xfId="48" applyFont="1" applyFill="1" applyAlignment="1"/>
    <xf numFmtId="0" fontId="16" fillId="4" borderId="0" xfId="1" applyFont="1" applyFill="1" applyAlignment="1">
      <alignment horizontal="center" vertical="center" shrinkToFit="1"/>
    </xf>
    <xf numFmtId="0" fontId="32" fillId="4" borderId="0" xfId="1" applyFont="1" applyFill="1" applyAlignment="1">
      <alignment horizontal="left" vertical="center" wrapText="1"/>
    </xf>
    <xf numFmtId="0" fontId="11" fillId="0" borderId="0" xfId="48" applyFont="1" applyAlignment="1">
      <alignment horizontal="right" vertical="center"/>
    </xf>
    <xf numFmtId="0" fontId="12" fillId="0" borderId="1" xfId="48" applyFont="1" applyFill="1" applyBorder="1" applyAlignment="1">
      <alignment horizontal="center" vertical="center" wrapText="1"/>
    </xf>
    <xf numFmtId="188" fontId="12" fillId="4" borderId="1" xfId="82" applyNumberFormat="1" applyFont="1" applyFill="1" applyBorder="1" applyAlignment="1">
      <alignment horizontal="center" vertical="center" wrapText="1"/>
    </xf>
    <xf numFmtId="49" fontId="11" fillId="4" borderId="1" xfId="0" applyNumberFormat="1" applyFont="1" applyFill="1" applyBorder="1" applyAlignment="1" applyProtection="1">
      <alignment vertical="center" wrapText="1"/>
    </xf>
    <xf numFmtId="178" fontId="22" fillId="4" borderId="1" xfId="0" applyNumberFormat="1" applyFont="1" applyFill="1" applyBorder="1" applyAlignment="1" applyProtection="1">
      <alignment horizontal="right" vertical="center"/>
      <protection locked="0"/>
    </xf>
    <xf numFmtId="49" fontId="11" fillId="0" borderId="1" xfId="0" applyNumberFormat="1" applyFont="1" applyFill="1" applyBorder="1" applyAlignment="1" applyProtection="1">
      <alignment vertical="center" wrapText="1"/>
    </xf>
    <xf numFmtId="178" fontId="28" fillId="4" borderId="1" xfId="45" applyNumberFormat="1" applyFont="1" applyFill="1" applyBorder="1" applyAlignment="1" applyProtection="1">
      <alignment horizontal="right" vertical="center"/>
    </xf>
    <xf numFmtId="178" fontId="21" fillId="4" borderId="1" xfId="45" applyNumberFormat="1" applyFont="1" applyFill="1" applyBorder="1" applyAlignment="1" applyProtection="1">
      <alignment horizontal="right" vertical="center"/>
    </xf>
    <xf numFmtId="178" fontId="11" fillId="4" borderId="1" xfId="1" applyNumberFormat="1" applyFont="1" applyFill="1" applyBorder="1" applyAlignment="1">
      <alignment horizontal="right" vertical="center" wrapText="1"/>
    </xf>
    <xf numFmtId="178" fontId="11" fillId="4" borderId="1" xfId="82" applyNumberFormat="1" applyFont="1" applyFill="1" applyBorder="1" applyAlignment="1">
      <alignment horizontal="right" vertical="center" wrapText="1"/>
    </xf>
    <xf numFmtId="178" fontId="11" fillId="4" borderId="1" xfId="8" applyNumberFormat="1" applyFont="1" applyFill="1" applyBorder="1" applyAlignment="1">
      <alignment horizontal="right" vertical="center" wrapText="1"/>
    </xf>
    <xf numFmtId="178" fontId="12" fillId="4" borderId="1" xfId="8" applyNumberFormat="1" applyFont="1" applyFill="1" applyBorder="1" applyAlignment="1">
      <alignment horizontal="right" vertical="center" wrapText="1"/>
    </xf>
    <xf numFmtId="0" fontId="18" fillId="0" borderId="1" xfId="0" applyFont="1" applyFill="1" applyBorder="1" applyAlignment="1">
      <alignment horizontal="distributed" vertical="center" wrapText="1"/>
    </xf>
    <xf numFmtId="49" fontId="12" fillId="0" borderId="1" xfId="0" applyNumberFormat="1" applyFont="1" applyFill="1" applyBorder="1" applyAlignment="1" applyProtection="1">
      <alignment horizontal="left" vertical="center" wrapText="1"/>
    </xf>
    <xf numFmtId="178" fontId="12" fillId="4" borderId="1" xfId="82" applyNumberFormat="1" applyFont="1" applyFill="1" applyBorder="1" applyAlignment="1">
      <alignment horizontal="right" vertical="center" wrapText="1"/>
    </xf>
    <xf numFmtId="178" fontId="12" fillId="4" borderId="1" xfId="34" applyNumberFormat="1" applyFont="1" applyFill="1" applyBorder="1" applyAlignment="1">
      <alignment horizontal="right" vertical="center" wrapText="1"/>
    </xf>
    <xf numFmtId="41" fontId="0" fillId="0" borderId="0" xfId="48" applyNumberFormat="1" applyAlignment="1"/>
    <xf numFmtId="178" fontId="0" fillId="0" borderId="0" xfId="48" applyNumberFormat="1" applyAlignment="1"/>
    <xf numFmtId="0" fontId="11" fillId="0" borderId="0" xfId="48" applyFont="1" applyAlignment="1"/>
    <xf numFmtId="0" fontId="0" fillId="0" borderId="0" xfId="48" applyFill="1" applyAlignment="1"/>
    <xf numFmtId="0" fontId="16" fillId="2" borderId="0" xfId="1" applyFont="1" applyFill="1" applyAlignment="1">
      <alignment horizontal="center" vertical="center" shrinkToFit="1"/>
    </xf>
    <xf numFmtId="0" fontId="17" fillId="2" borderId="0" xfId="1" applyFont="1" applyFill="1" applyAlignment="1">
      <alignment horizontal="left" vertical="center" wrapText="1"/>
    </xf>
    <xf numFmtId="0" fontId="11" fillId="2" borderId="0" xfId="48" applyFont="1" applyFill="1" applyAlignment="1">
      <alignment horizontal="right" vertical="center"/>
    </xf>
    <xf numFmtId="0" fontId="12" fillId="2" borderId="1" xfId="74" applyFont="1" applyFill="1" applyBorder="1" applyAlignment="1">
      <alignment horizontal="distributed" vertical="center" wrapText="1" indent="3"/>
    </xf>
    <xf numFmtId="178" fontId="11" fillId="0" borderId="1" xfId="82" applyNumberFormat="1" applyFont="1" applyBorder="1" applyAlignment="1">
      <alignment horizontal="right" vertical="center" wrapText="1"/>
    </xf>
    <xf numFmtId="0" fontId="11" fillId="0" borderId="1" xfId="3" applyNumberFormat="1" applyFont="1" applyFill="1" applyBorder="1" applyAlignment="1">
      <alignment horizontal="left" vertical="center" wrapText="1"/>
    </xf>
    <xf numFmtId="178" fontId="12" fillId="0" borderId="1" xfId="82" applyNumberFormat="1" applyFont="1" applyBorder="1" applyAlignment="1">
      <alignment horizontal="right" vertical="center" wrapText="1"/>
    </xf>
    <xf numFmtId="0" fontId="12" fillId="0" borderId="1" xfId="74" applyFont="1" applyFill="1" applyBorder="1" applyAlignment="1">
      <alignment horizontal="left" vertical="center" wrapText="1"/>
    </xf>
    <xf numFmtId="0" fontId="11" fillId="0" borderId="1" xfId="3" applyNumberFormat="1" applyFont="1" applyFill="1" applyBorder="1" applyAlignment="1">
      <alignment horizontal="left" vertical="center" wrapText="1" indent="2"/>
    </xf>
    <xf numFmtId="0" fontId="11" fillId="0" borderId="1" xfId="3" applyNumberFormat="1" applyFont="1" applyFill="1" applyBorder="1" applyAlignment="1">
      <alignment horizontal="left" vertical="center" wrapText="1" indent="1"/>
    </xf>
    <xf numFmtId="0" fontId="12" fillId="0" borderId="1" xfId="3" applyNumberFormat="1" applyFont="1" applyFill="1" applyBorder="1" applyAlignment="1">
      <alignment horizontal="left" vertical="center" wrapText="1"/>
    </xf>
    <xf numFmtId="178" fontId="12" fillId="2" borderId="1" xfId="82" applyNumberFormat="1" applyFont="1" applyFill="1" applyBorder="1" applyAlignment="1">
      <alignment horizontal="right" vertical="center" wrapText="1"/>
    </xf>
    <xf numFmtId="41" fontId="0" fillId="0" borderId="0" xfId="48" applyNumberFormat="1" applyFill="1" applyAlignment="1"/>
    <xf numFmtId="0" fontId="33" fillId="2" borderId="0" xfId="1" applyFont="1" applyFill="1" applyAlignment="1">
      <alignment vertical="center" shrinkToFit="1"/>
    </xf>
    <xf numFmtId="188" fontId="0" fillId="2" borderId="0" xfId="74" applyNumberFormat="1" applyFont="1" applyFill="1" applyBorder="1" applyAlignment="1">
      <alignment vertical="center"/>
    </xf>
    <xf numFmtId="0" fontId="0" fillId="2" borderId="0" xfId="48" applyFill="1" applyAlignment="1"/>
    <xf numFmtId="0" fontId="0" fillId="2" borderId="0" xfId="4" applyFill="1" applyAlignment="1"/>
    <xf numFmtId="0" fontId="16" fillId="0" borderId="0" xfId="1" applyFont="1" applyFill="1" applyAlignment="1">
      <alignment horizontal="center" vertical="center" shrinkToFit="1"/>
    </xf>
    <xf numFmtId="179" fontId="11" fillId="0" borderId="0" xfId="2" applyNumberFormat="1" applyFont="1" applyFill="1" applyBorder="1" applyAlignment="1" applyProtection="1">
      <alignment horizontal="left" vertical="center"/>
    </xf>
    <xf numFmtId="0" fontId="11" fillId="0" borderId="0" xfId="48" applyFont="1" applyFill="1" applyBorder="1" applyAlignment="1">
      <alignment vertical="center"/>
    </xf>
    <xf numFmtId="0" fontId="11" fillId="0" borderId="0" xfId="48" applyFont="1" applyFill="1" applyAlignment="1">
      <alignment vertical="center"/>
    </xf>
    <xf numFmtId="178" fontId="12" fillId="0" borderId="1" xfId="8" applyNumberFormat="1" applyFont="1" applyFill="1" applyBorder="1" applyAlignment="1">
      <alignment horizontal="right" vertical="center" wrapText="1"/>
    </xf>
    <xf numFmtId="178" fontId="11" fillId="0" borderId="1" xfId="8" applyNumberFormat="1" applyFont="1" applyFill="1" applyBorder="1" applyAlignment="1">
      <alignment horizontal="right" vertical="center" wrapText="1"/>
    </xf>
    <xf numFmtId="178" fontId="23" fillId="0" borderId="1" xfId="0" applyNumberFormat="1" applyFont="1" applyFill="1" applyBorder="1" applyAlignment="1">
      <alignment horizontal="right" vertical="center" wrapText="1"/>
    </xf>
    <xf numFmtId="178" fontId="11" fillId="0" borderId="1" xfId="1" applyNumberFormat="1" applyFont="1" applyFill="1" applyBorder="1" applyAlignment="1">
      <alignment horizontal="right" vertical="center" wrapText="1"/>
    </xf>
    <xf numFmtId="178" fontId="12" fillId="0" borderId="1" xfId="1" applyNumberFormat="1" applyFont="1" applyFill="1" applyBorder="1" applyAlignment="1">
      <alignment horizontal="right" vertical="center" wrapText="1"/>
    </xf>
    <xf numFmtId="0" fontId="5" fillId="2" borderId="0" xfId="5" applyFont="1" applyFill="1">
      <alignment vertical="center"/>
    </xf>
    <xf numFmtId="0" fontId="34" fillId="0" borderId="0" xfId="0" applyFont="1" applyFill="1" applyAlignment="1"/>
    <xf numFmtId="0" fontId="35" fillId="0" borderId="0" xfId="57" applyFont="1" applyFill="1" applyAlignment="1">
      <alignment horizontal="center" vertical="center"/>
    </xf>
    <xf numFmtId="0" fontId="17" fillId="0" borderId="0" xfId="57" applyFont="1" applyFill="1" applyAlignment="1">
      <alignment horizontal="left" vertical="center"/>
    </xf>
    <xf numFmtId="0" fontId="17" fillId="0" borderId="0" xfId="0" applyFont="1" applyFill="1" applyAlignment="1">
      <alignment vertical="center"/>
    </xf>
    <xf numFmtId="0" fontId="17" fillId="0" borderId="0" xfId="57" applyFont="1" applyFill="1" applyAlignment="1">
      <alignment horizontal="right" vertical="center"/>
    </xf>
    <xf numFmtId="0" fontId="18" fillId="0" borderId="1" xfId="0" applyFont="1" applyFill="1" applyBorder="1" applyAlignment="1">
      <alignment horizontal="center" vertical="center"/>
    </xf>
    <xf numFmtId="0" fontId="17" fillId="0" borderId="1" xfId="0" applyFont="1" applyFill="1" applyBorder="1" applyAlignment="1">
      <alignment horizontal="left" vertical="center" wrapText="1"/>
    </xf>
    <xf numFmtId="178" fontId="11" fillId="0" borderId="1" xfId="0" applyNumberFormat="1" applyFont="1" applyFill="1" applyBorder="1" applyAlignment="1">
      <alignment vertical="center" wrapText="1"/>
    </xf>
    <xf numFmtId="183" fontId="11" fillId="0" borderId="1" xfId="33" applyNumberFormat="1" applyFont="1" applyFill="1" applyBorder="1" applyAlignment="1">
      <alignment vertical="center" wrapText="1"/>
    </xf>
    <xf numFmtId="0" fontId="18" fillId="0" borderId="1" xfId="0" applyFont="1" applyFill="1" applyBorder="1" applyAlignment="1">
      <alignment horizontal="center" vertical="center" wrapText="1"/>
    </xf>
    <xf numFmtId="178" fontId="12" fillId="0" borderId="1" xfId="0" applyNumberFormat="1" applyFont="1" applyFill="1" applyBorder="1" applyAlignment="1">
      <alignment vertical="center" wrapText="1"/>
    </xf>
    <xf numFmtId="183" fontId="12" fillId="0" borderId="1" xfId="33" applyNumberFormat="1" applyFont="1" applyFill="1" applyBorder="1" applyAlignment="1">
      <alignment vertical="center" wrapText="1"/>
    </xf>
    <xf numFmtId="178" fontId="0" fillId="0" borderId="0" xfId="48" applyNumberFormat="1" applyFont="1" applyFill="1" applyAlignment="1">
      <alignment horizontal="center" vertical="center" wrapText="1"/>
    </xf>
    <xf numFmtId="0" fontId="3" fillId="0" borderId="0" xfId="5" applyFont="1" applyFill="1" applyAlignment="1">
      <alignment horizontal="center" vertical="center"/>
    </xf>
    <xf numFmtId="0" fontId="3" fillId="2" borderId="0" xfId="5" applyFont="1" applyFill="1" applyAlignment="1">
      <alignment horizontal="center" vertical="center"/>
    </xf>
    <xf numFmtId="0" fontId="3" fillId="0" borderId="0" xfId="82" applyFont="1" applyProtection="1">
      <alignment vertical="center"/>
    </xf>
    <xf numFmtId="0" fontId="36" fillId="0" borderId="0" xfId="82" applyFont="1" applyAlignment="1" applyProtection="1">
      <alignment horizontal="center" vertical="center"/>
    </xf>
    <xf numFmtId="0" fontId="36" fillId="5" borderId="0" xfId="82" applyFont="1" applyFill="1" applyAlignment="1" applyProtection="1">
      <alignment horizontal="center" vertical="center"/>
    </xf>
    <xf numFmtId="0" fontId="37" fillId="0" borderId="0" xfId="0" applyFont="1" applyFill="1" applyAlignment="1">
      <alignment vertical="center"/>
    </xf>
    <xf numFmtId="0" fontId="0" fillId="5" borderId="0" xfId="82" applyFill="1" applyProtection="1">
      <alignment vertical="center"/>
    </xf>
    <xf numFmtId="0" fontId="36" fillId="0" borderId="0" xfId="82" applyFont="1" applyProtection="1">
      <alignment vertical="center"/>
    </xf>
    <xf numFmtId="0" fontId="37" fillId="5" borderId="0" xfId="0" applyFont="1" applyFill="1" applyAlignment="1">
      <alignment vertical="center"/>
    </xf>
    <xf numFmtId="0" fontId="0" fillId="0" borderId="0" xfId="82" applyProtection="1">
      <alignment vertical="center"/>
    </xf>
    <xf numFmtId="0" fontId="0" fillId="0" borderId="0" xfId="82" applyFill="1" applyProtection="1">
      <alignment vertical="center"/>
    </xf>
    <xf numFmtId="188" fontId="0" fillId="0" borderId="0" xfId="82" applyNumberFormat="1" applyFill="1" applyProtection="1">
      <alignment vertical="center"/>
    </xf>
    <xf numFmtId="178" fontId="0" fillId="0" borderId="0" xfId="48" applyNumberFormat="1" applyAlignment="1" applyProtection="1"/>
    <xf numFmtId="0" fontId="10" fillId="0" borderId="0" xfId="82" applyFont="1" applyFill="1" applyAlignment="1" applyProtection="1">
      <alignment horizontal="center" vertical="center"/>
    </xf>
    <xf numFmtId="0" fontId="3" fillId="0" borderId="0" xfId="82" applyFont="1" applyFill="1" applyProtection="1">
      <alignment vertical="center"/>
    </xf>
    <xf numFmtId="0" fontId="11" fillId="0" borderId="0" xfId="82" applyFont="1" applyFill="1" applyProtection="1">
      <alignment vertical="center"/>
    </xf>
    <xf numFmtId="188" fontId="12" fillId="0" borderId="8" xfId="82" applyNumberFormat="1" applyFont="1" applyFill="1" applyBorder="1" applyAlignment="1">
      <alignment horizontal="center" vertical="center" wrapText="1"/>
    </xf>
    <xf numFmtId="0" fontId="12" fillId="0" borderId="1" xfId="82" applyFont="1" applyFill="1" applyBorder="1" applyAlignment="1">
      <alignment horizontal="center" vertical="center" wrapText="1"/>
    </xf>
    <xf numFmtId="188" fontId="12" fillId="2" borderId="1" xfId="82" applyNumberFormat="1" applyFont="1" applyFill="1" applyBorder="1" applyAlignment="1">
      <alignment horizontal="center" vertical="center" wrapText="1"/>
    </xf>
    <xf numFmtId="188" fontId="12" fillId="0" borderId="9" xfId="82" applyNumberFormat="1" applyFont="1" applyFill="1" applyBorder="1" applyAlignment="1">
      <alignment horizontal="center" vertical="center" wrapText="1"/>
    </xf>
    <xf numFmtId="0" fontId="18" fillId="5" borderId="10" xfId="0" applyFont="1" applyFill="1" applyBorder="1" applyAlignment="1" applyProtection="1">
      <alignment horizontal="left" vertical="center"/>
    </xf>
    <xf numFmtId="49" fontId="18" fillId="0" borderId="1" xfId="0" applyNumberFormat="1" applyFont="1" applyFill="1" applyBorder="1" applyAlignment="1" applyProtection="1">
      <alignment horizontal="left" vertical="center" wrapText="1"/>
    </xf>
    <xf numFmtId="3" fontId="18" fillId="0" borderId="1" xfId="0" applyNumberFormat="1" applyFont="1" applyFill="1" applyBorder="1" applyAlignment="1" applyProtection="1">
      <alignment horizontal="right" vertical="center"/>
      <protection locked="0"/>
    </xf>
    <xf numFmtId="0" fontId="17" fillId="5" borderId="10" xfId="0" applyFont="1" applyFill="1" applyBorder="1" applyAlignment="1" applyProtection="1">
      <alignment horizontal="left" vertical="center"/>
    </xf>
    <xf numFmtId="49" fontId="17" fillId="0" borderId="1" xfId="0" applyNumberFormat="1" applyFont="1" applyFill="1" applyBorder="1" applyAlignment="1" applyProtection="1">
      <alignment horizontal="left" vertical="center" wrapText="1"/>
    </xf>
    <xf numFmtId="3" fontId="17" fillId="0" borderId="1" xfId="0" applyNumberFormat="1" applyFont="1" applyFill="1" applyBorder="1" applyAlignment="1" applyProtection="1">
      <alignment horizontal="right" vertical="center"/>
      <protection locked="0"/>
    </xf>
    <xf numFmtId="0" fontId="18" fillId="4" borderId="10" xfId="0" applyNumberFormat="1" applyFont="1" applyFill="1" applyBorder="1" applyAlignment="1" applyProtection="1">
      <alignment horizontal="left" vertical="center"/>
    </xf>
    <xf numFmtId="0" fontId="17" fillId="4" borderId="10" xfId="0" applyNumberFormat="1" applyFont="1" applyFill="1" applyBorder="1" applyAlignment="1" applyProtection="1">
      <alignment horizontal="left" vertical="center"/>
    </xf>
    <xf numFmtId="0" fontId="17" fillId="0" borderId="10" xfId="0" applyNumberFormat="1" applyFont="1" applyFill="1" applyBorder="1" applyAlignment="1" applyProtection="1">
      <alignment horizontal="left" vertical="center"/>
    </xf>
    <xf numFmtId="0" fontId="12" fillId="5" borderId="1" xfId="0" applyNumberFormat="1" applyFont="1" applyFill="1" applyBorder="1" applyAlignment="1" applyProtection="1">
      <alignment horizontal="left" vertical="center"/>
    </xf>
    <xf numFmtId="0" fontId="12" fillId="0" borderId="5" xfId="0" applyNumberFormat="1" applyFont="1" applyFill="1" applyBorder="1" applyAlignment="1" applyProtection="1">
      <alignment horizontal="left" vertical="center"/>
    </xf>
    <xf numFmtId="0" fontId="11" fillId="5" borderId="1" xfId="0" applyNumberFormat="1" applyFont="1" applyFill="1" applyBorder="1" applyAlignment="1" applyProtection="1">
      <alignment horizontal="left" vertical="center"/>
    </xf>
    <xf numFmtId="0" fontId="11" fillId="0" borderId="5" xfId="0" applyNumberFormat="1" applyFont="1" applyFill="1" applyBorder="1" applyAlignment="1" applyProtection="1">
      <alignment horizontal="left" vertical="center"/>
    </xf>
    <xf numFmtId="0" fontId="11" fillId="5" borderId="4" xfId="0" applyNumberFormat="1" applyFont="1" applyFill="1" applyBorder="1" applyAlignment="1" applyProtection="1">
      <alignment horizontal="left" vertical="center"/>
    </xf>
    <xf numFmtId="0" fontId="11" fillId="0" borderId="9" xfId="0" applyNumberFormat="1" applyFont="1" applyFill="1" applyBorder="1" applyAlignment="1" applyProtection="1">
      <alignment horizontal="left" vertical="center"/>
    </xf>
    <xf numFmtId="0" fontId="11" fillId="0" borderId="1" xfId="0" applyNumberFormat="1" applyFont="1" applyFill="1" applyBorder="1" applyAlignment="1" applyProtection="1">
      <alignment horizontal="left" vertical="center"/>
    </xf>
    <xf numFmtId="0" fontId="17" fillId="4" borderId="10" xfId="0" applyFont="1" applyFill="1" applyBorder="1" applyAlignment="1" applyProtection="1">
      <alignment horizontal="left" vertical="center"/>
    </xf>
    <xf numFmtId="188" fontId="11" fillId="0" borderId="0" xfId="82" applyNumberFormat="1" applyFont="1" applyFill="1" applyBorder="1" applyAlignment="1" applyProtection="1">
      <alignment horizontal="right" vertical="center"/>
    </xf>
    <xf numFmtId="188" fontId="12" fillId="2" borderId="2" xfId="82" applyNumberFormat="1" applyFont="1" applyFill="1" applyBorder="1" applyAlignment="1">
      <alignment horizontal="center" vertical="center" wrapText="1"/>
    </xf>
    <xf numFmtId="188" fontId="12" fillId="2" borderId="4" xfId="82" applyNumberFormat="1" applyFont="1" applyFill="1" applyBorder="1" applyAlignment="1">
      <alignment horizontal="center" vertical="center" wrapText="1"/>
    </xf>
    <xf numFmtId="183" fontId="18" fillId="4" borderId="1" xfId="33" applyNumberFormat="1" applyFont="1" applyFill="1" applyBorder="1" applyAlignment="1" applyProtection="1">
      <alignment horizontal="right" vertical="center"/>
      <protection locked="0"/>
    </xf>
    <xf numFmtId="183" fontId="17" fillId="4" borderId="1" xfId="33" applyNumberFormat="1" applyFont="1" applyFill="1" applyBorder="1" applyAlignment="1" applyProtection="1">
      <alignment horizontal="right" vertical="center"/>
      <protection locked="0"/>
    </xf>
    <xf numFmtId="178" fontId="0" fillId="0" borderId="0" xfId="48" applyNumberFormat="1" applyFill="1" applyAlignment="1" applyProtection="1"/>
    <xf numFmtId="178" fontId="3" fillId="0" borderId="0" xfId="48" applyNumberFormat="1" applyFont="1" applyFill="1" applyAlignment="1" applyProtection="1"/>
    <xf numFmtId="0" fontId="36" fillId="0" borderId="0" xfId="82" applyFont="1" applyFill="1" applyAlignment="1" applyProtection="1">
      <alignment horizontal="center" vertical="center" wrapText="1"/>
    </xf>
    <xf numFmtId="0" fontId="36" fillId="0" borderId="0" xfId="82" applyFont="1" applyFill="1" applyAlignment="1" applyProtection="1">
      <alignment horizontal="center" vertical="center"/>
    </xf>
    <xf numFmtId="0" fontId="3" fillId="0" borderId="0" xfId="5" applyFont="1" applyFill="1" applyProtection="1">
      <alignment vertical="center"/>
    </xf>
    <xf numFmtId="49" fontId="11" fillId="0" borderId="1" xfId="0" applyNumberFormat="1" applyFont="1" applyFill="1" applyBorder="1" applyAlignment="1" applyProtection="1">
      <alignment horizontal="left" vertical="center" wrapText="1"/>
    </xf>
    <xf numFmtId="49" fontId="17" fillId="4" borderId="10" xfId="0" applyNumberFormat="1" applyFont="1" applyFill="1" applyBorder="1" applyAlignment="1" applyProtection="1">
      <alignment horizontal="left" vertical="center" wrapText="1"/>
    </xf>
    <xf numFmtId="0" fontId="11" fillId="5" borderId="9" xfId="0" applyNumberFormat="1" applyFont="1" applyFill="1" applyBorder="1" applyAlignment="1" applyProtection="1">
      <alignment horizontal="left" vertical="center"/>
    </xf>
    <xf numFmtId="0" fontId="12" fillId="0" borderId="1" xfId="0" applyNumberFormat="1" applyFont="1" applyFill="1" applyBorder="1" applyAlignment="1" applyProtection="1">
      <alignment horizontal="left" vertical="center"/>
    </xf>
    <xf numFmtId="0" fontId="17" fillId="0" borderId="10" xfId="0" applyFont="1" applyFill="1" applyBorder="1" applyAlignment="1" applyProtection="1">
      <alignment horizontal="left" vertical="center"/>
    </xf>
    <xf numFmtId="0" fontId="18" fillId="4" borderId="10" xfId="0" applyNumberFormat="1" applyFont="1" applyFill="1" applyBorder="1" applyAlignment="1" applyProtection="1">
      <alignment horizontal="left" vertical="center" wrapText="1"/>
    </xf>
    <xf numFmtId="0" fontId="17" fillId="4" borderId="10" xfId="0" applyNumberFormat="1" applyFont="1" applyFill="1" applyBorder="1" applyAlignment="1" applyProtection="1">
      <alignment horizontal="left" vertical="center" wrapText="1"/>
    </xf>
    <xf numFmtId="49" fontId="38" fillId="4" borderId="10" xfId="0" applyNumberFormat="1" applyFont="1" applyFill="1" applyBorder="1" applyAlignment="1" applyProtection="1">
      <alignment horizontal="distributed" vertical="center"/>
    </xf>
    <xf numFmtId="49" fontId="38" fillId="0" borderId="1" xfId="0" applyNumberFormat="1" applyFont="1" applyFill="1" applyBorder="1" applyAlignment="1" applyProtection="1">
      <alignment horizontal="distributed" vertical="center" wrapText="1"/>
    </xf>
    <xf numFmtId="3" fontId="18" fillId="0" borderId="1" xfId="0" applyNumberFormat="1" applyFont="1" applyFill="1" applyBorder="1" applyAlignment="1" applyProtection="1">
      <alignment horizontal="right" vertical="center"/>
    </xf>
    <xf numFmtId="49" fontId="12" fillId="0" borderId="5" xfId="82" applyNumberFormat="1" applyFont="1" applyFill="1" applyBorder="1" applyAlignment="1" applyProtection="1">
      <alignment horizontal="left" vertical="center"/>
    </xf>
    <xf numFmtId="0" fontId="12" fillId="0" borderId="1" xfId="82" applyFont="1" applyFill="1" applyBorder="1" applyAlignment="1" applyProtection="1">
      <alignment horizontal="left" vertical="center" wrapText="1"/>
    </xf>
    <xf numFmtId="0" fontId="11" fillId="0" borderId="1" xfId="82" applyFont="1" applyFill="1" applyBorder="1" applyAlignment="1" applyProtection="1">
      <alignment horizontal="left" vertical="center" wrapText="1"/>
    </xf>
    <xf numFmtId="49" fontId="11" fillId="0" borderId="5" xfId="82" applyNumberFormat="1" applyFont="1" applyFill="1" applyBorder="1" applyAlignment="1" applyProtection="1">
      <alignment horizontal="left" vertical="center"/>
    </xf>
    <xf numFmtId="49" fontId="17" fillId="0" borderId="5" xfId="6" applyNumberFormat="1" applyFont="1" applyBorder="1" applyAlignment="1" applyProtection="1">
      <alignment horizontal="left" vertical="center"/>
    </xf>
    <xf numFmtId="0" fontId="11" fillId="0" borderId="1" xfId="5" applyFont="1" applyFill="1" applyBorder="1" applyAlignment="1" applyProtection="1">
      <alignment horizontal="left" vertical="center" wrapText="1"/>
    </xf>
    <xf numFmtId="0" fontId="12" fillId="0" borderId="1" xfId="5" applyFont="1" applyFill="1" applyBorder="1" applyAlignment="1" applyProtection="1">
      <alignment horizontal="left" vertical="center" wrapText="1"/>
    </xf>
    <xf numFmtId="49" fontId="12" fillId="0" borderId="5" xfId="82" applyNumberFormat="1" applyFont="1" applyFill="1" applyBorder="1" applyAlignment="1" applyProtection="1">
      <alignment horizontal="distributed" vertical="center" indent="1"/>
    </xf>
    <xf numFmtId="0" fontId="12" fillId="0" borderId="1" xfId="82" applyFont="1" applyFill="1" applyBorder="1" applyAlignment="1" applyProtection="1">
      <alignment horizontal="distributed" vertical="center" wrapText="1" indent="1"/>
    </xf>
    <xf numFmtId="178" fontId="0" fillId="0" borderId="0" xfId="82" applyNumberFormat="1" applyFill="1" applyProtection="1">
      <alignment vertical="center"/>
    </xf>
    <xf numFmtId="0" fontId="3" fillId="0" borderId="0" xfId="82" applyFont="1">
      <alignment vertical="center"/>
    </xf>
    <xf numFmtId="0" fontId="36" fillId="0" borderId="0" xfId="82" applyFont="1" applyAlignment="1">
      <alignment horizontal="center" vertical="center"/>
    </xf>
    <xf numFmtId="0" fontId="0" fillId="0" borderId="0" xfId="82">
      <alignment vertical="center"/>
    </xf>
    <xf numFmtId="188" fontId="0" fillId="0" borderId="0" xfId="82" applyNumberFormat="1">
      <alignment vertical="center"/>
    </xf>
    <xf numFmtId="0" fontId="0" fillId="0" borderId="0" xfId="82" applyFill="1">
      <alignment vertical="center"/>
    </xf>
    <xf numFmtId="0" fontId="10" fillId="0" borderId="0" xfId="82" applyFont="1" applyFill="1" applyAlignment="1">
      <alignment horizontal="center" vertical="center"/>
    </xf>
    <xf numFmtId="0" fontId="3" fillId="0" borderId="0" xfId="82" applyFont="1" applyFill="1">
      <alignment vertical="center"/>
    </xf>
    <xf numFmtId="49" fontId="18" fillId="4" borderId="1" xfId="0" applyNumberFormat="1" applyFont="1" applyFill="1" applyBorder="1" applyAlignment="1" applyProtection="1">
      <alignment horizontal="left" vertical="center" wrapText="1"/>
    </xf>
    <xf numFmtId="3" fontId="18" fillId="4" borderId="1" xfId="0" applyNumberFormat="1" applyFont="1" applyFill="1" applyBorder="1" applyAlignment="1" applyProtection="1">
      <alignment horizontal="right" vertical="center"/>
      <protection locked="0"/>
    </xf>
    <xf numFmtId="49" fontId="17" fillId="4" borderId="1" xfId="0" applyNumberFormat="1" applyFont="1" applyFill="1" applyBorder="1" applyAlignment="1" applyProtection="1">
      <alignment horizontal="left" vertical="center" wrapText="1"/>
    </xf>
    <xf numFmtId="3" fontId="17" fillId="4" borderId="1" xfId="0" applyNumberFormat="1" applyFont="1" applyFill="1" applyBorder="1" applyAlignment="1" applyProtection="1">
      <alignment horizontal="right" vertical="center"/>
      <protection locked="0"/>
    </xf>
    <xf numFmtId="0" fontId="11" fillId="4" borderId="10" xfId="0" applyFont="1" applyFill="1" applyBorder="1" applyAlignment="1" applyProtection="1">
      <alignment vertical="center"/>
    </xf>
    <xf numFmtId="49" fontId="12" fillId="4" borderId="1" xfId="0" applyNumberFormat="1" applyFont="1" applyFill="1" applyBorder="1" applyAlignment="1" applyProtection="1">
      <alignment vertical="center" wrapText="1"/>
    </xf>
    <xf numFmtId="49" fontId="38" fillId="4" borderId="1" xfId="0" applyNumberFormat="1" applyFont="1" applyFill="1" applyBorder="1" applyAlignment="1" applyProtection="1">
      <alignment horizontal="distributed" vertical="center" wrapText="1"/>
    </xf>
    <xf numFmtId="0" fontId="12" fillId="0" borderId="5" xfId="82" applyFont="1" applyFill="1" applyBorder="1" applyAlignment="1">
      <alignment horizontal="left" vertical="center"/>
    </xf>
    <xf numFmtId="0" fontId="12" fillId="0" borderId="1" xfId="5" applyFont="1" applyFill="1" applyBorder="1" applyAlignment="1">
      <alignment horizontal="left" vertical="center"/>
    </xf>
    <xf numFmtId="177" fontId="12" fillId="0" borderId="1" xfId="34" applyNumberFormat="1" applyFont="1" applyFill="1" applyBorder="1" applyAlignment="1">
      <alignment horizontal="right" vertical="center" wrapText="1"/>
    </xf>
    <xf numFmtId="0" fontId="11" fillId="0" borderId="5" xfId="82" applyFont="1" applyFill="1" applyBorder="1" applyAlignment="1">
      <alignment horizontal="left" vertical="center"/>
    </xf>
    <xf numFmtId="0" fontId="12" fillId="0" borderId="1" xfId="82" applyFont="1" applyFill="1" applyBorder="1" applyAlignment="1">
      <alignment horizontal="left" vertical="center"/>
    </xf>
    <xf numFmtId="0" fontId="11" fillId="0" borderId="1" xfId="82" applyFont="1" applyFill="1" applyBorder="1" applyAlignment="1">
      <alignment horizontal="left" vertical="center"/>
    </xf>
    <xf numFmtId="0" fontId="11" fillId="0" borderId="5" xfId="82" applyFont="1" applyBorder="1" applyAlignment="1">
      <alignment horizontal="left" vertical="center"/>
    </xf>
    <xf numFmtId="0" fontId="12" fillId="2" borderId="1" xfId="82" applyFont="1" applyFill="1" applyBorder="1" applyAlignment="1">
      <alignment horizontal="left" vertical="center"/>
    </xf>
    <xf numFmtId="0" fontId="11" fillId="0" borderId="5" xfId="82" applyFont="1" applyFill="1" applyBorder="1">
      <alignment vertical="center"/>
    </xf>
    <xf numFmtId="0" fontId="12" fillId="0" borderId="1" xfId="82" applyFont="1" applyFill="1" applyBorder="1" applyAlignment="1">
      <alignment horizontal="distributed" vertical="center" indent="1"/>
    </xf>
    <xf numFmtId="188" fontId="11" fillId="0" borderId="0" xfId="82" applyNumberFormat="1" applyFont="1" applyFill="1" applyAlignment="1">
      <alignment horizontal="right" vertical="center"/>
    </xf>
    <xf numFmtId="0" fontId="39" fillId="0" borderId="0" xfId="65" applyFont="1" applyFill="1" applyAlignment="1">
      <alignment vertical="center" wrapText="1"/>
    </xf>
    <xf numFmtId="0" fontId="3" fillId="0" borderId="0" xfId="5" applyFont="1" applyFill="1">
      <alignment vertical="center"/>
    </xf>
    <xf numFmtId="188" fontId="12" fillId="2" borderId="0" xfId="82" applyNumberFormat="1" applyFont="1" applyFill="1" applyAlignment="1" applyProtection="1">
      <alignment vertical="center" wrapText="1"/>
    </xf>
    <xf numFmtId="0" fontId="12" fillId="2" borderId="1" xfId="82" applyFont="1" applyFill="1" applyBorder="1" applyAlignment="1" applyProtection="1">
      <alignment horizontal="center" vertical="center" wrapText="1"/>
    </xf>
    <xf numFmtId="178" fontId="18" fillId="0" borderId="1" xfId="33" applyNumberFormat="1" applyFont="1" applyFill="1" applyBorder="1" applyAlignment="1" applyProtection="1">
      <alignment horizontal="right" vertical="center" wrapText="1"/>
      <protection locked="0"/>
    </xf>
    <xf numFmtId="178" fontId="17" fillId="0" borderId="1" xfId="33" applyNumberFormat="1" applyFont="1" applyFill="1" applyBorder="1" applyAlignment="1" applyProtection="1">
      <alignment horizontal="right" vertical="center" wrapText="1"/>
      <protection locked="0"/>
    </xf>
    <xf numFmtId="178" fontId="18" fillId="0" borderId="1" xfId="0" applyNumberFormat="1" applyFont="1" applyFill="1" applyBorder="1" applyAlignment="1" applyProtection="1">
      <alignment horizontal="right" vertical="center" wrapText="1"/>
      <protection locked="0"/>
    </xf>
    <xf numFmtId="178" fontId="17" fillId="0" borderId="1" xfId="0" applyNumberFormat="1" applyFont="1" applyFill="1" applyBorder="1" applyAlignment="1" applyProtection="1">
      <alignment horizontal="right" vertical="center" wrapText="1"/>
      <protection locked="0"/>
    </xf>
    <xf numFmtId="183" fontId="18" fillId="0" borderId="1" xfId="33" applyNumberFormat="1" applyFont="1" applyFill="1" applyBorder="1" applyAlignment="1" applyProtection="1">
      <alignment horizontal="right" vertical="center"/>
      <protection locked="0"/>
    </xf>
    <xf numFmtId="183" fontId="17" fillId="0" borderId="1" xfId="33" applyNumberFormat="1" applyFont="1" applyFill="1" applyBorder="1" applyAlignment="1" applyProtection="1">
      <alignment horizontal="right" vertical="center"/>
      <protection locked="0"/>
    </xf>
    <xf numFmtId="49" fontId="11" fillId="4" borderId="1" xfId="0" applyNumberFormat="1" applyFont="1" applyFill="1" applyBorder="1" applyAlignment="1" applyProtection="1">
      <alignment horizontal="left" vertical="center" wrapText="1"/>
    </xf>
    <xf numFmtId="49" fontId="17" fillId="5" borderId="10" xfId="0" applyNumberFormat="1" applyFont="1" applyFill="1" applyBorder="1" applyAlignment="1" applyProtection="1">
      <alignment horizontal="left" vertical="center" wrapText="1"/>
    </xf>
    <xf numFmtId="0" fontId="17" fillId="5" borderId="10" xfId="0" applyNumberFormat="1" applyFont="1" applyFill="1" applyBorder="1" applyAlignment="1" applyProtection="1">
      <alignment horizontal="left" vertical="center" wrapText="1"/>
    </xf>
    <xf numFmtId="0" fontId="17" fillId="4" borderId="11" xfId="0" applyNumberFormat="1" applyFont="1" applyFill="1" applyBorder="1" applyAlignment="1" applyProtection="1">
      <alignment horizontal="left" vertical="center"/>
    </xf>
    <xf numFmtId="49" fontId="17" fillId="4" borderId="2" xfId="0" applyNumberFormat="1" applyFont="1" applyFill="1" applyBorder="1" applyAlignment="1" applyProtection="1">
      <alignment horizontal="left" vertical="center" wrapText="1"/>
    </xf>
    <xf numFmtId="49" fontId="18" fillId="4" borderId="4" xfId="0" applyNumberFormat="1" applyFont="1" applyFill="1" applyBorder="1" applyAlignment="1" applyProtection="1">
      <alignment horizontal="left" vertical="center" wrapText="1"/>
    </xf>
    <xf numFmtId="0" fontId="18" fillId="4" borderId="10" xfId="0" applyFont="1" applyFill="1" applyBorder="1" applyAlignment="1" applyProtection="1">
      <alignment horizontal="left" vertical="center"/>
    </xf>
    <xf numFmtId="49" fontId="18" fillId="0" borderId="5" xfId="6" applyNumberFormat="1" applyFont="1" applyFill="1" applyBorder="1" applyAlignment="1" applyProtection="1">
      <alignment horizontal="left" vertical="center"/>
    </xf>
    <xf numFmtId="0" fontId="12" fillId="2" borderId="1" xfId="82" applyFont="1" applyFill="1" applyBorder="1" applyAlignment="1" applyProtection="1">
      <alignment horizontal="left" vertical="center" wrapText="1"/>
    </xf>
    <xf numFmtId="49" fontId="17" fillId="0" borderId="5" xfId="6" applyNumberFormat="1" applyFont="1" applyFill="1" applyBorder="1" applyAlignment="1" applyProtection="1">
      <alignment horizontal="left" vertical="center"/>
    </xf>
    <xf numFmtId="0" fontId="0" fillId="0" borderId="5" xfId="82" applyFill="1" applyBorder="1" applyAlignment="1" applyProtection="1">
      <alignment horizontal="left" vertical="center"/>
    </xf>
    <xf numFmtId="3" fontId="12" fillId="0" borderId="1" xfId="0" applyNumberFormat="1" applyFont="1" applyFill="1" applyBorder="1" applyAlignment="1" applyProtection="1">
      <alignment horizontal="right" vertical="center"/>
    </xf>
    <xf numFmtId="188" fontId="0" fillId="0" borderId="0" xfId="82" applyNumberFormat="1" applyProtection="1">
      <alignment vertical="center"/>
    </xf>
    <xf numFmtId="0" fontId="0" fillId="0" borderId="0" xfId="82" applyFont="1" applyProtection="1">
      <alignment vertical="center"/>
    </xf>
    <xf numFmtId="0" fontId="11" fillId="2" borderId="0" xfId="82" applyFont="1" applyFill="1" applyAlignment="1" applyProtection="1">
      <alignment horizontal="left" vertical="center"/>
    </xf>
    <xf numFmtId="0" fontId="12" fillId="2" borderId="1" xfId="82" applyFont="1" applyFill="1" applyBorder="1" applyAlignment="1" applyProtection="1">
      <alignment vertical="center" wrapText="1"/>
    </xf>
    <xf numFmtId="188" fontId="12" fillId="0" borderId="1" xfId="82" applyNumberFormat="1" applyFont="1" applyFill="1" applyBorder="1" applyAlignment="1" applyProtection="1">
      <alignment horizontal="center" vertical="center" wrapText="1"/>
    </xf>
    <xf numFmtId="0" fontId="11" fillId="0" borderId="5" xfId="82" applyFont="1" applyBorder="1" applyAlignment="1" applyProtection="1">
      <alignment horizontal="left" vertical="center"/>
    </xf>
    <xf numFmtId="49" fontId="18" fillId="2" borderId="1" xfId="6" applyNumberFormat="1" applyFont="1" applyFill="1" applyBorder="1" applyAlignment="1" applyProtection="1">
      <alignment vertical="center" wrapText="1"/>
    </xf>
    <xf numFmtId="178" fontId="12" fillId="2" borderId="1" xfId="33" applyNumberFormat="1" applyFont="1" applyFill="1" applyBorder="1" applyAlignment="1" applyProtection="1">
      <alignment vertical="center" wrapText="1"/>
      <protection locked="0"/>
    </xf>
    <xf numFmtId="178" fontId="12" fillId="0" borderId="1" xfId="82" applyNumberFormat="1" applyFont="1" applyBorder="1" applyAlignment="1" applyProtection="1">
      <alignment vertical="center" wrapText="1"/>
    </xf>
    <xf numFmtId="49" fontId="17" fillId="0" borderId="1" xfId="6" applyNumberFormat="1" applyFont="1" applyBorder="1" applyAlignment="1" applyProtection="1">
      <alignment vertical="center" wrapText="1"/>
    </xf>
    <xf numFmtId="178" fontId="11" fillId="3" borderId="12" xfId="0" applyNumberFormat="1" applyFont="1" applyFill="1" applyBorder="1" applyAlignment="1" applyProtection="1">
      <alignment vertical="center" wrapText="1"/>
    </xf>
    <xf numFmtId="178" fontId="11" fillId="3" borderId="13" xfId="0" applyNumberFormat="1" applyFont="1" applyFill="1" applyBorder="1" applyAlignment="1" applyProtection="1">
      <alignment vertical="center" wrapText="1"/>
    </xf>
    <xf numFmtId="49" fontId="17" fillId="2" borderId="1" xfId="6" applyNumberFormat="1" applyFont="1" applyFill="1" applyBorder="1" applyAlignment="1" applyProtection="1">
      <alignment vertical="center" wrapText="1"/>
    </xf>
    <xf numFmtId="178" fontId="11" fillId="2" borderId="1" xfId="33" applyNumberFormat="1" applyFont="1" applyFill="1" applyBorder="1" applyAlignment="1" applyProtection="1">
      <alignment vertical="center" wrapText="1"/>
      <protection locked="0"/>
    </xf>
    <xf numFmtId="178" fontId="12" fillId="3" borderId="12" xfId="0" applyNumberFormat="1" applyFont="1" applyFill="1" applyBorder="1" applyAlignment="1" applyProtection="1">
      <alignment vertical="center" wrapText="1"/>
    </xf>
    <xf numFmtId="178" fontId="12" fillId="3" borderId="13" xfId="0" applyNumberFormat="1" applyFont="1" applyFill="1" applyBorder="1" applyAlignment="1" applyProtection="1">
      <alignment vertical="center" wrapText="1"/>
    </xf>
    <xf numFmtId="0" fontId="12" fillId="0" borderId="1" xfId="82" applyFont="1" applyBorder="1" applyAlignment="1" applyProtection="1">
      <alignment vertical="center" wrapText="1"/>
    </xf>
    <xf numFmtId="0" fontId="11" fillId="2" borderId="1" xfId="82" applyFont="1" applyFill="1" applyBorder="1" applyAlignment="1" applyProtection="1">
      <alignment horizontal="left" vertical="center"/>
    </xf>
    <xf numFmtId="183" fontId="12" fillId="2" borderId="1" xfId="33" applyNumberFormat="1" applyFont="1" applyFill="1" applyBorder="1" applyAlignment="1" applyProtection="1">
      <alignment vertical="center" wrapText="1"/>
      <protection locked="0"/>
    </xf>
    <xf numFmtId="0" fontId="12" fillId="2" borderId="1" xfId="82" applyFont="1" applyFill="1" applyBorder="1" applyAlignment="1" applyProtection="1">
      <alignment horizontal="distributed" vertical="center" indent="1"/>
    </xf>
    <xf numFmtId="0" fontId="12" fillId="0" borderId="5" xfId="82" applyFont="1" applyBorder="1" applyAlignment="1" applyProtection="1">
      <alignment horizontal="left" vertical="center"/>
    </xf>
    <xf numFmtId="0" fontId="12" fillId="2" borderId="1" xfId="5" applyFont="1" applyFill="1" applyBorder="1" applyAlignment="1" applyProtection="1">
      <alignment horizontal="left" vertical="center"/>
    </xf>
    <xf numFmtId="178" fontId="20" fillId="0" borderId="1" xfId="0" applyNumberFormat="1" applyFont="1" applyFill="1" applyBorder="1" applyAlignment="1">
      <alignment vertical="center" wrapText="1"/>
    </xf>
    <xf numFmtId="0" fontId="11" fillId="0" borderId="1" xfId="82" applyFont="1" applyFill="1" applyBorder="1" applyAlignment="1" applyProtection="1">
      <alignment horizontal="left" vertical="center"/>
    </xf>
    <xf numFmtId="178" fontId="21" fillId="0" borderId="1" xfId="0" applyNumberFormat="1" applyFont="1" applyFill="1" applyBorder="1" applyAlignment="1">
      <alignment vertical="center" wrapText="1"/>
    </xf>
    <xf numFmtId="0" fontId="12" fillId="2" borderId="1" xfId="82" applyFont="1" applyFill="1" applyBorder="1" applyAlignment="1" applyProtection="1">
      <alignment horizontal="left" vertical="center"/>
    </xf>
    <xf numFmtId="0" fontId="11" fillId="0" borderId="5" xfId="82" applyFont="1" applyBorder="1" applyProtection="1">
      <alignment vertical="center"/>
    </xf>
    <xf numFmtId="0" fontId="0" fillId="2" borderId="0" xfId="82" applyFill="1" applyProtection="1">
      <alignment vertical="center"/>
    </xf>
    <xf numFmtId="188" fontId="11" fillId="2" borderId="0" xfId="82" applyNumberFormat="1" applyFont="1" applyFill="1" applyAlignment="1" applyProtection="1">
      <alignment horizontal="right" vertical="center"/>
    </xf>
    <xf numFmtId="0" fontId="12" fillId="0" borderId="1" xfId="82" applyFont="1" applyFill="1" applyBorder="1" applyAlignment="1" applyProtection="1">
      <alignment horizontal="center" vertical="center" wrapText="1"/>
    </xf>
    <xf numFmtId="0" fontId="39" fillId="2" borderId="0" xfId="65" applyFont="1" applyFill="1" applyAlignment="1" applyProtection="1">
      <alignment vertical="center" wrapText="1"/>
    </xf>
    <xf numFmtId="0" fontId="3" fillId="2" borderId="0" xfId="5" applyFont="1" applyFill="1" applyProtection="1">
      <alignment vertical="center"/>
    </xf>
    <xf numFmtId="183" fontId="11" fillId="2" borderId="1" xfId="33" applyNumberFormat="1" applyFont="1" applyFill="1" applyBorder="1" applyAlignment="1" applyProtection="1">
      <alignment vertical="center" wrapText="1"/>
      <protection locked="0"/>
    </xf>
    <xf numFmtId="0" fontId="40" fillId="0" borderId="0" xfId="57" applyFont="1" applyFill="1" applyBorder="1" applyAlignment="1">
      <alignment horizontal="center" vertical="center"/>
    </xf>
    <xf numFmtId="0" fontId="17" fillId="0" borderId="0" xfId="57" applyFont="1" applyFill="1" applyBorder="1" applyAlignment="1">
      <alignment horizontal="left" vertical="center"/>
    </xf>
    <xf numFmtId="0" fontId="17" fillId="0" borderId="0" xfId="57" applyFont="1" applyFill="1" applyBorder="1" applyAlignment="1">
      <alignment horizontal="right" vertical="center"/>
    </xf>
    <xf numFmtId="0" fontId="12" fillId="0" borderId="1" xfId="0" applyFont="1" applyFill="1" applyBorder="1" applyAlignment="1">
      <alignment horizontal="center" vertical="center" wrapText="1"/>
    </xf>
    <xf numFmtId="0" fontId="41" fillId="0" borderId="1" xfId="0" applyFont="1" applyFill="1" applyBorder="1" applyAlignment="1">
      <alignment horizontal="center" vertical="center"/>
    </xf>
    <xf numFmtId="49" fontId="42" fillId="0" borderId="1" xfId="45" applyNumberFormat="1" applyFont="1" applyFill="1" applyBorder="1" applyAlignment="1" applyProtection="1">
      <alignment horizontal="left" vertical="center" wrapText="1"/>
    </xf>
    <xf numFmtId="178" fontId="41" fillId="0" borderId="1" xfId="0" applyNumberFormat="1" applyFont="1" applyFill="1" applyBorder="1" applyAlignment="1" applyProtection="1">
      <alignment horizontal="center" vertical="center" wrapText="1"/>
    </xf>
    <xf numFmtId="178" fontId="41" fillId="0" borderId="1" xfId="0" applyNumberFormat="1" applyFont="1" applyFill="1" applyBorder="1" applyAlignment="1" applyProtection="1">
      <alignment horizontal="left" vertical="center" wrapText="1"/>
    </xf>
    <xf numFmtId="49" fontId="43" fillId="0" borderId="5" xfId="45" applyNumberFormat="1" applyFont="1" applyFill="1" applyBorder="1" applyAlignment="1" applyProtection="1">
      <alignment horizontal="center" vertical="center" wrapText="1"/>
    </xf>
    <xf numFmtId="49" fontId="43" fillId="0" borderId="7" xfId="45" applyNumberFormat="1" applyFont="1" applyFill="1" applyBorder="1" applyAlignment="1" applyProtection="1">
      <alignment horizontal="center" vertical="center" wrapText="1"/>
    </xf>
    <xf numFmtId="178" fontId="43" fillId="0" borderId="1" xfId="45" applyNumberFormat="1" applyFont="1" applyFill="1" applyBorder="1" applyAlignment="1" applyProtection="1">
      <alignment horizontal="center" vertical="center" wrapText="1"/>
    </xf>
    <xf numFmtId="178" fontId="43" fillId="0" borderId="1" xfId="45" applyNumberFormat="1" applyFont="1" applyFill="1" applyBorder="1" applyAlignment="1" applyProtection="1">
      <alignment horizontal="right" vertical="center" wrapText="1"/>
    </xf>
    <xf numFmtId="0" fontId="40" fillId="0" borderId="0" xfId="57" applyFont="1" applyBorder="1" applyAlignment="1">
      <alignment horizontal="center" vertical="center"/>
    </xf>
    <xf numFmtId="0" fontId="17" fillId="0" borderId="0" xfId="57" applyFont="1" applyBorder="1" applyAlignment="1">
      <alignment horizontal="left" vertical="center"/>
    </xf>
    <xf numFmtId="0" fontId="17" fillId="0" borderId="0" xfId="57" applyFont="1" applyBorder="1" applyAlignment="1">
      <alignment horizontal="right" vertical="center"/>
    </xf>
    <xf numFmtId="0" fontId="20" fillId="0" borderId="1" xfId="0" applyFont="1" applyFill="1" applyBorder="1" applyAlignment="1">
      <alignment horizontal="left" vertical="center"/>
    </xf>
    <xf numFmtId="177" fontId="20" fillId="0" borderId="1" xfId="34" applyNumberFormat="1" applyFont="1" applyFill="1" applyBorder="1" applyAlignment="1">
      <alignment vertical="center"/>
    </xf>
    <xf numFmtId="183" fontId="12" fillId="0" borderId="1" xfId="33" applyNumberFormat="1" applyFont="1" applyFill="1" applyBorder="1" applyAlignment="1" applyProtection="1">
      <alignment horizontal="right" vertical="center" wrapText="1" shrinkToFit="1"/>
    </xf>
    <xf numFmtId="0" fontId="21" fillId="0" borderId="1" xfId="0" applyFont="1" applyFill="1" applyBorder="1" applyAlignment="1">
      <alignment horizontal="left" vertical="center" indent="1"/>
    </xf>
    <xf numFmtId="177" fontId="21" fillId="0" borderId="1" xfId="34" applyNumberFormat="1" applyFont="1" applyFill="1" applyBorder="1" applyAlignment="1">
      <alignment vertical="center"/>
    </xf>
    <xf numFmtId="183" fontId="11" fillId="0" borderId="1" xfId="33" applyNumberFormat="1" applyFont="1" applyFill="1" applyBorder="1" applyAlignment="1" applyProtection="1">
      <alignment horizontal="right" vertical="center" wrapText="1" shrinkToFit="1"/>
    </xf>
    <xf numFmtId="0" fontId="20" fillId="0" borderId="1" xfId="0" applyFont="1" applyFill="1" applyBorder="1" applyAlignment="1">
      <alignment vertical="center"/>
    </xf>
    <xf numFmtId="0" fontId="21" fillId="0" borderId="2" xfId="0" applyFont="1" applyFill="1" applyBorder="1" applyAlignment="1">
      <alignment horizontal="left" vertical="center" indent="1"/>
    </xf>
    <xf numFmtId="177" fontId="21" fillId="0" borderId="2" xfId="34" applyNumberFormat="1" applyFont="1" applyFill="1" applyBorder="1" applyAlignment="1">
      <alignment vertical="center"/>
    </xf>
    <xf numFmtId="0" fontId="20" fillId="0" borderId="1" xfId="0" applyFont="1" applyFill="1" applyBorder="1" applyAlignment="1">
      <alignment horizontal="center" vertical="center"/>
    </xf>
    <xf numFmtId="178" fontId="0" fillId="2" borderId="0" xfId="48" applyNumberFormat="1" applyFont="1" applyFill="1" applyAlignment="1">
      <alignment horizontal="center" vertical="center" wrapText="1"/>
    </xf>
    <xf numFmtId="0" fontId="44" fillId="0" borderId="0" xfId="82" applyFont="1" applyAlignment="1">
      <alignment horizontal="center" vertical="center" wrapText="1"/>
    </xf>
    <xf numFmtId="0" fontId="16" fillId="0" borderId="0" xfId="13" applyFont="1" applyAlignment="1">
      <alignment horizontal="center" vertical="center" shrinkToFit="1"/>
    </xf>
    <xf numFmtId="0" fontId="17" fillId="0" borderId="0" xfId="13" applyFont="1" applyBorder="1" applyAlignment="1">
      <alignment horizontal="left" vertical="center" wrapText="1"/>
    </xf>
    <xf numFmtId="0" fontId="45" fillId="0" borderId="0" xfId="75" applyFont="1" applyAlignment="1"/>
    <xf numFmtId="0" fontId="17" fillId="0" borderId="0" xfId="0" applyFont="1" applyFill="1" applyAlignment="1">
      <alignment horizontal="right" vertical="center"/>
    </xf>
    <xf numFmtId="0" fontId="12" fillId="0" borderId="1" xfId="84" applyFont="1" applyBorder="1" applyAlignment="1">
      <alignment horizontal="center" vertical="center"/>
    </xf>
    <xf numFmtId="0" fontId="12" fillId="0" borderId="1" xfId="84" applyFont="1" applyBorder="1" applyAlignment="1">
      <alignment horizontal="center" vertical="center" wrapText="1"/>
    </xf>
    <xf numFmtId="0" fontId="12" fillId="0" borderId="1" xfId="0" applyFont="1" applyFill="1" applyBorder="1" applyAlignment="1">
      <alignment horizontal="left" vertical="center"/>
    </xf>
    <xf numFmtId="178" fontId="12" fillId="0" borderId="1" xfId="34" applyNumberFormat="1" applyFont="1" applyBorder="1" applyAlignment="1">
      <alignment horizontal="right" vertical="center" wrapText="1"/>
    </xf>
    <xf numFmtId="0" fontId="17" fillId="0" borderId="1" xfId="0" applyFont="1" applyFill="1" applyBorder="1" applyAlignment="1">
      <alignment horizontal="left" vertical="center"/>
    </xf>
    <xf numFmtId="178" fontId="11" fillId="0" borderId="1" xfId="34" applyNumberFormat="1" applyFont="1" applyBorder="1" applyAlignment="1">
      <alignment horizontal="right" vertical="center" wrapText="1"/>
    </xf>
    <xf numFmtId="0" fontId="0" fillId="0" borderId="0" xfId="82" applyFont="1" applyFill="1">
      <alignment vertical="center"/>
    </xf>
    <xf numFmtId="0" fontId="0" fillId="0" borderId="0" xfId="82" applyFont="1">
      <alignment vertical="center"/>
    </xf>
    <xf numFmtId="188" fontId="0" fillId="0" borderId="0" xfId="82" applyNumberFormat="1" applyFont="1">
      <alignment vertical="center"/>
    </xf>
    <xf numFmtId="178" fontId="0" fillId="0" borderId="0" xfId="82" applyNumberFormat="1">
      <alignment vertical="center"/>
    </xf>
    <xf numFmtId="0" fontId="46" fillId="0" borderId="0" xfId="57" applyFont="1" applyFill="1" applyAlignment="1">
      <alignment horizontal="center" vertical="center"/>
    </xf>
    <xf numFmtId="0" fontId="47" fillId="0" borderId="0" xfId="0" applyFont="1" applyFill="1" applyAlignment="1"/>
    <xf numFmtId="0" fontId="17" fillId="0" borderId="0" xfId="0" applyFont="1" applyFill="1" applyAlignment="1"/>
    <xf numFmtId="0" fontId="11" fillId="0" borderId="0" xfId="57" applyFont="1" applyFill="1" applyAlignment="1">
      <alignment horizontal="left" vertical="center"/>
    </xf>
    <xf numFmtId="178" fontId="11" fillId="0" borderId="0" xfId="0" applyNumberFormat="1" applyFont="1" applyFill="1" applyAlignment="1">
      <alignment horizontal="right" vertical="center"/>
    </xf>
    <xf numFmtId="0" fontId="3" fillId="0" borderId="0" xfId="0" applyFont="1" applyFill="1" applyAlignment="1"/>
    <xf numFmtId="0" fontId="12" fillId="0" borderId="1" xfId="0" applyFont="1" applyFill="1" applyBorder="1" applyAlignment="1">
      <alignment horizontal="center" vertical="center"/>
    </xf>
    <xf numFmtId="178" fontId="12" fillId="0" borderId="1" xfId="82" applyNumberFormat="1" applyFont="1" applyFill="1" applyBorder="1" applyAlignment="1">
      <alignment horizontal="center" vertical="center" wrapText="1"/>
    </xf>
    <xf numFmtId="0" fontId="48" fillId="0" borderId="1" xfId="0" applyFont="1" applyFill="1" applyBorder="1" applyAlignment="1">
      <alignment horizontal="center" vertical="center"/>
    </xf>
    <xf numFmtId="49" fontId="49" fillId="0" borderId="1" xfId="45" applyNumberFormat="1" applyFont="1" applyFill="1" applyBorder="1" applyAlignment="1" applyProtection="1">
      <alignment horizontal="left" vertical="center" wrapText="1"/>
    </xf>
    <xf numFmtId="178" fontId="0" fillId="0" borderId="1" xfId="0" applyNumberFormat="1" applyFont="1" applyFill="1" applyBorder="1" applyAlignment="1" applyProtection="1">
      <alignment horizontal="right" vertical="center" wrapText="1"/>
    </xf>
    <xf numFmtId="0" fontId="12" fillId="0" borderId="5" xfId="0" applyFont="1" applyFill="1" applyBorder="1" applyAlignment="1">
      <alignment horizontal="center" vertical="center"/>
    </xf>
    <xf numFmtId="0" fontId="12" fillId="0" borderId="7" xfId="0" applyFont="1" applyFill="1" applyBorder="1" applyAlignment="1">
      <alignment horizontal="center" vertical="center"/>
    </xf>
    <xf numFmtId="0" fontId="0" fillId="0" borderId="0" xfId="48" applyFill="1" applyAlignment="1" applyProtection="1"/>
    <xf numFmtId="0" fontId="44" fillId="0" borderId="0" xfId="82" applyFont="1" applyAlignment="1" applyProtection="1">
      <alignment horizontal="center" vertical="center" wrapText="1"/>
    </xf>
    <xf numFmtId="0" fontId="0" fillId="5" borderId="0" xfId="82" applyFill="1">
      <alignment vertical="center"/>
    </xf>
    <xf numFmtId="0" fontId="48" fillId="0" borderId="0" xfId="82" applyFont="1">
      <alignment vertical="center"/>
    </xf>
    <xf numFmtId="183" fontId="0" fillId="0" borderId="0" xfId="82" applyNumberFormat="1" applyProtection="1">
      <alignment vertical="center"/>
    </xf>
    <xf numFmtId="0" fontId="10" fillId="2" borderId="0" xfId="82" applyFont="1" applyFill="1" applyAlignment="1" applyProtection="1">
      <alignment horizontal="center" vertical="center"/>
    </xf>
    <xf numFmtId="178" fontId="10" fillId="0" borderId="0" xfId="82" applyNumberFormat="1" applyFont="1" applyFill="1" applyAlignment="1" applyProtection="1">
      <alignment horizontal="center" vertical="center"/>
    </xf>
    <xf numFmtId="0" fontId="3" fillId="2" borderId="0" xfId="82" applyFont="1" applyFill="1" applyProtection="1">
      <alignment vertical="center"/>
    </xf>
    <xf numFmtId="0" fontId="17" fillId="0" borderId="0" xfId="82" applyFont="1" applyAlignment="1" applyProtection="1">
      <alignment horizontal="left" vertical="center"/>
    </xf>
    <xf numFmtId="178" fontId="11" fillId="0" borderId="0" xfId="82" applyNumberFormat="1" applyFont="1" applyFill="1" applyBorder="1" applyAlignment="1" applyProtection="1">
      <alignment horizontal="right" vertical="center"/>
    </xf>
    <xf numFmtId="178" fontId="12" fillId="2" borderId="0" xfId="48" applyNumberFormat="1" applyFont="1" applyFill="1" applyAlignment="1" applyProtection="1">
      <alignment horizontal="center" vertical="center" wrapText="1"/>
    </xf>
    <xf numFmtId="178" fontId="18" fillId="0" borderId="1" xfId="0" applyNumberFormat="1" applyFont="1" applyFill="1" applyBorder="1" applyAlignment="1" applyProtection="1">
      <alignment horizontal="right" vertical="center" wrapText="1"/>
    </xf>
    <xf numFmtId="178" fontId="17" fillId="0" borderId="7" xfId="0" applyNumberFormat="1" applyFont="1" applyFill="1" applyBorder="1" applyAlignment="1" applyProtection="1">
      <alignment horizontal="right" vertical="center" wrapText="1"/>
    </xf>
    <xf numFmtId="0" fontId="11" fillId="4" borderId="10" xfId="0" applyNumberFormat="1" applyFont="1" applyFill="1" applyBorder="1" applyAlignment="1" applyProtection="1">
      <alignment horizontal="left" vertical="center"/>
      <protection locked="0"/>
    </xf>
    <xf numFmtId="183" fontId="10" fillId="2" borderId="0" xfId="82" applyNumberFormat="1" applyFont="1" applyFill="1" applyAlignment="1" applyProtection="1">
      <alignment horizontal="center" vertical="center"/>
    </xf>
    <xf numFmtId="183" fontId="11" fillId="2" borderId="0" xfId="82" applyNumberFormat="1" applyFont="1" applyFill="1" applyBorder="1" applyAlignment="1" applyProtection="1">
      <alignment horizontal="right" vertical="center"/>
    </xf>
    <xf numFmtId="188" fontId="11" fillId="2" borderId="0" xfId="82" applyNumberFormat="1" applyFont="1" applyFill="1" applyBorder="1" applyAlignment="1" applyProtection="1">
      <alignment horizontal="right" vertical="center"/>
    </xf>
    <xf numFmtId="0" fontId="12" fillId="2" borderId="1" xfId="82" applyFont="1" applyFill="1" applyBorder="1" applyAlignment="1">
      <alignment horizontal="center" vertical="center" wrapText="1"/>
    </xf>
    <xf numFmtId="183" fontId="11" fillId="2" borderId="0" xfId="33" applyNumberFormat="1" applyFont="1" applyFill="1" applyBorder="1" applyAlignment="1" applyProtection="1">
      <alignment horizontal="right" vertical="center" wrapText="1"/>
    </xf>
    <xf numFmtId="183" fontId="18" fillId="4" borderId="7" xfId="0" applyNumberFormat="1" applyFont="1" applyFill="1" applyBorder="1" applyAlignment="1" applyProtection="1">
      <alignment horizontal="right" vertical="center"/>
    </xf>
    <xf numFmtId="0" fontId="3" fillId="2" borderId="0" xfId="5" applyFont="1" applyFill="1" applyAlignment="1" applyProtection="1">
      <alignment horizontal="center" vertical="center"/>
    </xf>
    <xf numFmtId="178" fontId="17" fillId="0" borderId="1" xfId="0" applyNumberFormat="1" applyFont="1" applyFill="1" applyBorder="1" applyAlignment="1" applyProtection="1">
      <alignment horizontal="right" vertical="center" wrapText="1"/>
    </xf>
    <xf numFmtId="183" fontId="17" fillId="4" borderId="7" xfId="0" applyNumberFormat="1" applyFont="1" applyFill="1" applyBorder="1" applyAlignment="1" applyProtection="1">
      <alignment horizontal="right" vertical="center"/>
    </xf>
    <xf numFmtId="0" fontId="17" fillId="5" borderId="10" xfId="0" applyFont="1" applyFill="1" applyBorder="1" applyAlignment="1" applyProtection="1">
      <alignment horizontal="left" vertical="center"/>
      <protection locked="0"/>
    </xf>
    <xf numFmtId="0" fontId="17" fillId="5" borderId="10" xfId="0" applyNumberFormat="1" applyFont="1" applyFill="1" applyBorder="1" applyAlignment="1" applyProtection="1">
      <alignment horizontal="left" vertical="center"/>
    </xf>
    <xf numFmtId="178" fontId="18" fillId="0" borderId="7" xfId="0" applyNumberFormat="1" applyFont="1" applyFill="1" applyBorder="1" applyAlignment="1" applyProtection="1">
      <alignment horizontal="right" vertical="center" wrapText="1"/>
    </xf>
    <xf numFmtId="49" fontId="11" fillId="0" borderId="14" xfId="22" applyNumberFormat="1" applyFont="1" applyFill="1" applyBorder="1">
      <alignment horizontal="left" vertical="center" wrapText="1"/>
    </xf>
    <xf numFmtId="0" fontId="11" fillId="0" borderId="10" xfId="0" applyNumberFormat="1" applyFont="1" applyFill="1" applyBorder="1" applyAlignment="1" applyProtection="1">
      <alignment horizontal="left" vertical="center" wrapText="1"/>
    </xf>
    <xf numFmtId="0" fontId="11" fillId="4" borderId="10" xfId="0" applyNumberFormat="1" applyFont="1" applyFill="1" applyBorder="1" applyAlignment="1" applyProtection="1">
      <alignment horizontal="left" vertical="center"/>
    </xf>
    <xf numFmtId="0" fontId="17" fillId="4" borderId="10" xfId="0" applyNumberFormat="1" applyFont="1" applyFill="1" applyBorder="1" applyAlignment="1" applyProtection="1">
      <alignment vertical="center" wrapText="1"/>
    </xf>
    <xf numFmtId="49" fontId="17" fillId="4" borderId="1" xfId="0" applyNumberFormat="1" applyFont="1" applyFill="1" applyBorder="1" applyAlignment="1" applyProtection="1">
      <alignment horizontal="left" vertical="center"/>
    </xf>
    <xf numFmtId="49" fontId="17" fillId="5" borderId="10" xfId="0" applyNumberFormat="1" applyFont="1" applyFill="1" applyBorder="1" applyAlignment="1" applyProtection="1">
      <alignment horizontal="left" vertical="center" wrapText="1"/>
      <protection locked="0"/>
    </xf>
    <xf numFmtId="0" fontId="17" fillId="4" borderId="10" xfId="0" applyNumberFormat="1" applyFont="1" applyFill="1" applyBorder="1" applyAlignment="1" applyProtection="1">
      <alignment horizontal="left" vertical="center" wrapText="1"/>
      <protection locked="0"/>
    </xf>
    <xf numFmtId="0" fontId="11" fillId="5" borderId="10" xfId="0" applyFont="1" applyFill="1" applyBorder="1" applyAlignment="1" applyProtection="1">
      <alignment horizontal="left" vertical="center"/>
    </xf>
    <xf numFmtId="0" fontId="11" fillId="0" borderId="10" xfId="0" applyFont="1" applyFill="1" applyBorder="1" applyAlignment="1" applyProtection="1">
      <alignment horizontal="left" vertical="center"/>
    </xf>
    <xf numFmtId="0" fontId="0" fillId="5" borderId="0" xfId="82" applyFont="1" applyFill="1">
      <alignment vertical="center"/>
    </xf>
    <xf numFmtId="0" fontId="17" fillId="0" borderId="10" xfId="0" applyNumberFormat="1" applyFont="1" applyFill="1" applyBorder="1" applyAlignment="1" applyProtection="1">
      <alignment horizontal="left" vertical="center" wrapText="1"/>
    </xf>
    <xf numFmtId="0" fontId="50" fillId="4" borderId="10" xfId="0" applyNumberFormat="1" applyFont="1" applyFill="1" applyBorder="1" applyAlignment="1" applyProtection="1">
      <alignment vertical="center" wrapText="1"/>
    </xf>
    <xf numFmtId="49" fontId="17" fillId="4" borderId="1" xfId="0" applyNumberFormat="1" applyFont="1" applyFill="1" applyBorder="1" applyAlignment="1" applyProtection="1">
      <alignment vertical="center" wrapText="1"/>
    </xf>
    <xf numFmtId="49" fontId="17" fillId="4" borderId="1" xfId="0" applyNumberFormat="1" applyFont="1" applyFill="1" applyBorder="1" applyAlignment="1" applyProtection="1">
      <alignment horizontal="left" vertical="center"/>
      <protection locked="0"/>
    </xf>
    <xf numFmtId="49" fontId="11" fillId="5" borderId="10" xfId="0" applyNumberFormat="1" applyFont="1" applyFill="1" applyBorder="1" applyAlignment="1" applyProtection="1">
      <alignment horizontal="left" vertical="center" wrapText="1"/>
      <protection locked="0"/>
    </xf>
    <xf numFmtId="49" fontId="17" fillId="4" borderId="1" xfId="0" applyNumberFormat="1" applyFont="1" applyFill="1" applyBorder="1" applyAlignment="1" applyProtection="1">
      <alignment horizontal="left" vertical="center" wrapText="1"/>
      <protection locked="0"/>
    </xf>
    <xf numFmtId="0" fontId="50" fillId="4" borderId="10" xfId="0" applyNumberFormat="1" applyFont="1" applyFill="1" applyBorder="1" applyAlignment="1" applyProtection="1">
      <alignment horizontal="left" vertical="center" wrapText="1"/>
    </xf>
    <xf numFmtId="0" fontId="17" fillId="5" borderId="10" xfId="0" applyNumberFormat="1" applyFont="1" applyFill="1" applyBorder="1" applyAlignment="1" applyProtection="1">
      <alignment horizontal="left" vertical="center"/>
      <protection locked="0"/>
    </xf>
    <xf numFmtId="49" fontId="12" fillId="4" borderId="10" xfId="0" applyNumberFormat="1" applyFont="1" applyFill="1" applyBorder="1" applyAlignment="1" applyProtection="1">
      <alignment horizontal="distributed" vertical="center"/>
    </xf>
    <xf numFmtId="49" fontId="12" fillId="4" borderId="1" xfId="0" applyNumberFormat="1" applyFont="1" applyFill="1" applyBorder="1" applyAlignment="1" applyProtection="1">
      <alignment horizontal="distributed" vertical="center" wrapText="1" indent="1"/>
    </xf>
    <xf numFmtId="0" fontId="12" fillId="2" borderId="0" xfId="82" applyFont="1" applyFill="1" applyAlignment="1">
      <alignment horizontal="center" vertical="center" wrapText="1"/>
    </xf>
    <xf numFmtId="0" fontId="11" fillId="2" borderId="0" xfId="82" applyFont="1" applyFill="1">
      <alignment vertical="center"/>
    </xf>
    <xf numFmtId="0" fontId="0" fillId="2" borderId="0" xfId="5" applyFill="1">
      <alignment vertical="center"/>
    </xf>
    <xf numFmtId="0" fontId="0" fillId="2" borderId="0" xfId="82" applyFill="1">
      <alignment vertical="center"/>
    </xf>
    <xf numFmtId="0" fontId="9" fillId="0" borderId="0" xfId="82" applyFont="1" applyFill="1" applyAlignment="1">
      <alignment horizontal="center" vertical="center"/>
    </xf>
    <xf numFmtId="0" fontId="7" fillId="0" borderId="0" xfId="82" applyFont="1" applyFill="1">
      <alignment vertical="center"/>
    </xf>
    <xf numFmtId="0" fontId="11" fillId="0" borderId="0" xfId="82" applyFont="1" applyFill="1" applyAlignment="1">
      <alignment horizontal="left" vertical="center"/>
    </xf>
    <xf numFmtId="0" fontId="51" fillId="0" borderId="0" xfId="82" applyFont="1" applyFill="1">
      <alignment vertical="center"/>
    </xf>
    <xf numFmtId="178" fontId="11" fillId="0" borderId="1" xfId="87" applyNumberFormat="1" applyFont="1" applyFill="1" applyBorder="1" applyAlignment="1" applyProtection="1">
      <alignment vertical="center" wrapText="1"/>
    </xf>
    <xf numFmtId="178" fontId="11" fillId="0" borderId="1" xfId="34" applyNumberFormat="1" applyFont="1" applyFill="1" applyBorder="1" applyAlignment="1" applyProtection="1">
      <alignment horizontal="right" vertical="center" wrapText="1"/>
      <protection locked="0"/>
    </xf>
    <xf numFmtId="49" fontId="11" fillId="0" borderId="1" xfId="87" applyNumberFormat="1" applyFont="1" applyFill="1" applyBorder="1" applyAlignment="1" applyProtection="1">
      <alignment horizontal="left" vertical="center" wrapText="1"/>
    </xf>
    <xf numFmtId="0" fontId="12" fillId="0" borderId="5" xfId="82" applyFont="1" applyFill="1" applyBorder="1" applyAlignment="1">
      <alignment horizontal="distributed" vertical="center"/>
    </xf>
    <xf numFmtId="49" fontId="12" fillId="0" borderId="1" xfId="0" applyNumberFormat="1" applyFont="1" applyFill="1" applyBorder="1" applyAlignment="1" applyProtection="1">
      <alignment horizontal="distributed" vertical="center" wrapText="1"/>
    </xf>
    <xf numFmtId="178" fontId="12" fillId="0" borderId="1" xfId="34" applyNumberFormat="1" applyFont="1" applyFill="1" applyBorder="1" applyAlignment="1" applyProtection="1">
      <alignment horizontal="right" vertical="center" wrapText="1"/>
      <protection locked="0"/>
    </xf>
    <xf numFmtId="0" fontId="12" fillId="0" borderId="1" xfId="82" applyNumberFormat="1" applyFont="1" applyFill="1" applyBorder="1" applyAlignment="1">
      <alignment horizontal="left" vertical="center"/>
    </xf>
    <xf numFmtId="0" fontId="11" fillId="0" borderId="1" xfId="82" applyFont="1" applyFill="1" applyBorder="1" applyAlignment="1">
      <alignment vertical="center" wrapText="1"/>
    </xf>
    <xf numFmtId="0" fontId="11" fillId="0" borderId="1" xfId="82" applyNumberFormat="1" applyFont="1" applyFill="1" applyBorder="1" applyAlignment="1">
      <alignment horizontal="left" vertical="center"/>
    </xf>
    <xf numFmtId="0" fontId="11" fillId="0" borderId="1" xfId="82" applyNumberFormat="1" applyFont="1" applyFill="1" applyBorder="1" applyAlignment="1">
      <alignment horizontal="left" vertical="center" wrapText="1"/>
    </xf>
    <xf numFmtId="0" fontId="11" fillId="2" borderId="1" xfId="82" applyFont="1" applyFill="1" applyBorder="1" applyAlignment="1">
      <alignment horizontal="left" vertical="center"/>
    </xf>
    <xf numFmtId="0" fontId="11" fillId="2" borderId="1" xfId="82" applyNumberFormat="1" applyFont="1" applyFill="1" applyBorder="1" applyAlignment="1">
      <alignment horizontal="left" vertical="center" wrapText="1"/>
    </xf>
    <xf numFmtId="178" fontId="11" fillId="2" borderId="1" xfId="34" applyNumberFormat="1" applyFont="1" applyFill="1" applyBorder="1" applyAlignment="1" applyProtection="1">
      <alignment horizontal="right" vertical="center" wrapText="1"/>
      <protection locked="0"/>
    </xf>
    <xf numFmtId="0" fontId="11" fillId="2" borderId="1" xfId="5" applyFont="1" applyFill="1" applyBorder="1" applyAlignment="1">
      <alignment horizontal="left" vertical="center"/>
    </xf>
    <xf numFmtId="0" fontId="11" fillId="2" borderId="1" xfId="82" applyNumberFormat="1" applyFont="1" applyFill="1" applyBorder="1" applyAlignment="1">
      <alignment vertical="center" wrapText="1"/>
    </xf>
    <xf numFmtId="0" fontId="12" fillId="0" borderId="1" xfId="82" applyFont="1" applyFill="1" applyBorder="1" applyAlignment="1">
      <alignment horizontal="left" vertical="center" wrapText="1"/>
    </xf>
    <xf numFmtId="0" fontId="12" fillId="2" borderId="5" xfId="82" applyFont="1" applyFill="1" applyBorder="1" applyAlignment="1">
      <alignment horizontal="left" vertical="center"/>
    </xf>
    <xf numFmtId="0" fontId="12" fillId="2" borderId="1" xfId="82" applyNumberFormat="1" applyFont="1" applyFill="1" applyBorder="1" applyAlignment="1">
      <alignment horizontal="left" vertical="center" wrapText="1"/>
    </xf>
    <xf numFmtId="178" fontId="12" fillId="2" borderId="1" xfId="34" applyNumberFormat="1" applyFont="1" applyFill="1" applyBorder="1" applyAlignment="1" applyProtection="1">
      <alignment horizontal="right" vertical="center" wrapText="1"/>
      <protection locked="0"/>
    </xf>
    <xf numFmtId="0" fontId="12" fillId="0" borderId="1" xfId="82" applyFont="1" applyFill="1" applyBorder="1" applyAlignment="1">
      <alignment horizontal="distributed" vertical="center" wrapText="1" indent="2"/>
    </xf>
    <xf numFmtId="178" fontId="0" fillId="2" borderId="0" xfId="82" applyNumberFormat="1" applyFill="1">
      <alignment vertical="center"/>
    </xf>
    <xf numFmtId="188" fontId="11" fillId="0" borderId="0" xfId="82" applyNumberFormat="1" applyFont="1" applyFill="1" applyBorder="1" applyAlignment="1">
      <alignment horizontal="right" vertical="center"/>
    </xf>
    <xf numFmtId="188" fontId="12" fillId="0" borderId="1" xfId="82" applyNumberFormat="1" applyFont="1" applyFill="1" applyBorder="1" applyAlignment="1">
      <alignment vertical="center" wrapText="1"/>
    </xf>
    <xf numFmtId="183" fontId="11" fillId="0" borderId="1" xfId="33" applyNumberFormat="1" applyFont="1" applyFill="1" applyBorder="1" applyAlignment="1" applyProtection="1">
      <alignment horizontal="right" vertical="center" wrapText="1"/>
      <protection locked="0"/>
    </xf>
    <xf numFmtId="183" fontId="12" fillId="0" borderId="1" xfId="33" applyNumberFormat="1" applyFont="1" applyFill="1" applyBorder="1" applyAlignment="1" applyProtection="1">
      <alignment horizontal="right" vertical="center" wrapText="1"/>
      <protection locked="0"/>
    </xf>
    <xf numFmtId="0" fontId="12" fillId="0" borderId="0" xfId="82" applyFont="1" applyFill="1" applyAlignment="1">
      <alignment horizontal="center" vertical="center" wrapText="1"/>
    </xf>
    <xf numFmtId="0" fontId="0" fillId="0" borderId="0" xfId="5" applyFill="1">
      <alignment vertical="center"/>
    </xf>
    <xf numFmtId="0" fontId="12" fillId="0" borderId="5" xfId="82" applyNumberFormat="1" applyFont="1" applyFill="1" applyBorder="1" applyAlignment="1">
      <alignment horizontal="left" vertical="center"/>
    </xf>
    <xf numFmtId="0" fontId="12" fillId="0" borderId="1" xfId="82" applyNumberFormat="1" applyFont="1" applyFill="1" applyBorder="1" applyAlignment="1">
      <alignment vertical="center" wrapText="1"/>
    </xf>
    <xf numFmtId="0" fontId="11" fillId="0" borderId="1" xfId="82" applyFont="1" applyFill="1" applyBorder="1" applyAlignment="1">
      <alignment horizontal="left" vertical="center" wrapText="1"/>
    </xf>
    <xf numFmtId="0" fontId="11" fillId="2" borderId="5" xfId="82" applyFont="1" applyFill="1" applyBorder="1" applyAlignment="1">
      <alignment horizontal="left" vertical="center"/>
    </xf>
    <xf numFmtId="0" fontId="11" fillId="2" borderId="1" xfId="82" applyFont="1" applyFill="1" applyBorder="1" applyAlignment="1">
      <alignment horizontal="left" vertical="center" wrapText="1"/>
    </xf>
    <xf numFmtId="0" fontId="11" fillId="0" borderId="5" xfId="82" applyFont="1" applyFill="1" applyBorder="1" applyAlignment="1">
      <alignment horizontal="left" vertical="top" wrapText="1"/>
    </xf>
    <xf numFmtId="0" fontId="11" fillId="0" borderId="1" xfId="82" applyNumberFormat="1" applyFont="1" applyFill="1" applyBorder="1" applyAlignment="1">
      <alignment vertical="center" wrapText="1"/>
    </xf>
    <xf numFmtId="0" fontId="12" fillId="0" borderId="5" xfId="82" applyNumberFormat="1" applyFont="1" applyFill="1" applyBorder="1" applyAlignment="1" applyProtection="1">
      <alignment horizontal="left" vertical="center"/>
    </xf>
    <xf numFmtId="0" fontId="12" fillId="0" borderId="1" xfId="82" applyNumberFormat="1" applyFont="1" applyFill="1" applyBorder="1" applyAlignment="1" applyProtection="1">
      <alignment vertical="center" wrapText="1"/>
    </xf>
    <xf numFmtId="0" fontId="11" fillId="0" borderId="5" xfId="82" applyFont="1" applyFill="1" applyBorder="1" applyAlignment="1" applyProtection="1">
      <alignment horizontal="left" vertical="center"/>
    </xf>
    <xf numFmtId="3" fontId="11" fillId="0" borderId="1" xfId="0" applyNumberFormat="1" applyFont="1" applyFill="1" applyBorder="1" applyAlignment="1" applyProtection="1">
      <alignment horizontal="right" vertical="center"/>
      <protection locked="0"/>
    </xf>
    <xf numFmtId="0" fontId="11" fillId="0" borderId="5" xfId="5" applyFont="1" applyFill="1" applyBorder="1" applyAlignment="1" applyProtection="1">
      <alignment horizontal="left" vertical="center"/>
    </xf>
    <xf numFmtId="0" fontId="5" fillId="0" borderId="5" xfId="82" applyFont="1" applyFill="1" applyBorder="1" applyAlignment="1">
      <alignment horizontal="distributed" vertical="center"/>
    </xf>
    <xf numFmtId="178" fontId="0" fillId="0" borderId="0" xfId="82" applyNumberFormat="1" applyFill="1">
      <alignment vertical="center"/>
    </xf>
    <xf numFmtId="178" fontId="12" fillId="2" borderId="0" xfId="48" applyNumberFormat="1" applyFont="1" applyFill="1" applyAlignment="1" applyProtection="1">
      <alignment vertical="center" wrapText="1"/>
    </xf>
    <xf numFmtId="0" fontId="12" fillId="0" borderId="2" xfId="82" applyFont="1" applyFill="1" applyBorder="1" applyAlignment="1" applyProtection="1">
      <alignment horizontal="center" vertical="center" wrapText="1"/>
    </xf>
    <xf numFmtId="3" fontId="18" fillId="4" borderId="1" xfId="0" applyNumberFormat="1" applyFont="1" applyFill="1" applyBorder="1" applyAlignment="1" applyProtection="1">
      <alignment horizontal="right" vertical="center"/>
    </xf>
    <xf numFmtId="3" fontId="17" fillId="4" borderId="1" xfId="0" applyNumberFormat="1" applyFont="1" applyFill="1" applyBorder="1" applyAlignment="1" applyProtection="1">
      <alignment horizontal="right" vertical="center"/>
    </xf>
    <xf numFmtId="3" fontId="17" fillId="4" borderId="1" xfId="0" applyNumberFormat="1" applyFont="1" applyFill="1" applyBorder="1" applyAlignment="1" applyProtection="1">
      <alignment horizontal="right" vertical="center" wrapText="1"/>
    </xf>
    <xf numFmtId="183" fontId="11" fillId="2" borderId="7" xfId="33" applyNumberFormat="1" applyFont="1" applyFill="1" applyBorder="1" applyAlignment="1" applyProtection="1">
      <alignment horizontal="right" vertical="center" wrapText="1"/>
    </xf>
    <xf numFmtId="183" fontId="12" fillId="0" borderId="7" xfId="33" applyNumberFormat="1" applyFont="1" applyFill="1" applyBorder="1" applyAlignment="1" applyProtection="1">
      <alignment horizontal="right" vertical="center" wrapText="1" shrinkToFit="1"/>
    </xf>
    <xf numFmtId="183" fontId="11" fillId="0" borderId="7" xfId="33" applyNumberFormat="1" applyFont="1" applyFill="1" applyBorder="1" applyAlignment="1" applyProtection="1">
      <alignment horizontal="right" vertical="center" wrapText="1" shrinkToFit="1"/>
    </xf>
    <xf numFmtId="3" fontId="17" fillId="0" borderId="1" xfId="0" applyNumberFormat="1" applyFont="1" applyFill="1" applyBorder="1" applyAlignment="1" applyProtection="1">
      <alignment horizontal="right" vertical="center" wrapText="1"/>
    </xf>
    <xf numFmtId="3" fontId="17" fillId="0" borderId="1" xfId="0" applyNumberFormat="1" applyFont="1" applyFill="1" applyBorder="1" applyAlignment="1" applyProtection="1">
      <alignment horizontal="right" vertical="center"/>
    </xf>
    <xf numFmtId="0" fontId="3" fillId="0" borderId="0" xfId="5" applyFont="1" applyFill="1" applyAlignment="1" applyProtection="1">
      <alignment horizontal="center" vertical="center"/>
    </xf>
    <xf numFmtId="3" fontId="11" fillId="0" borderId="1" xfId="0" applyNumberFormat="1" applyFont="1" applyFill="1" applyBorder="1" applyAlignment="1" applyProtection="1">
      <alignment horizontal="right" vertical="center"/>
    </xf>
    <xf numFmtId="0" fontId="3" fillId="5" borderId="0" xfId="5" applyFont="1" applyFill="1" applyAlignment="1" applyProtection="1">
      <alignment horizontal="center" vertical="center"/>
    </xf>
    <xf numFmtId="0" fontId="0" fillId="5" borderId="0" xfId="82" applyFont="1" applyFill="1" applyProtection="1">
      <alignment vertical="center"/>
    </xf>
    <xf numFmtId="0" fontId="0" fillId="0" borderId="0" xfId="82" applyFont="1" applyFill="1" applyProtection="1">
      <alignment vertical="center"/>
    </xf>
    <xf numFmtId="0" fontId="11" fillId="4" borderId="10" xfId="0" applyNumberFormat="1" applyFont="1" applyFill="1" applyBorder="1" applyAlignment="1" applyProtection="1">
      <alignment vertical="center" wrapText="1"/>
    </xf>
    <xf numFmtId="0" fontId="11" fillId="4" borderId="10" xfId="0" applyNumberFormat="1" applyFont="1" applyFill="1" applyBorder="1" applyAlignment="1" applyProtection="1">
      <alignment horizontal="left" vertical="center" wrapText="1"/>
    </xf>
    <xf numFmtId="3" fontId="18" fillId="4" borderId="1" xfId="0" applyNumberFormat="1" applyFont="1" applyFill="1" applyBorder="1" applyAlignment="1" applyProtection="1">
      <alignment horizontal="right" vertical="center" wrapText="1"/>
    </xf>
    <xf numFmtId="178" fontId="18" fillId="4" borderId="7" xfId="0" applyNumberFormat="1" applyFont="1" applyFill="1" applyBorder="1" applyAlignment="1" applyProtection="1">
      <alignment horizontal="right" vertical="center"/>
    </xf>
    <xf numFmtId="0" fontId="10" fillId="2" borderId="0" xfId="82" applyFont="1" applyFill="1" applyAlignment="1">
      <alignment horizontal="center" vertical="center"/>
    </xf>
    <xf numFmtId="0" fontId="7" fillId="2" borderId="0" xfId="82" applyFont="1" applyFill="1">
      <alignment vertical="center"/>
    </xf>
    <xf numFmtId="0" fontId="11" fillId="2" borderId="0" xfId="82" applyFont="1" applyFill="1" applyAlignment="1">
      <alignment horizontal="left" vertical="center"/>
    </xf>
    <xf numFmtId="188" fontId="0" fillId="2" borderId="0" xfId="82" applyNumberFormat="1" applyFill="1" applyBorder="1" applyAlignment="1">
      <alignment horizontal="right" vertical="center"/>
    </xf>
    <xf numFmtId="188" fontId="0" fillId="2" borderId="0" xfId="82" applyNumberFormat="1" applyFill="1" applyAlignment="1">
      <alignment horizontal="right" vertical="center"/>
    </xf>
    <xf numFmtId="188" fontId="12" fillId="0" borderId="8" xfId="82" applyNumberFormat="1" applyFont="1" applyFill="1" applyBorder="1" applyAlignment="1" applyProtection="1">
      <alignment vertical="center" wrapText="1"/>
    </xf>
    <xf numFmtId="0" fontId="11" fillId="2" borderId="5" xfId="82" applyNumberFormat="1" applyFont="1" applyFill="1" applyBorder="1" applyAlignment="1">
      <alignment horizontal="left" vertical="center"/>
    </xf>
    <xf numFmtId="178" fontId="11" fillId="2" borderId="1" xfId="87" applyNumberFormat="1" applyFont="1" applyFill="1" applyBorder="1" applyAlignment="1" applyProtection="1">
      <alignment vertical="center" wrapText="1"/>
    </xf>
    <xf numFmtId="49" fontId="11" fillId="2" borderId="1" xfId="87" applyNumberFormat="1" applyFont="1" applyFill="1" applyBorder="1" applyAlignment="1" applyProtection="1">
      <alignment horizontal="left" vertical="center" wrapText="1"/>
    </xf>
    <xf numFmtId="0" fontId="12" fillId="2" borderId="5" xfId="82" applyFont="1" applyFill="1" applyBorder="1" applyAlignment="1">
      <alignment horizontal="distributed" vertical="center"/>
    </xf>
    <xf numFmtId="49" fontId="12" fillId="2" borderId="1" xfId="0" applyNumberFormat="1" applyFont="1" applyFill="1" applyBorder="1" applyAlignment="1" applyProtection="1">
      <alignment horizontal="distributed" vertical="center" wrapText="1"/>
    </xf>
    <xf numFmtId="178" fontId="12" fillId="2" borderId="1" xfId="34" applyNumberFormat="1" applyFont="1" applyFill="1" applyBorder="1" applyAlignment="1" applyProtection="1">
      <alignment horizontal="right" vertical="center" wrapText="1"/>
    </xf>
    <xf numFmtId="0" fontId="12" fillId="2" borderId="1" xfId="82" applyFont="1" applyFill="1" applyBorder="1" applyAlignment="1">
      <alignment vertical="center" wrapText="1"/>
    </xf>
    <xf numFmtId="178" fontId="12" fillId="3" borderId="1" xfId="0" applyNumberFormat="1" applyFont="1" applyFill="1" applyBorder="1" applyAlignment="1">
      <alignment horizontal="right" vertical="center" wrapText="1"/>
    </xf>
    <xf numFmtId="0" fontId="11" fillId="2" borderId="5" xfId="5" applyFont="1" applyFill="1" applyBorder="1" applyAlignment="1">
      <alignment horizontal="left" vertical="center"/>
    </xf>
    <xf numFmtId="178" fontId="11" fillId="3" borderId="1" xfId="0" applyNumberFormat="1" applyFont="1" applyFill="1" applyBorder="1" applyAlignment="1">
      <alignment horizontal="right" vertical="center" wrapText="1"/>
    </xf>
    <xf numFmtId="0" fontId="12" fillId="2" borderId="1" xfId="82" applyFont="1" applyFill="1" applyBorder="1" applyAlignment="1">
      <alignment horizontal="distributed" vertical="center" wrapText="1" indent="2"/>
    </xf>
    <xf numFmtId="178" fontId="12" fillId="2" borderId="1" xfId="34" applyNumberFormat="1" applyFont="1" applyFill="1" applyBorder="1" applyAlignment="1">
      <alignment horizontal="right" vertical="center" wrapText="1"/>
    </xf>
    <xf numFmtId="3" fontId="0" fillId="2" borderId="0" xfId="82" applyNumberFormat="1" applyFill="1">
      <alignment vertical="center"/>
    </xf>
    <xf numFmtId="0" fontId="11" fillId="2" borderId="0" xfId="82" applyFont="1" applyFill="1" applyAlignment="1">
      <alignment horizontal="right" vertical="center"/>
    </xf>
    <xf numFmtId="0" fontId="36" fillId="2" borderId="0" xfId="82" applyFont="1" applyFill="1" applyAlignment="1">
      <alignment horizontal="left" vertical="center" wrapText="1"/>
    </xf>
    <xf numFmtId="183" fontId="11" fillId="2" borderId="1" xfId="33" applyNumberFormat="1" applyFont="1" applyFill="1" applyBorder="1" applyAlignment="1" applyProtection="1">
      <alignment horizontal="right" vertical="center" wrapText="1"/>
      <protection locked="0"/>
    </xf>
    <xf numFmtId="0" fontId="5" fillId="2" borderId="0" xfId="82" applyFont="1" applyFill="1">
      <alignment vertical="center"/>
    </xf>
    <xf numFmtId="183" fontId="12" fillId="2" borderId="1" xfId="33" applyNumberFormat="1" applyFont="1" applyFill="1" applyBorder="1" applyAlignment="1" applyProtection="1">
      <alignment horizontal="right" vertical="center" wrapText="1"/>
      <protection locked="0"/>
    </xf>
    <xf numFmtId="0" fontId="12" fillId="2" borderId="0" xfId="82" applyFont="1" applyFill="1" applyAlignment="1" applyProtection="1">
      <alignment horizontal="center" vertical="center" wrapText="1"/>
    </xf>
    <xf numFmtId="0" fontId="11" fillId="2" borderId="0" xfId="82" applyFont="1" applyFill="1" applyProtection="1">
      <alignment vertical="center"/>
    </xf>
    <xf numFmtId="0" fontId="0" fillId="2" borderId="0" xfId="5" applyFill="1" applyProtection="1">
      <alignment vertical="center"/>
    </xf>
    <xf numFmtId="188" fontId="0" fillId="2" borderId="0" xfId="82" applyNumberFormat="1" applyFill="1" applyProtection="1">
      <alignment vertical="center"/>
    </xf>
    <xf numFmtId="0" fontId="7" fillId="0" borderId="0" xfId="0" applyFont="1" applyFill="1" applyAlignment="1" applyProtection="1"/>
    <xf numFmtId="0" fontId="9" fillId="0" borderId="0" xfId="82" applyFont="1" applyFill="1" applyAlignment="1" applyProtection="1">
      <alignment horizontal="center" vertical="center"/>
    </xf>
    <xf numFmtId="0" fontId="11" fillId="0" borderId="0" xfId="82" applyFont="1" applyFill="1" applyAlignment="1" applyProtection="1">
      <alignment horizontal="left" vertical="center"/>
    </xf>
    <xf numFmtId="3" fontId="12" fillId="0" borderId="1" xfId="0" applyNumberFormat="1" applyFont="1" applyFill="1" applyBorder="1" applyAlignment="1" applyProtection="1">
      <alignment horizontal="right" vertical="center"/>
      <protection locked="0"/>
    </xf>
    <xf numFmtId="0" fontId="12" fillId="0" borderId="5" xfId="82" applyFont="1" applyFill="1" applyBorder="1" applyAlignment="1" applyProtection="1">
      <alignment horizontal="left" vertical="center"/>
    </xf>
    <xf numFmtId="0" fontId="11" fillId="0" borderId="5" xfId="82" applyFont="1" applyFill="1" applyBorder="1" applyAlignment="1" applyProtection="1">
      <alignment horizontal="left" vertical="top" wrapText="1"/>
    </xf>
    <xf numFmtId="0" fontId="11" fillId="0" borderId="1" xfId="82" applyNumberFormat="1" applyFont="1" applyFill="1" applyBorder="1" applyAlignment="1" applyProtection="1">
      <alignment vertical="center" wrapText="1"/>
    </xf>
    <xf numFmtId="0" fontId="12" fillId="0" borderId="5" xfId="82" applyFont="1" applyFill="1" applyBorder="1" applyAlignment="1" applyProtection="1">
      <alignment horizontal="distributed" vertical="center"/>
    </xf>
    <xf numFmtId="0" fontId="5" fillId="0" borderId="5" xfId="82" applyFont="1" applyFill="1" applyBorder="1" applyAlignment="1" applyProtection="1">
      <alignment horizontal="distributed" vertical="center"/>
    </xf>
    <xf numFmtId="0" fontId="12" fillId="0" borderId="1" xfId="82" applyNumberFormat="1" applyFont="1" applyFill="1" applyBorder="1" applyAlignment="1" applyProtection="1">
      <alignment horizontal="distributed" vertical="center"/>
    </xf>
    <xf numFmtId="3" fontId="0" fillId="2" borderId="0" xfId="82" applyNumberFormat="1" applyFill="1" applyProtection="1">
      <alignment vertical="center"/>
    </xf>
    <xf numFmtId="188" fontId="12" fillId="0" borderId="0" xfId="82" applyNumberFormat="1" applyFont="1" applyFill="1" applyAlignment="1" applyProtection="1">
      <alignment horizontal="center" vertical="center" wrapText="1"/>
    </xf>
    <xf numFmtId="188" fontId="12" fillId="2" borderId="7" xfId="82" applyNumberFormat="1" applyFont="1" applyFill="1" applyBorder="1" applyAlignment="1">
      <alignment horizontal="center" vertical="center" wrapText="1"/>
    </xf>
    <xf numFmtId="178" fontId="11" fillId="0" borderId="1" xfId="81" applyNumberFormat="1" applyFont="1" applyFill="1" applyBorder="1" applyAlignment="1">
      <alignment horizontal="right" vertical="center" wrapText="1"/>
    </xf>
    <xf numFmtId="183" fontId="12" fillId="0" borderId="1" xfId="34" applyNumberFormat="1" applyFont="1" applyFill="1" applyBorder="1" applyAlignment="1" applyProtection="1">
      <alignment horizontal="right" vertical="center" wrapText="1"/>
    </xf>
    <xf numFmtId="183" fontId="11" fillId="0" borderId="1" xfId="34" applyNumberFormat="1" applyFont="1" applyFill="1" applyBorder="1" applyAlignment="1" applyProtection="1">
      <alignment horizontal="right" vertical="center" wrapText="1"/>
    </xf>
    <xf numFmtId="0" fontId="52" fillId="0" borderId="0" xfId="2" applyFont="1" applyFill="1" applyAlignment="1"/>
    <xf numFmtId="178" fontId="17" fillId="0" borderId="1" xfId="52" applyNumberFormat="1" applyFont="1" applyFill="1" applyBorder="1" applyAlignment="1">
      <alignment horizontal="right" vertical="center" wrapText="1"/>
    </xf>
    <xf numFmtId="49" fontId="12" fillId="0" borderId="1" xfId="14" applyNumberFormat="1" applyFont="1" applyFill="1" applyBorder="1" applyAlignment="1" applyProtection="1">
      <alignment horizontal="right" vertical="center"/>
    </xf>
    <xf numFmtId="49" fontId="11" fillId="0" borderId="1" xfId="14" applyNumberFormat="1" applyFont="1" applyFill="1" applyBorder="1" applyAlignment="1" applyProtection="1">
      <alignment horizontal="right" vertical="center"/>
    </xf>
    <xf numFmtId="0" fontId="24" fillId="0" borderId="0" xfId="4" applyFont="1" applyFill="1" applyAlignment="1">
      <alignment horizontal="right" vertical="center"/>
    </xf>
    <xf numFmtId="183" fontId="11" fillId="0" borderId="1" xfId="4" applyNumberFormat="1" applyFont="1" applyBorder="1" applyAlignment="1">
      <alignment horizontal="right" vertical="center"/>
    </xf>
    <xf numFmtId="183" fontId="12" fillId="0" borderId="1" xfId="82" applyNumberFormat="1" applyFont="1" applyBorder="1" applyAlignment="1">
      <alignment horizontal="right" vertical="center" wrapText="1"/>
    </xf>
    <xf numFmtId="183" fontId="11" fillId="0" borderId="1" xfId="82" applyNumberFormat="1" applyFont="1" applyBorder="1" applyAlignment="1">
      <alignment horizontal="right" vertical="center" wrapText="1"/>
    </xf>
    <xf numFmtId="183" fontId="12" fillId="0" borderId="1" xfId="4" applyNumberFormat="1" applyFont="1" applyBorder="1" applyAlignment="1">
      <alignment horizontal="right" vertical="center"/>
    </xf>
    <xf numFmtId="188" fontId="12" fillId="2" borderId="7" xfId="82" applyNumberFormat="1" applyFont="1" applyFill="1" applyBorder="1" applyAlignment="1" applyProtection="1">
      <alignment horizontal="center" vertical="center" wrapText="1"/>
    </xf>
    <xf numFmtId="188" fontId="12" fillId="2" borderId="1" xfId="82" applyNumberFormat="1" applyFont="1" applyFill="1" applyBorder="1" applyAlignment="1" applyProtection="1">
      <alignment horizontal="center" vertical="center" wrapText="1"/>
    </xf>
    <xf numFmtId="178" fontId="20" fillId="0" borderId="1" xfId="62" applyNumberFormat="1" applyFont="1" applyFill="1" applyBorder="1" applyAlignment="1">
      <alignment horizontal="right" vertical="center" wrapText="1"/>
    </xf>
    <xf numFmtId="183" fontId="12" fillId="2" borderId="1" xfId="82" applyNumberFormat="1" applyFont="1" applyFill="1" applyBorder="1" applyAlignment="1" applyProtection="1">
      <alignment horizontal="center" vertical="center" wrapText="1"/>
    </xf>
    <xf numFmtId="183" fontId="12" fillId="0" borderId="1" xfId="34" applyNumberFormat="1" applyFont="1" applyFill="1" applyBorder="1" applyAlignment="1">
      <alignment horizontal="right" vertical="center" wrapText="1"/>
    </xf>
    <xf numFmtId="183" fontId="11" fillId="0" borderId="1" xfId="34" applyNumberFormat="1" applyFont="1" applyFill="1" applyBorder="1" applyAlignment="1">
      <alignment horizontal="right" vertical="center" wrapText="1"/>
    </xf>
    <xf numFmtId="183" fontId="12" fillId="0" borderId="1" xfId="11" applyNumberFormat="1" applyFont="1" applyFill="1" applyBorder="1" applyAlignment="1">
      <alignment horizontal="right" vertical="center" wrapText="1"/>
    </xf>
    <xf numFmtId="183" fontId="11" fillId="0" borderId="1" xfId="11" applyNumberFormat="1" applyFont="1" applyFill="1" applyBorder="1" applyAlignment="1">
      <alignment horizontal="right" vertical="center" wrapText="1"/>
    </xf>
    <xf numFmtId="183" fontId="12" fillId="0" borderId="1" xfId="82" applyNumberFormat="1" applyFont="1" applyFill="1" applyBorder="1" applyAlignment="1">
      <alignment horizontal="right" vertical="center" wrapText="1"/>
    </xf>
    <xf numFmtId="183" fontId="11" fillId="0" borderId="1" xfId="82" applyNumberFormat="1" applyFont="1" applyFill="1" applyBorder="1" applyAlignment="1">
      <alignment horizontal="right" vertical="center" wrapText="1"/>
    </xf>
    <xf numFmtId="0" fontId="12" fillId="2" borderId="1" xfId="74" applyFont="1" applyFill="1" applyBorder="1" applyAlignment="1">
      <alignment horizontal="center" vertical="center" wrapText="1"/>
    </xf>
    <xf numFmtId="188" fontId="0" fillId="2" borderId="0" xfId="74" applyNumberFormat="1" applyFont="1" applyFill="1" applyAlignment="1">
      <alignment vertical="center"/>
    </xf>
    <xf numFmtId="183" fontId="18" fillId="0" borderId="1" xfId="0" applyNumberFormat="1" applyFont="1" applyFill="1" applyBorder="1" applyAlignment="1">
      <alignment horizontal="right" vertical="center" wrapText="1"/>
    </xf>
    <xf numFmtId="183" fontId="17" fillId="0" borderId="1" xfId="0" applyNumberFormat="1" applyFont="1" applyFill="1" applyBorder="1" applyAlignment="1">
      <alignment horizontal="right" vertical="center" wrapText="1"/>
    </xf>
    <xf numFmtId="183" fontId="12" fillId="0" borderId="1" xfId="8" applyNumberFormat="1" applyFont="1" applyFill="1" applyBorder="1" applyAlignment="1">
      <alignment horizontal="right" vertical="center" wrapText="1"/>
    </xf>
    <xf numFmtId="183" fontId="11" fillId="0" borderId="1" xfId="8" applyNumberFormat="1" applyFont="1" applyFill="1" applyBorder="1" applyAlignment="1">
      <alignment horizontal="right" vertical="center" wrapText="1"/>
    </xf>
    <xf numFmtId="188" fontId="12" fillId="2" borderId="0" xfId="82" applyNumberFormat="1" applyFont="1" applyFill="1" applyAlignment="1" applyProtection="1">
      <alignment horizontal="center" vertical="center" wrapText="1"/>
    </xf>
    <xf numFmtId="189" fontId="17" fillId="0" borderId="1" xfId="33" applyNumberFormat="1" applyFont="1" applyFill="1" applyBorder="1" applyAlignment="1" applyProtection="1">
      <alignment horizontal="right" vertical="center"/>
      <protection locked="0"/>
    </xf>
    <xf numFmtId="0" fontId="11" fillId="0" borderId="0" xfId="82" applyFont="1" applyProtection="1">
      <alignment vertical="center"/>
    </xf>
    <xf numFmtId="178" fontId="12" fillId="0" borderId="1" xfId="82" applyNumberFormat="1" applyFont="1" applyBorder="1" applyAlignment="1" applyProtection="1">
      <alignment horizontal="right" vertical="center" wrapText="1"/>
    </xf>
    <xf numFmtId="178" fontId="12" fillId="2" borderId="1" xfId="33" applyNumberFormat="1" applyFont="1" applyFill="1" applyBorder="1" applyAlignment="1" applyProtection="1">
      <alignment horizontal="right" vertical="center" wrapText="1"/>
      <protection locked="0"/>
    </xf>
    <xf numFmtId="178" fontId="11" fillId="0" borderId="1" xfId="82" applyNumberFormat="1" applyFont="1" applyBorder="1" applyAlignment="1" applyProtection="1">
      <alignment horizontal="right" vertical="center" wrapText="1"/>
    </xf>
    <xf numFmtId="178" fontId="11" fillId="3" borderId="12" xfId="0" applyNumberFormat="1" applyFont="1" applyFill="1" applyBorder="1" applyAlignment="1" applyProtection="1">
      <alignment horizontal="right" vertical="center" wrapText="1"/>
    </xf>
    <xf numFmtId="178" fontId="11" fillId="2" borderId="1" xfId="33" applyNumberFormat="1" applyFont="1" applyFill="1" applyBorder="1" applyAlignment="1" applyProtection="1">
      <alignment horizontal="right" vertical="center" wrapText="1"/>
      <protection locked="0"/>
    </xf>
    <xf numFmtId="178" fontId="12" fillId="3" borderId="12" xfId="0" applyNumberFormat="1" applyFont="1" applyFill="1" applyBorder="1" applyAlignment="1" applyProtection="1">
      <alignment horizontal="right" vertical="center" wrapText="1"/>
    </xf>
    <xf numFmtId="0" fontId="36" fillId="0" borderId="1" xfId="82" applyFont="1" applyBorder="1" applyAlignment="1" applyProtection="1">
      <alignment horizontal="right" vertical="center" wrapText="1"/>
    </xf>
    <xf numFmtId="178" fontId="20" fillId="0" borderId="1" xfId="0" applyNumberFormat="1" applyFont="1" applyFill="1" applyBorder="1" applyAlignment="1">
      <alignment horizontal="right" vertical="center" wrapText="1"/>
    </xf>
    <xf numFmtId="178" fontId="21" fillId="0" borderId="1" xfId="0" applyNumberFormat="1" applyFont="1" applyFill="1" applyBorder="1" applyAlignment="1">
      <alignment horizontal="right" vertical="center" wrapText="1"/>
    </xf>
    <xf numFmtId="178" fontId="11" fillId="3" borderId="13" xfId="0" applyNumberFormat="1" applyFont="1" applyFill="1" applyBorder="1" applyAlignment="1" applyProtection="1">
      <alignment horizontal="right" vertical="center" wrapText="1"/>
    </xf>
    <xf numFmtId="178" fontId="12" fillId="3" borderId="13" xfId="0" applyNumberFormat="1" applyFont="1" applyFill="1" applyBorder="1" applyAlignment="1" applyProtection="1">
      <alignment horizontal="right" vertical="center" wrapText="1"/>
    </xf>
    <xf numFmtId="0" fontId="16" fillId="0" borderId="0" xfId="57" applyFont="1" applyAlignment="1">
      <alignment horizontal="center" vertical="center"/>
    </xf>
    <xf numFmtId="0" fontId="18" fillId="0" borderId="5" xfId="0" applyFont="1" applyFill="1" applyBorder="1" applyAlignment="1">
      <alignment horizontal="center" vertical="center" wrapText="1"/>
    </xf>
    <xf numFmtId="0" fontId="18" fillId="0" borderId="7" xfId="0" applyFont="1" applyFill="1" applyBorder="1" applyAlignment="1">
      <alignment horizontal="center" vertical="center" wrapText="1"/>
    </xf>
    <xf numFmtId="178" fontId="18" fillId="0" borderId="1" xfId="0" applyNumberFormat="1" applyFont="1" applyFill="1" applyBorder="1" applyAlignment="1">
      <alignment horizontal="center" vertical="center" wrapText="1"/>
    </xf>
    <xf numFmtId="0" fontId="11" fillId="0" borderId="1" xfId="10" applyFont="1" applyFill="1" applyBorder="1" applyAlignment="1">
      <alignment horizontal="center" vertical="center" wrapText="1"/>
    </xf>
    <xf numFmtId="0" fontId="23" fillId="0" borderId="1" xfId="0" applyFont="1" applyFill="1" applyBorder="1" applyAlignment="1">
      <alignment horizontal="center" vertical="center" wrapText="1"/>
    </xf>
    <xf numFmtId="4" fontId="23" fillId="0" borderId="1" xfId="0" applyNumberFormat="1" applyFont="1" applyFill="1" applyBorder="1" applyAlignment="1">
      <alignment horizontal="center" vertical="center"/>
    </xf>
    <xf numFmtId="178" fontId="18" fillId="0" borderId="1" xfId="0" applyNumberFormat="1" applyFont="1" applyFill="1" applyBorder="1" applyAlignment="1" applyProtection="1">
      <alignment horizontal="right" vertical="center"/>
    </xf>
    <xf numFmtId="178" fontId="17" fillId="0" borderId="7" xfId="0" applyNumberFormat="1" applyFont="1" applyFill="1" applyBorder="1" applyAlignment="1" applyProtection="1">
      <alignment horizontal="right" vertical="center"/>
    </xf>
    <xf numFmtId="178" fontId="17" fillId="0" borderId="1" xfId="0" applyNumberFormat="1" applyFont="1" applyFill="1" applyBorder="1" applyAlignment="1" applyProtection="1">
      <alignment horizontal="right" vertical="center"/>
    </xf>
    <xf numFmtId="178" fontId="18" fillId="0" borderId="7" xfId="0" applyNumberFormat="1" applyFont="1" applyFill="1" applyBorder="1" applyAlignment="1" applyProtection="1">
      <alignment horizontal="right" vertical="center"/>
    </xf>
    <xf numFmtId="178" fontId="18" fillId="4" borderId="1" xfId="0" applyNumberFormat="1" applyFont="1" applyFill="1" applyBorder="1" applyAlignment="1" applyProtection="1">
      <alignment horizontal="right" vertical="center"/>
    </xf>
    <xf numFmtId="178" fontId="17" fillId="4" borderId="1" xfId="0" applyNumberFormat="1" applyFont="1" applyFill="1" applyBorder="1" applyAlignment="1" applyProtection="1">
      <alignment horizontal="right" vertical="center"/>
    </xf>
    <xf numFmtId="178" fontId="17" fillId="4" borderId="7" xfId="0" applyNumberFormat="1" applyFont="1" applyFill="1" applyBorder="1" applyAlignment="1" applyProtection="1">
      <alignment horizontal="right" vertical="center"/>
    </xf>
    <xf numFmtId="183" fontId="18" fillId="4" borderId="1" xfId="0" applyNumberFormat="1" applyFont="1" applyFill="1" applyBorder="1" applyAlignment="1" applyProtection="1">
      <alignment horizontal="right" vertical="center"/>
    </xf>
    <xf numFmtId="183" fontId="17" fillId="4" borderId="1" xfId="0" applyNumberFormat="1" applyFont="1" applyFill="1" applyBorder="1" applyAlignment="1" applyProtection="1">
      <alignment horizontal="right" vertical="center"/>
    </xf>
    <xf numFmtId="189" fontId="17" fillId="5" borderId="10" xfId="0" applyNumberFormat="1" applyFont="1" applyFill="1" applyBorder="1" applyAlignment="1" applyProtection="1">
      <alignment horizontal="left" vertical="center"/>
      <protection locked="0"/>
    </xf>
    <xf numFmtId="189" fontId="17" fillId="5" borderId="10" xfId="0" applyNumberFormat="1" applyFont="1" applyFill="1" applyBorder="1" applyAlignment="1" applyProtection="1">
      <alignment horizontal="left" vertical="center"/>
    </xf>
    <xf numFmtId="189" fontId="17" fillId="0" borderId="10" xfId="0" applyNumberFormat="1" applyFont="1" applyFill="1" applyBorder="1" applyAlignment="1" applyProtection="1">
      <alignment horizontal="left" vertical="center"/>
    </xf>
    <xf numFmtId="189" fontId="17" fillId="4" borderId="10" xfId="0" applyNumberFormat="1" applyFont="1" applyFill="1" applyBorder="1" applyAlignment="1" applyProtection="1">
      <alignment horizontal="left" vertical="center" wrapText="1"/>
    </xf>
    <xf numFmtId="189" fontId="17" fillId="5" borderId="10" xfId="0" applyNumberFormat="1" applyFont="1" applyFill="1" applyBorder="1" applyAlignment="1" applyProtection="1">
      <alignment horizontal="left" vertical="center" wrapText="1"/>
    </xf>
    <xf numFmtId="189" fontId="17" fillId="5" borderId="10" xfId="0" applyNumberFormat="1" applyFont="1" applyFill="1" applyBorder="1" applyAlignment="1" applyProtection="1">
      <alignment horizontal="left" vertical="center" wrapText="1"/>
      <protection locked="0"/>
    </xf>
    <xf numFmtId="189" fontId="17" fillId="4" borderId="10" xfId="0" applyNumberFormat="1" applyFont="1" applyFill="1" applyBorder="1" applyAlignment="1" applyProtection="1">
      <alignment horizontal="left" vertical="center"/>
    </xf>
    <xf numFmtId="189" fontId="11" fillId="0" borderId="10" xfId="0" applyNumberFormat="1" applyFont="1" applyFill="1" applyBorder="1" applyAlignment="1" applyProtection="1">
      <alignment horizontal="left" vertical="center"/>
    </xf>
    <xf numFmtId="178" fontId="11" fillId="0" borderId="7" xfId="0" applyNumberFormat="1" applyFont="1" applyFill="1" applyBorder="1" applyAlignment="1" applyProtection="1">
      <alignment horizontal="right" vertical="center"/>
    </xf>
    <xf numFmtId="189" fontId="11" fillId="5" borderId="10" xfId="0" applyNumberFormat="1" applyFont="1" applyFill="1" applyBorder="1" applyAlignment="1" applyProtection="1">
      <alignment horizontal="left" vertical="center" wrapText="1"/>
      <protection locked="0"/>
    </xf>
    <xf numFmtId="0" fontId="10" fillId="2" borderId="0" xfId="82" applyFont="1" applyFill="1" applyAlignment="1">
      <alignment horizontal="center" vertical="center" wrapText="1"/>
    </xf>
    <xf numFmtId="183" fontId="11" fillId="2" borderId="1" xfId="34" applyNumberFormat="1" applyFont="1" applyFill="1" applyBorder="1" applyAlignment="1" applyProtection="1">
      <alignment horizontal="right" vertical="center" wrapText="1"/>
    </xf>
    <xf numFmtId="183" fontId="12" fillId="2" borderId="1" xfId="34" applyNumberFormat="1" applyFont="1" applyFill="1" applyBorder="1" applyAlignment="1" applyProtection="1">
      <alignment horizontal="right" vertical="center" wrapText="1"/>
    </xf>
    <xf numFmtId="0" fontId="10" fillId="0" borderId="0" xfId="82" applyFont="1" applyFill="1" applyAlignment="1" applyProtection="1">
      <alignment horizontal="center" vertical="center" wrapText="1"/>
    </xf>
    <xf numFmtId="188" fontId="12" fillId="0" borderId="0" xfId="82" applyNumberFormat="1" applyFont="1" applyFill="1" applyAlignment="1" applyProtection="1">
      <alignment vertical="center" wrapText="1"/>
    </xf>
    <xf numFmtId="183" fontId="12" fillId="0" borderId="1" xfId="0" applyNumberFormat="1" applyFont="1" applyFill="1" applyBorder="1" applyAlignment="1" applyProtection="1">
      <alignment horizontal="right" vertical="center"/>
      <protection locked="0"/>
    </xf>
    <xf numFmtId="183" fontId="11" fillId="0" borderId="1" xfId="0" applyNumberFormat="1" applyFont="1" applyFill="1" applyBorder="1" applyAlignment="1" applyProtection="1">
      <alignment horizontal="right" vertical="center"/>
      <protection locked="0"/>
    </xf>
    <xf numFmtId="0" fontId="53" fillId="0" borderId="0" xfId="85" applyFont="1" applyAlignment="1">
      <alignment vertical="center"/>
    </xf>
    <xf numFmtId="0" fontId="0" fillId="0" borderId="0" xfId="85" applyAlignment="1">
      <alignment vertical="center"/>
    </xf>
    <xf numFmtId="0" fontId="54" fillId="0" borderId="0" xfId="85" applyFont="1" applyAlignment="1">
      <alignment horizontal="center" vertical="center" wrapText="1"/>
    </xf>
    <xf numFmtId="0" fontId="55" fillId="6" borderId="0" xfId="85" applyFont="1" applyFill="1" applyAlignment="1">
      <alignment horizontal="center" vertical="center"/>
    </xf>
    <xf numFmtId="0" fontId="55" fillId="6" borderId="0" xfId="85" applyFont="1" applyFill="1" applyAlignment="1">
      <alignment horizontal="center" vertical="center" wrapText="1"/>
    </xf>
    <xf numFmtId="0" fontId="0" fillId="6" borderId="0" xfId="85" applyFill="1" applyAlignment="1">
      <alignment vertical="center"/>
    </xf>
    <xf numFmtId="0" fontId="56" fillId="0" borderId="0" xfId="85" applyFont="1" applyAlignment="1">
      <alignment vertical="center"/>
    </xf>
    <xf numFmtId="0" fontId="53" fillId="6" borderId="0" xfId="85" applyFont="1" applyFill="1" applyAlignment="1">
      <alignment vertical="center"/>
    </xf>
    <xf numFmtId="0" fontId="7" fillId="0" borderId="0" xfId="0" applyFont="1" applyFill="1" applyAlignment="1">
      <alignment vertical="center"/>
    </xf>
    <xf numFmtId="4" fontId="53" fillId="6" borderId="0" xfId="85" applyNumberFormat="1" applyFont="1" applyFill="1" applyAlignment="1">
      <alignment vertical="center"/>
    </xf>
    <xf numFmtId="0" fontId="53" fillId="0" borderId="0" xfId="85" applyFont="1" applyFill="1" applyAlignment="1">
      <alignment vertical="center"/>
    </xf>
    <xf numFmtId="0" fontId="47" fillId="0" borderId="0" xfId="85" applyFont="1" applyAlignment="1"/>
    <xf numFmtId="0" fontId="0" fillId="0" borderId="0" xfId="85" applyAlignment="1"/>
    <xf numFmtId="0" fontId="57" fillId="0" borderId="0" xfId="85" applyFont="1" applyAlignment="1">
      <alignment horizontal="left" vertical="center" wrapText="1"/>
    </xf>
    <xf numFmtId="0" fontId="57" fillId="0" borderId="0" xfId="85" applyFont="1" applyAlignment="1">
      <alignment vertical="center" wrapText="1"/>
    </xf>
    <xf numFmtId="0" fontId="58" fillId="0" borderId="0" xfId="85" applyFont="1" applyAlignment="1">
      <alignment horizontal="center" wrapText="1"/>
    </xf>
    <xf numFmtId="0" fontId="59" fillId="0" borderId="0" xfId="85" applyFont="1" applyAlignment="1">
      <alignment horizontal="center" vertical="center"/>
    </xf>
    <xf numFmtId="0" fontId="59" fillId="0" borderId="0" xfId="85" applyFont="1" applyAlignment="1">
      <alignment horizontal="center" vertical="top" wrapText="1"/>
    </xf>
    <xf numFmtId="0" fontId="60" fillId="0" borderId="0" xfId="85" applyFont="1" applyAlignment="1">
      <alignment horizontal="center" vertical="center"/>
    </xf>
    <xf numFmtId="0" fontId="61" fillId="0" borderId="0" xfId="85" applyFont="1" applyAlignment="1">
      <alignment horizontal="center"/>
    </xf>
    <xf numFmtId="176" fontId="61" fillId="0" borderId="0" xfId="85" applyNumberFormat="1" applyFont="1" applyAlignment="1">
      <alignment horizontal="center"/>
    </xf>
    <xf numFmtId="22" fontId="47" fillId="0" borderId="0" xfId="85" applyNumberFormat="1" applyFont="1" applyAlignment="1"/>
    <xf numFmtId="0" fontId="0" fillId="0" borderId="0" xfId="85" applyFont="1" applyAlignment="1"/>
    <xf numFmtId="0" fontId="11" fillId="0" borderId="5" xfId="82" applyFont="1" applyFill="1" applyBorder="1" applyAlignment="1" applyProtection="1" quotePrefix="1">
      <alignment horizontal="left" vertical="center"/>
    </xf>
    <xf numFmtId="0" fontId="11" fillId="2" borderId="5" xfId="82" applyFont="1" applyFill="1" applyBorder="1" applyAlignment="1" quotePrefix="1">
      <alignment horizontal="left" vertical="center"/>
    </xf>
  </cellXfs>
  <cellStyles count="89">
    <cellStyle name="常规" xfId="0" builtinId="0"/>
    <cellStyle name="常规 2 4" xfId="1"/>
    <cellStyle name="常规 11 3" xfId="2"/>
    <cellStyle name="常规 10 2_报预算局：2016年云南省及省本级1-7月社保基金预算执行情况表（0823）" xfId="3"/>
    <cellStyle name="常规 15 2" xfId="4"/>
    <cellStyle name="常规_2007年云南省向人大报送政府收支预算表格式编制过程表" xfId="5"/>
    <cellStyle name="常规 8" xfId="6"/>
    <cellStyle name="百分比 8" xfId="7"/>
    <cellStyle name="千位分隔 2" xfId="8"/>
    <cellStyle name="千位分隔 2 4" xfId="9"/>
    <cellStyle name="常规 4" xfId="10"/>
    <cellStyle name="常规 28" xfId="11"/>
    <cellStyle name="常规 19" xfId="12"/>
    <cellStyle name="常规 2 4 2" xfId="13"/>
    <cellStyle name="常规 15 2 2" xfId="14"/>
    <cellStyle name="千位分隔 5" xfId="15"/>
    <cellStyle name="40% - 强调文字颜色 1" xfId="16" builtinId="31"/>
    <cellStyle name="60% - 强调文字颜色 4" xfId="17" builtinId="44"/>
    <cellStyle name="强调文字颜色 1" xfId="18" builtinId="29"/>
    <cellStyle name="适中" xfId="19" builtinId="28"/>
    <cellStyle name="警告文本" xfId="20" builtinId="11"/>
    <cellStyle name="20% - 强调文字颜色 6" xfId="21" builtinId="50"/>
    <cellStyle name="TextStyle" xfId="22"/>
    <cellStyle name="差" xfId="23" builtinId="27"/>
    <cellStyle name="强调文字颜色 2" xfId="24" builtinId="33"/>
    <cellStyle name="汇总" xfId="25" builtinId="25"/>
    <cellStyle name="强调文字颜色 5" xfId="26" builtinId="45"/>
    <cellStyle name="常规 2 2" xfId="27"/>
    <cellStyle name="20% - 强调文字颜色 1" xfId="28" builtinId="30"/>
    <cellStyle name="40% - 强调文字颜色 4" xfId="29" builtinId="43"/>
    <cellStyle name="标题 4" xfId="30" builtinId="19"/>
    <cellStyle name="常规 19 2 2" xfId="31"/>
    <cellStyle name="标题 2" xfId="32" builtinId="17"/>
    <cellStyle name="百分比" xfId="33" builtinId="5"/>
    <cellStyle name="千位分隔" xfId="34" builtinId="3"/>
    <cellStyle name="货币" xfId="35" builtinId="4"/>
    <cellStyle name="好" xfId="36" builtinId="26"/>
    <cellStyle name="常规 19 2" xfId="37"/>
    <cellStyle name="60% - 强调文字颜色 3" xfId="38" builtinId="40"/>
    <cellStyle name="千位分隔[0]" xfId="39" builtinId="6"/>
    <cellStyle name="60% - 强调文字颜色 1" xfId="40" builtinId="32"/>
    <cellStyle name="计算" xfId="41" builtinId="22"/>
    <cellStyle name="链接单元格" xfId="42" builtinId="24"/>
    <cellStyle name="注释" xfId="43" builtinId="10"/>
    <cellStyle name="解释性文本" xfId="44" builtinId="53"/>
    <cellStyle name="Normal" xfId="45"/>
    <cellStyle name="货币[0]" xfId="46" builtinId="7"/>
    <cellStyle name="20% - 强调文字颜色 3" xfId="47" builtinId="38"/>
    <cellStyle name="常规 10" xfId="48"/>
    <cellStyle name="40% - 强调文字颜色 6" xfId="49" builtinId="51"/>
    <cellStyle name="输出" xfId="50" builtinId="21"/>
    <cellStyle name="超链接" xfId="51" builtinId="8"/>
    <cellStyle name="常规 444" xfId="52"/>
    <cellStyle name="输入" xfId="53" builtinId="20"/>
    <cellStyle name="标题 1" xfId="54" builtinId="16"/>
    <cellStyle name="常规 11 3 2" xfId="55"/>
    <cellStyle name="检查单元格" xfId="56" builtinId="23"/>
    <cellStyle name="常规 16" xfId="57"/>
    <cellStyle name="标题 3" xfId="58" builtinId="18"/>
    <cellStyle name="已访问的超链接" xfId="59" builtinId="9"/>
    <cellStyle name="常规 23" xfId="60"/>
    <cellStyle name="标题" xfId="61" builtinId="15"/>
    <cellStyle name="常规 19 10" xfId="62"/>
    <cellStyle name="20% - 强调文字颜色 2" xfId="63" builtinId="34"/>
    <cellStyle name="常规 2 15" xfId="64"/>
    <cellStyle name="常规_2004年基金预算(二稿)" xfId="65"/>
    <cellStyle name="40% - 强调文字颜色 5" xfId="66" builtinId="47"/>
    <cellStyle name="千位分隔 6" xfId="67"/>
    <cellStyle name="40% - 强调文字颜色 2" xfId="68" builtinId="35"/>
    <cellStyle name="60% - 强调文字颜色 5" xfId="69" builtinId="48"/>
    <cellStyle name="60% - 强调文字颜色 2" xfId="70" builtinId="36"/>
    <cellStyle name="强调文字颜色 3" xfId="71" builtinId="37"/>
    <cellStyle name="40% - 强调文字颜色 3" xfId="72" builtinId="39"/>
    <cellStyle name="60% - 强调文字颜色 6" xfId="73" builtinId="52"/>
    <cellStyle name="常规_2007年云南省向人大报送政府收支预算表格式编制过程表 2 2" xfId="74"/>
    <cellStyle name="常规 3 7" xfId="75"/>
    <cellStyle name="强调文字颜色 4" xfId="76" builtinId="41"/>
    <cellStyle name="常规 2 2 6" xfId="77"/>
    <cellStyle name="20% - 强调文字颜色 4" xfId="78" builtinId="42"/>
    <cellStyle name="20% - 强调文字颜色 5" xfId="79" builtinId="46"/>
    <cellStyle name="强调文字颜色 6" xfId="80" builtinId="49"/>
    <cellStyle name="常规 88" xfId="81"/>
    <cellStyle name="常规_2007年云南省向人大报送政府收支预算表格式编制过程表 2" xfId="82"/>
    <cellStyle name="常规 2 2 11 2" xfId="83"/>
    <cellStyle name="常规_2007年云南省向人大报送政府收支预算表格式编制过程表 2 2 2" xfId="84"/>
    <cellStyle name="常规 10 2 2" xfId="85"/>
    <cellStyle name="常规 428" xfId="86"/>
    <cellStyle name="常规_exceltmp1" xfId="87"/>
    <cellStyle name="常规 2 2 2" xfId="88"/>
  </cellStyles>
  <dxfs count="5">
    <dxf>
      <font>
        <b val="1"/>
        <i val="0"/>
      </font>
    </dxf>
    <dxf>
      <font>
        <color indexed="10"/>
      </font>
    </dxf>
    <dxf>
      <font>
        <color indexed="9"/>
      </font>
    </dxf>
    <dxf>
      <font>
        <b val="0"/>
        <color indexed="9"/>
      </font>
    </dxf>
    <dxf>
      <font>
        <b val="0"/>
        <i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2" Type="http://schemas.openxmlformats.org/officeDocument/2006/relationships/sharedStrings" Target="sharedStrings.xml"/><Relationship Id="rId61" Type="http://schemas.openxmlformats.org/officeDocument/2006/relationships/styles" Target="styles.xml"/><Relationship Id="rId60" Type="http://schemas.openxmlformats.org/officeDocument/2006/relationships/theme" Target="theme/theme1.xml"/><Relationship Id="rId6" Type="http://schemas.openxmlformats.org/officeDocument/2006/relationships/worksheet" Target="worksheets/sheet6.xml"/><Relationship Id="rId59" Type="http://schemas.openxmlformats.org/officeDocument/2006/relationships/externalLink" Target="externalLinks/externalLink5.xml"/><Relationship Id="rId58" Type="http://schemas.openxmlformats.org/officeDocument/2006/relationships/externalLink" Target="externalLinks/externalLink4.xml"/><Relationship Id="rId57" Type="http://schemas.openxmlformats.org/officeDocument/2006/relationships/externalLink" Target="externalLinks/externalLink3.xml"/><Relationship Id="rId56" Type="http://schemas.openxmlformats.org/officeDocument/2006/relationships/externalLink" Target="externalLinks/externalLink2.xml"/><Relationship Id="rId55" Type="http://schemas.openxmlformats.org/officeDocument/2006/relationships/externalLink" Target="externalLinks/externalLink1.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3</xdr:col>
          <xdr:colOff>7620</xdr:colOff>
          <xdr:row>13</xdr:row>
          <xdr:rowOff>49530</xdr:rowOff>
        </xdr:from>
        <xdr:to>
          <xdr:col>4</xdr:col>
          <xdr:colOff>2134235</xdr:colOff>
          <xdr:row>14</xdr:row>
          <xdr:rowOff>97155</xdr:rowOff>
        </xdr:to>
        <xdr:sp>
          <xdr:nvSpPr>
            <xdr:cNvPr id="5121" name="Object 1" hidden="1">
              <a:extLst>
                <a:ext uri="{63B3BB69-23CF-44E3-9099-C40C66FF867C}">
                  <a14:compatExt spid="_x0000_s5121"/>
                </a:ext>
              </a:extLst>
            </xdr:cNvPr>
            <xdr:cNvSpPr/>
          </xdr:nvSpPr>
          <xdr:spPr>
            <a:xfrm>
              <a:off x="6477000" y="5905500"/>
              <a:ext cx="3698875" cy="504825"/>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edia/inspur/KINGSTON/&#27861;&#23450;&#20844;&#24320;//media/inspur/KINGSTON//media/inspur/E/&#39044;&#31639;&#31185;&#24037;&#20316;/&#39044;&#31639;&#31185;2026&#24180;&#24037;&#20316;/2026&#24180;&#39044;&#31639;&#32534;&#21046;&#30456;&#20851;&#36164;&#26009;/2026&#24180;&#39044;&#31639;&#33609;&#26696;&#32534;&#21046;//media/inspur/E/&#39044;&#31639;&#31185;&#24037;&#20316;/&#39044;&#31639;&#31185;2025&#24180;&#24037;&#20316;/2025&#24180;&#39044;&#31639;&#20844;&#24320;/2025&#24180;&#25919;&#24220;&#39044;&#31639;&#20844;&#24320;&#36164;&#26009;&#65288;&#21407;&#29256;&#65289;/10.124.6.233/&#20840;&#20307;&#20154;&#21592;/02&#24179;&#34913;&#22788;/01&#36130;&#21147;&#21450;&#39044;&#20915;&#31639;&#25253;&#21578;/2018&#24180;/&#24180;&#21021;&#20154;&#20195;&#20250;/&#36807;&#31243;/RecoveredExternalLink2"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dia/inspur/KINGSTON/&#27861;&#23450;&#20844;&#24320;//media/inspur/KINGSTON//media/inspur/E/&#39044;&#31639;&#31185;&#24037;&#20316;/&#39044;&#31639;&#31185;2026&#24180;&#24037;&#20316;/2026&#24180;&#39044;&#31639;&#32534;&#21046;&#30456;&#20851;&#36164;&#26009;/2026&#24180;&#39044;&#31639;&#33609;&#26696;&#32534;&#21046;//media/inspur/E/&#39044;&#31639;&#31185;&#24037;&#20316;/&#39044;&#31639;&#31185;2026&#24180;&#24037;&#20316;/2026&#24180;&#39044;&#31639;&#32534;&#21046;/&#20029;&#27743;&#24066;2024&#24180;&#22320;&#26041;&#36130;&#25919;&#39044;&#31639;&#25191;&#34892;&#24773;&#20917;&#21644;2025&#24180;&#22320;&#26041;&#36130;&#25919;&#39044;&#31639;&#65288;&#33609;&#26696;&#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dia/inspur/KINGSTON/&#27861;&#23450;&#20844;&#24320;//media/inspur/KINGSTON//media/inspur/E/&#39044;&#31639;&#31185;&#24037;&#20316;/&#39044;&#31639;&#31185;2026&#24180;&#24037;&#20316;/2026&#24180;&#39044;&#31639;&#32534;&#21046;&#30456;&#20851;&#36164;&#26009;/2026&#24180;&#39044;&#31639;&#33609;&#26696;&#32534;&#21046;//media/inspur/E/&#39044;&#31639;&#31185;&#24037;&#20316;/&#39044;&#31639;&#31185;2025&#24180;&#24037;&#20316;/2025&#24180;&#39044;&#31639;&#20844;&#24320;/2025&#24180;&#25919;&#24220;&#39044;&#31639;&#20844;&#24320;&#36164;&#26009;&#65288;&#21407;&#29256;&#65289;/10.124.6.233/&#20840;&#20307;&#20154;&#21592;/02&#24179;&#34913;&#22788;/01&#36130;&#21147;&#21450;&#39044;&#20915;&#31639;&#25253;&#21578;/2018&#24180;/&#24180;&#21021;&#20154;&#20195;&#20250;/&#36807;&#31243;/RecoveredExternalLink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dia/inspur/KINGSTON/&#27861;&#23450;&#20844;&#24320;//media/inspur/KINGSTON//media/inspur/E/&#39044;&#31639;&#31185;&#24037;&#20316;/&#39044;&#31639;&#31185;2026&#24180;&#24037;&#20316;/2026&#24180;&#39044;&#31639;&#32534;&#21046;&#30456;&#20851;&#36164;&#26009;/2026&#24180;&#39044;&#31639;&#33609;&#26696;&#32534;&#21046;//home/inspur/&#26700;&#38754;/2026&#24180;&#39044;&#31639;(xin).et"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dia/inspur/KINGSTON/&#27861;&#23450;&#20844;&#24320;///media/inspur/KINGSTON//media/inspur/E/&#39044;&#31639;&#31185;&#24037;&#20316;/&#39044;&#31639;&#31185;2026&#24180;&#24037;&#20316;/2026&#24180;&#39044;&#31639;&#32534;&#21046;&#30456;&#20851;&#36164;&#26009;/2026&#24180;&#39044;&#31639;&#33609;&#26696;&#32534;&#21046;///home/inspur/&#26700;&#38754;/C:/media/inspur/E/&#39044;&#31639;&#31185;&#24037;&#20316;/&#39044;&#31639;&#31185;2025&#24180;&#24037;&#20316;/2025&#24180;&#39044;&#31639;&#20844;&#24320;/2025&#24180;&#25919;&#24220;&#39044;&#31639;&#20844;&#24320;&#36164;&#26009;&#65288;&#21407;&#29256;&#65289;/10.124.6.233/&#20840;&#20307;&#20154;&#21592;/02&#24179;&#34913;&#22788;/01&#36130;&#21147;&#21450;&#39044;&#20915;&#31639;&#25253;&#21578;/2018&#24180;/&#24180;&#21021;&#20154;&#20195;&#20250;/&#36807;&#31243;/RecoveredExternalLink2"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说明"/>
      <sheetName val="封面"/>
      <sheetName val="目录"/>
      <sheetName val="表一"/>
      <sheetName val="表二"/>
      <sheetName val="表三"/>
      <sheetName val="表四"/>
      <sheetName val="表五"/>
      <sheetName val="表六"/>
      <sheetName val="表七"/>
      <sheetName val="表八"/>
      <sheetName val="审核1"/>
      <sheetName val="审核2"/>
      <sheetName val="土地收入"/>
      <sheetName val="历年预算科目"/>
      <sheetName val="_ESList"/>
      <sheetName val="收入(一般)"/>
      <sheetName val="支出(一般)"/>
      <sheetName val="收入(基金)"/>
      <sheetName val="支出(基金)"/>
      <sheetName val="国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封面"/>
      <sheetName val="目录"/>
      <sheetName val="01-1"/>
      <sheetName val="01-2"/>
      <sheetName val="2"/>
      <sheetName val="3-1"/>
      <sheetName val="3-2"/>
      <sheetName val="4"/>
      <sheetName val="05"/>
      <sheetName val="06"/>
      <sheetName val="07"/>
      <sheetName val="08"/>
      <sheetName val="09"/>
      <sheetName val="10"/>
      <sheetName val="11"/>
      <sheetName val="12"/>
      <sheetName val="13"/>
      <sheetName val="14"/>
      <sheetName val="15"/>
      <sheetName val="16"/>
      <sheetName val="17"/>
      <sheetName val="18"/>
      <sheetName val="19"/>
      <sheetName val="20-1 "/>
      <sheetName val="20-2"/>
      <sheetName val="21"/>
      <sheetName val="22-1"/>
      <sheetName val="2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Sheet1"/>
      <sheetName val="Sheet2"/>
      <sheetName val="Sheet3"/>
    </sheetNames>
    <sheetDataSet>
      <sheetData sheetId="0" refreshError="1"/>
      <sheetData sheetId="1" refreshError="1"/>
      <sheetData sheetId="2" refreshError="1"/>
      <sheetData sheetId="3" refreshError="1"/>
      <sheetData sheetId="4" refreshError="1">
        <row r="7">
          <cell r="E7">
            <v>2225</v>
          </cell>
        </row>
        <row r="8">
          <cell r="E8">
            <v>173</v>
          </cell>
        </row>
        <row r="9">
          <cell r="E9">
            <v>57</v>
          </cell>
        </row>
        <row r="10">
          <cell r="E10">
            <v>280</v>
          </cell>
        </row>
        <row r="11">
          <cell r="E11">
            <v>1</v>
          </cell>
        </row>
        <row r="12">
          <cell r="E12">
            <v>16</v>
          </cell>
        </row>
        <row r="13">
          <cell r="E13">
            <v>112</v>
          </cell>
        </row>
        <row r="14">
          <cell r="E14">
            <v>52</v>
          </cell>
        </row>
        <row r="15">
          <cell r="E15">
            <v>0</v>
          </cell>
        </row>
        <row r="16">
          <cell r="E16">
            <v>34</v>
          </cell>
        </row>
        <row r="17">
          <cell r="E17">
            <v>113</v>
          </cell>
        </row>
        <row r="19">
          <cell r="E19">
            <v>4464</v>
          </cell>
        </row>
        <row r="20">
          <cell r="E20">
            <v>159</v>
          </cell>
        </row>
        <row r="21">
          <cell r="E21">
            <v>0</v>
          </cell>
        </row>
        <row r="22">
          <cell r="E22">
            <v>172</v>
          </cell>
        </row>
        <row r="23">
          <cell r="E23">
            <v>23</v>
          </cell>
        </row>
        <row r="24">
          <cell r="E24">
            <v>19</v>
          </cell>
        </row>
        <row r="25">
          <cell r="E25">
            <v>0</v>
          </cell>
        </row>
        <row r="26">
          <cell r="E26">
            <v>120</v>
          </cell>
        </row>
        <row r="28">
          <cell r="E28">
            <v>30603</v>
          </cell>
        </row>
        <row r="29">
          <cell r="E29">
            <v>1499</v>
          </cell>
        </row>
        <row r="30">
          <cell r="E30">
            <v>825</v>
          </cell>
        </row>
        <row r="31">
          <cell r="E31">
            <v>2</v>
          </cell>
        </row>
        <row r="32">
          <cell r="E32">
            <v>18</v>
          </cell>
        </row>
        <row r="33">
          <cell r="E33">
            <v>0</v>
          </cell>
        </row>
        <row r="34">
          <cell r="E34">
            <v>15</v>
          </cell>
        </row>
        <row r="35">
          <cell r="E35">
            <v>8879</v>
          </cell>
        </row>
        <row r="36">
          <cell r="E36">
            <v>5371</v>
          </cell>
        </row>
        <row r="38">
          <cell r="E38">
            <v>3174</v>
          </cell>
        </row>
        <row r="39">
          <cell r="E39">
            <v>4</v>
          </cell>
        </row>
        <row r="40">
          <cell r="E40">
            <v>0</v>
          </cell>
        </row>
        <row r="41">
          <cell r="E41">
            <v>225</v>
          </cell>
        </row>
        <row r="42">
          <cell r="E42">
            <v>0</v>
          </cell>
        </row>
        <row r="43">
          <cell r="E43">
            <v>678</v>
          </cell>
        </row>
        <row r="44">
          <cell r="E44">
            <v>0</v>
          </cell>
        </row>
        <row r="45">
          <cell r="E45">
            <v>8</v>
          </cell>
        </row>
        <row r="46">
          <cell r="E46">
            <v>714</v>
          </cell>
        </row>
        <row r="47">
          <cell r="E47">
            <v>597</v>
          </cell>
        </row>
        <row r="49">
          <cell r="E49">
            <v>1096</v>
          </cell>
        </row>
        <row r="50">
          <cell r="E50">
            <v>16</v>
          </cell>
        </row>
        <row r="51">
          <cell r="E51">
            <v>0</v>
          </cell>
        </row>
        <row r="52">
          <cell r="E52">
            <v>0</v>
          </cell>
        </row>
        <row r="53">
          <cell r="E53">
            <v>280</v>
          </cell>
        </row>
        <row r="54">
          <cell r="E54">
            <v>8</v>
          </cell>
        </row>
        <row r="55">
          <cell r="E55">
            <v>390</v>
          </cell>
        </row>
        <row r="56">
          <cell r="E56">
            <v>235</v>
          </cell>
        </row>
        <row r="57">
          <cell r="E57">
            <v>618</v>
          </cell>
        </row>
        <row r="58">
          <cell r="E58">
            <v>25</v>
          </cell>
        </row>
        <row r="60">
          <cell r="E60">
            <v>4914</v>
          </cell>
        </row>
        <row r="61">
          <cell r="E61">
            <v>299</v>
          </cell>
        </row>
        <row r="62">
          <cell r="E62">
            <v>0</v>
          </cell>
        </row>
        <row r="63">
          <cell r="E63">
            <v>70</v>
          </cell>
        </row>
        <row r="64">
          <cell r="E64">
            <v>32</v>
          </cell>
        </row>
        <row r="65">
          <cell r="E65">
            <v>0</v>
          </cell>
        </row>
        <row r="66">
          <cell r="E66">
            <v>186</v>
          </cell>
        </row>
        <row r="67">
          <cell r="E67">
            <v>486</v>
          </cell>
        </row>
        <row r="68">
          <cell r="E68">
            <v>1717</v>
          </cell>
        </row>
        <row r="69">
          <cell r="E69">
            <v>580</v>
          </cell>
        </row>
        <row r="71">
          <cell r="E71">
            <v>478</v>
          </cell>
        </row>
        <row r="72">
          <cell r="E72">
            <v>114</v>
          </cell>
        </row>
        <row r="73">
          <cell r="E73">
            <v>0</v>
          </cell>
        </row>
        <row r="74">
          <cell r="E74">
            <v>0</v>
          </cell>
        </row>
        <row r="75">
          <cell r="E75">
            <v>50</v>
          </cell>
        </row>
        <row r="76">
          <cell r="E76">
            <v>0</v>
          </cell>
        </row>
        <row r="77">
          <cell r="E77">
            <v>185</v>
          </cell>
        </row>
        <row r="79">
          <cell r="E79">
            <v>1</v>
          </cell>
        </row>
        <row r="80">
          <cell r="E80">
            <v>0</v>
          </cell>
        </row>
        <row r="81">
          <cell r="E81">
            <v>0</v>
          </cell>
        </row>
        <row r="82">
          <cell r="E82">
            <v>670</v>
          </cell>
        </row>
        <row r="83">
          <cell r="E83">
            <v>0</v>
          </cell>
        </row>
        <row r="84">
          <cell r="E84">
            <v>0</v>
          </cell>
        </row>
        <row r="85">
          <cell r="E85">
            <v>23</v>
          </cell>
        </row>
        <row r="86">
          <cell r="E86">
            <v>0</v>
          </cell>
        </row>
        <row r="88">
          <cell r="E88">
            <v>0</v>
          </cell>
        </row>
        <row r="89">
          <cell r="E89">
            <v>98</v>
          </cell>
        </row>
        <row r="90">
          <cell r="E90">
            <v>0</v>
          </cell>
        </row>
        <row r="91">
          <cell r="E91">
            <v>0</v>
          </cell>
        </row>
        <row r="92">
          <cell r="E92">
            <v>0</v>
          </cell>
        </row>
        <row r="93">
          <cell r="E93">
            <v>0</v>
          </cell>
        </row>
        <row r="94">
          <cell r="E94">
            <v>0</v>
          </cell>
        </row>
        <row r="95">
          <cell r="E95">
            <v>0</v>
          </cell>
        </row>
        <row r="96">
          <cell r="E96">
            <v>0</v>
          </cell>
        </row>
        <row r="97">
          <cell r="E97">
            <v>0</v>
          </cell>
        </row>
        <row r="98">
          <cell r="E98">
            <v>0</v>
          </cell>
        </row>
        <row r="99">
          <cell r="E99">
            <v>0</v>
          </cell>
        </row>
        <row r="101">
          <cell r="E101">
            <v>9907</v>
          </cell>
        </row>
        <row r="102">
          <cell r="E102">
            <v>1044</v>
          </cell>
        </row>
        <row r="103">
          <cell r="E103">
            <v>0</v>
          </cell>
        </row>
        <row r="104">
          <cell r="E104">
            <v>696</v>
          </cell>
        </row>
        <row r="105">
          <cell r="E105">
            <v>31</v>
          </cell>
        </row>
        <row r="106">
          <cell r="E106">
            <v>0</v>
          </cell>
        </row>
        <row r="107">
          <cell r="E107">
            <v>213</v>
          </cell>
        </row>
        <row r="108">
          <cell r="E108">
            <v>3340</v>
          </cell>
        </row>
        <row r="110">
          <cell r="E110">
            <v>1629</v>
          </cell>
        </row>
        <row r="111">
          <cell r="E111">
            <v>121</v>
          </cell>
        </row>
        <row r="112">
          <cell r="E112">
            <v>0</v>
          </cell>
        </row>
        <row r="113">
          <cell r="E113">
            <v>-1</v>
          </cell>
        </row>
        <row r="114">
          <cell r="E114">
            <v>0</v>
          </cell>
        </row>
        <row r="115">
          <cell r="E115">
            <v>0</v>
          </cell>
        </row>
        <row r="116">
          <cell r="E116">
            <v>0</v>
          </cell>
        </row>
        <row r="117">
          <cell r="E117">
            <v>795</v>
          </cell>
        </row>
        <row r="118">
          <cell r="E118">
            <v>252</v>
          </cell>
        </row>
        <row r="119">
          <cell r="E119">
            <v>1002</v>
          </cell>
        </row>
        <row r="121">
          <cell r="E121">
            <v>0</v>
          </cell>
        </row>
        <row r="122">
          <cell r="E122">
            <v>0</v>
          </cell>
        </row>
        <row r="123">
          <cell r="E123">
            <v>0</v>
          </cell>
        </row>
        <row r="124">
          <cell r="E124">
            <v>0</v>
          </cell>
        </row>
        <row r="125">
          <cell r="E125">
            <v>0</v>
          </cell>
        </row>
        <row r="126">
          <cell r="E126">
            <v>0</v>
          </cell>
        </row>
        <row r="127">
          <cell r="E127">
            <v>50</v>
          </cell>
        </row>
        <row r="128">
          <cell r="E128">
            <v>0</v>
          </cell>
        </row>
        <row r="129">
          <cell r="E129">
            <v>0</v>
          </cell>
        </row>
        <row r="130">
          <cell r="E130">
            <v>0</v>
          </cell>
        </row>
        <row r="131">
          <cell r="E131">
            <v>4</v>
          </cell>
        </row>
        <row r="133">
          <cell r="E133">
            <v>675</v>
          </cell>
        </row>
        <row r="134">
          <cell r="E134">
            <v>8</v>
          </cell>
        </row>
        <row r="135">
          <cell r="E135">
            <v>0</v>
          </cell>
        </row>
        <row r="136">
          <cell r="E136">
            <v>0</v>
          </cell>
        </row>
        <row r="137">
          <cell r="E137">
            <v>0</v>
          </cell>
        </row>
        <row r="138">
          <cell r="E138">
            <v>312</v>
          </cell>
        </row>
        <row r="140">
          <cell r="E140">
            <v>0</v>
          </cell>
        </row>
        <row r="141">
          <cell r="E141">
            <v>0</v>
          </cell>
        </row>
        <row r="142">
          <cell r="E142">
            <v>0</v>
          </cell>
        </row>
        <row r="143">
          <cell r="E143">
            <v>0</v>
          </cell>
        </row>
        <row r="144">
          <cell r="E144">
            <v>0</v>
          </cell>
        </row>
        <row r="145">
          <cell r="E145">
            <v>0</v>
          </cell>
        </row>
        <row r="146">
          <cell r="E146">
            <v>0</v>
          </cell>
        </row>
        <row r="148">
          <cell r="E148">
            <v>89</v>
          </cell>
        </row>
        <row r="149">
          <cell r="E149">
            <v>0</v>
          </cell>
        </row>
        <row r="150">
          <cell r="E150">
            <v>0</v>
          </cell>
        </row>
        <row r="151">
          <cell r="E151">
            <v>371</v>
          </cell>
        </row>
        <row r="152">
          <cell r="E152">
            <v>128</v>
          </cell>
        </row>
        <row r="154">
          <cell r="E154">
            <v>814</v>
          </cell>
        </row>
        <row r="155">
          <cell r="E155">
            <v>70</v>
          </cell>
        </row>
        <row r="156">
          <cell r="E156">
            <v>0</v>
          </cell>
        </row>
        <row r="157">
          <cell r="E157">
            <v>0</v>
          </cell>
        </row>
        <row r="158">
          <cell r="E158">
            <v>0</v>
          </cell>
        </row>
        <row r="159">
          <cell r="E159">
            <v>23</v>
          </cell>
        </row>
        <row r="161">
          <cell r="E161">
            <v>2674</v>
          </cell>
        </row>
        <row r="162">
          <cell r="E162">
            <v>118</v>
          </cell>
        </row>
        <row r="163">
          <cell r="E163">
            <v>0</v>
          </cell>
        </row>
        <row r="164">
          <cell r="E164">
            <v>710</v>
          </cell>
        </row>
        <row r="165">
          <cell r="E165">
            <v>442</v>
          </cell>
        </row>
        <row r="166">
          <cell r="E166">
            <v>3410</v>
          </cell>
        </row>
        <row r="168">
          <cell r="E168">
            <v>6773</v>
          </cell>
        </row>
        <row r="169">
          <cell r="E169">
            <v>611</v>
          </cell>
        </row>
        <row r="170">
          <cell r="E170">
            <v>0</v>
          </cell>
        </row>
        <row r="171">
          <cell r="E171">
            <v>31</v>
          </cell>
        </row>
        <row r="172">
          <cell r="E172">
            <v>221</v>
          </cell>
        </row>
        <row r="173">
          <cell r="E173">
            <v>309</v>
          </cell>
        </row>
        <row r="175">
          <cell r="E175">
            <v>3486</v>
          </cell>
        </row>
        <row r="176">
          <cell r="E176">
            <v>775</v>
          </cell>
        </row>
        <row r="177">
          <cell r="E177">
            <v>2</v>
          </cell>
        </row>
        <row r="178">
          <cell r="E178">
            <v>31</v>
          </cell>
        </row>
        <row r="179">
          <cell r="E179">
            <v>394</v>
          </cell>
        </row>
        <row r="180">
          <cell r="E180">
            <v>1362</v>
          </cell>
        </row>
        <row r="182">
          <cell r="E182">
            <v>1945</v>
          </cell>
        </row>
        <row r="183">
          <cell r="E183">
            <v>502</v>
          </cell>
        </row>
        <row r="184">
          <cell r="E184">
            <v>0</v>
          </cell>
        </row>
        <row r="185">
          <cell r="E185">
            <v>0</v>
          </cell>
        </row>
        <row r="186">
          <cell r="E186">
            <v>675</v>
          </cell>
        </row>
        <row r="187">
          <cell r="E187">
            <v>864</v>
          </cell>
        </row>
        <row r="189">
          <cell r="E189">
            <v>1551</v>
          </cell>
        </row>
        <row r="190">
          <cell r="E190">
            <v>23</v>
          </cell>
        </row>
        <row r="191">
          <cell r="E191">
            <v>0</v>
          </cell>
        </row>
        <row r="192">
          <cell r="E192">
            <v>163</v>
          </cell>
        </row>
        <row r="193">
          <cell r="E193">
            <v>183</v>
          </cell>
        </row>
        <row r="194">
          <cell r="E194">
            <v>8</v>
          </cell>
        </row>
        <row r="195">
          <cell r="E195">
            <v>307</v>
          </cell>
        </row>
        <row r="197">
          <cell r="E197">
            <v>0</v>
          </cell>
        </row>
        <row r="198">
          <cell r="E198">
            <v>0</v>
          </cell>
        </row>
        <row r="199">
          <cell r="E199">
            <v>0</v>
          </cell>
        </row>
        <row r="200">
          <cell r="E200">
            <v>0</v>
          </cell>
        </row>
        <row r="201">
          <cell r="E201">
            <v>0</v>
          </cell>
        </row>
        <row r="203">
          <cell r="E203">
            <v>2780</v>
          </cell>
        </row>
        <row r="204">
          <cell r="E204">
            <v>856</v>
          </cell>
        </row>
        <row r="205">
          <cell r="E205">
            <v>0</v>
          </cell>
        </row>
        <row r="206">
          <cell r="E206">
            <v>220</v>
          </cell>
        </row>
        <row r="207">
          <cell r="E207">
            <v>207</v>
          </cell>
        </row>
        <row r="209">
          <cell r="E209">
            <v>214</v>
          </cell>
        </row>
        <row r="210">
          <cell r="E210">
            <v>96</v>
          </cell>
        </row>
        <row r="211">
          <cell r="E211">
            <v>0</v>
          </cell>
        </row>
        <row r="212">
          <cell r="E212">
            <v>12</v>
          </cell>
        </row>
        <row r="213">
          <cell r="E213">
            <v>131</v>
          </cell>
        </row>
        <row r="214">
          <cell r="E214">
            <v>39</v>
          </cell>
        </row>
        <row r="216">
          <cell r="E216">
            <v>5595</v>
          </cell>
        </row>
        <row r="217">
          <cell r="E217">
            <v>239</v>
          </cell>
        </row>
        <row r="218">
          <cell r="E218">
            <v>17</v>
          </cell>
        </row>
        <row r="219">
          <cell r="E219">
            <v>21</v>
          </cell>
        </row>
        <row r="220">
          <cell r="E220">
            <v>69</v>
          </cell>
        </row>
        <row r="221">
          <cell r="E221">
            <v>0</v>
          </cell>
        </row>
        <row r="222">
          <cell r="E222">
            <v>2</v>
          </cell>
        </row>
        <row r="223">
          <cell r="E223">
            <v>2</v>
          </cell>
        </row>
        <row r="224">
          <cell r="E224">
            <v>0</v>
          </cell>
        </row>
        <row r="225">
          <cell r="E225">
            <v>0</v>
          </cell>
        </row>
        <row r="226">
          <cell r="E226">
            <v>55</v>
          </cell>
        </row>
        <row r="227">
          <cell r="E227">
            <v>317</v>
          </cell>
        </row>
        <row r="228">
          <cell r="E228">
            <v>1850</v>
          </cell>
        </row>
        <row r="229">
          <cell r="E229">
            <v>405</v>
          </cell>
        </row>
        <row r="231">
          <cell r="E231">
            <v>391</v>
          </cell>
        </row>
        <row r="232">
          <cell r="E232">
            <v>42</v>
          </cell>
        </row>
        <row r="233">
          <cell r="E233">
            <v>0</v>
          </cell>
        </row>
        <row r="234">
          <cell r="E234">
            <v>0</v>
          </cell>
        </row>
        <row r="235">
          <cell r="E235">
            <v>13</v>
          </cell>
        </row>
        <row r="236">
          <cell r="E236">
            <v>6</v>
          </cell>
        </row>
        <row r="238">
          <cell r="E238">
            <v>493</v>
          </cell>
        </row>
        <row r="239">
          <cell r="E239">
            <v>10</v>
          </cell>
        </row>
        <row r="240">
          <cell r="E240">
            <v>0</v>
          </cell>
        </row>
        <row r="241">
          <cell r="E241">
            <v>130</v>
          </cell>
        </row>
        <row r="242">
          <cell r="E242">
            <v>1</v>
          </cell>
        </row>
        <row r="244">
          <cell r="E244">
            <v>0</v>
          </cell>
        </row>
        <row r="245">
          <cell r="E245">
            <v>-4314</v>
          </cell>
        </row>
        <row r="248">
          <cell r="E248">
            <v>0</v>
          </cell>
        </row>
        <row r="249">
          <cell r="E249">
            <v>0</v>
          </cell>
        </row>
        <row r="250">
          <cell r="E250">
            <v>0</v>
          </cell>
        </row>
        <row r="251">
          <cell r="E251">
            <v>0</v>
          </cell>
        </row>
        <row r="252">
          <cell r="E252">
            <v>0</v>
          </cell>
        </row>
        <row r="253">
          <cell r="E253">
            <v>0</v>
          </cell>
        </row>
        <row r="255">
          <cell r="E255">
            <v>0</v>
          </cell>
        </row>
        <row r="256">
          <cell r="E256">
            <v>0</v>
          </cell>
        </row>
        <row r="258">
          <cell r="E258">
            <v>0</v>
          </cell>
        </row>
        <row r="259">
          <cell r="E259">
            <v>0</v>
          </cell>
        </row>
        <row r="261">
          <cell r="E261">
            <v>0</v>
          </cell>
        </row>
        <row r="262">
          <cell r="E262">
            <v>0</v>
          </cell>
        </row>
        <row r="263">
          <cell r="E263">
            <v>0</v>
          </cell>
        </row>
        <row r="264">
          <cell r="E264">
            <v>0</v>
          </cell>
        </row>
        <row r="265">
          <cell r="E265">
            <v>0</v>
          </cell>
        </row>
        <row r="267">
          <cell r="E267">
            <v>0</v>
          </cell>
        </row>
        <row r="268">
          <cell r="E268">
            <v>0</v>
          </cell>
        </row>
        <row r="269">
          <cell r="E269">
            <v>0</v>
          </cell>
        </row>
        <row r="270">
          <cell r="E270">
            <v>0</v>
          </cell>
        </row>
        <row r="272">
          <cell r="E272">
            <v>0</v>
          </cell>
        </row>
        <row r="274">
          <cell r="E274">
            <v>0</v>
          </cell>
        </row>
        <row r="275">
          <cell r="E275">
            <v>0</v>
          </cell>
        </row>
        <row r="276">
          <cell r="E276">
            <v>0</v>
          </cell>
        </row>
        <row r="277">
          <cell r="E277">
            <v>0</v>
          </cell>
        </row>
        <row r="279">
          <cell r="E279">
            <v>0</v>
          </cell>
        </row>
        <row r="280">
          <cell r="E280">
            <v>0</v>
          </cell>
        </row>
        <row r="281">
          <cell r="E281">
            <v>0</v>
          </cell>
        </row>
        <row r="282">
          <cell r="E282">
            <v>0</v>
          </cell>
        </row>
        <row r="283">
          <cell r="E283">
            <v>0</v>
          </cell>
        </row>
        <row r="285">
          <cell r="E285">
            <v>0</v>
          </cell>
        </row>
        <row r="288">
          <cell r="E288">
            <v>0</v>
          </cell>
        </row>
        <row r="289">
          <cell r="E289">
            <v>0</v>
          </cell>
        </row>
        <row r="290">
          <cell r="E290">
            <v>0</v>
          </cell>
        </row>
        <row r="292">
          <cell r="E292">
            <v>0</v>
          </cell>
        </row>
        <row r="294">
          <cell r="E294">
            <v>106</v>
          </cell>
        </row>
        <row r="296">
          <cell r="E296">
            <v>531</v>
          </cell>
        </row>
        <row r="297">
          <cell r="E297">
            <v>0</v>
          </cell>
        </row>
        <row r="298">
          <cell r="E298">
            <v>15</v>
          </cell>
        </row>
        <row r="299">
          <cell r="E299">
            <v>0</v>
          </cell>
        </row>
        <row r="300">
          <cell r="E300">
            <v>982</v>
          </cell>
        </row>
        <row r="301">
          <cell r="E301">
            <v>0</v>
          </cell>
        </row>
        <row r="302">
          <cell r="E302">
            <v>330</v>
          </cell>
        </row>
        <row r="304">
          <cell r="E304">
            <v>126</v>
          </cell>
        </row>
        <row r="307">
          <cell r="E307">
            <v>9</v>
          </cell>
        </row>
        <row r="308">
          <cell r="E308">
            <v>189</v>
          </cell>
        </row>
        <row r="310">
          <cell r="E310">
            <v>44075</v>
          </cell>
        </row>
        <row r="311">
          <cell r="E311">
            <v>2107</v>
          </cell>
        </row>
        <row r="312">
          <cell r="E312">
            <v>0</v>
          </cell>
        </row>
        <row r="313">
          <cell r="E313">
            <v>386</v>
          </cell>
        </row>
        <row r="314">
          <cell r="E314">
            <v>10744</v>
          </cell>
        </row>
        <row r="315">
          <cell r="E315">
            <v>0</v>
          </cell>
        </row>
        <row r="316">
          <cell r="E316">
            <v>0</v>
          </cell>
        </row>
        <row r="317">
          <cell r="E317">
            <v>16</v>
          </cell>
        </row>
        <row r="318">
          <cell r="E318">
            <v>225</v>
          </cell>
        </row>
        <row r="319">
          <cell r="E319">
            <v>7442</v>
          </cell>
        </row>
        <row r="321">
          <cell r="E321">
            <v>0</v>
          </cell>
        </row>
        <row r="322">
          <cell r="E322">
            <v>0</v>
          </cell>
        </row>
        <row r="323">
          <cell r="E323">
            <v>0</v>
          </cell>
        </row>
        <row r="324">
          <cell r="E324">
            <v>0</v>
          </cell>
        </row>
        <row r="325">
          <cell r="E325">
            <v>0</v>
          </cell>
        </row>
        <row r="326">
          <cell r="E326">
            <v>20</v>
          </cell>
        </row>
        <row r="328">
          <cell r="E328">
            <v>13</v>
          </cell>
        </row>
        <row r="329">
          <cell r="E329">
            <v>0</v>
          </cell>
        </row>
        <row r="330">
          <cell r="E330">
            <v>0</v>
          </cell>
        </row>
        <row r="331">
          <cell r="E331">
            <v>0</v>
          </cell>
        </row>
        <row r="332">
          <cell r="E332">
            <v>0</v>
          </cell>
        </row>
        <row r="333">
          <cell r="E333">
            <v>9</v>
          </cell>
        </row>
        <row r="334">
          <cell r="E334">
            <v>204</v>
          </cell>
        </row>
        <row r="336">
          <cell r="E336">
            <v>26</v>
          </cell>
        </row>
        <row r="337">
          <cell r="E337">
            <v>0</v>
          </cell>
        </row>
        <row r="338">
          <cell r="E338">
            <v>0</v>
          </cell>
        </row>
        <row r="339">
          <cell r="E339">
            <v>74</v>
          </cell>
        </row>
        <row r="340">
          <cell r="E340">
            <v>0</v>
          </cell>
        </row>
        <row r="341">
          <cell r="E341">
            <v>0</v>
          </cell>
        </row>
        <row r="342">
          <cell r="E342">
            <v>1</v>
          </cell>
        </row>
        <row r="343">
          <cell r="E343">
            <v>297</v>
          </cell>
        </row>
        <row r="345">
          <cell r="E345">
            <v>3604</v>
          </cell>
        </row>
        <row r="346">
          <cell r="E346">
            <v>0</v>
          </cell>
        </row>
        <row r="347">
          <cell r="E347">
            <v>0</v>
          </cell>
        </row>
        <row r="348">
          <cell r="E348">
            <v>195</v>
          </cell>
        </row>
        <row r="349">
          <cell r="E349">
            <v>178</v>
          </cell>
        </row>
        <row r="350">
          <cell r="E350">
            <v>8</v>
          </cell>
        </row>
        <row r="351">
          <cell r="E351">
            <v>169</v>
          </cell>
        </row>
        <row r="352">
          <cell r="E352">
            <v>14</v>
          </cell>
        </row>
        <row r="353">
          <cell r="E353">
            <v>270</v>
          </cell>
        </row>
        <row r="354">
          <cell r="E354">
            <v>126</v>
          </cell>
        </row>
        <row r="355">
          <cell r="E355">
            <v>0</v>
          </cell>
        </row>
        <row r="356">
          <cell r="E356">
            <v>142</v>
          </cell>
        </row>
        <row r="357">
          <cell r="E357">
            <v>452</v>
          </cell>
        </row>
        <row r="359">
          <cell r="E359">
            <v>0</v>
          </cell>
        </row>
        <row r="360">
          <cell r="E360">
            <v>0</v>
          </cell>
        </row>
        <row r="361">
          <cell r="E361">
            <v>0</v>
          </cell>
        </row>
        <row r="362">
          <cell r="E362">
            <v>70</v>
          </cell>
        </row>
        <row r="363">
          <cell r="E363">
            <v>0</v>
          </cell>
        </row>
        <row r="364">
          <cell r="E364">
            <v>0</v>
          </cell>
        </row>
        <row r="365">
          <cell r="E365">
            <v>0</v>
          </cell>
        </row>
        <row r="366">
          <cell r="E366">
            <v>0</v>
          </cell>
        </row>
        <row r="367">
          <cell r="E367">
            <v>0</v>
          </cell>
        </row>
        <row r="369">
          <cell r="E369">
            <v>0</v>
          </cell>
        </row>
        <row r="370">
          <cell r="E370">
            <v>0</v>
          </cell>
        </row>
        <row r="371">
          <cell r="E371">
            <v>0</v>
          </cell>
        </row>
        <row r="372">
          <cell r="E372">
            <v>5</v>
          </cell>
        </row>
        <row r="373">
          <cell r="E373">
            <v>0</v>
          </cell>
        </row>
        <row r="374">
          <cell r="E374">
            <v>0</v>
          </cell>
        </row>
        <row r="375">
          <cell r="E375">
            <v>0</v>
          </cell>
        </row>
        <row r="376">
          <cell r="E376">
            <v>0</v>
          </cell>
        </row>
        <row r="377">
          <cell r="E377">
            <v>20</v>
          </cell>
        </row>
        <row r="379">
          <cell r="E379">
            <v>0</v>
          </cell>
        </row>
        <row r="380">
          <cell r="E380">
            <v>0</v>
          </cell>
        </row>
        <row r="381">
          <cell r="E381">
            <v>0</v>
          </cell>
        </row>
        <row r="382">
          <cell r="E382">
            <v>0</v>
          </cell>
        </row>
        <row r="383">
          <cell r="E383">
            <v>0</v>
          </cell>
        </row>
        <row r="384">
          <cell r="E384">
            <v>0</v>
          </cell>
        </row>
        <row r="385">
          <cell r="E385">
            <v>0</v>
          </cell>
        </row>
        <row r="387">
          <cell r="E387">
            <v>0</v>
          </cell>
        </row>
        <row r="388">
          <cell r="E388">
            <v>0</v>
          </cell>
        </row>
        <row r="389">
          <cell r="E389">
            <v>0</v>
          </cell>
        </row>
        <row r="390">
          <cell r="E390">
            <v>0</v>
          </cell>
        </row>
        <row r="391">
          <cell r="E391">
            <v>0</v>
          </cell>
        </row>
        <row r="393">
          <cell r="E393">
            <v>107</v>
          </cell>
        </row>
        <row r="394">
          <cell r="E394">
            <v>266</v>
          </cell>
        </row>
        <row r="397">
          <cell r="E397">
            <v>1457</v>
          </cell>
        </row>
        <row r="398">
          <cell r="E398">
            <v>199</v>
          </cell>
        </row>
        <row r="399">
          <cell r="E399">
            <v>88</v>
          </cell>
        </row>
        <row r="400">
          <cell r="E400">
            <v>1735</v>
          </cell>
        </row>
        <row r="402">
          <cell r="E402">
            <v>13356</v>
          </cell>
        </row>
        <row r="403">
          <cell r="E403">
            <v>117600</v>
          </cell>
        </row>
        <row r="404">
          <cell r="E404">
            <v>55736</v>
          </cell>
        </row>
        <row r="405">
          <cell r="E405">
            <v>37014</v>
          </cell>
        </row>
        <row r="406">
          <cell r="E406">
            <v>435</v>
          </cell>
        </row>
        <row r="407">
          <cell r="E407">
            <v>6152</v>
          </cell>
        </row>
        <row r="409">
          <cell r="E409">
            <v>0</v>
          </cell>
        </row>
        <row r="410">
          <cell r="E410">
            <v>10018</v>
          </cell>
        </row>
        <row r="411">
          <cell r="E411">
            <v>181</v>
          </cell>
        </row>
        <row r="412">
          <cell r="E412">
            <v>2603</v>
          </cell>
        </row>
        <row r="413">
          <cell r="E413">
            <v>0</v>
          </cell>
        </row>
        <row r="415">
          <cell r="E415">
            <v>0</v>
          </cell>
        </row>
        <row r="416">
          <cell r="E416">
            <v>0</v>
          </cell>
        </row>
        <row r="417">
          <cell r="E417">
            <v>0</v>
          </cell>
        </row>
        <row r="418">
          <cell r="E418">
            <v>0</v>
          </cell>
        </row>
        <row r="419">
          <cell r="E419">
            <v>0</v>
          </cell>
        </row>
        <row r="421">
          <cell r="E421">
            <v>0</v>
          </cell>
        </row>
        <row r="422">
          <cell r="E422">
            <v>0</v>
          </cell>
        </row>
        <row r="423">
          <cell r="E423">
            <v>0</v>
          </cell>
        </row>
        <row r="425">
          <cell r="E425">
            <v>0</v>
          </cell>
        </row>
        <row r="426">
          <cell r="E426">
            <v>0</v>
          </cell>
        </row>
        <row r="427">
          <cell r="E427">
            <v>0</v>
          </cell>
        </row>
        <row r="429">
          <cell r="E429">
            <v>2034</v>
          </cell>
        </row>
        <row r="430">
          <cell r="E430">
            <v>154</v>
          </cell>
        </row>
        <row r="431">
          <cell r="E431">
            <v>0</v>
          </cell>
        </row>
        <row r="433">
          <cell r="E433">
            <v>1462</v>
          </cell>
        </row>
        <row r="434">
          <cell r="E434">
            <v>1747</v>
          </cell>
        </row>
        <row r="435">
          <cell r="E435">
            <v>29</v>
          </cell>
        </row>
        <row r="436">
          <cell r="E436">
            <v>0</v>
          </cell>
        </row>
        <row r="437">
          <cell r="E437">
            <v>182</v>
          </cell>
        </row>
        <row r="439">
          <cell r="E439">
            <v>108</v>
          </cell>
        </row>
        <row r="440">
          <cell r="E440">
            <v>0</v>
          </cell>
        </row>
        <row r="441">
          <cell r="E441">
            <v>0</v>
          </cell>
        </row>
        <row r="442">
          <cell r="E442">
            <v>0</v>
          </cell>
        </row>
        <row r="443">
          <cell r="E443">
            <v>0</v>
          </cell>
        </row>
        <row r="444">
          <cell r="E444">
            <v>3000</v>
          </cell>
        </row>
        <row r="446">
          <cell r="E446">
            <v>167</v>
          </cell>
        </row>
        <row r="449">
          <cell r="E449">
            <v>1104</v>
          </cell>
        </row>
        <row r="450">
          <cell r="E450">
            <v>6</v>
          </cell>
        </row>
        <row r="451">
          <cell r="E451">
            <v>33</v>
          </cell>
        </row>
        <row r="452">
          <cell r="E452">
            <v>298</v>
          </cell>
        </row>
        <row r="454">
          <cell r="E454">
            <v>0</v>
          </cell>
        </row>
        <row r="455">
          <cell r="E455">
            <v>0</v>
          </cell>
        </row>
        <row r="456">
          <cell r="E456">
            <v>0</v>
          </cell>
        </row>
        <row r="457">
          <cell r="E457">
            <v>0</v>
          </cell>
        </row>
        <row r="458">
          <cell r="E458">
            <v>0</v>
          </cell>
        </row>
        <row r="459">
          <cell r="E459">
            <v>0</v>
          </cell>
        </row>
        <row r="460">
          <cell r="E460">
            <v>0</v>
          </cell>
        </row>
        <row r="461">
          <cell r="E461">
            <v>0</v>
          </cell>
        </row>
        <row r="463">
          <cell r="E463">
            <v>877</v>
          </cell>
        </row>
        <row r="464">
          <cell r="E464">
            <v>10</v>
          </cell>
        </row>
        <row r="465">
          <cell r="E465">
            <v>0</v>
          </cell>
        </row>
        <row r="466">
          <cell r="E466">
            <v>0</v>
          </cell>
        </row>
        <row r="467">
          <cell r="E467">
            <v>0</v>
          </cell>
        </row>
        <row r="469">
          <cell r="E469">
            <v>0</v>
          </cell>
        </row>
        <row r="470">
          <cell r="E470">
            <v>328</v>
          </cell>
        </row>
        <row r="471">
          <cell r="E471">
            <v>0</v>
          </cell>
        </row>
        <row r="472">
          <cell r="E472">
            <v>337</v>
          </cell>
        </row>
        <row r="474">
          <cell r="E474">
            <v>0</v>
          </cell>
        </row>
        <row r="475">
          <cell r="E475">
            <v>0</v>
          </cell>
        </row>
        <row r="476">
          <cell r="E476">
            <v>0</v>
          </cell>
        </row>
        <row r="477">
          <cell r="E477">
            <v>0</v>
          </cell>
        </row>
        <row r="479">
          <cell r="E479">
            <v>303</v>
          </cell>
        </row>
        <row r="480">
          <cell r="E480">
            <v>15</v>
          </cell>
        </row>
        <row r="481">
          <cell r="E481">
            <v>0</v>
          </cell>
        </row>
        <row r="482">
          <cell r="E482">
            <v>0</v>
          </cell>
        </row>
        <row r="484">
          <cell r="E484">
            <v>543</v>
          </cell>
        </row>
        <row r="485">
          <cell r="E485">
            <v>169</v>
          </cell>
        </row>
        <row r="486">
          <cell r="E486">
            <v>0</v>
          </cell>
        </row>
        <row r="487">
          <cell r="E487">
            <v>0</v>
          </cell>
        </row>
        <row r="488">
          <cell r="E488">
            <v>57</v>
          </cell>
        </row>
        <row r="489">
          <cell r="E489">
            <v>60</v>
          </cell>
        </row>
        <row r="491">
          <cell r="E491">
            <v>0</v>
          </cell>
        </row>
        <row r="492">
          <cell r="E492">
            <v>0</v>
          </cell>
        </row>
        <row r="493">
          <cell r="E493">
            <v>0</v>
          </cell>
        </row>
        <row r="495">
          <cell r="E495">
            <v>0</v>
          </cell>
        </row>
        <row r="496">
          <cell r="E496">
            <v>0</v>
          </cell>
        </row>
        <row r="497">
          <cell r="E497">
            <v>0</v>
          </cell>
        </row>
        <row r="499">
          <cell r="E499">
            <v>3</v>
          </cell>
        </row>
        <row r="500">
          <cell r="E500">
            <v>0</v>
          </cell>
        </row>
        <row r="501">
          <cell r="E501">
            <v>0</v>
          </cell>
        </row>
        <row r="502">
          <cell r="E502">
            <v>175</v>
          </cell>
        </row>
        <row r="505">
          <cell r="E505">
            <v>2204</v>
          </cell>
        </row>
        <row r="506">
          <cell r="E506">
            <v>52</v>
          </cell>
        </row>
        <row r="507">
          <cell r="E507">
            <v>0</v>
          </cell>
        </row>
        <row r="508">
          <cell r="E508">
            <v>986</v>
          </cell>
        </row>
        <row r="509">
          <cell r="E509">
            <v>0</v>
          </cell>
        </row>
        <row r="510">
          <cell r="E510">
            <v>0</v>
          </cell>
        </row>
        <row r="511">
          <cell r="E511">
            <v>539</v>
          </cell>
        </row>
        <row r="512">
          <cell r="E512">
            <v>18</v>
          </cell>
        </row>
        <row r="513">
          <cell r="E513">
            <v>2299</v>
          </cell>
        </row>
        <row r="514">
          <cell r="E514">
            <v>0</v>
          </cell>
        </row>
        <row r="515">
          <cell r="E515">
            <v>622</v>
          </cell>
        </row>
        <row r="516">
          <cell r="E516">
            <v>1075</v>
          </cell>
        </row>
        <row r="517">
          <cell r="E517">
            <v>524</v>
          </cell>
        </row>
        <row r="518">
          <cell r="E518">
            <v>3</v>
          </cell>
        </row>
        <row r="519">
          <cell r="E519">
            <v>5433</v>
          </cell>
        </row>
        <row r="521">
          <cell r="E521">
            <v>0</v>
          </cell>
        </row>
        <row r="522">
          <cell r="E522">
            <v>5</v>
          </cell>
        </row>
        <row r="523">
          <cell r="E523">
            <v>0</v>
          </cell>
        </row>
        <row r="524">
          <cell r="E524">
            <v>361</v>
          </cell>
        </row>
        <row r="525">
          <cell r="E525">
            <v>974</v>
          </cell>
        </row>
        <row r="526">
          <cell r="E526">
            <v>0</v>
          </cell>
        </row>
        <row r="527">
          <cell r="E527">
            <v>0</v>
          </cell>
        </row>
        <row r="529">
          <cell r="E529">
            <v>141</v>
          </cell>
        </row>
        <row r="530">
          <cell r="E530">
            <v>31</v>
          </cell>
        </row>
        <row r="531">
          <cell r="E531">
            <v>0</v>
          </cell>
        </row>
        <row r="532">
          <cell r="E532">
            <v>157</v>
          </cell>
        </row>
        <row r="533">
          <cell r="E533">
            <v>0</v>
          </cell>
        </row>
        <row r="534">
          <cell r="E534">
            <v>21</v>
          </cell>
        </row>
        <row r="535">
          <cell r="E535">
            <v>653</v>
          </cell>
        </row>
        <row r="536">
          <cell r="E536">
            <v>1242</v>
          </cell>
        </row>
        <row r="537">
          <cell r="E537">
            <v>83</v>
          </cell>
        </row>
        <row r="538">
          <cell r="E538">
            <v>144</v>
          </cell>
        </row>
        <row r="540">
          <cell r="E540">
            <v>3</v>
          </cell>
        </row>
        <row r="541">
          <cell r="E541">
            <v>0</v>
          </cell>
        </row>
        <row r="542">
          <cell r="E542">
            <v>0</v>
          </cell>
        </row>
        <row r="543">
          <cell r="E543">
            <v>0</v>
          </cell>
        </row>
        <row r="544">
          <cell r="E544">
            <v>5</v>
          </cell>
        </row>
        <row r="545">
          <cell r="E545">
            <v>0</v>
          </cell>
        </row>
        <row r="546">
          <cell r="E546">
            <v>58</v>
          </cell>
        </row>
        <row r="547">
          <cell r="E547">
            <v>33</v>
          </cell>
        </row>
        <row r="549">
          <cell r="E549">
            <v>240</v>
          </cell>
        </row>
        <row r="550">
          <cell r="E550">
            <v>6</v>
          </cell>
        </row>
        <row r="551">
          <cell r="E551">
            <v>0</v>
          </cell>
        </row>
        <row r="552">
          <cell r="E552">
            <v>57</v>
          </cell>
        </row>
        <row r="553">
          <cell r="E553">
            <v>121</v>
          </cell>
        </row>
        <row r="554">
          <cell r="E554">
            <v>4324</v>
          </cell>
        </row>
        <row r="555">
          <cell r="E555">
            <v>1758</v>
          </cell>
        </row>
        <row r="557">
          <cell r="E557">
            <v>8</v>
          </cell>
        </row>
        <row r="558">
          <cell r="E558">
            <v>191</v>
          </cell>
        </row>
        <row r="559">
          <cell r="E559">
            <v>245</v>
          </cell>
        </row>
        <row r="562">
          <cell r="E562">
            <v>2853</v>
          </cell>
        </row>
        <row r="563">
          <cell r="E563">
            <v>120</v>
          </cell>
        </row>
        <row r="564">
          <cell r="E564">
            <v>0</v>
          </cell>
        </row>
        <row r="565">
          <cell r="E565">
            <v>337</v>
          </cell>
        </row>
        <row r="566">
          <cell r="E566">
            <v>0</v>
          </cell>
        </row>
        <row r="567">
          <cell r="E567">
            <v>71</v>
          </cell>
        </row>
        <row r="568">
          <cell r="E568">
            <v>3</v>
          </cell>
        </row>
        <row r="569">
          <cell r="E569">
            <v>5</v>
          </cell>
        </row>
        <row r="570">
          <cell r="E570">
            <v>500</v>
          </cell>
        </row>
        <row r="571">
          <cell r="E571">
            <v>4</v>
          </cell>
        </row>
        <row r="572">
          <cell r="E572">
            <v>0</v>
          </cell>
        </row>
        <row r="573">
          <cell r="E573">
            <v>0</v>
          </cell>
        </row>
        <row r="574">
          <cell r="E574">
            <v>2</v>
          </cell>
        </row>
        <row r="575">
          <cell r="E575">
            <v>0</v>
          </cell>
        </row>
        <row r="576">
          <cell r="E576">
            <v>0</v>
          </cell>
        </row>
        <row r="577">
          <cell r="E577">
            <v>10</v>
          </cell>
        </row>
        <row r="578">
          <cell r="E578">
            <v>1719</v>
          </cell>
        </row>
        <row r="579">
          <cell r="E579">
            <v>8554</v>
          </cell>
        </row>
        <row r="581">
          <cell r="E581">
            <v>1572</v>
          </cell>
        </row>
        <row r="582">
          <cell r="E582">
            <v>11</v>
          </cell>
        </row>
        <row r="583">
          <cell r="E583">
            <v>0</v>
          </cell>
        </row>
        <row r="584">
          <cell r="E584">
            <v>1</v>
          </cell>
        </row>
        <row r="585">
          <cell r="E585">
            <v>0</v>
          </cell>
        </row>
        <row r="586">
          <cell r="E586">
            <v>2951</v>
          </cell>
        </row>
        <row r="587">
          <cell r="E587">
            <v>4659</v>
          </cell>
        </row>
        <row r="589">
          <cell r="E589">
            <v>0</v>
          </cell>
        </row>
        <row r="591">
          <cell r="E591">
            <v>15006</v>
          </cell>
        </row>
        <row r="592">
          <cell r="E592">
            <v>19600</v>
          </cell>
        </row>
        <row r="593">
          <cell r="E593">
            <v>252</v>
          </cell>
        </row>
        <row r="594">
          <cell r="E594">
            <v>63057</v>
          </cell>
        </row>
        <row r="595">
          <cell r="E595">
            <v>10518</v>
          </cell>
        </row>
        <row r="596">
          <cell r="E596">
            <v>13750</v>
          </cell>
        </row>
        <row r="597">
          <cell r="E597">
            <v>0</v>
          </cell>
        </row>
        <row r="598">
          <cell r="E598">
            <v>954</v>
          </cell>
        </row>
        <row r="600">
          <cell r="E600">
            <v>1</v>
          </cell>
        </row>
        <row r="601">
          <cell r="E601">
            <v>0</v>
          </cell>
        </row>
        <row r="602">
          <cell r="E602">
            <v>397</v>
          </cell>
        </row>
        <row r="604">
          <cell r="E604">
            <v>47</v>
          </cell>
        </row>
        <row r="605">
          <cell r="E605">
            <v>247</v>
          </cell>
        </row>
        <row r="606">
          <cell r="E606">
            <v>2172</v>
          </cell>
        </row>
        <row r="607">
          <cell r="E607">
            <v>8291</v>
          </cell>
        </row>
        <row r="608">
          <cell r="E608">
            <v>0</v>
          </cell>
        </row>
        <row r="609">
          <cell r="E609">
            <v>277</v>
          </cell>
        </row>
        <row r="610">
          <cell r="E610">
            <v>0</v>
          </cell>
        </row>
        <row r="611">
          <cell r="E611">
            <v>406</v>
          </cell>
        </row>
        <row r="612">
          <cell r="E612">
            <v>3295</v>
          </cell>
        </row>
        <row r="614">
          <cell r="E614">
            <v>7412</v>
          </cell>
        </row>
        <row r="615">
          <cell r="E615">
            <v>848</v>
          </cell>
        </row>
        <row r="616">
          <cell r="E616">
            <v>2531</v>
          </cell>
        </row>
        <row r="617">
          <cell r="E617">
            <v>1132</v>
          </cell>
        </row>
        <row r="618">
          <cell r="E618">
            <v>237</v>
          </cell>
        </row>
        <row r="619">
          <cell r="E619">
            <v>0</v>
          </cell>
        </row>
        <row r="620">
          <cell r="E620">
            <v>146</v>
          </cell>
        </row>
        <row r="621">
          <cell r="E621">
            <v>4052</v>
          </cell>
        </row>
        <row r="623">
          <cell r="E623">
            <v>596</v>
          </cell>
        </row>
        <row r="624">
          <cell r="E624">
            <v>1225</v>
          </cell>
        </row>
        <row r="625">
          <cell r="E625">
            <v>0</v>
          </cell>
        </row>
        <row r="626">
          <cell r="E626">
            <v>103</v>
          </cell>
        </row>
        <row r="627">
          <cell r="E627">
            <v>252</v>
          </cell>
        </row>
        <row r="628">
          <cell r="E628">
            <v>56</v>
          </cell>
        </row>
        <row r="630">
          <cell r="E630">
            <v>1862</v>
          </cell>
        </row>
        <row r="631">
          <cell r="E631">
            <v>7820</v>
          </cell>
        </row>
        <row r="632">
          <cell r="E632">
            <v>0</v>
          </cell>
        </row>
        <row r="633">
          <cell r="E633">
            <v>2438</v>
          </cell>
        </row>
        <row r="634">
          <cell r="E634">
            <v>1018</v>
          </cell>
        </row>
        <row r="635">
          <cell r="E635">
            <v>807</v>
          </cell>
        </row>
        <row r="636">
          <cell r="E636">
            <v>242</v>
          </cell>
        </row>
        <row r="638">
          <cell r="E638">
            <v>990</v>
          </cell>
        </row>
        <row r="639">
          <cell r="E639">
            <v>15</v>
          </cell>
        </row>
        <row r="640">
          <cell r="E640">
            <v>25</v>
          </cell>
        </row>
        <row r="641">
          <cell r="E641">
            <v>211</v>
          </cell>
        </row>
        <row r="642">
          <cell r="E642">
            <v>776</v>
          </cell>
        </row>
        <row r="643">
          <cell r="E643">
            <v>0</v>
          </cell>
        </row>
        <row r="644">
          <cell r="E644">
            <v>4782</v>
          </cell>
        </row>
        <row r="645">
          <cell r="E645">
            <v>566</v>
          </cell>
        </row>
        <row r="647">
          <cell r="E647">
            <v>604</v>
          </cell>
        </row>
        <row r="648">
          <cell r="E648">
            <v>34</v>
          </cell>
        </row>
        <row r="649">
          <cell r="E649">
            <v>0</v>
          </cell>
        </row>
        <row r="650">
          <cell r="E650">
            <v>0</v>
          </cell>
        </row>
        <row r="651">
          <cell r="E651">
            <v>10</v>
          </cell>
        </row>
        <row r="653">
          <cell r="E653">
            <v>2573</v>
          </cell>
        </row>
        <row r="654">
          <cell r="E654">
            <v>35344</v>
          </cell>
        </row>
        <row r="656">
          <cell r="E656">
            <v>1966</v>
          </cell>
        </row>
        <row r="657">
          <cell r="E657">
            <v>193</v>
          </cell>
        </row>
        <row r="659">
          <cell r="E659">
            <v>232</v>
          </cell>
        </row>
        <row r="660">
          <cell r="E660">
            <v>7120</v>
          </cell>
        </row>
        <row r="662">
          <cell r="E662">
            <v>0</v>
          </cell>
        </row>
        <row r="663">
          <cell r="E663">
            <v>0</v>
          </cell>
        </row>
        <row r="665">
          <cell r="E665">
            <v>82</v>
          </cell>
        </row>
        <row r="666">
          <cell r="E666">
            <v>1546</v>
          </cell>
        </row>
        <row r="668">
          <cell r="E668">
            <v>0</v>
          </cell>
        </row>
        <row r="669">
          <cell r="E669">
            <v>30950</v>
          </cell>
        </row>
        <row r="670">
          <cell r="E670">
            <v>0</v>
          </cell>
        </row>
        <row r="672">
          <cell r="E672">
            <v>0</v>
          </cell>
        </row>
        <row r="673">
          <cell r="E673">
            <v>0</v>
          </cell>
        </row>
        <row r="674">
          <cell r="E674">
            <v>0</v>
          </cell>
        </row>
        <row r="676">
          <cell r="E676">
            <v>900</v>
          </cell>
        </row>
        <row r="677">
          <cell r="E677">
            <v>11</v>
          </cell>
        </row>
        <row r="678">
          <cell r="E678">
            <v>0</v>
          </cell>
        </row>
        <row r="679">
          <cell r="E679">
            <v>449</v>
          </cell>
        </row>
        <row r="680">
          <cell r="E680">
            <v>23</v>
          </cell>
        </row>
        <row r="681">
          <cell r="E681">
            <v>0</v>
          </cell>
        </row>
        <row r="682">
          <cell r="E682">
            <v>902</v>
          </cell>
        </row>
        <row r="683">
          <cell r="E683">
            <v>21</v>
          </cell>
        </row>
        <row r="685">
          <cell r="E685">
            <v>1069</v>
          </cell>
        </row>
        <row r="686">
          <cell r="E686">
            <v>2</v>
          </cell>
        </row>
        <row r="688">
          <cell r="E688">
            <v>4521</v>
          </cell>
        </row>
        <row r="691">
          <cell r="E691">
            <v>2280</v>
          </cell>
        </row>
        <row r="692">
          <cell r="E692">
            <v>99</v>
          </cell>
        </row>
        <row r="693">
          <cell r="E693">
            <v>0</v>
          </cell>
        </row>
        <row r="694">
          <cell r="E694">
            <v>1425</v>
          </cell>
        </row>
        <row r="696">
          <cell r="E696">
            <v>15027</v>
          </cell>
        </row>
        <row r="697">
          <cell r="E697">
            <v>4679</v>
          </cell>
        </row>
        <row r="698">
          <cell r="E698">
            <v>5204</v>
          </cell>
        </row>
        <row r="699">
          <cell r="E699">
            <v>0</v>
          </cell>
        </row>
        <row r="700">
          <cell r="E700">
            <v>706</v>
          </cell>
        </row>
        <row r="701">
          <cell r="E701">
            <v>0</v>
          </cell>
        </row>
        <row r="702">
          <cell r="E702">
            <v>0</v>
          </cell>
        </row>
        <row r="703">
          <cell r="E703">
            <v>0</v>
          </cell>
        </row>
        <row r="704">
          <cell r="E704">
            <v>0</v>
          </cell>
        </row>
        <row r="705">
          <cell r="E705">
            <v>0</v>
          </cell>
        </row>
        <row r="706">
          <cell r="E706">
            <v>0</v>
          </cell>
        </row>
        <row r="707">
          <cell r="E707">
            <v>0</v>
          </cell>
        </row>
        <row r="708">
          <cell r="E708">
            <v>0</v>
          </cell>
        </row>
        <row r="709">
          <cell r="E709">
            <v>755</v>
          </cell>
        </row>
        <row r="711">
          <cell r="E711">
            <v>1267</v>
          </cell>
        </row>
        <row r="712">
          <cell r="E712">
            <v>14637</v>
          </cell>
        </row>
        <row r="713">
          <cell r="E713">
            <v>2079</v>
          </cell>
        </row>
        <row r="715">
          <cell r="E715">
            <v>4607</v>
          </cell>
        </row>
        <row r="716">
          <cell r="E716">
            <v>300</v>
          </cell>
        </row>
        <row r="717">
          <cell r="E717">
            <v>6300</v>
          </cell>
        </row>
        <row r="718">
          <cell r="E718">
            <v>0</v>
          </cell>
        </row>
        <row r="719">
          <cell r="E719">
            <v>1</v>
          </cell>
        </row>
        <row r="720">
          <cell r="E720">
            <v>242</v>
          </cell>
        </row>
        <row r="721">
          <cell r="E721">
            <v>0</v>
          </cell>
        </row>
        <row r="722">
          <cell r="E722">
            <v>9106</v>
          </cell>
        </row>
        <row r="723">
          <cell r="E723">
            <v>1654</v>
          </cell>
        </row>
        <row r="724">
          <cell r="E724">
            <v>988</v>
          </cell>
        </row>
        <row r="725">
          <cell r="E725">
            <v>178</v>
          </cell>
        </row>
        <row r="727">
          <cell r="E727">
            <v>163</v>
          </cell>
        </row>
        <row r="728">
          <cell r="E728">
            <v>38</v>
          </cell>
        </row>
        <row r="729">
          <cell r="E729">
            <v>4189</v>
          </cell>
        </row>
        <row r="731">
          <cell r="E731">
            <v>7931</v>
          </cell>
        </row>
        <row r="732">
          <cell r="E732">
            <v>16671</v>
          </cell>
        </row>
        <row r="733">
          <cell r="E733">
            <v>16167</v>
          </cell>
        </row>
        <row r="734">
          <cell r="E734">
            <v>1779</v>
          </cell>
        </row>
        <row r="736">
          <cell r="E736">
            <v>88</v>
          </cell>
        </row>
        <row r="737">
          <cell r="E737">
            <v>68418</v>
          </cell>
        </row>
        <row r="738">
          <cell r="E738">
            <v>0</v>
          </cell>
        </row>
        <row r="740">
          <cell r="E740">
            <v>5392</v>
          </cell>
        </row>
        <row r="741">
          <cell r="E741">
            <v>50</v>
          </cell>
        </row>
        <row r="742">
          <cell r="E742">
            <v>7</v>
          </cell>
        </row>
        <row r="744">
          <cell r="E744">
            <v>254</v>
          </cell>
        </row>
        <row r="745">
          <cell r="E745">
            <v>0</v>
          </cell>
        </row>
        <row r="747">
          <cell r="E747">
            <v>1403</v>
          </cell>
        </row>
        <row r="748">
          <cell r="E748">
            <v>62</v>
          </cell>
        </row>
        <row r="749">
          <cell r="E749">
            <v>0</v>
          </cell>
        </row>
        <row r="750">
          <cell r="E750">
            <v>32</v>
          </cell>
        </row>
        <row r="751">
          <cell r="E751">
            <v>0</v>
          </cell>
        </row>
        <row r="752">
          <cell r="E752">
            <v>175</v>
          </cell>
        </row>
        <row r="753">
          <cell r="E753">
            <v>488</v>
          </cell>
        </row>
        <row r="754">
          <cell r="E754">
            <v>50</v>
          </cell>
        </row>
        <row r="756">
          <cell r="E756">
            <v>113</v>
          </cell>
        </row>
        <row r="758">
          <cell r="E758">
            <v>0</v>
          </cell>
        </row>
        <row r="759">
          <cell r="E759">
            <v>0</v>
          </cell>
        </row>
        <row r="760">
          <cell r="E760">
            <v>0</v>
          </cell>
        </row>
        <row r="761">
          <cell r="E761">
            <v>21</v>
          </cell>
        </row>
        <row r="762">
          <cell r="E762">
            <v>0</v>
          </cell>
        </row>
        <row r="764">
          <cell r="E764">
            <v>0</v>
          </cell>
        </row>
        <row r="765">
          <cell r="E765">
            <v>0</v>
          </cell>
        </row>
        <row r="766">
          <cell r="E766">
            <v>0</v>
          </cell>
        </row>
        <row r="767">
          <cell r="E767">
            <v>0</v>
          </cell>
        </row>
        <row r="769">
          <cell r="E769">
            <v>1827</v>
          </cell>
        </row>
        <row r="772">
          <cell r="E772">
            <v>2071</v>
          </cell>
        </row>
        <row r="773">
          <cell r="E773">
            <v>89</v>
          </cell>
        </row>
        <row r="774">
          <cell r="E774">
            <v>0</v>
          </cell>
        </row>
        <row r="775">
          <cell r="E775">
            <v>0</v>
          </cell>
        </row>
        <row r="776">
          <cell r="E776">
            <v>0</v>
          </cell>
        </row>
        <row r="777">
          <cell r="E777">
            <v>0</v>
          </cell>
        </row>
        <row r="778">
          <cell r="E778">
            <v>39</v>
          </cell>
        </row>
        <row r="779">
          <cell r="E779">
            <v>0</v>
          </cell>
        </row>
        <row r="780">
          <cell r="E780">
            <v>2193</v>
          </cell>
        </row>
        <row r="782">
          <cell r="E782">
            <v>0</v>
          </cell>
        </row>
        <row r="783">
          <cell r="E783">
            <v>0</v>
          </cell>
        </row>
        <row r="784">
          <cell r="E784">
            <v>175</v>
          </cell>
        </row>
        <row r="786">
          <cell r="E786">
            <v>106</v>
          </cell>
        </row>
        <row r="787">
          <cell r="E787">
            <v>15625</v>
          </cell>
        </row>
        <row r="788">
          <cell r="E788">
            <v>0</v>
          </cell>
        </row>
        <row r="789">
          <cell r="E789">
            <v>1153</v>
          </cell>
        </row>
        <row r="790">
          <cell r="E790">
            <v>0</v>
          </cell>
        </row>
        <row r="791">
          <cell r="E791">
            <v>0</v>
          </cell>
        </row>
        <row r="792">
          <cell r="E792">
            <v>479</v>
          </cell>
        </row>
        <row r="793">
          <cell r="E793">
            <v>158</v>
          </cell>
        </row>
        <row r="795">
          <cell r="E795">
            <v>51226</v>
          </cell>
        </row>
        <row r="796">
          <cell r="E796">
            <v>605</v>
          </cell>
        </row>
        <row r="797">
          <cell r="E797">
            <v>4034</v>
          </cell>
        </row>
        <row r="798">
          <cell r="E798">
            <v>1</v>
          </cell>
        </row>
        <row r="799">
          <cell r="E799">
            <v>59</v>
          </cell>
        </row>
        <row r="800">
          <cell r="E800">
            <v>837</v>
          </cell>
        </row>
        <row r="802">
          <cell r="E802">
            <v>7363</v>
          </cell>
        </row>
        <row r="803">
          <cell r="E803">
            <v>2859</v>
          </cell>
        </row>
        <row r="804">
          <cell r="E804">
            <v>0</v>
          </cell>
        </row>
        <row r="805">
          <cell r="E805">
            <v>180</v>
          </cell>
        </row>
        <row r="806">
          <cell r="E806">
            <v>0</v>
          </cell>
        </row>
        <row r="807">
          <cell r="E807">
            <v>503</v>
          </cell>
        </row>
        <row r="809">
          <cell r="E809">
            <v>0</v>
          </cell>
        </row>
        <row r="810">
          <cell r="E810">
            <v>0</v>
          </cell>
        </row>
        <row r="812">
          <cell r="E812">
            <v>0</v>
          </cell>
        </row>
        <row r="813">
          <cell r="E813">
            <v>0</v>
          </cell>
        </row>
        <row r="815">
          <cell r="E815">
            <v>0</v>
          </cell>
        </row>
        <row r="817">
          <cell r="E817">
            <v>20</v>
          </cell>
        </row>
        <row r="819">
          <cell r="E819">
            <v>421</v>
          </cell>
        </row>
        <row r="820">
          <cell r="E820">
            <v>304</v>
          </cell>
        </row>
        <row r="821">
          <cell r="E821">
            <v>0</v>
          </cell>
        </row>
        <row r="822">
          <cell r="E822">
            <v>0</v>
          </cell>
        </row>
        <row r="823">
          <cell r="E823">
            <v>0</v>
          </cell>
        </row>
        <row r="825">
          <cell r="E825">
            <v>0</v>
          </cell>
        </row>
        <row r="827">
          <cell r="E827">
            <v>0</v>
          </cell>
        </row>
        <row r="829">
          <cell r="E829">
            <v>0</v>
          </cell>
        </row>
        <row r="830">
          <cell r="E830">
            <v>0</v>
          </cell>
        </row>
        <row r="831">
          <cell r="E831">
            <v>0</v>
          </cell>
        </row>
        <row r="832">
          <cell r="E832">
            <v>0</v>
          </cell>
        </row>
        <row r="833">
          <cell r="E833">
            <v>0</v>
          </cell>
        </row>
        <row r="834">
          <cell r="E834">
            <v>0</v>
          </cell>
        </row>
        <row r="835">
          <cell r="E835">
            <v>0</v>
          </cell>
        </row>
        <row r="836">
          <cell r="E836">
            <v>0</v>
          </cell>
        </row>
        <row r="837">
          <cell r="E837">
            <v>72</v>
          </cell>
        </row>
        <row r="838">
          <cell r="E838">
            <v>0</v>
          </cell>
        </row>
        <row r="840">
          <cell r="E840">
            <v>52</v>
          </cell>
        </row>
        <row r="843">
          <cell r="E843">
            <v>2276</v>
          </cell>
        </row>
        <row r="844">
          <cell r="E844">
            <v>229</v>
          </cell>
        </row>
        <row r="845">
          <cell r="E845">
            <v>0</v>
          </cell>
        </row>
        <row r="846">
          <cell r="E846">
            <v>1333</v>
          </cell>
        </row>
        <row r="847">
          <cell r="E847">
            <v>0</v>
          </cell>
        </row>
        <row r="848">
          <cell r="E848">
            <v>717</v>
          </cell>
        </row>
        <row r="849">
          <cell r="E849">
            <v>0</v>
          </cell>
        </row>
        <row r="850">
          <cell r="E850">
            <v>180</v>
          </cell>
        </row>
        <row r="851">
          <cell r="E851">
            <v>0</v>
          </cell>
        </row>
        <row r="852">
          <cell r="E852">
            <v>9061</v>
          </cell>
        </row>
        <row r="854">
          <cell r="E854">
            <v>11642</v>
          </cell>
        </row>
        <row r="856">
          <cell r="E856">
            <v>4238</v>
          </cell>
        </row>
        <row r="857">
          <cell r="E857">
            <v>15205</v>
          </cell>
        </row>
        <row r="859">
          <cell r="E859">
            <v>14806</v>
          </cell>
        </row>
        <row r="861">
          <cell r="E861">
            <v>0</v>
          </cell>
        </row>
        <row r="863">
          <cell r="E863">
            <v>10647</v>
          </cell>
        </row>
        <row r="866">
          <cell r="E866">
            <v>3407</v>
          </cell>
        </row>
        <row r="867">
          <cell r="E867">
            <v>29</v>
          </cell>
        </row>
        <row r="868">
          <cell r="E868">
            <v>0</v>
          </cell>
        </row>
        <row r="869">
          <cell r="E869">
            <v>23124</v>
          </cell>
        </row>
        <row r="870">
          <cell r="E870">
            <v>0</v>
          </cell>
        </row>
        <row r="871">
          <cell r="E871">
            <v>1222</v>
          </cell>
        </row>
        <row r="872">
          <cell r="E872">
            <v>3304</v>
          </cell>
        </row>
        <row r="873">
          <cell r="E873">
            <v>56</v>
          </cell>
        </row>
        <row r="874">
          <cell r="E874">
            <v>16</v>
          </cell>
        </row>
        <row r="875">
          <cell r="E875">
            <v>51</v>
          </cell>
        </row>
        <row r="876">
          <cell r="E876">
            <v>11</v>
          </cell>
        </row>
        <row r="877">
          <cell r="E877">
            <v>0</v>
          </cell>
        </row>
        <row r="878">
          <cell r="E878">
            <v>236</v>
          </cell>
        </row>
        <row r="879">
          <cell r="E879">
            <v>9718</v>
          </cell>
        </row>
        <row r="880">
          <cell r="E880">
            <v>0</v>
          </cell>
        </row>
        <row r="881">
          <cell r="E881">
            <v>6130</v>
          </cell>
        </row>
        <row r="882">
          <cell r="E882">
            <v>-1</v>
          </cell>
        </row>
        <row r="883">
          <cell r="E883">
            <v>13</v>
          </cell>
        </row>
        <row r="884">
          <cell r="E884">
            <v>1766</v>
          </cell>
        </row>
        <row r="885">
          <cell r="E885">
            <v>5741</v>
          </cell>
        </row>
        <row r="886">
          <cell r="E886">
            <v>0</v>
          </cell>
        </row>
        <row r="887">
          <cell r="E887">
            <v>3</v>
          </cell>
        </row>
        <row r="888">
          <cell r="E888">
            <v>4</v>
          </cell>
        </row>
        <row r="889">
          <cell r="E889">
            <v>11651</v>
          </cell>
        </row>
        <row r="890">
          <cell r="E890">
            <v>5725</v>
          </cell>
        </row>
        <row r="892">
          <cell r="E892">
            <v>2054</v>
          </cell>
        </row>
        <row r="893">
          <cell r="E893">
            <v>4</v>
          </cell>
        </row>
        <row r="894">
          <cell r="E894">
            <v>53</v>
          </cell>
        </row>
        <row r="895">
          <cell r="E895">
            <v>4830</v>
          </cell>
        </row>
        <row r="896">
          <cell r="E896">
            <v>2636</v>
          </cell>
        </row>
        <row r="897">
          <cell r="E897">
            <v>39</v>
          </cell>
        </row>
        <row r="898">
          <cell r="E898">
            <v>635</v>
          </cell>
        </row>
        <row r="899">
          <cell r="E899">
            <v>6201</v>
          </cell>
        </row>
        <row r="900">
          <cell r="E900">
            <v>5</v>
          </cell>
        </row>
        <row r="901">
          <cell r="E901">
            <v>755</v>
          </cell>
        </row>
        <row r="902">
          <cell r="E902">
            <v>0</v>
          </cell>
        </row>
        <row r="903">
          <cell r="E903">
            <v>3</v>
          </cell>
        </row>
        <row r="904">
          <cell r="E904">
            <v>0</v>
          </cell>
        </row>
        <row r="905">
          <cell r="E905">
            <v>0</v>
          </cell>
        </row>
        <row r="906">
          <cell r="E906">
            <v>0</v>
          </cell>
        </row>
        <row r="907">
          <cell r="E907">
            <v>0</v>
          </cell>
        </row>
        <row r="908">
          <cell r="E908">
            <v>0</v>
          </cell>
        </row>
        <row r="909">
          <cell r="E909">
            <v>62593</v>
          </cell>
        </row>
        <row r="910">
          <cell r="E910">
            <v>0</v>
          </cell>
        </row>
        <row r="911">
          <cell r="E911">
            <v>0</v>
          </cell>
        </row>
        <row r="912">
          <cell r="E912">
            <v>9604</v>
          </cell>
        </row>
        <row r="913">
          <cell r="E913">
            <v>3076</v>
          </cell>
        </row>
        <row r="915">
          <cell r="E915">
            <v>1957</v>
          </cell>
        </row>
        <row r="916">
          <cell r="E916">
            <v>281</v>
          </cell>
        </row>
        <row r="917">
          <cell r="E917">
            <v>0</v>
          </cell>
        </row>
        <row r="918">
          <cell r="E918">
            <v>1064</v>
          </cell>
        </row>
        <row r="919">
          <cell r="E919">
            <v>16928</v>
          </cell>
        </row>
        <row r="920">
          <cell r="E920">
            <v>132</v>
          </cell>
        </row>
        <row r="921">
          <cell r="E921">
            <v>0</v>
          </cell>
        </row>
        <row r="922">
          <cell r="E922">
            <v>212</v>
          </cell>
        </row>
        <row r="923">
          <cell r="E923">
            <v>16</v>
          </cell>
        </row>
        <row r="924">
          <cell r="E924">
            <v>2235</v>
          </cell>
        </row>
        <row r="925">
          <cell r="E925">
            <v>231</v>
          </cell>
        </row>
        <row r="926">
          <cell r="E926">
            <v>0</v>
          </cell>
        </row>
        <row r="927">
          <cell r="E927">
            <v>10</v>
          </cell>
        </row>
        <row r="928">
          <cell r="E928">
            <v>81</v>
          </cell>
        </row>
        <row r="929">
          <cell r="E929">
            <v>703</v>
          </cell>
        </row>
        <row r="930">
          <cell r="E930">
            <v>562</v>
          </cell>
        </row>
        <row r="931">
          <cell r="E931">
            <v>1390</v>
          </cell>
        </row>
        <row r="932">
          <cell r="E932">
            <v>0</v>
          </cell>
        </row>
        <row r="933">
          <cell r="E933">
            <v>116</v>
          </cell>
        </row>
        <row r="934">
          <cell r="E934">
            <v>159</v>
          </cell>
        </row>
        <row r="935">
          <cell r="E935">
            <v>0</v>
          </cell>
        </row>
        <row r="936">
          <cell r="E936">
            <v>0</v>
          </cell>
        </row>
        <row r="937">
          <cell r="E937">
            <v>80</v>
          </cell>
        </row>
        <row r="938">
          <cell r="E938">
            <v>4</v>
          </cell>
        </row>
        <row r="939">
          <cell r="E939">
            <v>0</v>
          </cell>
        </row>
        <row r="940">
          <cell r="E940">
            <v>0</v>
          </cell>
        </row>
        <row r="941">
          <cell r="E941">
            <v>34099</v>
          </cell>
        </row>
        <row r="943">
          <cell r="E943">
            <v>560</v>
          </cell>
        </row>
        <row r="944">
          <cell r="E944">
            <v>472</v>
          </cell>
        </row>
        <row r="945">
          <cell r="E945">
            <v>0</v>
          </cell>
        </row>
        <row r="946">
          <cell r="E946">
            <v>17114</v>
          </cell>
        </row>
        <row r="947">
          <cell r="E947">
            <v>23871</v>
          </cell>
        </row>
        <row r="948">
          <cell r="E948">
            <v>428</v>
          </cell>
        </row>
        <row r="949">
          <cell r="E949">
            <v>816</v>
          </cell>
        </row>
        <row r="950">
          <cell r="E950">
            <v>0</v>
          </cell>
        </row>
        <row r="951">
          <cell r="E951">
            <v>70</v>
          </cell>
        </row>
        <row r="952">
          <cell r="E952">
            <v>68004</v>
          </cell>
        </row>
        <row r="954">
          <cell r="E954">
            <v>1882</v>
          </cell>
        </row>
        <row r="956">
          <cell r="E956">
            <v>13747</v>
          </cell>
        </row>
        <row r="957">
          <cell r="E957">
            <v>222</v>
          </cell>
        </row>
        <row r="958">
          <cell r="E958">
            <v>3407</v>
          </cell>
        </row>
        <row r="959">
          <cell r="E959">
            <v>1298</v>
          </cell>
        </row>
        <row r="961">
          <cell r="E961">
            <v>0</v>
          </cell>
        </row>
        <row r="962">
          <cell r="E962">
            <v>1850</v>
          </cell>
        </row>
        <row r="963">
          <cell r="E963">
            <v>4745</v>
          </cell>
        </row>
        <row r="964">
          <cell r="E964">
            <v>0</v>
          </cell>
        </row>
        <row r="965">
          <cell r="E965">
            <v>0</v>
          </cell>
        </row>
        <row r="967">
          <cell r="E967">
            <v>0</v>
          </cell>
        </row>
        <row r="968">
          <cell r="E968">
            <v>0</v>
          </cell>
        </row>
        <row r="970">
          <cell r="E970">
            <v>0</v>
          </cell>
        </row>
        <row r="971">
          <cell r="E971">
            <v>14011</v>
          </cell>
        </row>
        <row r="974">
          <cell r="E974">
            <v>1191</v>
          </cell>
        </row>
        <row r="975">
          <cell r="E975">
            <v>0</v>
          </cell>
        </row>
        <row r="976">
          <cell r="E976">
            <v>0</v>
          </cell>
        </row>
        <row r="977">
          <cell r="E977">
            <v>31331</v>
          </cell>
        </row>
        <row r="978">
          <cell r="E978">
            <v>4844</v>
          </cell>
        </row>
        <row r="979">
          <cell r="E979">
            <v>0</v>
          </cell>
        </row>
        <row r="980">
          <cell r="E980">
            <v>86</v>
          </cell>
        </row>
        <row r="981">
          <cell r="E981">
            <v>2858</v>
          </cell>
        </row>
        <row r="982">
          <cell r="E982">
            <v>0</v>
          </cell>
        </row>
        <row r="983">
          <cell r="E983">
            <v>0</v>
          </cell>
        </row>
        <row r="984">
          <cell r="E984">
            <v>0</v>
          </cell>
        </row>
        <row r="985">
          <cell r="E985">
            <v>0</v>
          </cell>
        </row>
        <row r="986">
          <cell r="E986">
            <v>0</v>
          </cell>
        </row>
        <row r="987">
          <cell r="E987">
            <v>0</v>
          </cell>
        </row>
        <row r="988">
          <cell r="E988">
            <v>0</v>
          </cell>
        </row>
        <row r="989">
          <cell r="E989">
            <v>165</v>
          </cell>
        </row>
        <row r="990">
          <cell r="E990">
            <v>0</v>
          </cell>
        </row>
        <row r="991">
          <cell r="E991">
            <v>2</v>
          </cell>
        </row>
        <row r="992">
          <cell r="E992">
            <v>119</v>
          </cell>
        </row>
        <row r="993">
          <cell r="E993">
            <v>568</v>
          </cell>
        </row>
        <row r="995">
          <cell r="E995">
            <v>0</v>
          </cell>
        </row>
        <row r="996">
          <cell r="E996">
            <v>0</v>
          </cell>
        </row>
        <row r="997">
          <cell r="E997">
            <v>0</v>
          </cell>
        </row>
        <row r="998">
          <cell r="E998">
            <v>0</v>
          </cell>
        </row>
        <row r="999">
          <cell r="E999">
            <v>0</v>
          </cell>
        </row>
        <row r="1000">
          <cell r="E1000">
            <v>0</v>
          </cell>
        </row>
        <row r="1001">
          <cell r="E1001">
            <v>0</v>
          </cell>
        </row>
        <row r="1002">
          <cell r="E1002">
            <v>0</v>
          </cell>
        </row>
        <row r="1003">
          <cell r="E1003">
            <v>309</v>
          </cell>
        </row>
        <row r="1005">
          <cell r="E1005">
            <v>0</v>
          </cell>
        </row>
        <row r="1006">
          <cell r="E1006">
            <v>0</v>
          </cell>
        </row>
        <row r="1007">
          <cell r="E1007">
            <v>0</v>
          </cell>
        </row>
        <row r="1008">
          <cell r="E1008">
            <v>217</v>
          </cell>
        </row>
        <row r="1009">
          <cell r="E1009">
            <v>0</v>
          </cell>
        </row>
        <row r="1010">
          <cell r="E1010">
            <v>0</v>
          </cell>
        </row>
        <row r="1011">
          <cell r="E1011">
            <v>0</v>
          </cell>
        </row>
        <row r="1012">
          <cell r="E1012">
            <v>0</v>
          </cell>
        </row>
        <row r="1013">
          <cell r="E1013">
            <v>7694</v>
          </cell>
        </row>
        <row r="1015">
          <cell r="E1015">
            <v>140</v>
          </cell>
        </row>
        <row r="1016">
          <cell r="E1016">
            <v>0</v>
          </cell>
        </row>
        <row r="1017">
          <cell r="E1017">
            <v>0</v>
          </cell>
        </row>
        <row r="1018">
          <cell r="E1018">
            <v>0</v>
          </cell>
        </row>
        <row r="1019">
          <cell r="E1019">
            <v>0</v>
          </cell>
        </row>
        <row r="1020">
          <cell r="E1020">
            <v>10</v>
          </cell>
        </row>
        <row r="1027">
          <cell r="E1027">
            <v>991</v>
          </cell>
        </row>
        <row r="1028">
          <cell r="E1028">
            <v>1144</v>
          </cell>
        </row>
        <row r="1031">
          <cell r="E1031">
            <v>3</v>
          </cell>
        </row>
        <row r="1032">
          <cell r="E1032">
            <v>0</v>
          </cell>
        </row>
        <row r="1033">
          <cell r="E1033">
            <v>0</v>
          </cell>
        </row>
        <row r="1034">
          <cell r="E1034">
            <v>0</v>
          </cell>
        </row>
        <row r="1035">
          <cell r="E1035">
            <v>0</v>
          </cell>
        </row>
        <row r="1036">
          <cell r="E1036">
            <v>0</v>
          </cell>
        </row>
        <row r="1037">
          <cell r="E1037">
            <v>0</v>
          </cell>
        </row>
        <row r="1038">
          <cell r="E1038">
            <v>0</v>
          </cell>
        </row>
        <row r="1039">
          <cell r="E1039">
            <v>276</v>
          </cell>
        </row>
        <row r="1041">
          <cell r="E1041">
            <v>0</v>
          </cell>
        </row>
        <row r="1042">
          <cell r="E1042">
            <v>0</v>
          </cell>
        </row>
        <row r="1043">
          <cell r="E1043">
            <v>0</v>
          </cell>
        </row>
        <row r="1044">
          <cell r="E1044">
            <v>0</v>
          </cell>
        </row>
        <row r="1045">
          <cell r="E1045">
            <v>0</v>
          </cell>
        </row>
        <row r="1046">
          <cell r="E1046">
            <v>0</v>
          </cell>
        </row>
        <row r="1047">
          <cell r="E1047">
            <v>0</v>
          </cell>
        </row>
        <row r="1048">
          <cell r="E1048">
            <v>0</v>
          </cell>
        </row>
        <row r="1049">
          <cell r="E1049">
            <v>0</v>
          </cell>
        </row>
        <row r="1050">
          <cell r="E1050">
            <v>0</v>
          </cell>
        </row>
        <row r="1051">
          <cell r="E1051">
            <v>0</v>
          </cell>
        </row>
        <row r="1052">
          <cell r="E1052">
            <v>0</v>
          </cell>
        </row>
        <row r="1053">
          <cell r="E1053">
            <v>0</v>
          </cell>
        </row>
        <row r="1054">
          <cell r="E1054">
            <v>0</v>
          </cell>
        </row>
        <row r="1055">
          <cell r="E1055">
            <v>0</v>
          </cell>
        </row>
        <row r="1057">
          <cell r="E1057">
            <v>0</v>
          </cell>
        </row>
        <row r="1058">
          <cell r="E1058">
            <v>0</v>
          </cell>
        </row>
        <row r="1059">
          <cell r="E1059">
            <v>0</v>
          </cell>
        </row>
        <row r="1060">
          <cell r="E1060">
            <v>940</v>
          </cell>
        </row>
        <row r="1062">
          <cell r="E1062">
            <v>1007</v>
          </cell>
        </row>
        <row r="1063">
          <cell r="E1063">
            <v>39</v>
          </cell>
        </row>
        <row r="1064">
          <cell r="E1064">
            <v>0</v>
          </cell>
        </row>
        <row r="1065">
          <cell r="E1065">
            <v>0</v>
          </cell>
        </row>
        <row r="1066">
          <cell r="E1066">
            <v>0</v>
          </cell>
        </row>
        <row r="1067">
          <cell r="E1067">
            <v>600</v>
          </cell>
        </row>
        <row r="1068">
          <cell r="E1068">
            <v>5823</v>
          </cell>
        </row>
        <row r="1069">
          <cell r="E1069">
            <v>0</v>
          </cell>
        </row>
        <row r="1070">
          <cell r="E1070">
            <v>157</v>
          </cell>
        </row>
        <row r="1071">
          <cell r="E1071">
            <v>426</v>
          </cell>
        </row>
        <row r="1073">
          <cell r="E1073">
            <v>279</v>
          </cell>
        </row>
        <row r="1074">
          <cell r="E1074">
            <v>19</v>
          </cell>
        </row>
        <row r="1075">
          <cell r="E1075">
            <v>0</v>
          </cell>
        </row>
        <row r="1076">
          <cell r="E1076">
            <v>0</v>
          </cell>
        </row>
        <row r="1077">
          <cell r="E1077">
            <v>0</v>
          </cell>
        </row>
        <row r="1078">
          <cell r="E1078">
            <v>62237</v>
          </cell>
        </row>
        <row r="1080">
          <cell r="E1080">
            <v>0</v>
          </cell>
        </row>
        <row r="1081">
          <cell r="E1081">
            <v>0</v>
          </cell>
        </row>
        <row r="1082">
          <cell r="E1082">
            <v>0</v>
          </cell>
        </row>
        <row r="1083">
          <cell r="E1083">
            <v>0</v>
          </cell>
        </row>
        <row r="1084">
          <cell r="E1084">
            <v>960</v>
          </cell>
        </row>
        <row r="1085">
          <cell r="E1085">
            <v>0</v>
          </cell>
        </row>
        <row r="1086">
          <cell r="E1086">
            <v>2497</v>
          </cell>
        </row>
        <row r="1088">
          <cell r="E1088">
            <v>0</v>
          </cell>
        </row>
        <row r="1089">
          <cell r="E1089">
            <v>0</v>
          </cell>
        </row>
        <row r="1090">
          <cell r="E1090">
            <v>0</v>
          </cell>
        </row>
        <row r="1091">
          <cell r="E1091">
            <v>0</v>
          </cell>
        </row>
        <row r="1092">
          <cell r="E1092">
            <v>0</v>
          </cell>
        </row>
        <row r="1095">
          <cell r="E1095">
            <v>761</v>
          </cell>
        </row>
        <row r="1096">
          <cell r="E1096">
            <v>12</v>
          </cell>
        </row>
        <row r="1097">
          <cell r="E1097">
            <v>0</v>
          </cell>
        </row>
        <row r="1098">
          <cell r="E1098">
            <v>0</v>
          </cell>
        </row>
        <row r="1099">
          <cell r="E1099">
            <v>0</v>
          </cell>
        </row>
        <row r="1100">
          <cell r="E1100">
            <v>0</v>
          </cell>
        </row>
        <row r="1101">
          <cell r="E1101">
            <v>0</v>
          </cell>
        </row>
        <row r="1102">
          <cell r="E1102">
            <v>55</v>
          </cell>
        </row>
        <row r="1103">
          <cell r="E1103">
            <v>952</v>
          </cell>
        </row>
        <row r="1105">
          <cell r="E1105">
            <v>0</v>
          </cell>
        </row>
        <row r="1106">
          <cell r="E1106">
            <v>0</v>
          </cell>
        </row>
        <row r="1107">
          <cell r="E1107">
            <v>0</v>
          </cell>
        </row>
        <row r="1108">
          <cell r="E1108">
            <v>0</v>
          </cell>
        </row>
        <row r="1109">
          <cell r="E1109">
            <v>22</v>
          </cell>
        </row>
        <row r="1111">
          <cell r="E1111">
            <v>7</v>
          </cell>
        </row>
        <row r="1112">
          <cell r="E1112">
            <v>64</v>
          </cell>
        </row>
        <row r="1115">
          <cell r="E1115">
            <v>180</v>
          </cell>
        </row>
        <row r="1116">
          <cell r="E1116">
            <v>120</v>
          </cell>
        </row>
        <row r="1117">
          <cell r="E1117">
            <v>0</v>
          </cell>
        </row>
        <row r="1118">
          <cell r="E1118">
            <v>0</v>
          </cell>
        </row>
        <row r="1119">
          <cell r="E1119">
            <v>0</v>
          </cell>
        </row>
        <row r="1120">
          <cell r="E1120">
            <v>0</v>
          </cell>
        </row>
        <row r="1122">
          <cell r="E1122">
            <v>0</v>
          </cell>
        </row>
        <row r="1123">
          <cell r="E1123">
            <v>0</v>
          </cell>
        </row>
        <row r="1124">
          <cell r="E1124">
            <v>0</v>
          </cell>
        </row>
        <row r="1125">
          <cell r="E1125">
            <v>0</v>
          </cell>
        </row>
        <row r="1126">
          <cell r="E1126">
            <v>0</v>
          </cell>
        </row>
        <row r="1127">
          <cell r="E1127">
            <v>0</v>
          </cell>
        </row>
        <row r="1128">
          <cell r="E1128">
            <v>0</v>
          </cell>
        </row>
        <row r="1129">
          <cell r="E1129">
            <v>0</v>
          </cell>
        </row>
        <row r="1130">
          <cell r="E1130">
            <v>122</v>
          </cell>
        </row>
        <row r="1132">
          <cell r="E1132">
            <v>0</v>
          </cell>
        </row>
        <row r="1133">
          <cell r="E1133">
            <v>192</v>
          </cell>
        </row>
        <row r="1134">
          <cell r="E1134">
            <v>0</v>
          </cell>
        </row>
        <row r="1135">
          <cell r="E1135">
            <v>0</v>
          </cell>
        </row>
        <row r="1136">
          <cell r="E1136">
            <v>23</v>
          </cell>
        </row>
        <row r="1138">
          <cell r="E1138">
            <v>0</v>
          </cell>
        </row>
        <row r="1139">
          <cell r="E1139">
            <v>0</v>
          </cell>
        </row>
        <row r="1141">
          <cell r="E1141">
            <v>0</v>
          </cell>
        </row>
        <row r="1142">
          <cell r="E1142">
            <v>7</v>
          </cell>
        </row>
        <row r="1144">
          <cell r="E1144">
            <v>0</v>
          </cell>
        </row>
        <row r="1145">
          <cell r="E1145">
            <v>0</v>
          </cell>
        </row>
        <row r="1146">
          <cell r="E1146">
            <v>0</v>
          </cell>
        </row>
        <row r="1147">
          <cell r="E1147">
            <v>0</v>
          </cell>
        </row>
        <row r="1148">
          <cell r="E1148">
            <v>0</v>
          </cell>
        </row>
        <row r="1149">
          <cell r="E1149">
            <v>0</v>
          </cell>
        </row>
        <row r="1150">
          <cell r="E1150">
            <v>0</v>
          </cell>
        </row>
        <row r="1151">
          <cell r="E1151">
            <v>0</v>
          </cell>
        </row>
        <row r="1152">
          <cell r="E1152">
            <v>0</v>
          </cell>
        </row>
        <row r="1155">
          <cell r="E1155">
            <v>4420</v>
          </cell>
        </row>
        <row r="1156">
          <cell r="E1156">
            <v>19</v>
          </cell>
        </row>
        <row r="1157">
          <cell r="E1157">
            <v>0</v>
          </cell>
        </row>
        <row r="1158">
          <cell r="E1158">
            <v>335</v>
          </cell>
        </row>
        <row r="1159">
          <cell r="E1159">
            <v>5981</v>
          </cell>
        </row>
        <row r="1160">
          <cell r="E1160">
            <v>0</v>
          </cell>
        </row>
        <row r="1161">
          <cell r="E1161">
            <v>848</v>
          </cell>
        </row>
        <row r="1162">
          <cell r="E1162">
            <v>29</v>
          </cell>
        </row>
        <row r="1163">
          <cell r="E1163">
            <v>0</v>
          </cell>
        </row>
        <row r="1164">
          <cell r="E1164">
            <v>0</v>
          </cell>
        </row>
        <row r="1165">
          <cell r="E1165">
            <v>8</v>
          </cell>
        </row>
        <row r="1166">
          <cell r="E1166">
            <v>0</v>
          </cell>
        </row>
        <row r="1167">
          <cell r="E1167">
            <v>0</v>
          </cell>
        </row>
        <row r="1168">
          <cell r="E1168">
            <v>0</v>
          </cell>
        </row>
        <row r="1169">
          <cell r="E1169">
            <v>0</v>
          </cell>
        </row>
        <row r="1170">
          <cell r="E1170">
            <v>0</v>
          </cell>
        </row>
        <row r="1171">
          <cell r="E1171">
            <v>0</v>
          </cell>
        </row>
        <row r="1172">
          <cell r="E1172">
            <v>0</v>
          </cell>
        </row>
        <row r="1173">
          <cell r="E1173">
            <v>0</v>
          </cell>
        </row>
        <row r="1174">
          <cell r="E1174">
            <v>0</v>
          </cell>
        </row>
        <row r="1175">
          <cell r="E1175">
            <v>0</v>
          </cell>
        </row>
        <row r="1176">
          <cell r="E1176">
            <v>0</v>
          </cell>
        </row>
        <row r="1177">
          <cell r="E1177">
            <v>0</v>
          </cell>
        </row>
        <row r="1178">
          <cell r="E1178">
            <v>0</v>
          </cell>
        </row>
        <row r="1179">
          <cell r="E1179">
            <v>3484</v>
          </cell>
        </row>
        <row r="1180">
          <cell r="E1180">
            <v>2658</v>
          </cell>
        </row>
        <row r="1182">
          <cell r="E1182">
            <v>24</v>
          </cell>
        </row>
        <row r="1183">
          <cell r="E1183">
            <v>0</v>
          </cell>
        </row>
        <row r="1184">
          <cell r="E1184">
            <v>0</v>
          </cell>
        </row>
        <row r="1185">
          <cell r="E1185">
            <v>358</v>
          </cell>
        </row>
        <row r="1186">
          <cell r="E1186">
            <v>0</v>
          </cell>
        </row>
        <row r="1187">
          <cell r="E1187">
            <v>0</v>
          </cell>
        </row>
        <row r="1188">
          <cell r="E1188">
            <v>0</v>
          </cell>
        </row>
        <row r="1189">
          <cell r="E1189">
            <v>192</v>
          </cell>
        </row>
        <row r="1190">
          <cell r="E1190">
            <v>29</v>
          </cell>
        </row>
        <row r="1191">
          <cell r="E1191">
            <v>0</v>
          </cell>
        </row>
        <row r="1192">
          <cell r="E1192">
            <v>0</v>
          </cell>
        </row>
        <row r="1193">
          <cell r="E1193">
            <v>0</v>
          </cell>
        </row>
        <row r="1194">
          <cell r="E1194">
            <v>0</v>
          </cell>
        </row>
        <row r="1195">
          <cell r="E1195">
            <v>297</v>
          </cell>
        </row>
        <row r="1197">
          <cell r="E1197">
            <v>379</v>
          </cell>
        </row>
        <row r="1201">
          <cell r="E1201">
            <v>0</v>
          </cell>
        </row>
        <row r="1202">
          <cell r="E1202">
            <v>3117</v>
          </cell>
        </row>
        <row r="1203">
          <cell r="E1203">
            <v>0</v>
          </cell>
        </row>
        <row r="1204">
          <cell r="E1204">
            <v>5240</v>
          </cell>
        </row>
        <row r="1205">
          <cell r="E1205">
            <v>549</v>
          </cell>
        </row>
        <row r="1206">
          <cell r="E1206">
            <v>109</v>
          </cell>
        </row>
        <row r="1207">
          <cell r="E1207">
            <v>939</v>
          </cell>
        </row>
        <row r="1209">
          <cell r="E1209">
            <v>2141</v>
          </cell>
        </row>
        <row r="1210">
          <cell r="E1210">
            <v>1600</v>
          </cell>
        </row>
        <row r="1212">
          <cell r="E1212">
            <v>48609</v>
          </cell>
        </row>
        <row r="1213">
          <cell r="E1213">
            <v>0</v>
          </cell>
        </row>
        <row r="1214">
          <cell r="E1214">
            <v>2365</v>
          </cell>
        </row>
        <row r="1216">
          <cell r="E1216">
            <v>0</v>
          </cell>
        </row>
        <row r="1217">
          <cell r="E1217">
            <v>909</v>
          </cell>
        </row>
        <row r="1218">
          <cell r="E1218">
            <v>145</v>
          </cell>
        </row>
        <row r="1221">
          <cell r="E1221">
            <v>241</v>
          </cell>
        </row>
        <row r="1222">
          <cell r="E1222">
            <v>0</v>
          </cell>
        </row>
        <row r="1223">
          <cell r="E1223">
            <v>0</v>
          </cell>
        </row>
        <row r="1224">
          <cell r="E1224">
            <v>0</v>
          </cell>
        </row>
        <row r="1225">
          <cell r="E1225">
            <v>0</v>
          </cell>
        </row>
        <row r="1226">
          <cell r="E1226">
            <v>0</v>
          </cell>
        </row>
        <row r="1227">
          <cell r="E1227">
            <v>0</v>
          </cell>
        </row>
        <row r="1228">
          <cell r="E1228">
            <v>61</v>
          </cell>
        </row>
        <row r="1229">
          <cell r="E1229">
            <v>1</v>
          </cell>
        </row>
        <row r="1230">
          <cell r="E1230">
            <v>0</v>
          </cell>
        </row>
        <row r="1231">
          <cell r="E1231">
            <v>909</v>
          </cell>
        </row>
        <row r="1232">
          <cell r="E1232">
            <v>0</v>
          </cell>
        </row>
        <row r="1233">
          <cell r="E1233">
            <v>27</v>
          </cell>
        </row>
        <row r="1234">
          <cell r="E1234">
            <v>0</v>
          </cell>
        </row>
        <row r="1235">
          <cell r="E1235">
            <v>31</v>
          </cell>
        </row>
        <row r="1236">
          <cell r="E1236">
            <v>100</v>
          </cell>
        </row>
        <row r="1237">
          <cell r="E1237">
            <v>381</v>
          </cell>
        </row>
        <row r="1239">
          <cell r="E1239">
            <v>0</v>
          </cell>
        </row>
        <row r="1240">
          <cell r="E1240">
            <v>0</v>
          </cell>
        </row>
        <row r="1241">
          <cell r="E1241">
            <v>0</v>
          </cell>
        </row>
        <row r="1242">
          <cell r="E1242">
            <v>0</v>
          </cell>
        </row>
        <row r="1243">
          <cell r="E1243">
            <v>0</v>
          </cell>
        </row>
        <row r="1244">
          <cell r="E1244">
            <v>0</v>
          </cell>
        </row>
        <row r="1246">
          <cell r="E1246">
            <v>98</v>
          </cell>
        </row>
        <row r="1247">
          <cell r="E1247">
            <v>0</v>
          </cell>
        </row>
        <row r="1248">
          <cell r="E1248">
            <v>462</v>
          </cell>
        </row>
        <row r="1249">
          <cell r="E1249">
            <v>0</v>
          </cell>
        </row>
        <row r="1250">
          <cell r="E1250">
            <v>0</v>
          </cell>
        </row>
        <row r="1252">
          <cell r="E1252">
            <v>0</v>
          </cell>
        </row>
        <row r="1253">
          <cell r="E1253">
            <v>0</v>
          </cell>
        </row>
        <row r="1254">
          <cell r="E1254">
            <v>0</v>
          </cell>
        </row>
        <row r="1255">
          <cell r="E1255">
            <v>0</v>
          </cell>
        </row>
        <row r="1256">
          <cell r="E1256">
            <v>0</v>
          </cell>
        </row>
        <row r="1257">
          <cell r="E1257">
            <v>0</v>
          </cell>
        </row>
        <row r="1258">
          <cell r="E1258">
            <v>0</v>
          </cell>
        </row>
        <row r="1259">
          <cell r="E1259">
            <v>0</v>
          </cell>
        </row>
        <row r="1260">
          <cell r="E1260">
            <v>0</v>
          </cell>
        </row>
        <row r="1261">
          <cell r="E1261">
            <v>0</v>
          </cell>
        </row>
        <row r="1262">
          <cell r="E1262">
            <v>0</v>
          </cell>
        </row>
        <row r="1263">
          <cell r="E1263">
            <v>0</v>
          </cell>
        </row>
        <row r="1266">
          <cell r="E1266">
            <v>1713</v>
          </cell>
        </row>
        <row r="1267">
          <cell r="E1267">
            <v>1</v>
          </cell>
        </row>
        <row r="1268">
          <cell r="E1268">
            <v>0</v>
          </cell>
        </row>
        <row r="1269">
          <cell r="E1269">
            <v>90</v>
          </cell>
        </row>
        <row r="1270">
          <cell r="E1270">
            <v>0</v>
          </cell>
        </row>
        <row r="1271">
          <cell r="E1271">
            <v>904</v>
          </cell>
        </row>
        <row r="1272">
          <cell r="E1272">
            <v>419</v>
          </cell>
        </row>
        <row r="1273">
          <cell r="E1273">
            <v>5043</v>
          </cell>
        </row>
        <row r="1274">
          <cell r="E1274">
            <v>2337</v>
          </cell>
        </row>
        <row r="1275">
          <cell r="E1275">
            <v>162</v>
          </cell>
        </row>
        <row r="1277">
          <cell r="E1277">
            <v>3356</v>
          </cell>
        </row>
        <row r="1278">
          <cell r="E1278">
            <v>0</v>
          </cell>
        </row>
        <row r="1279">
          <cell r="E1279">
            <v>0</v>
          </cell>
        </row>
        <row r="1280">
          <cell r="E1280">
            <v>3761</v>
          </cell>
        </row>
        <row r="1281">
          <cell r="E1281">
            <v>0</v>
          </cell>
        </row>
        <row r="1282">
          <cell r="E1282">
            <v>138</v>
          </cell>
        </row>
        <row r="1284">
          <cell r="E1284">
            <v>411</v>
          </cell>
        </row>
        <row r="1285">
          <cell r="E1285">
            <v>0</v>
          </cell>
        </row>
        <row r="1286">
          <cell r="E1286">
            <v>0</v>
          </cell>
        </row>
        <row r="1287">
          <cell r="E1287">
            <v>82</v>
          </cell>
        </row>
        <row r="1288">
          <cell r="E1288">
            <v>141</v>
          </cell>
        </row>
        <row r="1289">
          <cell r="E1289">
            <v>0</v>
          </cell>
        </row>
        <row r="1290">
          <cell r="E1290">
            <v>114</v>
          </cell>
        </row>
        <row r="1292">
          <cell r="E1292">
            <v>315</v>
          </cell>
        </row>
        <row r="1293">
          <cell r="E1293">
            <v>0</v>
          </cell>
        </row>
        <row r="1294">
          <cell r="E1294">
            <v>0</v>
          </cell>
        </row>
        <row r="1295">
          <cell r="E1295">
            <v>23</v>
          </cell>
        </row>
        <row r="1296">
          <cell r="E1296">
            <v>23</v>
          </cell>
        </row>
        <row r="1297">
          <cell r="E1297">
            <v>3</v>
          </cell>
        </row>
        <row r="1298">
          <cell r="E1298">
            <v>110</v>
          </cell>
        </row>
        <row r="1299">
          <cell r="E1299">
            <v>0</v>
          </cell>
        </row>
        <row r="1300">
          <cell r="E1300">
            <v>0</v>
          </cell>
        </row>
        <row r="1301">
          <cell r="E1301">
            <v>0</v>
          </cell>
        </row>
        <row r="1302">
          <cell r="E1302">
            <v>463</v>
          </cell>
        </row>
        <row r="1303">
          <cell r="E1303">
            <v>237</v>
          </cell>
        </row>
        <row r="1305">
          <cell r="E1305">
            <v>5294</v>
          </cell>
        </row>
        <row r="1306">
          <cell r="E1306">
            <v>425</v>
          </cell>
        </row>
        <row r="1307">
          <cell r="E1307">
            <v>88</v>
          </cell>
        </row>
        <row r="1309">
          <cell r="E1309">
            <v>1298</v>
          </cell>
        </row>
        <row r="1310">
          <cell r="E1310">
            <v>80</v>
          </cell>
        </row>
        <row r="1311">
          <cell r="E1311">
            <v>29</v>
          </cell>
        </row>
        <row r="1313">
          <cell r="E1313">
            <v>367</v>
          </cell>
        </row>
        <row r="1317">
          <cell r="E1317">
            <v>48185</v>
          </cell>
        </row>
        <row r="1318">
          <cell r="E1318">
            <v>1</v>
          </cell>
        </row>
        <row r="1319">
          <cell r="E1319">
            <v>63</v>
          </cell>
        </row>
        <row r="1320">
          <cell r="E1320">
            <v>0</v>
          </cell>
        </row>
        <row r="1322">
          <cell r="E1322">
            <v>187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说明"/>
      <sheetName val="封面"/>
      <sheetName val="目录"/>
      <sheetName val="表一"/>
      <sheetName val="表二"/>
      <sheetName val="表三"/>
      <sheetName val="表四"/>
      <sheetName val="表五"/>
      <sheetName val="表六"/>
      <sheetName val="表七"/>
      <sheetName val="表八"/>
      <sheetName val="审核1"/>
      <sheetName val="审核2"/>
      <sheetName val="土地收入"/>
      <sheetName val="历年预算科目"/>
      <sheetName val="_ESList"/>
      <sheetName val="SW-TEO"/>
      <sheetName val="中央"/>
      <sheetName val="Open"/>
      <sheetName val="Toolbox"/>
      <sheetName val="国家"/>
      <sheetName val="G.1R-Shou COP Gf"/>
      <sheetName val="Financ. 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简表1.7"/>
      <sheetName val="线上-全市一般公共预算收入"/>
      <sheetName val="线上-市本级一般公共预算收入"/>
      <sheetName val="线上-全市及市本级线上支出"/>
      <sheetName val="线下-全市线下收入及支出"/>
      <sheetName val="线下-市本级线下收入及支出"/>
      <sheetName val="全市债务收入和债务转贷"/>
      <sheetName val="市本级债务收入和债务转贷"/>
      <sheetName val="2基金部分收入"/>
      <sheetName val="2基金部分支出"/>
      <sheetName val="调出"/>
      <sheetName val="Sheet3"/>
      <sheetName val="_ESList"/>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说明"/>
      <sheetName val="封面"/>
      <sheetName val="目录"/>
      <sheetName val="表一"/>
      <sheetName val="表二"/>
      <sheetName val="表三"/>
      <sheetName val="表四"/>
      <sheetName val="表五"/>
      <sheetName val="表六"/>
      <sheetName val="表七"/>
      <sheetName val="表八"/>
      <sheetName val="审核1"/>
      <sheetName val="审核2"/>
      <sheetName val="土地收入"/>
      <sheetName val="历年预算科目"/>
      <sheetName val="_ESList"/>
      <sheetName val="收入(一般)"/>
      <sheetName val="支出(一般)"/>
      <sheetName val="收入(基金)"/>
      <sheetName val="支出(基金)"/>
      <sheetName val="国家"/>
      <sheetName val="2基金部分支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0" tint="-0.149540696432386"/>
  </sheetPr>
  <dimension ref="A1:N50"/>
  <sheetViews>
    <sheetView view="pageBreakPreview" zoomScale="85" zoomScaleNormal="85" workbookViewId="0">
      <selection activeCell="I5" sqref="I5"/>
    </sheetView>
  </sheetViews>
  <sheetFormatPr defaultColWidth="9" defaultRowHeight="14.25"/>
  <cols>
    <col min="1" max="1" width="3.88333333333333" style="746" customWidth="1"/>
    <col min="2" max="2" width="65.4333333333333" style="746" customWidth="1"/>
    <col min="3" max="3" width="14.7" style="746" customWidth="1"/>
    <col min="4" max="4" width="74" style="746" customWidth="1"/>
    <col min="5" max="16384" width="9" style="746"/>
  </cols>
  <sheetData>
    <row r="1" ht="42" customHeight="1" spans="1:3">
      <c r="A1" s="747"/>
      <c r="B1" s="747"/>
      <c r="C1" s="748" t="s">
        <v>0</v>
      </c>
    </row>
    <row r="2" ht="177" customHeight="1" spans="2:3">
      <c r="B2" s="749"/>
      <c r="C2" s="749"/>
    </row>
    <row r="3" ht="82" customHeight="1" spans="2:3">
      <c r="B3" s="750" t="s">
        <v>1</v>
      </c>
      <c r="C3" s="750"/>
    </row>
    <row r="4" s="735" customFormat="1" ht="117" customHeight="1" spans="2:5">
      <c r="B4" s="751" t="str">
        <f>YEAR(B7)-1&amp;"年地方财政预算执行情况和"&amp;YEAR(B7)&amp;"年地方财政预算（草案）"</f>
        <v>2025年地方财政预算执行情况和2026年地方财政预算（草案）</v>
      </c>
      <c r="C4" s="751"/>
      <c r="E4" s="735">
        <v>3</v>
      </c>
    </row>
    <row r="5" ht="318.75" customHeight="1" spans="2:14">
      <c r="B5" s="752"/>
      <c r="C5" s="746" t="s">
        <v>2</v>
      </c>
      <c r="E5" s="746">
        <v>8</v>
      </c>
      <c r="N5" s="746" t="s">
        <v>3</v>
      </c>
    </row>
    <row r="6" s="745" customFormat="1" ht="30" customHeight="1" spans="2:5">
      <c r="B6" s="753" t="s">
        <v>4</v>
      </c>
      <c r="C6" s="753"/>
      <c r="E6" s="745">
        <v>10</v>
      </c>
    </row>
    <row r="7" s="745" customFormat="1" ht="32.25" customHeight="1" spans="2:5">
      <c r="B7" s="754">
        <v>46037</v>
      </c>
      <c r="C7" s="754"/>
      <c r="D7" s="755"/>
      <c r="E7" s="745">
        <v>22</v>
      </c>
    </row>
    <row r="8" spans="5:5">
      <c r="E8" s="756">
        <v>23</v>
      </c>
    </row>
    <row r="9" spans="5:5">
      <c r="E9" s="746">
        <v>24</v>
      </c>
    </row>
    <row r="10" spans="5:5">
      <c r="E10" s="746">
        <v>25</v>
      </c>
    </row>
    <row r="11" spans="5:5">
      <c r="E11" s="746">
        <v>26</v>
      </c>
    </row>
    <row r="12" spans="5:5">
      <c r="E12" s="746">
        <v>28</v>
      </c>
    </row>
    <row r="13" spans="5:5">
      <c r="E13" s="746">
        <v>29</v>
      </c>
    </row>
    <row r="14" spans="5:5">
      <c r="E14" s="746">
        <v>30</v>
      </c>
    </row>
    <row r="15" spans="5:5">
      <c r="E15" s="746">
        <v>31</v>
      </c>
    </row>
    <row r="16" spans="5:5">
      <c r="E16" s="746">
        <v>32</v>
      </c>
    </row>
    <row r="17" spans="5:5">
      <c r="E17" s="746">
        <v>33</v>
      </c>
    </row>
    <row r="18" spans="5:5">
      <c r="E18" s="746">
        <v>34</v>
      </c>
    </row>
    <row r="19" spans="5:5">
      <c r="E19" s="746">
        <v>35</v>
      </c>
    </row>
    <row r="20" spans="5:5">
      <c r="E20" s="746">
        <v>36</v>
      </c>
    </row>
    <row r="21" spans="5:5">
      <c r="E21" s="746">
        <v>37</v>
      </c>
    </row>
    <row r="22" spans="5:5">
      <c r="E22" s="746">
        <v>38</v>
      </c>
    </row>
    <row r="23" spans="5:5">
      <c r="E23" s="746">
        <v>40</v>
      </c>
    </row>
    <row r="24" spans="5:5">
      <c r="E24" s="746">
        <v>45</v>
      </c>
    </row>
    <row r="25" spans="5:5">
      <c r="E25" s="746">
        <v>47</v>
      </c>
    </row>
    <row r="26" spans="5:5">
      <c r="E26" s="746">
        <v>61</v>
      </c>
    </row>
    <row r="27" spans="5:5">
      <c r="E27" s="746">
        <v>64</v>
      </c>
    </row>
    <row r="28" spans="5:5">
      <c r="E28" s="746">
        <v>65</v>
      </c>
    </row>
    <row r="29" spans="5:5">
      <c r="E29" s="746">
        <v>66</v>
      </c>
    </row>
    <row r="30" spans="5:5">
      <c r="E30" s="746">
        <v>67</v>
      </c>
    </row>
    <row r="31" spans="5:5">
      <c r="E31" s="746">
        <v>68</v>
      </c>
    </row>
    <row r="32" spans="5:5">
      <c r="E32" s="746">
        <v>69</v>
      </c>
    </row>
    <row r="33" spans="5:5">
      <c r="E33" s="746">
        <v>70</v>
      </c>
    </row>
    <row r="34" spans="5:5">
      <c r="E34" s="746">
        <v>72</v>
      </c>
    </row>
    <row r="35" spans="5:5">
      <c r="E35" s="746">
        <v>73</v>
      </c>
    </row>
    <row r="36" spans="5:5">
      <c r="E36" s="746">
        <v>74</v>
      </c>
    </row>
    <row r="37" spans="5:5">
      <c r="E37" s="746">
        <v>75</v>
      </c>
    </row>
    <row r="38" spans="5:5">
      <c r="E38" s="746">
        <v>76</v>
      </c>
    </row>
    <row r="39" spans="5:5">
      <c r="E39" s="746">
        <v>77</v>
      </c>
    </row>
    <row r="40" spans="5:5">
      <c r="E40" s="746">
        <v>78</v>
      </c>
    </row>
    <row r="41" spans="5:5">
      <c r="E41" s="746">
        <v>79</v>
      </c>
    </row>
    <row r="42" spans="5:5">
      <c r="E42" s="746">
        <v>80</v>
      </c>
    </row>
    <row r="43" spans="5:5">
      <c r="E43" s="746">
        <v>81</v>
      </c>
    </row>
    <row r="44" spans="5:5">
      <c r="E44" s="746">
        <v>82</v>
      </c>
    </row>
    <row r="45" spans="5:5">
      <c r="E45" s="746">
        <v>83</v>
      </c>
    </row>
    <row r="46" spans="5:5">
      <c r="E46" s="746">
        <v>84</v>
      </c>
    </row>
    <row r="47" spans="5:5">
      <c r="E47" s="746">
        <v>86</v>
      </c>
    </row>
    <row r="48" spans="5:5">
      <c r="E48" s="746">
        <v>89</v>
      </c>
    </row>
    <row r="49" spans="5:5">
      <c r="E49" s="746">
        <v>92</v>
      </c>
    </row>
    <row r="50" spans="5:5">
      <c r="E50" s="746">
        <v>94</v>
      </c>
    </row>
  </sheetData>
  <mergeCells count="5">
    <mergeCell ref="A1:B1"/>
    <mergeCell ref="B3:C3"/>
    <mergeCell ref="B4:C4"/>
    <mergeCell ref="B6:C6"/>
    <mergeCell ref="B7:C7"/>
  </mergeCells>
  <printOptions horizontalCentered="1"/>
  <pageMargins left="0.707638888888889" right="0.707638888888889" top="0.747916666666667" bottom="0.747916666666667" header="0.313888888888889" footer="0.313888888888889"/>
  <pageSetup paperSize="9" scale="89" firstPageNumber="0" orientation="portrait" useFirstPageNumber="1"/>
  <headerFooter alignWithMargins="0"/>
  <rowBreaks count="1" manualBreakCount="1">
    <brk id="7" max="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0" tint="-0.149540696432386"/>
  </sheetPr>
  <dimension ref="A1:XFB50"/>
  <sheetViews>
    <sheetView view="pageBreakPreview" zoomScale="85" zoomScaleNormal="85" topLeftCell="A13" workbookViewId="0">
      <selection activeCell="A28" sqref="A28"/>
    </sheetView>
  </sheetViews>
  <sheetFormatPr defaultColWidth="9" defaultRowHeight="14.25"/>
  <cols>
    <col min="1" max="1" width="119.883333333333" style="735" customWidth="1"/>
    <col min="2" max="2" width="11.5" style="735" customWidth="1"/>
    <col min="3" max="3" width="68.75" style="735" customWidth="1"/>
    <col min="4" max="4" width="4.25" style="735" customWidth="1"/>
    <col min="5" max="5" width="5.5" style="735" customWidth="1"/>
    <col min="6" max="16384" width="9" style="735"/>
  </cols>
  <sheetData>
    <row r="1" ht="36.75" spans="1:5">
      <c r="A1" s="736" t="s">
        <v>5</v>
      </c>
      <c r="B1" s="737" t="s">
        <v>6</v>
      </c>
      <c r="C1" s="738"/>
      <c r="D1" s="737"/>
      <c r="E1" s="737"/>
    </row>
    <row r="2" ht="20.1" customHeight="1" spans="1:5">
      <c r="A2" s="735" t="s">
        <v>3</v>
      </c>
      <c r="B2" s="739"/>
      <c r="C2" s="739"/>
      <c r="D2" s="739"/>
      <c r="E2" s="739"/>
    </row>
    <row r="3" s="734" customFormat="1" ht="30" customHeight="1" spans="1:5">
      <c r="A3" s="740" t="str">
        <f>B3&amp;"、"&amp;C3&amp;REPT(".",75-LENB(B3&amp;"、"&amp;C3&amp;E3))&amp;E3</f>
        <v>表一、2025年丽江市一般公共预算收支情况表..................................1</v>
      </c>
      <c r="B3" s="741" t="s">
        <v>7</v>
      </c>
      <c r="C3" s="742" t="s">
        <v>8</v>
      </c>
      <c r="D3" s="741">
        <f>LEN(C3)</f>
        <v>19</v>
      </c>
      <c r="E3" s="744">
        <v>1</v>
      </c>
    </row>
    <row r="4" s="734" customFormat="1" ht="30" customHeight="1" spans="1:5">
      <c r="A4" s="740" t="str">
        <f t="shared" ref="A3:A20" si="0">B4&amp;"、"&amp;C4&amp;REPT(".",75-LENB(B4&amp;"、"&amp;C4&amp;E4))&amp;E4</f>
        <v>表二、2025年丽江市一般公共预算支出执行情况表..............................3</v>
      </c>
      <c r="B4" s="741" t="s">
        <v>9</v>
      </c>
      <c r="C4" s="742" t="s">
        <v>10</v>
      </c>
      <c r="D4" s="741">
        <f t="shared" ref="D4:D50" si="1">LEN(C4)</f>
        <v>21</v>
      </c>
      <c r="E4" s="744">
        <v>3</v>
      </c>
    </row>
    <row r="5" s="734" customFormat="1" ht="30" customHeight="1" spans="1:5">
      <c r="A5" s="740" t="str">
        <f t="shared" si="0"/>
        <v>表三、2025年市本级一般公共预算收支情况表..................................8</v>
      </c>
      <c r="B5" s="741" t="s">
        <v>11</v>
      </c>
      <c r="C5" s="742" t="s">
        <v>12</v>
      </c>
      <c r="D5" s="741">
        <f t="shared" si="1"/>
        <v>19</v>
      </c>
      <c r="E5" s="744">
        <v>8</v>
      </c>
    </row>
    <row r="6" s="734" customFormat="1" ht="30" customHeight="1" spans="1:5">
      <c r="A6" s="740" t="str">
        <f t="shared" si="0"/>
        <v>表四、2025年市本级一般公共预算支出执行情况表.............................10</v>
      </c>
      <c r="B6" s="741" t="s">
        <v>13</v>
      </c>
      <c r="C6" s="742" t="s">
        <v>14</v>
      </c>
      <c r="D6" s="741">
        <f t="shared" si="1"/>
        <v>21</v>
      </c>
      <c r="E6" s="744">
        <v>10</v>
      </c>
    </row>
    <row r="7" s="734" customFormat="1" ht="30" customHeight="1" spans="1:16382">
      <c r="A7" s="740" t="str">
        <f t="shared" si="0"/>
        <v>表五、2025年市本级预备费安排情况表.......................................22</v>
      </c>
      <c r="B7" s="741" t="s">
        <v>15</v>
      </c>
      <c r="C7" s="742" t="s">
        <v>16</v>
      </c>
      <c r="D7" s="741">
        <f t="shared" si="1"/>
        <v>16</v>
      </c>
      <c r="E7" s="744">
        <v>22</v>
      </c>
      <c r="F7" s="735"/>
      <c r="G7" s="735"/>
      <c r="H7" s="735"/>
      <c r="I7" s="735"/>
      <c r="J7" s="735"/>
      <c r="K7" s="735"/>
      <c r="L7" s="735"/>
      <c r="M7" s="735"/>
      <c r="N7" s="735"/>
      <c r="O7" s="735"/>
      <c r="P7" s="735"/>
      <c r="Q7" s="735"/>
      <c r="R7" s="735"/>
      <c r="S7" s="735"/>
      <c r="T7" s="735"/>
      <c r="U7" s="735"/>
      <c r="V7" s="735"/>
      <c r="W7" s="735"/>
      <c r="X7" s="735"/>
      <c r="Y7" s="735"/>
      <c r="Z7" s="735"/>
      <c r="AA7" s="735"/>
      <c r="AB7" s="735"/>
      <c r="AC7" s="735"/>
      <c r="AD7" s="735"/>
      <c r="AE7" s="735"/>
      <c r="AF7" s="735"/>
      <c r="AG7" s="735"/>
      <c r="AH7" s="735"/>
      <c r="AI7" s="735"/>
      <c r="AJ7" s="735"/>
      <c r="AK7" s="735"/>
      <c r="AL7" s="735"/>
      <c r="AM7" s="735"/>
      <c r="AN7" s="735"/>
      <c r="AO7" s="735"/>
      <c r="AP7" s="735"/>
      <c r="AQ7" s="735"/>
      <c r="AR7" s="735"/>
      <c r="AS7" s="735"/>
      <c r="AT7" s="735"/>
      <c r="AU7" s="735"/>
      <c r="AV7" s="735"/>
      <c r="AW7" s="735"/>
      <c r="AX7" s="735"/>
      <c r="AY7" s="735"/>
      <c r="AZ7" s="735"/>
      <c r="BA7" s="735"/>
      <c r="BB7" s="735"/>
      <c r="BC7" s="735"/>
      <c r="BD7" s="735"/>
      <c r="BE7" s="735"/>
      <c r="BF7" s="735"/>
      <c r="BG7" s="735"/>
      <c r="BH7" s="735"/>
      <c r="BI7" s="735"/>
      <c r="BJ7" s="735"/>
      <c r="BK7" s="735"/>
      <c r="BL7" s="735"/>
      <c r="BM7" s="735"/>
      <c r="BN7" s="735"/>
      <c r="BO7" s="735"/>
      <c r="BP7" s="735"/>
      <c r="BQ7" s="735"/>
      <c r="BR7" s="735"/>
      <c r="BS7" s="735"/>
      <c r="BT7" s="735"/>
      <c r="BU7" s="735"/>
      <c r="BV7" s="735"/>
      <c r="BW7" s="735"/>
      <c r="BX7" s="735"/>
      <c r="BY7" s="735"/>
      <c r="BZ7" s="735"/>
      <c r="CA7" s="735"/>
      <c r="CB7" s="735"/>
      <c r="CC7" s="735"/>
      <c r="CD7" s="735"/>
      <c r="CE7" s="735"/>
      <c r="CF7" s="735"/>
      <c r="CG7" s="735"/>
      <c r="CH7" s="735"/>
      <c r="CI7" s="735"/>
      <c r="CJ7" s="735"/>
      <c r="CK7" s="735"/>
      <c r="CL7" s="735"/>
      <c r="CM7" s="735"/>
      <c r="CN7" s="735"/>
      <c r="CO7" s="735"/>
      <c r="CP7" s="735"/>
      <c r="CQ7" s="735"/>
      <c r="CR7" s="735"/>
      <c r="CS7" s="735"/>
      <c r="CT7" s="735"/>
      <c r="CU7" s="735"/>
      <c r="CV7" s="735"/>
      <c r="CW7" s="735"/>
      <c r="CX7" s="735"/>
      <c r="CY7" s="735"/>
      <c r="CZ7" s="735"/>
      <c r="DA7" s="735"/>
      <c r="DB7" s="735"/>
      <c r="DC7" s="735"/>
      <c r="DD7" s="735"/>
      <c r="DE7" s="735"/>
      <c r="DF7" s="735"/>
      <c r="DG7" s="735"/>
      <c r="DH7" s="735"/>
      <c r="DI7" s="735"/>
      <c r="DJ7" s="735"/>
      <c r="DK7" s="735"/>
      <c r="DL7" s="735"/>
      <c r="DM7" s="735"/>
      <c r="DN7" s="735"/>
      <c r="DO7" s="735"/>
      <c r="DP7" s="735"/>
      <c r="DQ7" s="735"/>
      <c r="DR7" s="735"/>
      <c r="DS7" s="735"/>
      <c r="DT7" s="735"/>
      <c r="DU7" s="735"/>
      <c r="DV7" s="735"/>
      <c r="DW7" s="735"/>
      <c r="DX7" s="735"/>
      <c r="DY7" s="735"/>
      <c r="DZ7" s="735"/>
      <c r="EA7" s="735"/>
      <c r="EB7" s="735"/>
      <c r="EC7" s="735"/>
      <c r="ED7" s="735"/>
      <c r="EE7" s="735"/>
      <c r="EF7" s="735"/>
      <c r="EG7" s="735"/>
      <c r="EH7" s="735"/>
      <c r="EI7" s="735"/>
      <c r="EJ7" s="735"/>
      <c r="EK7" s="735"/>
      <c r="EL7" s="735"/>
      <c r="EM7" s="735"/>
      <c r="EN7" s="735"/>
      <c r="EO7" s="735"/>
      <c r="EP7" s="735"/>
      <c r="EQ7" s="735"/>
      <c r="ER7" s="735"/>
      <c r="ES7" s="735"/>
      <c r="ET7" s="735"/>
      <c r="EU7" s="735"/>
      <c r="EV7" s="735"/>
      <c r="EW7" s="735"/>
      <c r="EX7" s="735"/>
      <c r="EY7" s="735"/>
      <c r="EZ7" s="735"/>
      <c r="FA7" s="735"/>
      <c r="FB7" s="735"/>
      <c r="FC7" s="735"/>
      <c r="FD7" s="735"/>
      <c r="FE7" s="735"/>
      <c r="FF7" s="735"/>
      <c r="FG7" s="735"/>
      <c r="FH7" s="735"/>
      <c r="FI7" s="735"/>
      <c r="FJ7" s="735"/>
      <c r="FK7" s="735"/>
      <c r="FL7" s="735"/>
      <c r="FM7" s="735"/>
      <c r="FN7" s="735"/>
      <c r="FO7" s="735"/>
      <c r="FP7" s="735"/>
      <c r="FQ7" s="735"/>
      <c r="FR7" s="735"/>
      <c r="FS7" s="735"/>
      <c r="FT7" s="735"/>
      <c r="FU7" s="735"/>
      <c r="FV7" s="735"/>
      <c r="FW7" s="735"/>
      <c r="FX7" s="735"/>
      <c r="FY7" s="735"/>
      <c r="FZ7" s="735"/>
      <c r="GA7" s="735"/>
      <c r="GB7" s="735"/>
      <c r="GC7" s="735"/>
      <c r="GD7" s="735"/>
      <c r="GE7" s="735"/>
      <c r="GF7" s="735"/>
      <c r="GG7" s="735"/>
      <c r="GH7" s="735"/>
      <c r="GI7" s="735"/>
      <c r="GJ7" s="735"/>
      <c r="GK7" s="735"/>
      <c r="GL7" s="735"/>
      <c r="GM7" s="735"/>
      <c r="GN7" s="735"/>
      <c r="GO7" s="735"/>
      <c r="GP7" s="735"/>
      <c r="GQ7" s="735"/>
      <c r="GR7" s="735"/>
      <c r="GS7" s="735"/>
      <c r="GT7" s="735"/>
      <c r="GU7" s="735"/>
      <c r="GV7" s="735"/>
      <c r="GW7" s="735"/>
      <c r="GX7" s="735"/>
      <c r="GY7" s="735"/>
      <c r="GZ7" s="735"/>
      <c r="HA7" s="735"/>
      <c r="HB7" s="735"/>
      <c r="HC7" s="735"/>
      <c r="HD7" s="735"/>
      <c r="HE7" s="735"/>
      <c r="HF7" s="735"/>
      <c r="HG7" s="735"/>
      <c r="HH7" s="735"/>
      <c r="HI7" s="735"/>
      <c r="HJ7" s="735"/>
      <c r="HK7" s="735"/>
      <c r="HL7" s="735"/>
      <c r="HM7" s="735"/>
      <c r="HN7" s="735"/>
      <c r="HO7" s="735"/>
      <c r="HP7" s="735"/>
      <c r="HQ7" s="735"/>
      <c r="HR7" s="735"/>
      <c r="HS7" s="735"/>
      <c r="HT7" s="735"/>
      <c r="HU7" s="735"/>
      <c r="HV7" s="735"/>
      <c r="HW7" s="735"/>
      <c r="HX7" s="735"/>
      <c r="HY7" s="735"/>
      <c r="HZ7" s="735"/>
      <c r="IA7" s="735"/>
      <c r="IB7" s="735"/>
      <c r="IC7" s="735"/>
      <c r="ID7" s="735"/>
      <c r="IE7" s="735"/>
      <c r="IF7" s="735"/>
      <c r="IG7" s="735"/>
      <c r="IH7" s="735"/>
      <c r="II7" s="735"/>
      <c r="IJ7" s="735"/>
      <c r="IK7" s="735"/>
      <c r="IL7" s="735"/>
      <c r="IM7" s="735"/>
      <c r="IN7" s="735"/>
      <c r="IO7" s="735"/>
      <c r="IP7" s="735"/>
      <c r="IQ7" s="735"/>
      <c r="IR7" s="735"/>
      <c r="IS7" s="735"/>
      <c r="IT7" s="735"/>
      <c r="IU7" s="735"/>
      <c r="IV7" s="735"/>
      <c r="IW7" s="735"/>
      <c r="IX7" s="735"/>
      <c r="IY7" s="735"/>
      <c r="IZ7" s="735"/>
      <c r="JA7" s="735"/>
      <c r="JB7" s="735"/>
      <c r="JC7" s="735"/>
      <c r="JD7" s="735"/>
      <c r="JE7" s="735"/>
      <c r="JF7" s="735"/>
      <c r="JG7" s="735"/>
      <c r="JH7" s="735"/>
      <c r="JI7" s="735"/>
      <c r="JJ7" s="735"/>
      <c r="JK7" s="735"/>
      <c r="JL7" s="735"/>
      <c r="JM7" s="735"/>
      <c r="JN7" s="735"/>
      <c r="JO7" s="735"/>
      <c r="JP7" s="735"/>
      <c r="JQ7" s="735"/>
      <c r="JR7" s="735"/>
      <c r="JS7" s="735"/>
      <c r="JT7" s="735"/>
      <c r="JU7" s="735"/>
      <c r="JV7" s="735"/>
      <c r="JW7" s="735"/>
      <c r="JX7" s="735"/>
      <c r="JY7" s="735"/>
      <c r="JZ7" s="735"/>
      <c r="KA7" s="735"/>
      <c r="KB7" s="735"/>
      <c r="KC7" s="735"/>
      <c r="KD7" s="735"/>
      <c r="KE7" s="735"/>
      <c r="KF7" s="735"/>
      <c r="KG7" s="735"/>
      <c r="KH7" s="735"/>
      <c r="KI7" s="735"/>
      <c r="KJ7" s="735"/>
      <c r="KK7" s="735"/>
      <c r="KL7" s="735"/>
      <c r="KM7" s="735"/>
      <c r="KN7" s="735"/>
      <c r="KO7" s="735"/>
      <c r="KP7" s="735"/>
      <c r="KQ7" s="735"/>
      <c r="KR7" s="735"/>
      <c r="KS7" s="735"/>
      <c r="KT7" s="735"/>
      <c r="KU7" s="735"/>
      <c r="KV7" s="735"/>
      <c r="KW7" s="735"/>
      <c r="KX7" s="735"/>
      <c r="KY7" s="735"/>
      <c r="KZ7" s="735"/>
      <c r="LA7" s="735"/>
      <c r="LB7" s="735"/>
      <c r="LC7" s="735"/>
      <c r="LD7" s="735"/>
      <c r="LE7" s="735"/>
      <c r="LF7" s="735"/>
      <c r="LG7" s="735"/>
      <c r="LH7" s="735"/>
      <c r="LI7" s="735"/>
      <c r="LJ7" s="735"/>
      <c r="LK7" s="735"/>
      <c r="LL7" s="735"/>
      <c r="LM7" s="735"/>
      <c r="LN7" s="735"/>
      <c r="LO7" s="735"/>
      <c r="LP7" s="735"/>
      <c r="LQ7" s="735"/>
      <c r="LR7" s="735"/>
      <c r="LS7" s="735"/>
      <c r="LT7" s="735"/>
      <c r="LU7" s="735"/>
      <c r="LV7" s="735"/>
      <c r="LW7" s="735"/>
      <c r="LX7" s="735"/>
      <c r="LY7" s="735"/>
      <c r="LZ7" s="735"/>
      <c r="MA7" s="735"/>
      <c r="MB7" s="735"/>
      <c r="MC7" s="735"/>
      <c r="MD7" s="735"/>
      <c r="ME7" s="735"/>
      <c r="MF7" s="735"/>
      <c r="MG7" s="735"/>
      <c r="MH7" s="735"/>
      <c r="MI7" s="735"/>
      <c r="MJ7" s="735"/>
      <c r="MK7" s="735"/>
      <c r="ML7" s="735"/>
      <c r="MM7" s="735"/>
      <c r="MN7" s="735"/>
      <c r="MO7" s="735"/>
      <c r="MP7" s="735"/>
      <c r="MQ7" s="735"/>
      <c r="MR7" s="735"/>
      <c r="MS7" s="735"/>
      <c r="MT7" s="735"/>
      <c r="MU7" s="735"/>
      <c r="MV7" s="735"/>
      <c r="MW7" s="735"/>
      <c r="MX7" s="735"/>
      <c r="MY7" s="735"/>
      <c r="MZ7" s="735"/>
      <c r="NA7" s="735"/>
      <c r="NB7" s="735"/>
      <c r="NC7" s="735"/>
      <c r="ND7" s="735"/>
      <c r="NE7" s="735"/>
      <c r="NF7" s="735"/>
      <c r="NG7" s="735"/>
      <c r="NH7" s="735"/>
      <c r="NI7" s="735"/>
      <c r="NJ7" s="735"/>
      <c r="NK7" s="735"/>
      <c r="NL7" s="735"/>
      <c r="NM7" s="735"/>
      <c r="NN7" s="735"/>
      <c r="NO7" s="735"/>
      <c r="NP7" s="735"/>
      <c r="NQ7" s="735"/>
      <c r="NR7" s="735"/>
      <c r="NS7" s="735"/>
      <c r="NT7" s="735"/>
      <c r="NU7" s="735"/>
      <c r="NV7" s="735"/>
      <c r="NW7" s="735"/>
      <c r="NX7" s="735"/>
      <c r="NY7" s="735"/>
      <c r="NZ7" s="735"/>
      <c r="OA7" s="735"/>
      <c r="OB7" s="735"/>
      <c r="OC7" s="735"/>
      <c r="OD7" s="735"/>
      <c r="OE7" s="735"/>
      <c r="OF7" s="735"/>
      <c r="OG7" s="735"/>
      <c r="OH7" s="735"/>
      <c r="OI7" s="735"/>
      <c r="OJ7" s="735"/>
      <c r="OK7" s="735"/>
      <c r="OL7" s="735"/>
      <c r="OM7" s="735"/>
      <c r="ON7" s="735"/>
      <c r="OO7" s="735"/>
      <c r="OP7" s="735"/>
      <c r="OQ7" s="735"/>
      <c r="OR7" s="735"/>
      <c r="OS7" s="735"/>
      <c r="OT7" s="735"/>
      <c r="OU7" s="735"/>
      <c r="OV7" s="735"/>
      <c r="OW7" s="735"/>
      <c r="OX7" s="735"/>
      <c r="OY7" s="735"/>
      <c r="OZ7" s="735"/>
      <c r="PA7" s="735"/>
      <c r="PB7" s="735"/>
      <c r="PC7" s="735"/>
      <c r="PD7" s="735"/>
      <c r="PE7" s="735"/>
      <c r="PF7" s="735"/>
      <c r="PG7" s="735"/>
      <c r="PH7" s="735"/>
      <c r="PI7" s="735"/>
      <c r="PJ7" s="735"/>
      <c r="PK7" s="735"/>
      <c r="PL7" s="735"/>
      <c r="PM7" s="735"/>
      <c r="PN7" s="735"/>
      <c r="PO7" s="735"/>
      <c r="PP7" s="735"/>
      <c r="PQ7" s="735"/>
      <c r="PR7" s="735"/>
      <c r="PS7" s="735"/>
      <c r="PT7" s="735"/>
      <c r="PU7" s="735"/>
      <c r="PV7" s="735"/>
      <c r="PW7" s="735"/>
      <c r="PX7" s="735"/>
      <c r="PY7" s="735"/>
      <c r="PZ7" s="735"/>
      <c r="QA7" s="735"/>
      <c r="QB7" s="735"/>
      <c r="QC7" s="735"/>
      <c r="QD7" s="735"/>
      <c r="QE7" s="735"/>
      <c r="QF7" s="735"/>
      <c r="QG7" s="735"/>
      <c r="QH7" s="735"/>
      <c r="QI7" s="735"/>
      <c r="QJ7" s="735"/>
      <c r="QK7" s="735"/>
      <c r="QL7" s="735"/>
      <c r="QM7" s="735"/>
      <c r="QN7" s="735"/>
      <c r="QO7" s="735"/>
      <c r="QP7" s="735"/>
      <c r="QQ7" s="735"/>
      <c r="QR7" s="735"/>
      <c r="QS7" s="735"/>
      <c r="QT7" s="735"/>
      <c r="QU7" s="735"/>
      <c r="QV7" s="735"/>
      <c r="QW7" s="735"/>
      <c r="QX7" s="735"/>
      <c r="QY7" s="735"/>
      <c r="QZ7" s="735"/>
      <c r="RA7" s="735"/>
      <c r="RB7" s="735"/>
      <c r="RC7" s="735"/>
      <c r="RD7" s="735"/>
      <c r="RE7" s="735"/>
      <c r="RF7" s="735"/>
      <c r="RG7" s="735"/>
      <c r="RH7" s="735"/>
      <c r="RI7" s="735"/>
      <c r="RJ7" s="735"/>
      <c r="RK7" s="735"/>
      <c r="RL7" s="735"/>
      <c r="RM7" s="735"/>
      <c r="RN7" s="735"/>
      <c r="RO7" s="735"/>
      <c r="RP7" s="735"/>
      <c r="RQ7" s="735"/>
      <c r="RR7" s="735"/>
      <c r="RS7" s="735"/>
      <c r="RT7" s="735"/>
      <c r="RU7" s="735"/>
      <c r="RV7" s="735"/>
      <c r="RW7" s="735"/>
      <c r="RX7" s="735"/>
      <c r="RY7" s="735"/>
      <c r="RZ7" s="735"/>
      <c r="SA7" s="735"/>
      <c r="SB7" s="735"/>
      <c r="SC7" s="735"/>
      <c r="SD7" s="735"/>
      <c r="SE7" s="735"/>
      <c r="SF7" s="735"/>
      <c r="SG7" s="735"/>
      <c r="SH7" s="735"/>
      <c r="SI7" s="735"/>
      <c r="SJ7" s="735"/>
      <c r="SK7" s="735"/>
      <c r="SL7" s="735"/>
      <c r="SM7" s="735"/>
      <c r="SN7" s="735"/>
      <c r="SO7" s="735"/>
      <c r="SP7" s="735"/>
      <c r="SQ7" s="735"/>
      <c r="SR7" s="735"/>
      <c r="SS7" s="735"/>
      <c r="ST7" s="735"/>
      <c r="SU7" s="735"/>
      <c r="SV7" s="735"/>
      <c r="SW7" s="735"/>
      <c r="SX7" s="735"/>
      <c r="SY7" s="735"/>
      <c r="SZ7" s="735"/>
      <c r="TA7" s="735"/>
      <c r="TB7" s="735"/>
      <c r="TC7" s="735"/>
      <c r="TD7" s="735"/>
      <c r="TE7" s="735"/>
      <c r="TF7" s="735"/>
      <c r="TG7" s="735"/>
      <c r="TH7" s="735"/>
      <c r="TI7" s="735"/>
      <c r="TJ7" s="735"/>
      <c r="TK7" s="735"/>
      <c r="TL7" s="735"/>
      <c r="TM7" s="735"/>
      <c r="TN7" s="735"/>
      <c r="TO7" s="735"/>
      <c r="TP7" s="735"/>
      <c r="TQ7" s="735"/>
      <c r="TR7" s="735"/>
      <c r="TS7" s="735"/>
      <c r="TT7" s="735"/>
      <c r="TU7" s="735"/>
      <c r="TV7" s="735"/>
      <c r="TW7" s="735"/>
      <c r="TX7" s="735"/>
      <c r="TY7" s="735"/>
      <c r="TZ7" s="735"/>
      <c r="UA7" s="735"/>
      <c r="UB7" s="735"/>
      <c r="UC7" s="735"/>
      <c r="UD7" s="735"/>
      <c r="UE7" s="735"/>
      <c r="UF7" s="735"/>
      <c r="UG7" s="735"/>
      <c r="UH7" s="735"/>
      <c r="UI7" s="735"/>
      <c r="UJ7" s="735"/>
      <c r="UK7" s="735"/>
      <c r="UL7" s="735"/>
      <c r="UM7" s="735"/>
      <c r="UN7" s="735"/>
      <c r="UO7" s="735"/>
      <c r="UP7" s="735"/>
      <c r="UQ7" s="735"/>
      <c r="UR7" s="735"/>
      <c r="US7" s="735"/>
      <c r="UT7" s="735"/>
      <c r="UU7" s="735"/>
      <c r="UV7" s="735"/>
      <c r="UW7" s="735"/>
      <c r="UX7" s="735"/>
      <c r="UY7" s="735"/>
      <c r="UZ7" s="735"/>
      <c r="VA7" s="735"/>
      <c r="VB7" s="735"/>
      <c r="VC7" s="735"/>
      <c r="VD7" s="735"/>
      <c r="VE7" s="735"/>
      <c r="VF7" s="735"/>
      <c r="VG7" s="735"/>
      <c r="VH7" s="735"/>
      <c r="VI7" s="735"/>
      <c r="VJ7" s="735"/>
      <c r="VK7" s="735"/>
      <c r="VL7" s="735"/>
      <c r="VM7" s="735"/>
      <c r="VN7" s="735"/>
      <c r="VO7" s="735"/>
      <c r="VP7" s="735"/>
      <c r="VQ7" s="735"/>
      <c r="VR7" s="735"/>
      <c r="VS7" s="735"/>
      <c r="VT7" s="735"/>
      <c r="VU7" s="735"/>
      <c r="VV7" s="735"/>
      <c r="VW7" s="735"/>
      <c r="VX7" s="735"/>
      <c r="VY7" s="735"/>
      <c r="VZ7" s="735"/>
      <c r="WA7" s="735"/>
      <c r="WB7" s="735"/>
      <c r="WC7" s="735"/>
      <c r="WD7" s="735"/>
      <c r="WE7" s="735"/>
      <c r="WF7" s="735"/>
      <c r="WG7" s="735"/>
      <c r="WH7" s="735"/>
      <c r="WI7" s="735"/>
      <c r="WJ7" s="735"/>
      <c r="WK7" s="735"/>
      <c r="WL7" s="735"/>
      <c r="WM7" s="735"/>
      <c r="WN7" s="735"/>
      <c r="WO7" s="735"/>
      <c r="WP7" s="735"/>
      <c r="WQ7" s="735"/>
      <c r="WR7" s="735"/>
      <c r="WS7" s="735"/>
      <c r="WT7" s="735"/>
      <c r="WU7" s="735"/>
      <c r="WV7" s="735"/>
      <c r="WW7" s="735"/>
      <c r="WX7" s="735"/>
      <c r="WY7" s="735"/>
      <c r="WZ7" s="735"/>
      <c r="XA7" s="735"/>
      <c r="XB7" s="735"/>
      <c r="XC7" s="735"/>
      <c r="XD7" s="735"/>
      <c r="XE7" s="735"/>
      <c r="XF7" s="735"/>
      <c r="XG7" s="735"/>
      <c r="XH7" s="735"/>
      <c r="XI7" s="735"/>
      <c r="XJ7" s="735"/>
      <c r="XK7" s="735"/>
      <c r="XL7" s="735"/>
      <c r="XM7" s="735"/>
      <c r="XN7" s="735"/>
      <c r="XO7" s="735"/>
      <c r="XP7" s="735"/>
      <c r="XQ7" s="735"/>
      <c r="XR7" s="735"/>
      <c r="XS7" s="735"/>
      <c r="XT7" s="735"/>
      <c r="XU7" s="735"/>
      <c r="XV7" s="735"/>
      <c r="XW7" s="735"/>
      <c r="XX7" s="735"/>
      <c r="XY7" s="735"/>
      <c r="XZ7" s="735"/>
      <c r="YA7" s="735"/>
      <c r="YB7" s="735"/>
      <c r="YC7" s="735"/>
      <c r="YD7" s="735"/>
      <c r="YE7" s="735"/>
      <c r="YF7" s="735"/>
      <c r="YG7" s="735"/>
      <c r="YH7" s="735"/>
      <c r="YI7" s="735"/>
      <c r="YJ7" s="735"/>
      <c r="YK7" s="735"/>
      <c r="YL7" s="735"/>
      <c r="YM7" s="735"/>
      <c r="YN7" s="735"/>
      <c r="YO7" s="735"/>
      <c r="YP7" s="735"/>
      <c r="YQ7" s="735"/>
      <c r="YR7" s="735"/>
      <c r="YS7" s="735"/>
      <c r="YT7" s="735"/>
      <c r="YU7" s="735"/>
      <c r="YV7" s="735"/>
      <c r="YW7" s="735"/>
      <c r="YX7" s="735"/>
      <c r="YY7" s="735"/>
      <c r="YZ7" s="735"/>
      <c r="ZA7" s="735"/>
      <c r="ZB7" s="735"/>
      <c r="ZC7" s="735"/>
      <c r="ZD7" s="735"/>
      <c r="ZE7" s="735"/>
      <c r="ZF7" s="735"/>
      <c r="ZG7" s="735"/>
      <c r="ZH7" s="735"/>
      <c r="ZI7" s="735"/>
      <c r="ZJ7" s="735"/>
      <c r="ZK7" s="735"/>
      <c r="ZL7" s="735"/>
      <c r="ZM7" s="735"/>
      <c r="ZN7" s="735"/>
      <c r="ZO7" s="735"/>
      <c r="ZP7" s="735"/>
      <c r="ZQ7" s="735"/>
      <c r="ZR7" s="735"/>
      <c r="ZS7" s="735"/>
      <c r="ZT7" s="735"/>
      <c r="ZU7" s="735"/>
      <c r="ZV7" s="735"/>
      <c r="ZW7" s="735"/>
      <c r="ZX7" s="735"/>
      <c r="ZY7" s="735"/>
      <c r="ZZ7" s="735"/>
      <c r="AAA7" s="735"/>
      <c r="AAB7" s="735"/>
      <c r="AAC7" s="735"/>
      <c r="AAD7" s="735"/>
      <c r="AAE7" s="735"/>
      <c r="AAF7" s="735"/>
      <c r="AAG7" s="735"/>
      <c r="AAH7" s="735"/>
      <c r="AAI7" s="735"/>
      <c r="AAJ7" s="735"/>
      <c r="AAK7" s="735"/>
      <c r="AAL7" s="735"/>
      <c r="AAM7" s="735"/>
      <c r="AAN7" s="735"/>
      <c r="AAO7" s="735"/>
      <c r="AAP7" s="735"/>
      <c r="AAQ7" s="735"/>
      <c r="AAR7" s="735"/>
      <c r="AAS7" s="735"/>
      <c r="AAT7" s="735"/>
      <c r="AAU7" s="735"/>
      <c r="AAV7" s="735"/>
      <c r="AAW7" s="735"/>
      <c r="AAX7" s="735"/>
      <c r="AAY7" s="735"/>
      <c r="AAZ7" s="735"/>
      <c r="ABA7" s="735"/>
      <c r="ABB7" s="735"/>
      <c r="ABC7" s="735"/>
      <c r="ABD7" s="735"/>
      <c r="ABE7" s="735"/>
      <c r="ABF7" s="735"/>
      <c r="ABG7" s="735"/>
      <c r="ABH7" s="735"/>
      <c r="ABI7" s="735"/>
      <c r="ABJ7" s="735"/>
      <c r="ABK7" s="735"/>
      <c r="ABL7" s="735"/>
      <c r="ABM7" s="735"/>
      <c r="ABN7" s="735"/>
      <c r="ABO7" s="735"/>
      <c r="ABP7" s="735"/>
      <c r="ABQ7" s="735"/>
      <c r="ABR7" s="735"/>
      <c r="ABS7" s="735"/>
      <c r="ABT7" s="735"/>
      <c r="ABU7" s="735"/>
      <c r="ABV7" s="735"/>
      <c r="ABW7" s="735"/>
      <c r="ABX7" s="735"/>
      <c r="ABY7" s="735"/>
      <c r="ABZ7" s="735"/>
      <c r="ACA7" s="735"/>
      <c r="ACB7" s="735"/>
      <c r="ACC7" s="735"/>
      <c r="ACD7" s="735"/>
      <c r="ACE7" s="735"/>
      <c r="ACF7" s="735"/>
      <c r="ACG7" s="735"/>
      <c r="ACH7" s="735"/>
      <c r="ACI7" s="735"/>
      <c r="ACJ7" s="735"/>
      <c r="ACK7" s="735"/>
      <c r="ACL7" s="735"/>
      <c r="ACM7" s="735"/>
      <c r="ACN7" s="735"/>
      <c r="ACO7" s="735"/>
      <c r="ACP7" s="735"/>
      <c r="ACQ7" s="735"/>
      <c r="ACR7" s="735"/>
      <c r="ACS7" s="735"/>
      <c r="ACT7" s="735"/>
      <c r="ACU7" s="735"/>
      <c r="ACV7" s="735"/>
      <c r="ACW7" s="735"/>
      <c r="ACX7" s="735"/>
      <c r="ACY7" s="735"/>
      <c r="ACZ7" s="735"/>
      <c r="ADA7" s="735"/>
      <c r="ADB7" s="735"/>
      <c r="ADC7" s="735"/>
      <c r="ADD7" s="735"/>
      <c r="ADE7" s="735"/>
      <c r="ADF7" s="735"/>
      <c r="ADG7" s="735"/>
      <c r="ADH7" s="735"/>
      <c r="ADI7" s="735"/>
      <c r="ADJ7" s="735"/>
      <c r="ADK7" s="735"/>
      <c r="ADL7" s="735"/>
      <c r="ADM7" s="735"/>
      <c r="ADN7" s="735"/>
      <c r="ADO7" s="735"/>
      <c r="ADP7" s="735"/>
      <c r="ADQ7" s="735"/>
      <c r="ADR7" s="735"/>
      <c r="ADS7" s="735"/>
      <c r="ADT7" s="735"/>
      <c r="ADU7" s="735"/>
      <c r="ADV7" s="735"/>
      <c r="ADW7" s="735"/>
      <c r="ADX7" s="735"/>
      <c r="ADY7" s="735"/>
      <c r="ADZ7" s="735"/>
      <c r="AEA7" s="735"/>
      <c r="AEB7" s="735"/>
      <c r="AEC7" s="735"/>
      <c r="AED7" s="735"/>
      <c r="AEE7" s="735"/>
      <c r="AEF7" s="735"/>
      <c r="AEG7" s="735"/>
      <c r="AEH7" s="735"/>
      <c r="AEI7" s="735"/>
      <c r="AEJ7" s="735"/>
      <c r="AEK7" s="735"/>
      <c r="AEL7" s="735"/>
      <c r="AEM7" s="735"/>
      <c r="AEN7" s="735"/>
      <c r="AEO7" s="735"/>
      <c r="AEP7" s="735"/>
      <c r="AEQ7" s="735"/>
      <c r="AER7" s="735"/>
      <c r="AES7" s="735"/>
      <c r="AET7" s="735"/>
      <c r="AEU7" s="735"/>
      <c r="AEV7" s="735"/>
      <c r="AEW7" s="735"/>
      <c r="AEX7" s="735"/>
      <c r="AEY7" s="735"/>
      <c r="AEZ7" s="735"/>
      <c r="AFA7" s="735"/>
      <c r="AFB7" s="735"/>
      <c r="AFC7" s="735"/>
      <c r="AFD7" s="735"/>
      <c r="AFE7" s="735"/>
      <c r="AFF7" s="735"/>
      <c r="AFG7" s="735"/>
      <c r="AFH7" s="735"/>
      <c r="AFI7" s="735"/>
      <c r="AFJ7" s="735"/>
      <c r="AFK7" s="735"/>
      <c r="AFL7" s="735"/>
      <c r="AFM7" s="735"/>
      <c r="AFN7" s="735"/>
      <c r="AFO7" s="735"/>
      <c r="AFP7" s="735"/>
      <c r="AFQ7" s="735"/>
      <c r="AFR7" s="735"/>
      <c r="AFS7" s="735"/>
      <c r="AFT7" s="735"/>
      <c r="AFU7" s="735"/>
      <c r="AFV7" s="735"/>
      <c r="AFW7" s="735"/>
      <c r="AFX7" s="735"/>
      <c r="AFY7" s="735"/>
      <c r="AFZ7" s="735"/>
      <c r="AGA7" s="735"/>
      <c r="AGB7" s="735"/>
      <c r="AGC7" s="735"/>
      <c r="AGD7" s="735"/>
      <c r="AGE7" s="735"/>
      <c r="AGF7" s="735"/>
      <c r="AGG7" s="735"/>
      <c r="AGH7" s="735"/>
      <c r="AGI7" s="735"/>
      <c r="AGJ7" s="735"/>
      <c r="AGK7" s="735"/>
      <c r="AGL7" s="735"/>
      <c r="AGM7" s="735"/>
      <c r="AGN7" s="735"/>
      <c r="AGO7" s="735"/>
      <c r="AGP7" s="735"/>
      <c r="AGQ7" s="735"/>
      <c r="AGR7" s="735"/>
      <c r="AGS7" s="735"/>
      <c r="AGT7" s="735"/>
      <c r="AGU7" s="735"/>
      <c r="AGV7" s="735"/>
      <c r="AGW7" s="735"/>
      <c r="AGX7" s="735"/>
      <c r="AGY7" s="735"/>
      <c r="AGZ7" s="735"/>
      <c r="AHA7" s="735"/>
      <c r="AHB7" s="735"/>
      <c r="AHC7" s="735"/>
      <c r="AHD7" s="735"/>
      <c r="AHE7" s="735"/>
      <c r="AHF7" s="735"/>
      <c r="AHG7" s="735"/>
      <c r="AHH7" s="735"/>
      <c r="AHI7" s="735"/>
      <c r="AHJ7" s="735"/>
      <c r="AHK7" s="735"/>
      <c r="AHL7" s="735"/>
      <c r="AHM7" s="735"/>
      <c r="AHN7" s="735"/>
      <c r="AHO7" s="735"/>
      <c r="AHP7" s="735"/>
      <c r="AHQ7" s="735"/>
      <c r="AHR7" s="735"/>
      <c r="AHS7" s="735"/>
      <c r="AHT7" s="735"/>
      <c r="AHU7" s="735"/>
      <c r="AHV7" s="735"/>
      <c r="AHW7" s="735"/>
      <c r="AHX7" s="735"/>
      <c r="AHY7" s="735"/>
      <c r="AHZ7" s="735"/>
      <c r="AIA7" s="735"/>
      <c r="AIB7" s="735"/>
      <c r="AIC7" s="735"/>
      <c r="AID7" s="735"/>
      <c r="AIE7" s="735"/>
      <c r="AIF7" s="735"/>
      <c r="AIG7" s="735"/>
      <c r="AIH7" s="735"/>
      <c r="AII7" s="735"/>
      <c r="AIJ7" s="735"/>
      <c r="AIK7" s="735"/>
      <c r="AIL7" s="735"/>
      <c r="AIM7" s="735"/>
      <c r="AIN7" s="735"/>
      <c r="AIO7" s="735"/>
      <c r="AIP7" s="735"/>
      <c r="AIQ7" s="735"/>
      <c r="AIR7" s="735"/>
      <c r="AIS7" s="735"/>
      <c r="AIT7" s="735"/>
      <c r="AIU7" s="735"/>
      <c r="AIV7" s="735"/>
      <c r="AIW7" s="735"/>
      <c r="AIX7" s="735"/>
      <c r="AIY7" s="735"/>
      <c r="AIZ7" s="735"/>
      <c r="AJA7" s="735"/>
      <c r="AJB7" s="735"/>
      <c r="AJC7" s="735"/>
      <c r="AJD7" s="735"/>
      <c r="AJE7" s="735"/>
      <c r="AJF7" s="735"/>
      <c r="AJG7" s="735"/>
      <c r="AJH7" s="735"/>
      <c r="AJI7" s="735"/>
      <c r="AJJ7" s="735"/>
      <c r="AJK7" s="735"/>
      <c r="AJL7" s="735"/>
      <c r="AJM7" s="735"/>
      <c r="AJN7" s="735"/>
      <c r="AJO7" s="735"/>
      <c r="AJP7" s="735"/>
      <c r="AJQ7" s="735"/>
      <c r="AJR7" s="735"/>
      <c r="AJS7" s="735"/>
      <c r="AJT7" s="735"/>
      <c r="AJU7" s="735"/>
      <c r="AJV7" s="735"/>
      <c r="AJW7" s="735"/>
      <c r="AJX7" s="735"/>
      <c r="AJY7" s="735"/>
      <c r="AJZ7" s="735"/>
      <c r="AKA7" s="735"/>
      <c r="AKB7" s="735"/>
      <c r="AKC7" s="735"/>
      <c r="AKD7" s="735"/>
      <c r="AKE7" s="735"/>
      <c r="AKF7" s="735"/>
      <c r="AKG7" s="735"/>
      <c r="AKH7" s="735"/>
      <c r="AKI7" s="735"/>
      <c r="AKJ7" s="735"/>
      <c r="AKK7" s="735"/>
      <c r="AKL7" s="735"/>
      <c r="AKM7" s="735"/>
      <c r="AKN7" s="735"/>
      <c r="AKO7" s="735"/>
      <c r="AKP7" s="735"/>
      <c r="AKQ7" s="735"/>
      <c r="AKR7" s="735"/>
      <c r="AKS7" s="735"/>
      <c r="AKT7" s="735"/>
      <c r="AKU7" s="735"/>
      <c r="AKV7" s="735"/>
      <c r="AKW7" s="735"/>
      <c r="AKX7" s="735"/>
      <c r="AKY7" s="735"/>
      <c r="AKZ7" s="735"/>
      <c r="ALA7" s="735"/>
      <c r="ALB7" s="735"/>
      <c r="ALC7" s="735"/>
      <c r="ALD7" s="735"/>
      <c r="ALE7" s="735"/>
      <c r="ALF7" s="735"/>
      <c r="ALG7" s="735"/>
      <c r="ALH7" s="735"/>
      <c r="ALI7" s="735"/>
      <c r="ALJ7" s="735"/>
      <c r="ALK7" s="735"/>
      <c r="ALL7" s="735"/>
      <c r="ALM7" s="735"/>
      <c r="ALN7" s="735"/>
      <c r="ALO7" s="735"/>
      <c r="ALP7" s="735"/>
      <c r="ALQ7" s="735"/>
      <c r="ALR7" s="735"/>
      <c r="ALS7" s="735"/>
      <c r="ALT7" s="735"/>
      <c r="ALU7" s="735"/>
      <c r="ALV7" s="735"/>
      <c r="ALW7" s="735"/>
      <c r="ALX7" s="735"/>
      <c r="ALY7" s="735"/>
      <c r="ALZ7" s="735"/>
      <c r="AMA7" s="735"/>
      <c r="AMB7" s="735"/>
      <c r="AMC7" s="735"/>
      <c r="AMD7" s="735"/>
      <c r="AME7" s="735"/>
      <c r="AMF7" s="735"/>
      <c r="AMG7" s="735"/>
      <c r="AMH7" s="735"/>
      <c r="AMI7" s="735"/>
      <c r="AMJ7" s="735"/>
      <c r="AMK7" s="735"/>
      <c r="AML7" s="735"/>
      <c r="AMM7" s="735"/>
      <c r="AMN7" s="735"/>
      <c r="AMO7" s="735"/>
      <c r="AMP7" s="735"/>
      <c r="AMQ7" s="735"/>
      <c r="AMR7" s="735"/>
      <c r="AMS7" s="735"/>
      <c r="AMT7" s="735"/>
      <c r="AMU7" s="735"/>
      <c r="AMV7" s="735"/>
      <c r="AMW7" s="735"/>
      <c r="AMX7" s="735"/>
      <c r="AMY7" s="735"/>
      <c r="AMZ7" s="735"/>
      <c r="ANA7" s="735"/>
      <c r="ANB7" s="735"/>
      <c r="ANC7" s="735"/>
      <c r="AND7" s="735"/>
      <c r="ANE7" s="735"/>
      <c r="ANF7" s="735"/>
      <c r="ANG7" s="735"/>
      <c r="ANH7" s="735"/>
      <c r="ANI7" s="735"/>
      <c r="ANJ7" s="735"/>
      <c r="ANK7" s="735"/>
      <c r="ANL7" s="735"/>
      <c r="ANM7" s="735"/>
      <c r="ANN7" s="735"/>
      <c r="ANO7" s="735"/>
      <c r="ANP7" s="735"/>
      <c r="ANQ7" s="735"/>
      <c r="ANR7" s="735"/>
      <c r="ANS7" s="735"/>
      <c r="ANT7" s="735"/>
      <c r="ANU7" s="735"/>
      <c r="ANV7" s="735"/>
      <c r="ANW7" s="735"/>
      <c r="ANX7" s="735"/>
      <c r="ANY7" s="735"/>
      <c r="ANZ7" s="735"/>
      <c r="AOA7" s="735"/>
      <c r="AOB7" s="735"/>
      <c r="AOC7" s="735"/>
      <c r="AOD7" s="735"/>
      <c r="AOE7" s="735"/>
      <c r="AOF7" s="735"/>
      <c r="AOG7" s="735"/>
      <c r="AOH7" s="735"/>
      <c r="AOI7" s="735"/>
      <c r="AOJ7" s="735"/>
      <c r="AOK7" s="735"/>
      <c r="AOL7" s="735"/>
      <c r="AOM7" s="735"/>
      <c r="AON7" s="735"/>
      <c r="AOO7" s="735"/>
      <c r="AOP7" s="735"/>
      <c r="AOQ7" s="735"/>
      <c r="AOR7" s="735"/>
      <c r="AOS7" s="735"/>
      <c r="AOT7" s="735"/>
      <c r="AOU7" s="735"/>
      <c r="AOV7" s="735"/>
      <c r="AOW7" s="735"/>
      <c r="AOX7" s="735"/>
      <c r="AOY7" s="735"/>
      <c r="AOZ7" s="735"/>
      <c r="APA7" s="735"/>
      <c r="APB7" s="735"/>
      <c r="APC7" s="735"/>
      <c r="APD7" s="735"/>
      <c r="APE7" s="735"/>
      <c r="APF7" s="735"/>
      <c r="APG7" s="735"/>
      <c r="APH7" s="735"/>
      <c r="API7" s="735"/>
      <c r="APJ7" s="735"/>
      <c r="APK7" s="735"/>
      <c r="APL7" s="735"/>
      <c r="APM7" s="735"/>
      <c r="APN7" s="735"/>
      <c r="APO7" s="735"/>
      <c r="APP7" s="735"/>
      <c r="APQ7" s="735"/>
      <c r="APR7" s="735"/>
      <c r="APS7" s="735"/>
      <c r="APT7" s="735"/>
      <c r="APU7" s="735"/>
      <c r="APV7" s="735"/>
      <c r="APW7" s="735"/>
      <c r="APX7" s="735"/>
      <c r="APY7" s="735"/>
      <c r="APZ7" s="735"/>
      <c r="AQA7" s="735"/>
      <c r="AQB7" s="735"/>
      <c r="AQC7" s="735"/>
      <c r="AQD7" s="735"/>
      <c r="AQE7" s="735"/>
      <c r="AQF7" s="735"/>
      <c r="AQG7" s="735"/>
      <c r="AQH7" s="735"/>
      <c r="AQI7" s="735"/>
      <c r="AQJ7" s="735"/>
      <c r="AQK7" s="735"/>
      <c r="AQL7" s="735"/>
      <c r="AQM7" s="735"/>
      <c r="AQN7" s="735"/>
      <c r="AQO7" s="735"/>
      <c r="AQP7" s="735"/>
      <c r="AQQ7" s="735"/>
      <c r="AQR7" s="735"/>
      <c r="AQS7" s="735"/>
      <c r="AQT7" s="735"/>
      <c r="AQU7" s="735"/>
      <c r="AQV7" s="735"/>
      <c r="AQW7" s="735"/>
      <c r="AQX7" s="735"/>
      <c r="AQY7" s="735"/>
      <c r="AQZ7" s="735"/>
      <c r="ARA7" s="735"/>
      <c r="ARB7" s="735"/>
      <c r="ARC7" s="735"/>
      <c r="ARD7" s="735"/>
      <c r="ARE7" s="735"/>
      <c r="ARF7" s="735"/>
      <c r="ARG7" s="735"/>
      <c r="ARH7" s="735"/>
      <c r="ARI7" s="735"/>
      <c r="ARJ7" s="735"/>
      <c r="ARK7" s="735"/>
      <c r="ARL7" s="735"/>
      <c r="ARM7" s="735"/>
      <c r="ARN7" s="735"/>
      <c r="ARO7" s="735"/>
      <c r="ARP7" s="735"/>
      <c r="ARQ7" s="735"/>
      <c r="ARR7" s="735"/>
      <c r="ARS7" s="735"/>
      <c r="ART7" s="735"/>
      <c r="ARU7" s="735"/>
      <c r="ARV7" s="735"/>
      <c r="ARW7" s="735"/>
      <c r="ARX7" s="735"/>
      <c r="ARY7" s="735"/>
      <c r="ARZ7" s="735"/>
      <c r="ASA7" s="735"/>
      <c r="ASB7" s="735"/>
      <c r="ASC7" s="735"/>
      <c r="ASD7" s="735"/>
      <c r="ASE7" s="735"/>
      <c r="ASF7" s="735"/>
      <c r="ASG7" s="735"/>
      <c r="ASH7" s="735"/>
      <c r="ASI7" s="735"/>
      <c r="ASJ7" s="735"/>
      <c r="ASK7" s="735"/>
      <c r="ASL7" s="735"/>
      <c r="ASM7" s="735"/>
      <c r="ASN7" s="735"/>
      <c r="ASO7" s="735"/>
      <c r="ASP7" s="735"/>
      <c r="ASQ7" s="735"/>
      <c r="ASR7" s="735"/>
      <c r="ASS7" s="735"/>
      <c r="AST7" s="735"/>
      <c r="ASU7" s="735"/>
      <c r="ASV7" s="735"/>
      <c r="ASW7" s="735"/>
      <c r="ASX7" s="735"/>
      <c r="ASY7" s="735"/>
      <c r="ASZ7" s="735"/>
      <c r="ATA7" s="735"/>
      <c r="ATB7" s="735"/>
      <c r="ATC7" s="735"/>
      <c r="ATD7" s="735"/>
      <c r="ATE7" s="735"/>
      <c r="ATF7" s="735"/>
      <c r="ATG7" s="735"/>
      <c r="ATH7" s="735"/>
      <c r="ATI7" s="735"/>
      <c r="ATJ7" s="735"/>
      <c r="ATK7" s="735"/>
      <c r="ATL7" s="735"/>
      <c r="ATM7" s="735"/>
      <c r="ATN7" s="735"/>
      <c r="ATO7" s="735"/>
      <c r="ATP7" s="735"/>
      <c r="ATQ7" s="735"/>
      <c r="ATR7" s="735"/>
      <c r="ATS7" s="735"/>
      <c r="ATT7" s="735"/>
      <c r="ATU7" s="735"/>
      <c r="ATV7" s="735"/>
      <c r="ATW7" s="735"/>
      <c r="ATX7" s="735"/>
      <c r="ATY7" s="735"/>
      <c r="ATZ7" s="735"/>
      <c r="AUA7" s="735"/>
      <c r="AUB7" s="735"/>
      <c r="AUC7" s="735"/>
      <c r="AUD7" s="735"/>
      <c r="AUE7" s="735"/>
      <c r="AUF7" s="735"/>
      <c r="AUG7" s="735"/>
      <c r="AUH7" s="735"/>
      <c r="AUI7" s="735"/>
      <c r="AUJ7" s="735"/>
      <c r="AUK7" s="735"/>
      <c r="AUL7" s="735"/>
      <c r="AUM7" s="735"/>
      <c r="AUN7" s="735"/>
      <c r="AUO7" s="735"/>
      <c r="AUP7" s="735"/>
      <c r="AUQ7" s="735"/>
      <c r="AUR7" s="735"/>
      <c r="AUS7" s="735"/>
      <c r="AUT7" s="735"/>
      <c r="AUU7" s="735"/>
      <c r="AUV7" s="735"/>
      <c r="AUW7" s="735"/>
      <c r="AUX7" s="735"/>
      <c r="AUY7" s="735"/>
      <c r="AUZ7" s="735"/>
      <c r="AVA7" s="735"/>
      <c r="AVB7" s="735"/>
      <c r="AVC7" s="735"/>
      <c r="AVD7" s="735"/>
      <c r="AVE7" s="735"/>
      <c r="AVF7" s="735"/>
      <c r="AVG7" s="735"/>
      <c r="AVH7" s="735"/>
      <c r="AVI7" s="735"/>
      <c r="AVJ7" s="735"/>
      <c r="AVK7" s="735"/>
      <c r="AVL7" s="735"/>
      <c r="AVM7" s="735"/>
      <c r="AVN7" s="735"/>
      <c r="AVO7" s="735"/>
      <c r="AVP7" s="735"/>
      <c r="AVQ7" s="735"/>
      <c r="AVR7" s="735"/>
      <c r="AVS7" s="735"/>
      <c r="AVT7" s="735"/>
      <c r="AVU7" s="735"/>
      <c r="AVV7" s="735"/>
      <c r="AVW7" s="735"/>
      <c r="AVX7" s="735"/>
      <c r="AVY7" s="735"/>
      <c r="AVZ7" s="735"/>
      <c r="AWA7" s="735"/>
      <c r="AWB7" s="735"/>
      <c r="AWC7" s="735"/>
      <c r="AWD7" s="735"/>
      <c r="AWE7" s="735"/>
      <c r="AWF7" s="735"/>
      <c r="AWG7" s="735"/>
      <c r="AWH7" s="735"/>
      <c r="AWI7" s="735"/>
      <c r="AWJ7" s="735"/>
      <c r="AWK7" s="735"/>
      <c r="AWL7" s="735"/>
      <c r="AWM7" s="735"/>
      <c r="AWN7" s="735"/>
      <c r="AWO7" s="735"/>
      <c r="AWP7" s="735"/>
      <c r="AWQ7" s="735"/>
      <c r="AWR7" s="735"/>
      <c r="AWS7" s="735"/>
      <c r="AWT7" s="735"/>
      <c r="AWU7" s="735"/>
      <c r="AWV7" s="735"/>
      <c r="AWW7" s="735"/>
      <c r="AWX7" s="735"/>
      <c r="AWY7" s="735"/>
      <c r="AWZ7" s="735"/>
      <c r="AXA7" s="735"/>
      <c r="AXB7" s="735"/>
      <c r="AXC7" s="735"/>
      <c r="AXD7" s="735"/>
      <c r="AXE7" s="735"/>
      <c r="AXF7" s="735"/>
      <c r="AXG7" s="735"/>
      <c r="AXH7" s="735"/>
      <c r="AXI7" s="735"/>
      <c r="AXJ7" s="735"/>
      <c r="AXK7" s="735"/>
      <c r="AXL7" s="735"/>
      <c r="AXM7" s="735"/>
      <c r="AXN7" s="735"/>
      <c r="AXO7" s="735"/>
      <c r="AXP7" s="735"/>
      <c r="AXQ7" s="735"/>
      <c r="AXR7" s="735"/>
      <c r="AXS7" s="735"/>
      <c r="AXT7" s="735"/>
      <c r="AXU7" s="735"/>
      <c r="AXV7" s="735"/>
      <c r="AXW7" s="735"/>
      <c r="AXX7" s="735"/>
      <c r="AXY7" s="735"/>
      <c r="AXZ7" s="735"/>
      <c r="AYA7" s="735"/>
      <c r="AYB7" s="735"/>
      <c r="AYC7" s="735"/>
      <c r="AYD7" s="735"/>
      <c r="AYE7" s="735"/>
      <c r="AYF7" s="735"/>
      <c r="AYG7" s="735"/>
      <c r="AYH7" s="735"/>
      <c r="AYI7" s="735"/>
      <c r="AYJ7" s="735"/>
      <c r="AYK7" s="735"/>
      <c r="AYL7" s="735"/>
      <c r="AYM7" s="735"/>
      <c r="AYN7" s="735"/>
      <c r="AYO7" s="735"/>
      <c r="AYP7" s="735"/>
      <c r="AYQ7" s="735"/>
      <c r="AYR7" s="735"/>
      <c r="AYS7" s="735"/>
      <c r="AYT7" s="735"/>
      <c r="AYU7" s="735"/>
      <c r="AYV7" s="735"/>
      <c r="AYW7" s="735"/>
      <c r="AYX7" s="735"/>
      <c r="AYY7" s="735"/>
      <c r="AYZ7" s="735"/>
      <c r="AZA7" s="735"/>
      <c r="AZB7" s="735"/>
      <c r="AZC7" s="735"/>
      <c r="AZD7" s="735"/>
      <c r="AZE7" s="735"/>
      <c r="AZF7" s="735"/>
      <c r="AZG7" s="735"/>
      <c r="AZH7" s="735"/>
      <c r="AZI7" s="735"/>
      <c r="AZJ7" s="735"/>
      <c r="AZK7" s="735"/>
      <c r="AZL7" s="735"/>
      <c r="AZM7" s="735"/>
      <c r="AZN7" s="735"/>
      <c r="AZO7" s="735"/>
      <c r="AZP7" s="735"/>
      <c r="AZQ7" s="735"/>
      <c r="AZR7" s="735"/>
      <c r="AZS7" s="735"/>
      <c r="AZT7" s="735"/>
      <c r="AZU7" s="735"/>
      <c r="AZV7" s="735"/>
      <c r="AZW7" s="735"/>
      <c r="AZX7" s="735"/>
      <c r="AZY7" s="735"/>
      <c r="AZZ7" s="735"/>
      <c r="BAA7" s="735"/>
      <c r="BAB7" s="735"/>
      <c r="BAC7" s="735"/>
      <c r="BAD7" s="735"/>
      <c r="BAE7" s="735"/>
      <c r="BAF7" s="735"/>
      <c r="BAG7" s="735"/>
      <c r="BAH7" s="735"/>
      <c r="BAI7" s="735"/>
      <c r="BAJ7" s="735"/>
      <c r="BAK7" s="735"/>
      <c r="BAL7" s="735"/>
      <c r="BAM7" s="735"/>
      <c r="BAN7" s="735"/>
      <c r="BAO7" s="735"/>
      <c r="BAP7" s="735"/>
      <c r="BAQ7" s="735"/>
      <c r="BAR7" s="735"/>
      <c r="BAS7" s="735"/>
      <c r="BAT7" s="735"/>
      <c r="BAU7" s="735"/>
      <c r="BAV7" s="735"/>
      <c r="BAW7" s="735"/>
      <c r="BAX7" s="735"/>
      <c r="BAY7" s="735"/>
      <c r="BAZ7" s="735"/>
      <c r="BBA7" s="735"/>
      <c r="BBB7" s="735"/>
      <c r="BBC7" s="735"/>
      <c r="BBD7" s="735"/>
      <c r="BBE7" s="735"/>
      <c r="BBF7" s="735"/>
      <c r="BBG7" s="735"/>
      <c r="BBH7" s="735"/>
      <c r="BBI7" s="735"/>
      <c r="BBJ7" s="735"/>
      <c r="BBK7" s="735"/>
      <c r="BBL7" s="735"/>
      <c r="BBM7" s="735"/>
      <c r="BBN7" s="735"/>
      <c r="BBO7" s="735"/>
      <c r="BBP7" s="735"/>
      <c r="BBQ7" s="735"/>
      <c r="BBR7" s="735"/>
      <c r="BBS7" s="735"/>
      <c r="BBT7" s="735"/>
      <c r="BBU7" s="735"/>
      <c r="BBV7" s="735"/>
      <c r="BBW7" s="735"/>
      <c r="BBX7" s="735"/>
      <c r="BBY7" s="735"/>
      <c r="BBZ7" s="735"/>
      <c r="BCA7" s="735"/>
      <c r="BCB7" s="735"/>
      <c r="BCC7" s="735"/>
      <c r="BCD7" s="735"/>
      <c r="BCE7" s="735"/>
      <c r="BCF7" s="735"/>
      <c r="BCG7" s="735"/>
      <c r="BCH7" s="735"/>
      <c r="BCI7" s="735"/>
      <c r="BCJ7" s="735"/>
      <c r="BCK7" s="735"/>
      <c r="BCL7" s="735"/>
      <c r="BCM7" s="735"/>
      <c r="BCN7" s="735"/>
      <c r="BCO7" s="735"/>
      <c r="BCP7" s="735"/>
      <c r="BCQ7" s="735"/>
      <c r="BCR7" s="735"/>
      <c r="BCS7" s="735"/>
      <c r="BCT7" s="735"/>
      <c r="BCU7" s="735"/>
      <c r="BCV7" s="735"/>
      <c r="BCW7" s="735"/>
      <c r="BCX7" s="735"/>
      <c r="BCY7" s="735"/>
      <c r="BCZ7" s="735"/>
      <c r="BDA7" s="735"/>
      <c r="BDB7" s="735"/>
      <c r="BDC7" s="735"/>
      <c r="BDD7" s="735"/>
      <c r="BDE7" s="735"/>
      <c r="BDF7" s="735"/>
      <c r="BDG7" s="735"/>
      <c r="BDH7" s="735"/>
      <c r="BDI7" s="735"/>
      <c r="BDJ7" s="735"/>
      <c r="BDK7" s="735"/>
      <c r="BDL7" s="735"/>
      <c r="BDM7" s="735"/>
      <c r="BDN7" s="735"/>
      <c r="BDO7" s="735"/>
      <c r="BDP7" s="735"/>
      <c r="BDQ7" s="735"/>
      <c r="BDR7" s="735"/>
      <c r="BDS7" s="735"/>
      <c r="BDT7" s="735"/>
      <c r="BDU7" s="735"/>
      <c r="BDV7" s="735"/>
      <c r="BDW7" s="735"/>
      <c r="BDX7" s="735"/>
      <c r="BDY7" s="735"/>
      <c r="BDZ7" s="735"/>
      <c r="BEA7" s="735"/>
      <c r="BEB7" s="735"/>
      <c r="BEC7" s="735"/>
      <c r="BED7" s="735"/>
      <c r="BEE7" s="735"/>
      <c r="BEF7" s="735"/>
      <c r="BEG7" s="735"/>
      <c r="BEH7" s="735"/>
      <c r="BEI7" s="735"/>
      <c r="BEJ7" s="735"/>
      <c r="BEK7" s="735"/>
      <c r="BEL7" s="735"/>
      <c r="BEM7" s="735"/>
      <c r="BEN7" s="735"/>
      <c r="BEO7" s="735"/>
      <c r="BEP7" s="735"/>
      <c r="BEQ7" s="735"/>
      <c r="BER7" s="735"/>
      <c r="BES7" s="735"/>
      <c r="BET7" s="735"/>
      <c r="BEU7" s="735"/>
      <c r="BEV7" s="735"/>
      <c r="BEW7" s="735"/>
      <c r="BEX7" s="735"/>
      <c r="BEY7" s="735"/>
      <c r="BEZ7" s="735"/>
      <c r="BFA7" s="735"/>
      <c r="BFB7" s="735"/>
      <c r="BFC7" s="735"/>
      <c r="BFD7" s="735"/>
      <c r="BFE7" s="735"/>
      <c r="BFF7" s="735"/>
      <c r="BFG7" s="735"/>
      <c r="BFH7" s="735"/>
      <c r="BFI7" s="735"/>
      <c r="BFJ7" s="735"/>
      <c r="BFK7" s="735"/>
      <c r="BFL7" s="735"/>
      <c r="BFM7" s="735"/>
      <c r="BFN7" s="735"/>
      <c r="BFO7" s="735"/>
      <c r="BFP7" s="735"/>
      <c r="BFQ7" s="735"/>
      <c r="BFR7" s="735"/>
      <c r="BFS7" s="735"/>
      <c r="BFT7" s="735"/>
      <c r="BFU7" s="735"/>
      <c r="BFV7" s="735"/>
      <c r="BFW7" s="735"/>
      <c r="BFX7" s="735"/>
      <c r="BFY7" s="735"/>
      <c r="BFZ7" s="735"/>
      <c r="BGA7" s="735"/>
      <c r="BGB7" s="735"/>
      <c r="BGC7" s="735"/>
      <c r="BGD7" s="735"/>
      <c r="BGE7" s="735"/>
      <c r="BGF7" s="735"/>
      <c r="BGG7" s="735"/>
      <c r="BGH7" s="735"/>
      <c r="BGI7" s="735"/>
      <c r="BGJ7" s="735"/>
      <c r="BGK7" s="735"/>
      <c r="BGL7" s="735"/>
      <c r="BGM7" s="735"/>
      <c r="BGN7" s="735"/>
      <c r="BGO7" s="735"/>
      <c r="BGP7" s="735"/>
      <c r="BGQ7" s="735"/>
      <c r="BGR7" s="735"/>
      <c r="BGS7" s="735"/>
      <c r="BGT7" s="735"/>
      <c r="BGU7" s="735"/>
      <c r="BGV7" s="735"/>
      <c r="BGW7" s="735"/>
      <c r="BGX7" s="735"/>
      <c r="BGY7" s="735"/>
      <c r="BGZ7" s="735"/>
      <c r="BHA7" s="735"/>
      <c r="BHB7" s="735"/>
      <c r="BHC7" s="735"/>
      <c r="BHD7" s="735"/>
      <c r="BHE7" s="735"/>
      <c r="BHF7" s="735"/>
      <c r="BHG7" s="735"/>
      <c r="BHH7" s="735"/>
      <c r="BHI7" s="735"/>
      <c r="BHJ7" s="735"/>
      <c r="BHK7" s="735"/>
      <c r="BHL7" s="735"/>
      <c r="BHM7" s="735"/>
      <c r="BHN7" s="735"/>
      <c r="BHO7" s="735"/>
      <c r="BHP7" s="735"/>
      <c r="BHQ7" s="735"/>
      <c r="BHR7" s="735"/>
      <c r="BHS7" s="735"/>
      <c r="BHT7" s="735"/>
      <c r="BHU7" s="735"/>
      <c r="BHV7" s="735"/>
      <c r="BHW7" s="735"/>
      <c r="BHX7" s="735"/>
      <c r="BHY7" s="735"/>
      <c r="BHZ7" s="735"/>
      <c r="BIA7" s="735"/>
      <c r="BIB7" s="735"/>
      <c r="BIC7" s="735"/>
      <c r="BID7" s="735"/>
      <c r="BIE7" s="735"/>
      <c r="BIF7" s="735"/>
      <c r="BIG7" s="735"/>
      <c r="BIH7" s="735"/>
      <c r="BII7" s="735"/>
      <c r="BIJ7" s="735"/>
      <c r="BIK7" s="735"/>
      <c r="BIL7" s="735"/>
      <c r="BIM7" s="735"/>
      <c r="BIN7" s="735"/>
      <c r="BIO7" s="735"/>
      <c r="BIP7" s="735"/>
      <c r="BIQ7" s="735"/>
      <c r="BIR7" s="735"/>
      <c r="BIS7" s="735"/>
      <c r="BIT7" s="735"/>
      <c r="BIU7" s="735"/>
      <c r="BIV7" s="735"/>
      <c r="BIW7" s="735"/>
      <c r="BIX7" s="735"/>
      <c r="BIY7" s="735"/>
      <c r="BIZ7" s="735"/>
      <c r="BJA7" s="735"/>
      <c r="BJB7" s="735"/>
      <c r="BJC7" s="735"/>
      <c r="BJD7" s="735"/>
      <c r="BJE7" s="735"/>
      <c r="BJF7" s="735"/>
      <c r="BJG7" s="735"/>
      <c r="BJH7" s="735"/>
      <c r="BJI7" s="735"/>
      <c r="BJJ7" s="735"/>
      <c r="BJK7" s="735"/>
      <c r="BJL7" s="735"/>
      <c r="BJM7" s="735"/>
      <c r="BJN7" s="735"/>
      <c r="BJO7" s="735"/>
      <c r="BJP7" s="735"/>
      <c r="BJQ7" s="735"/>
      <c r="BJR7" s="735"/>
      <c r="BJS7" s="735"/>
      <c r="BJT7" s="735"/>
      <c r="BJU7" s="735"/>
      <c r="BJV7" s="735"/>
      <c r="BJW7" s="735"/>
      <c r="BJX7" s="735"/>
      <c r="BJY7" s="735"/>
      <c r="BJZ7" s="735"/>
      <c r="BKA7" s="735"/>
      <c r="BKB7" s="735"/>
      <c r="BKC7" s="735"/>
      <c r="BKD7" s="735"/>
      <c r="BKE7" s="735"/>
      <c r="BKF7" s="735"/>
      <c r="BKG7" s="735"/>
      <c r="BKH7" s="735"/>
      <c r="BKI7" s="735"/>
      <c r="BKJ7" s="735"/>
      <c r="BKK7" s="735"/>
      <c r="BKL7" s="735"/>
      <c r="BKM7" s="735"/>
      <c r="BKN7" s="735"/>
      <c r="BKO7" s="735"/>
      <c r="BKP7" s="735"/>
      <c r="BKQ7" s="735"/>
      <c r="BKR7" s="735"/>
      <c r="BKS7" s="735"/>
      <c r="BKT7" s="735"/>
      <c r="BKU7" s="735"/>
      <c r="BKV7" s="735"/>
      <c r="BKW7" s="735"/>
      <c r="BKX7" s="735"/>
      <c r="BKY7" s="735"/>
      <c r="BKZ7" s="735"/>
      <c r="BLA7" s="735"/>
      <c r="BLB7" s="735"/>
      <c r="BLC7" s="735"/>
      <c r="BLD7" s="735"/>
      <c r="BLE7" s="735"/>
      <c r="BLF7" s="735"/>
      <c r="BLG7" s="735"/>
      <c r="BLH7" s="735"/>
      <c r="BLI7" s="735"/>
      <c r="BLJ7" s="735"/>
      <c r="BLK7" s="735"/>
      <c r="BLL7" s="735"/>
      <c r="BLM7" s="735"/>
      <c r="BLN7" s="735"/>
      <c r="BLO7" s="735"/>
      <c r="BLP7" s="735"/>
      <c r="BLQ7" s="735"/>
      <c r="BLR7" s="735"/>
      <c r="BLS7" s="735"/>
      <c r="BLT7" s="735"/>
      <c r="BLU7" s="735"/>
      <c r="BLV7" s="735"/>
      <c r="BLW7" s="735"/>
      <c r="BLX7" s="735"/>
      <c r="BLY7" s="735"/>
      <c r="BLZ7" s="735"/>
      <c r="BMA7" s="735"/>
      <c r="BMB7" s="735"/>
      <c r="BMC7" s="735"/>
      <c r="BMD7" s="735"/>
      <c r="BME7" s="735"/>
      <c r="BMF7" s="735"/>
      <c r="BMG7" s="735"/>
      <c r="BMH7" s="735"/>
      <c r="BMI7" s="735"/>
      <c r="BMJ7" s="735"/>
      <c r="BMK7" s="735"/>
      <c r="BML7" s="735"/>
      <c r="BMM7" s="735"/>
      <c r="BMN7" s="735"/>
      <c r="BMO7" s="735"/>
      <c r="BMP7" s="735"/>
      <c r="BMQ7" s="735"/>
      <c r="BMR7" s="735"/>
      <c r="BMS7" s="735"/>
      <c r="BMT7" s="735"/>
      <c r="BMU7" s="735"/>
      <c r="BMV7" s="735"/>
      <c r="BMW7" s="735"/>
      <c r="BMX7" s="735"/>
      <c r="BMY7" s="735"/>
      <c r="BMZ7" s="735"/>
      <c r="BNA7" s="735"/>
      <c r="BNB7" s="735"/>
      <c r="BNC7" s="735"/>
      <c r="BND7" s="735"/>
      <c r="BNE7" s="735"/>
      <c r="BNF7" s="735"/>
      <c r="BNG7" s="735"/>
      <c r="BNH7" s="735"/>
      <c r="BNI7" s="735"/>
      <c r="BNJ7" s="735"/>
      <c r="BNK7" s="735"/>
      <c r="BNL7" s="735"/>
      <c r="BNM7" s="735"/>
      <c r="BNN7" s="735"/>
      <c r="BNO7" s="735"/>
      <c r="BNP7" s="735"/>
      <c r="BNQ7" s="735"/>
      <c r="BNR7" s="735"/>
      <c r="BNS7" s="735"/>
      <c r="BNT7" s="735"/>
      <c r="BNU7" s="735"/>
      <c r="BNV7" s="735"/>
      <c r="BNW7" s="735"/>
      <c r="BNX7" s="735"/>
      <c r="BNY7" s="735"/>
      <c r="BNZ7" s="735"/>
      <c r="BOA7" s="735"/>
      <c r="BOB7" s="735"/>
      <c r="BOC7" s="735"/>
      <c r="BOD7" s="735"/>
      <c r="BOE7" s="735"/>
      <c r="BOF7" s="735"/>
      <c r="BOG7" s="735"/>
      <c r="BOH7" s="735"/>
      <c r="BOI7" s="735"/>
      <c r="BOJ7" s="735"/>
      <c r="BOK7" s="735"/>
      <c r="BOL7" s="735"/>
      <c r="BOM7" s="735"/>
      <c r="BON7" s="735"/>
      <c r="BOO7" s="735"/>
      <c r="BOP7" s="735"/>
      <c r="BOQ7" s="735"/>
      <c r="BOR7" s="735"/>
      <c r="BOS7" s="735"/>
      <c r="BOT7" s="735"/>
      <c r="BOU7" s="735"/>
      <c r="BOV7" s="735"/>
      <c r="BOW7" s="735"/>
      <c r="BOX7" s="735"/>
      <c r="BOY7" s="735"/>
      <c r="BOZ7" s="735"/>
      <c r="BPA7" s="735"/>
      <c r="BPB7" s="735"/>
      <c r="BPC7" s="735"/>
      <c r="BPD7" s="735"/>
      <c r="BPE7" s="735"/>
      <c r="BPF7" s="735"/>
      <c r="BPG7" s="735"/>
      <c r="BPH7" s="735"/>
      <c r="BPI7" s="735"/>
      <c r="BPJ7" s="735"/>
      <c r="BPK7" s="735"/>
      <c r="BPL7" s="735"/>
      <c r="BPM7" s="735"/>
      <c r="BPN7" s="735"/>
      <c r="BPO7" s="735"/>
      <c r="BPP7" s="735"/>
      <c r="BPQ7" s="735"/>
      <c r="BPR7" s="735"/>
      <c r="BPS7" s="735"/>
      <c r="BPT7" s="735"/>
      <c r="BPU7" s="735"/>
      <c r="BPV7" s="735"/>
      <c r="BPW7" s="735"/>
      <c r="BPX7" s="735"/>
      <c r="BPY7" s="735"/>
      <c r="BPZ7" s="735"/>
      <c r="BQA7" s="735"/>
      <c r="BQB7" s="735"/>
      <c r="BQC7" s="735"/>
      <c r="BQD7" s="735"/>
      <c r="BQE7" s="735"/>
      <c r="BQF7" s="735"/>
      <c r="BQG7" s="735"/>
      <c r="BQH7" s="735"/>
      <c r="BQI7" s="735"/>
      <c r="BQJ7" s="735"/>
      <c r="BQK7" s="735"/>
      <c r="BQL7" s="735"/>
      <c r="BQM7" s="735"/>
      <c r="BQN7" s="735"/>
      <c r="BQO7" s="735"/>
      <c r="BQP7" s="735"/>
      <c r="BQQ7" s="735"/>
      <c r="BQR7" s="735"/>
      <c r="BQS7" s="735"/>
      <c r="BQT7" s="735"/>
      <c r="BQU7" s="735"/>
      <c r="BQV7" s="735"/>
      <c r="BQW7" s="735"/>
      <c r="BQX7" s="735"/>
      <c r="BQY7" s="735"/>
      <c r="BQZ7" s="735"/>
      <c r="BRA7" s="735"/>
      <c r="BRB7" s="735"/>
      <c r="BRC7" s="735"/>
      <c r="BRD7" s="735"/>
      <c r="BRE7" s="735"/>
      <c r="BRF7" s="735"/>
      <c r="BRG7" s="735"/>
      <c r="BRH7" s="735"/>
      <c r="BRI7" s="735"/>
      <c r="BRJ7" s="735"/>
      <c r="BRK7" s="735"/>
      <c r="BRL7" s="735"/>
      <c r="BRM7" s="735"/>
      <c r="BRN7" s="735"/>
      <c r="BRO7" s="735"/>
      <c r="BRP7" s="735"/>
      <c r="BRQ7" s="735"/>
      <c r="BRR7" s="735"/>
      <c r="BRS7" s="735"/>
      <c r="BRT7" s="735"/>
      <c r="BRU7" s="735"/>
      <c r="BRV7" s="735"/>
      <c r="BRW7" s="735"/>
      <c r="BRX7" s="735"/>
      <c r="BRY7" s="735"/>
      <c r="BRZ7" s="735"/>
      <c r="BSA7" s="735"/>
      <c r="BSB7" s="735"/>
      <c r="BSC7" s="735"/>
      <c r="BSD7" s="735"/>
      <c r="BSE7" s="735"/>
      <c r="BSF7" s="735"/>
      <c r="BSG7" s="735"/>
      <c r="BSH7" s="735"/>
      <c r="BSI7" s="735"/>
      <c r="BSJ7" s="735"/>
      <c r="BSK7" s="735"/>
      <c r="BSL7" s="735"/>
      <c r="BSM7" s="735"/>
      <c r="BSN7" s="735"/>
      <c r="BSO7" s="735"/>
      <c r="BSP7" s="735"/>
      <c r="BSQ7" s="735"/>
      <c r="BSR7" s="735"/>
      <c r="BSS7" s="735"/>
      <c r="BST7" s="735"/>
      <c r="BSU7" s="735"/>
      <c r="BSV7" s="735"/>
      <c r="BSW7" s="735"/>
      <c r="BSX7" s="735"/>
      <c r="BSY7" s="735"/>
      <c r="BSZ7" s="735"/>
      <c r="BTA7" s="735"/>
      <c r="BTB7" s="735"/>
      <c r="BTC7" s="735"/>
      <c r="BTD7" s="735"/>
      <c r="BTE7" s="735"/>
      <c r="BTF7" s="735"/>
      <c r="BTG7" s="735"/>
      <c r="BTH7" s="735"/>
      <c r="BTI7" s="735"/>
      <c r="BTJ7" s="735"/>
      <c r="BTK7" s="735"/>
      <c r="BTL7" s="735"/>
      <c r="BTM7" s="735"/>
      <c r="BTN7" s="735"/>
      <c r="BTO7" s="735"/>
      <c r="BTP7" s="735"/>
      <c r="BTQ7" s="735"/>
      <c r="BTR7" s="735"/>
      <c r="BTS7" s="735"/>
      <c r="BTT7" s="735"/>
      <c r="BTU7" s="735"/>
      <c r="BTV7" s="735"/>
      <c r="BTW7" s="735"/>
      <c r="BTX7" s="735"/>
      <c r="BTY7" s="735"/>
      <c r="BTZ7" s="735"/>
      <c r="BUA7" s="735"/>
      <c r="BUB7" s="735"/>
      <c r="BUC7" s="735"/>
      <c r="BUD7" s="735"/>
      <c r="BUE7" s="735"/>
      <c r="BUF7" s="735"/>
      <c r="BUG7" s="735"/>
      <c r="BUH7" s="735"/>
      <c r="BUI7" s="735"/>
      <c r="BUJ7" s="735"/>
      <c r="BUK7" s="735"/>
      <c r="BUL7" s="735"/>
      <c r="BUM7" s="735"/>
      <c r="BUN7" s="735"/>
      <c r="BUO7" s="735"/>
      <c r="BUP7" s="735"/>
      <c r="BUQ7" s="735"/>
      <c r="BUR7" s="735"/>
      <c r="BUS7" s="735"/>
      <c r="BUT7" s="735"/>
      <c r="BUU7" s="735"/>
      <c r="BUV7" s="735"/>
      <c r="BUW7" s="735"/>
      <c r="BUX7" s="735"/>
      <c r="BUY7" s="735"/>
      <c r="BUZ7" s="735"/>
      <c r="BVA7" s="735"/>
      <c r="BVB7" s="735"/>
      <c r="BVC7" s="735"/>
      <c r="BVD7" s="735"/>
      <c r="BVE7" s="735"/>
      <c r="BVF7" s="735"/>
      <c r="BVG7" s="735"/>
      <c r="BVH7" s="735"/>
      <c r="BVI7" s="735"/>
      <c r="BVJ7" s="735"/>
      <c r="BVK7" s="735"/>
      <c r="BVL7" s="735"/>
      <c r="BVM7" s="735"/>
      <c r="BVN7" s="735"/>
      <c r="BVO7" s="735"/>
      <c r="BVP7" s="735"/>
      <c r="BVQ7" s="735"/>
      <c r="BVR7" s="735"/>
      <c r="BVS7" s="735"/>
      <c r="BVT7" s="735"/>
      <c r="BVU7" s="735"/>
      <c r="BVV7" s="735"/>
      <c r="BVW7" s="735"/>
      <c r="BVX7" s="735"/>
      <c r="BVY7" s="735"/>
      <c r="BVZ7" s="735"/>
      <c r="BWA7" s="735"/>
      <c r="BWB7" s="735"/>
      <c r="BWC7" s="735"/>
      <c r="BWD7" s="735"/>
      <c r="BWE7" s="735"/>
      <c r="BWF7" s="735"/>
      <c r="BWG7" s="735"/>
      <c r="BWH7" s="735"/>
      <c r="BWI7" s="735"/>
      <c r="BWJ7" s="735"/>
      <c r="BWK7" s="735"/>
      <c r="BWL7" s="735"/>
      <c r="BWM7" s="735"/>
      <c r="BWN7" s="735"/>
      <c r="BWO7" s="735"/>
      <c r="BWP7" s="735"/>
      <c r="BWQ7" s="735"/>
      <c r="BWR7" s="735"/>
      <c r="BWS7" s="735"/>
      <c r="BWT7" s="735"/>
      <c r="BWU7" s="735"/>
      <c r="BWV7" s="735"/>
      <c r="BWW7" s="735"/>
      <c r="BWX7" s="735"/>
      <c r="BWY7" s="735"/>
      <c r="BWZ7" s="735"/>
      <c r="BXA7" s="735"/>
      <c r="BXB7" s="735"/>
      <c r="BXC7" s="735"/>
      <c r="BXD7" s="735"/>
      <c r="BXE7" s="735"/>
      <c r="BXF7" s="735"/>
      <c r="BXG7" s="735"/>
      <c r="BXH7" s="735"/>
      <c r="BXI7" s="735"/>
      <c r="BXJ7" s="735"/>
      <c r="BXK7" s="735"/>
      <c r="BXL7" s="735"/>
      <c r="BXM7" s="735"/>
      <c r="BXN7" s="735"/>
      <c r="BXO7" s="735"/>
      <c r="BXP7" s="735"/>
      <c r="BXQ7" s="735"/>
      <c r="BXR7" s="735"/>
      <c r="BXS7" s="735"/>
      <c r="BXT7" s="735"/>
      <c r="BXU7" s="735"/>
      <c r="BXV7" s="735"/>
      <c r="BXW7" s="735"/>
      <c r="BXX7" s="735"/>
      <c r="BXY7" s="735"/>
      <c r="BXZ7" s="735"/>
      <c r="BYA7" s="735"/>
      <c r="BYB7" s="735"/>
      <c r="BYC7" s="735"/>
      <c r="BYD7" s="735"/>
      <c r="BYE7" s="735"/>
      <c r="BYF7" s="735"/>
      <c r="BYG7" s="735"/>
      <c r="BYH7" s="735"/>
      <c r="BYI7" s="735"/>
      <c r="BYJ7" s="735"/>
      <c r="BYK7" s="735"/>
      <c r="BYL7" s="735"/>
      <c r="BYM7" s="735"/>
      <c r="BYN7" s="735"/>
      <c r="BYO7" s="735"/>
      <c r="BYP7" s="735"/>
      <c r="BYQ7" s="735"/>
      <c r="BYR7" s="735"/>
      <c r="BYS7" s="735"/>
      <c r="BYT7" s="735"/>
      <c r="BYU7" s="735"/>
      <c r="BYV7" s="735"/>
      <c r="BYW7" s="735"/>
      <c r="BYX7" s="735"/>
      <c r="BYY7" s="735"/>
      <c r="BYZ7" s="735"/>
      <c r="BZA7" s="735"/>
      <c r="BZB7" s="735"/>
      <c r="BZC7" s="735"/>
      <c r="BZD7" s="735"/>
      <c r="BZE7" s="735"/>
      <c r="BZF7" s="735"/>
      <c r="BZG7" s="735"/>
      <c r="BZH7" s="735"/>
      <c r="BZI7" s="735"/>
      <c r="BZJ7" s="735"/>
      <c r="BZK7" s="735"/>
      <c r="BZL7" s="735"/>
      <c r="BZM7" s="735"/>
      <c r="BZN7" s="735"/>
      <c r="BZO7" s="735"/>
      <c r="BZP7" s="735"/>
      <c r="BZQ7" s="735"/>
      <c r="BZR7" s="735"/>
      <c r="BZS7" s="735"/>
      <c r="BZT7" s="735"/>
      <c r="BZU7" s="735"/>
      <c r="BZV7" s="735"/>
      <c r="BZW7" s="735"/>
      <c r="BZX7" s="735"/>
      <c r="BZY7" s="735"/>
      <c r="BZZ7" s="735"/>
      <c r="CAA7" s="735"/>
      <c r="CAB7" s="735"/>
      <c r="CAC7" s="735"/>
      <c r="CAD7" s="735"/>
      <c r="CAE7" s="735"/>
      <c r="CAF7" s="735"/>
      <c r="CAG7" s="735"/>
      <c r="CAH7" s="735"/>
      <c r="CAI7" s="735"/>
      <c r="CAJ7" s="735"/>
      <c r="CAK7" s="735"/>
      <c r="CAL7" s="735"/>
      <c r="CAM7" s="735"/>
      <c r="CAN7" s="735"/>
      <c r="CAO7" s="735"/>
      <c r="CAP7" s="735"/>
      <c r="CAQ7" s="735"/>
      <c r="CAR7" s="735"/>
      <c r="CAS7" s="735"/>
      <c r="CAT7" s="735"/>
      <c r="CAU7" s="735"/>
      <c r="CAV7" s="735"/>
      <c r="CAW7" s="735"/>
      <c r="CAX7" s="735"/>
      <c r="CAY7" s="735"/>
      <c r="CAZ7" s="735"/>
      <c r="CBA7" s="735"/>
      <c r="CBB7" s="735"/>
      <c r="CBC7" s="735"/>
      <c r="CBD7" s="735"/>
      <c r="CBE7" s="735"/>
      <c r="CBF7" s="735"/>
      <c r="CBG7" s="735"/>
      <c r="CBH7" s="735"/>
      <c r="CBI7" s="735"/>
      <c r="CBJ7" s="735"/>
      <c r="CBK7" s="735"/>
      <c r="CBL7" s="735"/>
      <c r="CBM7" s="735"/>
      <c r="CBN7" s="735"/>
      <c r="CBO7" s="735"/>
      <c r="CBP7" s="735"/>
      <c r="CBQ7" s="735"/>
      <c r="CBR7" s="735"/>
      <c r="CBS7" s="735"/>
      <c r="CBT7" s="735"/>
      <c r="CBU7" s="735"/>
      <c r="CBV7" s="735"/>
      <c r="CBW7" s="735"/>
      <c r="CBX7" s="735"/>
      <c r="CBY7" s="735"/>
      <c r="CBZ7" s="735"/>
      <c r="CCA7" s="735"/>
      <c r="CCB7" s="735"/>
      <c r="CCC7" s="735"/>
      <c r="CCD7" s="735"/>
      <c r="CCE7" s="735"/>
      <c r="CCF7" s="735"/>
      <c r="CCG7" s="735"/>
      <c r="CCH7" s="735"/>
      <c r="CCI7" s="735"/>
      <c r="CCJ7" s="735"/>
      <c r="CCK7" s="735"/>
      <c r="CCL7" s="735"/>
      <c r="CCM7" s="735"/>
      <c r="CCN7" s="735"/>
      <c r="CCO7" s="735"/>
      <c r="CCP7" s="735"/>
      <c r="CCQ7" s="735"/>
      <c r="CCR7" s="735"/>
      <c r="CCS7" s="735"/>
      <c r="CCT7" s="735"/>
      <c r="CCU7" s="735"/>
      <c r="CCV7" s="735"/>
      <c r="CCW7" s="735"/>
      <c r="CCX7" s="735"/>
      <c r="CCY7" s="735"/>
      <c r="CCZ7" s="735"/>
      <c r="CDA7" s="735"/>
      <c r="CDB7" s="735"/>
      <c r="CDC7" s="735"/>
      <c r="CDD7" s="735"/>
      <c r="CDE7" s="735"/>
      <c r="CDF7" s="735"/>
      <c r="CDG7" s="735"/>
      <c r="CDH7" s="735"/>
      <c r="CDI7" s="735"/>
      <c r="CDJ7" s="735"/>
      <c r="CDK7" s="735"/>
      <c r="CDL7" s="735"/>
      <c r="CDM7" s="735"/>
      <c r="CDN7" s="735"/>
      <c r="CDO7" s="735"/>
      <c r="CDP7" s="735"/>
      <c r="CDQ7" s="735"/>
      <c r="CDR7" s="735"/>
      <c r="CDS7" s="735"/>
      <c r="CDT7" s="735"/>
      <c r="CDU7" s="735"/>
      <c r="CDV7" s="735"/>
      <c r="CDW7" s="735"/>
      <c r="CDX7" s="735"/>
      <c r="CDY7" s="735"/>
      <c r="CDZ7" s="735"/>
      <c r="CEA7" s="735"/>
      <c r="CEB7" s="735"/>
      <c r="CEC7" s="735"/>
      <c r="CED7" s="735"/>
      <c r="CEE7" s="735"/>
      <c r="CEF7" s="735"/>
      <c r="CEG7" s="735"/>
      <c r="CEH7" s="735"/>
      <c r="CEI7" s="735"/>
      <c r="CEJ7" s="735"/>
      <c r="CEK7" s="735"/>
      <c r="CEL7" s="735"/>
      <c r="CEM7" s="735"/>
      <c r="CEN7" s="735"/>
      <c r="CEO7" s="735"/>
      <c r="CEP7" s="735"/>
      <c r="CEQ7" s="735"/>
      <c r="CER7" s="735"/>
      <c r="CES7" s="735"/>
      <c r="CET7" s="735"/>
      <c r="CEU7" s="735"/>
      <c r="CEV7" s="735"/>
      <c r="CEW7" s="735"/>
      <c r="CEX7" s="735"/>
      <c r="CEY7" s="735"/>
      <c r="CEZ7" s="735"/>
      <c r="CFA7" s="735"/>
      <c r="CFB7" s="735"/>
      <c r="CFC7" s="735"/>
      <c r="CFD7" s="735"/>
      <c r="CFE7" s="735"/>
      <c r="CFF7" s="735"/>
      <c r="CFG7" s="735"/>
      <c r="CFH7" s="735"/>
      <c r="CFI7" s="735"/>
      <c r="CFJ7" s="735"/>
      <c r="CFK7" s="735"/>
      <c r="CFL7" s="735"/>
      <c r="CFM7" s="735"/>
      <c r="CFN7" s="735"/>
      <c r="CFO7" s="735"/>
      <c r="CFP7" s="735"/>
      <c r="CFQ7" s="735"/>
      <c r="CFR7" s="735"/>
      <c r="CFS7" s="735"/>
      <c r="CFT7" s="735"/>
      <c r="CFU7" s="735"/>
      <c r="CFV7" s="735"/>
      <c r="CFW7" s="735"/>
      <c r="CFX7" s="735"/>
      <c r="CFY7" s="735"/>
      <c r="CFZ7" s="735"/>
      <c r="CGA7" s="735"/>
      <c r="CGB7" s="735"/>
      <c r="CGC7" s="735"/>
      <c r="CGD7" s="735"/>
      <c r="CGE7" s="735"/>
      <c r="CGF7" s="735"/>
      <c r="CGG7" s="735"/>
      <c r="CGH7" s="735"/>
      <c r="CGI7" s="735"/>
      <c r="CGJ7" s="735"/>
      <c r="CGK7" s="735"/>
      <c r="CGL7" s="735"/>
      <c r="CGM7" s="735"/>
      <c r="CGN7" s="735"/>
      <c r="CGO7" s="735"/>
      <c r="CGP7" s="735"/>
      <c r="CGQ7" s="735"/>
      <c r="CGR7" s="735"/>
      <c r="CGS7" s="735"/>
      <c r="CGT7" s="735"/>
      <c r="CGU7" s="735"/>
      <c r="CGV7" s="735"/>
      <c r="CGW7" s="735"/>
      <c r="CGX7" s="735"/>
      <c r="CGY7" s="735"/>
      <c r="CGZ7" s="735"/>
      <c r="CHA7" s="735"/>
      <c r="CHB7" s="735"/>
      <c r="CHC7" s="735"/>
      <c r="CHD7" s="735"/>
      <c r="CHE7" s="735"/>
      <c r="CHF7" s="735"/>
      <c r="CHG7" s="735"/>
      <c r="CHH7" s="735"/>
      <c r="CHI7" s="735"/>
      <c r="CHJ7" s="735"/>
      <c r="CHK7" s="735"/>
      <c r="CHL7" s="735"/>
      <c r="CHM7" s="735"/>
      <c r="CHN7" s="735"/>
      <c r="CHO7" s="735"/>
      <c r="CHP7" s="735"/>
      <c r="CHQ7" s="735"/>
      <c r="CHR7" s="735"/>
      <c r="CHS7" s="735"/>
      <c r="CHT7" s="735"/>
      <c r="CHU7" s="735"/>
      <c r="CHV7" s="735"/>
      <c r="CHW7" s="735"/>
      <c r="CHX7" s="735"/>
      <c r="CHY7" s="735"/>
      <c r="CHZ7" s="735"/>
      <c r="CIA7" s="735"/>
      <c r="CIB7" s="735"/>
      <c r="CIC7" s="735"/>
      <c r="CID7" s="735"/>
      <c r="CIE7" s="735"/>
      <c r="CIF7" s="735"/>
      <c r="CIG7" s="735"/>
      <c r="CIH7" s="735"/>
      <c r="CII7" s="735"/>
      <c r="CIJ7" s="735"/>
      <c r="CIK7" s="735"/>
      <c r="CIL7" s="735"/>
      <c r="CIM7" s="735"/>
      <c r="CIN7" s="735"/>
      <c r="CIO7" s="735"/>
      <c r="CIP7" s="735"/>
      <c r="CIQ7" s="735"/>
      <c r="CIR7" s="735"/>
      <c r="CIS7" s="735"/>
      <c r="CIT7" s="735"/>
      <c r="CIU7" s="735"/>
      <c r="CIV7" s="735"/>
      <c r="CIW7" s="735"/>
      <c r="CIX7" s="735"/>
      <c r="CIY7" s="735"/>
      <c r="CIZ7" s="735"/>
      <c r="CJA7" s="735"/>
      <c r="CJB7" s="735"/>
      <c r="CJC7" s="735"/>
      <c r="CJD7" s="735"/>
      <c r="CJE7" s="735"/>
      <c r="CJF7" s="735"/>
      <c r="CJG7" s="735"/>
      <c r="CJH7" s="735"/>
      <c r="CJI7" s="735"/>
      <c r="CJJ7" s="735"/>
      <c r="CJK7" s="735"/>
      <c r="CJL7" s="735"/>
      <c r="CJM7" s="735"/>
      <c r="CJN7" s="735"/>
      <c r="CJO7" s="735"/>
      <c r="CJP7" s="735"/>
      <c r="CJQ7" s="735"/>
      <c r="CJR7" s="735"/>
      <c r="CJS7" s="735"/>
      <c r="CJT7" s="735"/>
      <c r="CJU7" s="735"/>
      <c r="CJV7" s="735"/>
      <c r="CJW7" s="735"/>
      <c r="CJX7" s="735"/>
      <c r="CJY7" s="735"/>
      <c r="CJZ7" s="735"/>
      <c r="CKA7" s="735"/>
      <c r="CKB7" s="735"/>
      <c r="CKC7" s="735"/>
      <c r="CKD7" s="735"/>
      <c r="CKE7" s="735"/>
      <c r="CKF7" s="735"/>
      <c r="CKG7" s="735"/>
      <c r="CKH7" s="735"/>
      <c r="CKI7" s="735"/>
      <c r="CKJ7" s="735"/>
      <c r="CKK7" s="735"/>
      <c r="CKL7" s="735"/>
      <c r="CKM7" s="735"/>
      <c r="CKN7" s="735"/>
      <c r="CKO7" s="735"/>
      <c r="CKP7" s="735"/>
      <c r="CKQ7" s="735"/>
      <c r="CKR7" s="735"/>
      <c r="CKS7" s="735"/>
      <c r="CKT7" s="735"/>
      <c r="CKU7" s="735"/>
      <c r="CKV7" s="735"/>
      <c r="CKW7" s="735"/>
      <c r="CKX7" s="735"/>
      <c r="CKY7" s="735"/>
      <c r="CKZ7" s="735"/>
      <c r="CLA7" s="735"/>
      <c r="CLB7" s="735"/>
      <c r="CLC7" s="735"/>
      <c r="CLD7" s="735"/>
      <c r="CLE7" s="735"/>
      <c r="CLF7" s="735"/>
      <c r="CLG7" s="735"/>
      <c r="CLH7" s="735"/>
      <c r="CLI7" s="735"/>
      <c r="CLJ7" s="735"/>
      <c r="CLK7" s="735"/>
      <c r="CLL7" s="735"/>
      <c r="CLM7" s="735"/>
      <c r="CLN7" s="735"/>
      <c r="CLO7" s="735"/>
      <c r="CLP7" s="735"/>
      <c r="CLQ7" s="735"/>
      <c r="CLR7" s="735"/>
      <c r="CLS7" s="735"/>
      <c r="CLT7" s="735"/>
      <c r="CLU7" s="735"/>
      <c r="CLV7" s="735"/>
      <c r="CLW7" s="735"/>
      <c r="CLX7" s="735"/>
      <c r="CLY7" s="735"/>
      <c r="CLZ7" s="735"/>
      <c r="CMA7" s="735"/>
      <c r="CMB7" s="735"/>
      <c r="CMC7" s="735"/>
      <c r="CMD7" s="735"/>
      <c r="CME7" s="735"/>
      <c r="CMF7" s="735"/>
      <c r="CMG7" s="735"/>
      <c r="CMH7" s="735"/>
      <c r="CMI7" s="735"/>
      <c r="CMJ7" s="735"/>
      <c r="CMK7" s="735"/>
      <c r="CML7" s="735"/>
      <c r="CMM7" s="735"/>
      <c r="CMN7" s="735"/>
      <c r="CMO7" s="735"/>
      <c r="CMP7" s="735"/>
      <c r="CMQ7" s="735"/>
      <c r="CMR7" s="735"/>
      <c r="CMS7" s="735"/>
      <c r="CMT7" s="735"/>
      <c r="CMU7" s="735"/>
      <c r="CMV7" s="735"/>
      <c r="CMW7" s="735"/>
      <c r="CMX7" s="735"/>
      <c r="CMY7" s="735"/>
      <c r="CMZ7" s="735"/>
      <c r="CNA7" s="735"/>
      <c r="CNB7" s="735"/>
      <c r="CNC7" s="735"/>
      <c r="CND7" s="735"/>
      <c r="CNE7" s="735"/>
      <c r="CNF7" s="735"/>
      <c r="CNG7" s="735"/>
      <c r="CNH7" s="735"/>
      <c r="CNI7" s="735"/>
      <c r="CNJ7" s="735"/>
      <c r="CNK7" s="735"/>
      <c r="CNL7" s="735"/>
      <c r="CNM7" s="735"/>
      <c r="CNN7" s="735"/>
      <c r="CNO7" s="735"/>
      <c r="CNP7" s="735"/>
      <c r="CNQ7" s="735"/>
      <c r="CNR7" s="735"/>
      <c r="CNS7" s="735"/>
      <c r="CNT7" s="735"/>
      <c r="CNU7" s="735"/>
      <c r="CNV7" s="735"/>
      <c r="CNW7" s="735"/>
      <c r="CNX7" s="735"/>
      <c r="CNY7" s="735"/>
      <c r="CNZ7" s="735"/>
      <c r="COA7" s="735"/>
      <c r="COB7" s="735"/>
      <c r="COC7" s="735"/>
      <c r="COD7" s="735"/>
      <c r="COE7" s="735"/>
      <c r="COF7" s="735"/>
      <c r="COG7" s="735"/>
      <c r="COH7" s="735"/>
      <c r="COI7" s="735"/>
      <c r="COJ7" s="735"/>
      <c r="COK7" s="735"/>
      <c r="COL7" s="735"/>
      <c r="COM7" s="735"/>
      <c r="CON7" s="735"/>
      <c r="COO7" s="735"/>
      <c r="COP7" s="735"/>
      <c r="COQ7" s="735"/>
      <c r="COR7" s="735"/>
      <c r="COS7" s="735"/>
      <c r="COT7" s="735"/>
      <c r="COU7" s="735"/>
      <c r="COV7" s="735"/>
      <c r="COW7" s="735"/>
      <c r="COX7" s="735"/>
      <c r="COY7" s="735"/>
      <c r="COZ7" s="735"/>
      <c r="CPA7" s="735"/>
      <c r="CPB7" s="735"/>
      <c r="CPC7" s="735"/>
      <c r="CPD7" s="735"/>
      <c r="CPE7" s="735"/>
      <c r="CPF7" s="735"/>
      <c r="CPG7" s="735"/>
      <c r="CPH7" s="735"/>
      <c r="CPI7" s="735"/>
      <c r="CPJ7" s="735"/>
      <c r="CPK7" s="735"/>
      <c r="CPL7" s="735"/>
      <c r="CPM7" s="735"/>
      <c r="CPN7" s="735"/>
      <c r="CPO7" s="735"/>
      <c r="CPP7" s="735"/>
      <c r="CPQ7" s="735"/>
      <c r="CPR7" s="735"/>
      <c r="CPS7" s="735"/>
      <c r="CPT7" s="735"/>
      <c r="CPU7" s="735"/>
      <c r="CPV7" s="735"/>
      <c r="CPW7" s="735"/>
      <c r="CPX7" s="735"/>
      <c r="CPY7" s="735"/>
      <c r="CPZ7" s="735"/>
      <c r="CQA7" s="735"/>
      <c r="CQB7" s="735"/>
      <c r="CQC7" s="735"/>
      <c r="CQD7" s="735"/>
      <c r="CQE7" s="735"/>
      <c r="CQF7" s="735"/>
      <c r="CQG7" s="735"/>
      <c r="CQH7" s="735"/>
      <c r="CQI7" s="735"/>
      <c r="CQJ7" s="735"/>
      <c r="CQK7" s="735"/>
      <c r="CQL7" s="735"/>
      <c r="CQM7" s="735"/>
      <c r="CQN7" s="735"/>
      <c r="CQO7" s="735"/>
      <c r="CQP7" s="735"/>
      <c r="CQQ7" s="735"/>
      <c r="CQR7" s="735"/>
      <c r="CQS7" s="735"/>
      <c r="CQT7" s="735"/>
      <c r="CQU7" s="735"/>
      <c r="CQV7" s="735"/>
      <c r="CQW7" s="735"/>
      <c r="CQX7" s="735"/>
      <c r="CQY7" s="735"/>
      <c r="CQZ7" s="735"/>
      <c r="CRA7" s="735"/>
      <c r="CRB7" s="735"/>
      <c r="CRC7" s="735"/>
      <c r="CRD7" s="735"/>
      <c r="CRE7" s="735"/>
      <c r="CRF7" s="735"/>
      <c r="CRG7" s="735"/>
      <c r="CRH7" s="735"/>
      <c r="CRI7" s="735"/>
      <c r="CRJ7" s="735"/>
      <c r="CRK7" s="735"/>
      <c r="CRL7" s="735"/>
      <c r="CRM7" s="735"/>
      <c r="CRN7" s="735"/>
      <c r="CRO7" s="735"/>
      <c r="CRP7" s="735"/>
      <c r="CRQ7" s="735"/>
      <c r="CRR7" s="735"/>
      <c r="CRS7" s="735"/>
      <c r="CRT7" s="735"/>
      <c r="CRU7" s="735"/>
      <c r="CRV7" s="735"/>
      <c r="CRW7" s="735"/>
      <c r="CRX7" s="735"/>
      <c r="CRY7" s="735"/>
      <c r="CRZ7" s="735"/>
      <c r="CSA7" s="735"/>
      <c r="CSB7" s="735"/>
      <c r="CSC7" s="735"/>
      <c r="CSD7" s="735"/>
      <c r="CSE7" s="735"/>
      <c r="CSF7" s="735"/>
      <c r="CSG7" s="735"/>
      <c r="CSH7" s="735"/>
      <c r="CSI7" s="735"/>
      <c r="CSJ7" s="735"/>
      <c r="CSK7" s="735"/>
      <c r="CSL7" s="735"/>
      <c r="CSM7" s="735"/>
      <c r="CSN7" s="735"/>
      <c r="CSO7" s="735"/>
      <c r="CSP7" s="735"/>
      <c r="CSQ7" s="735"/>
      <c r="CSR7" s="735"/>
      <c r="CSS7" s="735"/>
      <c r="CST7" s="735"/>
      <c r="CSU7" s="735"/>
      <c r="CSV7" s="735"/>
      <c r="CSW7" s="735"/>
      <c r="CSX7" s="735"/>
      <c r="CSY7" s="735"/>
      <c r="CSZ7" s="735"/>
      <c r="CTA7" s="735"/>
      <c r="CTB7" s="735"/>
      <c r="CTC7" s="735"/>
      <c r="CTD7" s="735"/>
      <c r="CTE7" s="735"/>
      <c r="CTF7" s="735"/>
      <c r="CTG7" s="735"/>
      <c r="CTH7" s="735"/>
      <c r="CTI7" s="735"/>
      <c r="CTJ7" s="735"/>
      <c r="CTK7" s="735"/>
      <c r="CTL7" s="735"/>
      <c r="CTM7" s="735"/>
      <c r="CTN7" s="735"/>
      <c r="CTO7" s="735"/>
      <c r="CTP7" s="735"/>
      <c r="CTQ7" s="735"/>
      <c r="CTR7" s="735"/>
      <c r="CTS7" s="735"/>
      <c r="CTT7" s="735"/>
      <c r="CTU7" s="735"/>
      <c r="CTV7" s="735"/>
      <c r="CTW7" s="735"/>
      <c r="CTX7" s="735"/>
      <c r="CTY7" s="735"/>
      <c r="CTZ7" s="735"/>
      <c r="CUA7" s="735"/>
      <c r="CUB7" s="735"/>
      <c r="CUC7" s="735"/>
      <c r="CUD7" s="735"/>
      <c r="CUE7" s="735"/>
      <c r="CUF7" s="735"/>
      <c r="CUG7" s="735"/>
      <c r="CUH7" s="735"/>
      <c r="CUI7" s="735"/>
      <c r="CUJ7" s="735"/>
      <c r="CUK7" s="735"/>
      <c r="CUL7" s="735"/>
      <c r="CUM7" s="735"/>
      <c r="CUN7" s="735"/>
      <c r="CUO7" s="735"/>
      <c r="CUP7" s="735"/>
      <c r="CUQ7" s="735"/>
      <c r="CUR7" s="735"/>
      <c r="CUS7" s="735"/>
      <c r="CUT7" s="735"/>
      <c r="CUU7" s="735"/>
      <c r="CUV7" s="735"/>
      <c r="CUW7" s="735"/>
      <c r="CUX7" s="735"/>
      <c r="CUY7" s="735"/>
      <c r="CUZ7" s="735"/>
      <c r="CVA7" s="735"/>
      <c r="CVB7" s="735"/>
      <c r="CVC7" s="735"/>
      <c r="CVD7" s="735"/>
      <c r="CVE7" s="735"/>
      <c r="CVF7" s="735"/>
      <c r="CVG7" s="735"/>
      <c r="CVH7" s="735"/>
      <c r="CVI7" s="735"/>
      <c r="CVJ7" s="735"/>
      <c r="CVK7" s="735"/>
      <c r="CVL7" s="735"/>
      <c r="CVM7" s="735"/>
      <c r="CVN7" s="735"/>
      <c r="CVO7" s="735"/>
      <c r="CVP7" s="735"/>
      <c r="CVQ7" s="735"/>
      <c r="CVR7" s="735"/>
      <c r="CVS7" s="735"/>
      <c r="CVT7" s="735"/>
      <c r="CVU7" s="735"/>
      <c r="CVV7" s="735"/>
      <c r="CVW7" s="735"/>
      <c r="CVX7" s="735"/>
      <c r="CVY7" s="735"/>
      <c r="CVZ7" s="735"/>
      <c r="CWA7" s="735"/>
      <c r="CWB7" s="735"/>
      <c r="CWC7" s="735"/>
      <c r="CWD7" s="735"/>
      <c r="CWE7" s="735"/>
      <c r="CWF7" s="735"/>
      <c r="CWG7" s="735"/>
      <c r="CWH7" s="735"/>
      <c r="CWI7" s="735"/>
      <c r="CWJ7" s="735"/>
      <c r="CWK7" s="735"/>
      <c r="CWL7" s="735"/>
      <c r="CWM7" s="735"/>
      <c r="CWN7" s="735"/>
      <c r="CWO7" s="735"/>
      <c r="CWP7" s="735"/>
      <c r="CWQ7" s="735"/>
      <c r="CWR7" s="735"/>
      <c r="CWS7" s="735"/>
      <c r="CWT7" s="735"/>
      <c r="CWU7" s="735"/>
      <c r="CWV7" s="735"/>
      <c r="CWW7" s="735"/>
      <c r="CWX7" s="735"/>
      <c r="CWY7" s="735"/>
      <c r="CWZ7" s="735"/>
      <c r="CXA7" s="735"/>
      <c r="CXB7" s="735"/>
      <c r="CXC7" s="735"/>
      <c r="CXD7" s="735"/>
      <c r="CXE7" s="735"/>
      <c r="CXF7" s="735"/>
      <c r="CXG7" s="735"/>
      <c r="CXH7" s="735"/>
      <c r="CXI7" s="735"/>
      <c r="CXJ7" s="735"/>
      <c r="CXK7" s="735"/>
      <c r="CXL7" s="735"/>
      <c r="CXM7" s="735"/>
      <c r="CXN7" s="735"/>
      <c r="CXO7" s="735"/>
      <c r="CXP7" s="735"/>
      <c r="CXQ7" s="735"/>
      <c r="CXR7" s="735"/>
      <c r="CXS7" s="735"/>
      <c r="CXT7" s="735"/>
      <c r="CXU7" s="735"/>
      <c r="CXV7" s="735"/>
      <c r="CXW7" s="735"/>
      <c r="CXX7" s="735"/>
      <c r="CXY7" s="735"/>
      <c r="CXZ7" s="735"/>
      <c r="CYA7" s="735"/>
      <c r="CYB7" s="735"/>
      <c r="CYC7" s="735"/>
      <c r="CYD7" s="735"/>
      <c r="CYE7" s="735"/>
      <c r="CYF7" s="735"/>
      <c r="CYG7" s="735"/>
      <c r="CYH7" s="735"/>
      <c r="CYI7" s="735"/>
      <c r="CYJ7" s="735"/>
      <c r="CYK7" s="735"/>
      <c r="CYL7" s="735"/>
      <c r="CYM7" s="735"/>
      <c r="CYN7" s="735"/>
      <c r="CYO7" s="735"/>
      <c r="CYP7" s="735"/>
      <c r="CYQ7" s="735"/>
      <c r="CYR7" s="735"/>
      <c r="CYS7" s="735"/>
      <c r="CYT7" s="735"/>
      <c r="CYU7" s="735"/>
      <c r="CYV7" s="735"/>
      <c r="CYW7" s="735"/>
      <c r="CYX7" s="735"/>
      <c r="CYY7" s="735"/>
      <c r="CYZ7" s="735"/>
      <c r="CZA7" s="735"/>
      <c r="CZB7" s="735"/>
      <c r="CZC7" s="735"/>
      <c r="CZD7" s="735"/>
      <c r="CZE7" s="735"/>
      <c r="CZF7" s="735"/>
      <c r="CZG7" s="735"/>
      <c r="CZH7" s="735"/>
      <c r="CZI7" s="735"/>
      <c r="CZJ7" s="735"/>
      <c r="CZK7" s="735"/>
      <c r="CZL7" s="735"/>
      <c r="CZM7" s="735"/>
      <c r="CZN7" s="735"/>
      <c r="CZO7" s="735"/>
      <c r="CZP7" s="735"/>
      <c r="CZQ7" s="735"/>
      <c r="CZR7" s="735"/>
      <c r="CZS7" s="735"/>
      <c r="CZT7" s="735"/>
      <c r="CZU7" s="735"/>
      <c r="CZV7" s="735"/>
      <c r="CZW7" s="735"/>
      <c r="CZX7" s="735"/>
      <c r="CZY7" s="735"/>
      <c r="CZZ7" s="735"/>
      <c r="DAA7" s="735"/>
      <c r="DAB7" s="735"/>
      <c r="DAC7" s="735"/>
      <c r="DAD7" s="735"/>
      <c r="DAE7" s="735"/>
      <c r="DAF7" s="735"/>
      <c r="DAG7" s="735"/>
      <c r="DAH7" s="735"/>
      <c r="DAI7" s="735"/>
      <c r="DAJ7" s="735"/>
      <c r="DAK7" s="735"/>
      <c r="DAL7" s="735"/>
      <c r="DAM7" s="735"/>
      <c r="DAN7" s="735"/>
      <c r="DAO7" s="735"/>
      <c r="DAP7" s="735"/>
      <c r="DAQ7" s="735"/>
      <c r="DAR7" s="735"/>
      <c r="DAS7" s="735"/>
      <c r="DAT7" s="735"/>
      <c r="DAU7" s="735"/>
      <c r="DAV7" s="735"/>
      <c r="DAW7" s="735"/>
      <c r="DAX7" s="735"/>
      <c r="DAY7" s="735"/>
      <c r="DAZ7" s="735"/>
      <c r="DBA7" s="735"/>
      <c r="DBB7" s="735"/>
      <c r="DBC7" s="735"/>
      <c r="DBD7" s="735"/>
      <c r="DBE7" s="735"/>
      <c r="DBF7" s="735"/>
      <c r="DBG7" s="735"/>
      <c r="DBH7" s="735"/>
      <c r="DBI7" s="735"/>
      <c r="DBJ7" s="735"/>
      <c r="DBK7" s="735"/>
      <c r="DBL7" s="735"/>
      <c r="DBM7" s="735"/>
      <c r="DBN7" s="735"/>
      <c r="DBO7" s="735"/>
      <c r="DBP7" s="735"/>
      <c r="DBQ7" s="735"/>
      <c r="DBR7" s="735"/>
      <c r="DBS7" s="735"/>
      <c r="DBT7" s="735"/>
      <c r="DBU7" s="735"/>
      <c r="DBV7" s="735"/>
      <c r="DBW7" s="735"/>
      <c r="DBX7" s="735"/>
      <c r="DBY7" s="735"/>
      <c r="DBZ7" s="735"/>
      <c r="DCA7" s="735"/>
      <c r="DCB7" s="735"/>
      <c r="DCC7" s="735"/>
      <c r="DCD7" s="735"/>
      <c r="DCE7" s="735"/>
      <c r="DCF7" s="735"/>
      <c r="DCG7" s="735"/>
      <c r="DCH7" s="735"/>
      <c r="DCI7" s="735"/>
      <c r="DCJ7" s="735"/>
      <c r="DCK7" s="735"/>
      <c r="DCL7" s="735"/>
      <c r="DCM7" s="735"/>
      <c r="DCN7" s="735"/>
      <c r="DCO7" s="735"/>
      <c r="DCP7" s="735"/>
      <c r="DCQ7" s="735"/>
      <c r="DCR7" s="735"/>
      <c r="DCS7" s="735"/>
      <c r="DCT7" s="735"/>
      <c r="DCU7" s="735"/>
      <c r="DCV7" s="735"/>
      <c r="DCW7" s="735"/>
      <c r="DCX7" s="735"/>
      <c r="DCY7" s="735"/>
      <c r="DCZ7" s="735"/>
      <c r="DDA7" s="735"/>
      <c r="DDB7" s="735"/>
      <c r="DDC7" s="735"/>
      <c r="DDD7" s="735"/>
      <c r="DDE7" s="735"/>
      <c r="DDF7" s="735"/>
      <c r="DDG7" s="735"/>
      <c r="DDH7" s="735"/>
      <c r="DDI7" s="735"/>
      <c r="DDJ7" s="735"/>
      <c r="DDK7" s="735"/>
      <c r="DDL7" s="735"/>
      <c r="DDM7" s="735"/>
      <c r="DDN7" s="735"/>
      <c r="DDO7" s="735"/>
      <c r="DDP7" s="735"/>
      <c r="DDQ7" s="735"/>
      <c r="DDR7" s="735"/>
      <c r="DDS7" s="735"/>
      <c r="DDT7" s="735"/>
      <c r="DDU7" s="735"/>
      <c r="DDV7" s="735"/>
      <c r="DDW7" s="735"/>
      <c r="DDX7" s="735"/>
      <c r="DDY7" s="735"/>
      <c r="DDZ7" s="735"/>
      <c r="DEA7" s="735"/>
      <c r="DEB7" s="735"/>
      <c r="DEC7" s="735"/>
      <c r="DED7" s="735"/>
      <c r="DEE7" s="735"/>
      <c r="DEF7" s="735"/>
      <c r="DEG7" s="735"/>
      <c r="DEH7" s="735"/>
      <c r="DEI7" s="735"/>
      <c r="DEJ7" s="735"/>
      <c r="DEK7" s="735"/>
      <c r="DEL7" s="735"/>
      <c r="DEM7" s="735"/>
      <c r="DEN7" s="735"/>
      <c r="DEO7" s="735"/>
      <c r="DEP7" s="735"/>
      <c r="DEQ7" s="735"/>
      <c r="DER7" s="735"/>
      <c r="DES7" s="735"/>
      <c r="DET7" s="735"/>
      <c r="DEU7" s="735"/>
      <c r="DEV7" s="735"/>
      <c r="DEW7" s="735"/>
      <c r="DEX7" s="735"/>
      <c r="DEY7" s="735"/>
      <c r="DEZ7" s="735"/>
      <c r="DFA7" s="735"/>
      <c r="DFB7" s="735"/>
      <c r="DFC7" s="735"/>
      <c r="DFD7" s="735"/>
      <c r="DFE7" s="735"/>
      <c r="DFF7" s="735"/>
      <c r="DFG7" s="735"/>
      <c r="DFH7" s="735"/>
      <c r="DFI7" s="735"/>
      <c r="DFJ7" s="735"/>
      <c r="DFK7" s="735"/>
      <c r="DFL7" s="735"/>
      <c r="DFM7" s="735"/>
      <c r="DFN7" s="735"/>
      <c r="DFO7" s="735"/>
      <c r="DFP7" s="735"/>
      <c r="DFQ7" s="735"/>
      <c r="DFR7" s="735"/>
      <c r="DFS7" s="735"/>
      <c r="DFT7" s="735"/>
      <c r="DFU7" s="735"/>
      <c r="DFV7" s="735"/>
      <c r="DFW7" s="735"/>
      <c r="DFX7" s="735"/>
      <c r="DFY7" s="735"/>
      <c r="DFZ7" s="735"/>
      <c r="DGA7" s="735"/>
      <c r="DGB7" s="735"/>
      <c r="DGC7" s="735"/>
      <c r="DGD7" s="735"/>
      <c r="DGE7" s="735"/>
      <c r="DGF7" s="735"/>
      <c r="DGG7" s="735"/>
      <c r="DGH7" s="735"/>
      <c r="DGI7" s="735"/>
      <c r="DGJ7" s="735"/>
      <c r="DGK7" s="735"/>
      <c r="DGL7" s="735"/>
      <c r="DGM7" s="735"/>
      <c r="DGN7" s="735"/>
      <c r="DGO7" s="735"/>
      <c r="DGP7" s="735"/>
      <c r="DGQ7" s="735"/>
      <c r="DGR7" s="735"/>
      <c r="DGS7" s="735"/>
      <c r="DGT7" s="735"/>
      <c r="DGU7" s="735"/>
      <c r="DGV7" s="735"/>
      <c r="DGW7" s="735"/>
      <c r="DGX7" s="735"/>
      <c r="DGY7" s="735"/>
      <c r="DGZ7" s="735"/>
      <c r="DHA7" s="735"/>
      <c r="DHB7" s="735"/>
      <c r="DHC7" s="735"/>
      <c r="DHD7" s="735"/>
      <c r="DHE7" s="735"/>
      <c r="DHF7" s="735"/>
      <c r="DHG7" s="735"/>
      <c r="DHH7" s="735"/>
      <c r="DHI7" s="735"/>
      <c r="DHJ7" s="735"/>
      <c r="DHK7" s="735"/>
      <c r="DHL7" s="735"/>
      <c r="DHM7" s="735"/>
      <c r="DHN7" s="735"/>
      <c r="DHO7" s="735"/>
      <c r="DHP7" s="735"/>
      <c r="DHQ7" s="735"/>
      <c r="DHR7" s="735"/>
      <c r="DHS7" s="735"/>
      <c r="DHT7" s="735"/>
      <c r="DHU7" s="735"/>
      <c r="DHV7" s="735"/>
      <c r="DHW7" s="735"/>
      <c r="DHX7" s="735"/>
      <c r="DHY7" s="735"/>
      <c r="DHZ7" s="735"/>
      <c r="DIA7" s="735"/>
      <c r="DIB7" s="735"/>
      <c r="DIC7" s="735"/>
      <c r="DID7" s="735"/>
      <c r="DIE7" s="735"/>
      <c r="DIF7" s="735"/>
      <c r="DIG7" s="735"/>
      <c r="DIH7" s="735"/>
      <c r="DII7" s="735"/>
      <c r="DIJ7" s="735"/>
      <c r="DIK7" s="735"/>
      <c r="DIL7" s="735"/>
      <c r="DIM7" s="735"/>
      <c r="DIN7" s="735"/>
      <c r="DIO7" s="735"/>
      <c r="DIP7" s="735"/>
      <c r="DIQ7" s="735"/>
      <c r="DIR7" s="735"/>
      <c r="DIS7" s="735"/>
      <c r="DIT7" s="735"/>
      <c r="DIU7" s="735"/>
      <c r="DIV7" s="735"/>
      <c r="DIW7" s="735"/>
      <c r="DIX7" s="735"/>
      <c r="DIY7" s="735"/>
      <c r="DIZ7" s="735"/>
      <c r="DJA7" s="735"/>
      <c r="DJB7" s="735"/>
      <c r="DJC7" s="735"/>
      <c r="DJD7" s="735"/>
      <c r="DJE7" s="735"/>
      <c r="DJF7" s="735"/>
      <c r="DJG7" s="735"/>
      <c r="DJH7" s="735"/>
      <c r="DJI7" s="735"/>
      <c r="DJJ7" s="735"/>
      <c r="DJK7" s="735"/>
      <c r="DJL7" s="735"/>
      <c r="DJM7" s="735"/>
      <c r="DJN7" s="735"/>
      <c r="DJO7" s="735"/>
      <c r="DJP7" s="735"/>
      <c r="DJQ7" s="735"/>
      <c r="DJR7" s="735"/>
      <c r="DJS7" s="735"/>
      <c r="DJT7" s="735"/>
      <c r="DJU7" s="735"/>
      <c r="DJV7" s="735"/>
      <c r="DJW7" s="735"/>
      <c r="DJX7" s="735"/>
      <c r="DJY7" s="735"/>
      <c r="DJZ7" s="735"/>
      <c r="DKA7" s="735"/>
      <c r="DKB7" s="735"/>
      <c r="DKC7" s="735"/>
      <c r="DKD7" s="735"/>
      <c r="DKE7" s="735"/>
      <c r="DKF7" s="735"/>
      <c r="DKG7" s="735"/>
      <c r="DKH7" s="735"/>
      <c r="DKI7" s="735"/>
      <c r="DKJ7" s="735"/>
      <c r="DKK7" s="735"/>
      <c r="DKL7" s="735"/>
      <c r="DKM7" s="735"/>
      <c r="DKN7" s="735"/>
      <c r="DKO7" s="735"/>
      <c r="DKP7" s="735"/>
      <c r="DKQ7" s="735"/>
      <c r="DKR7" s="735"/>
      <c r="DKS7" s="735"/>
      <c r="DKT7" s="735"/>
      <c r="DKU7" s="735"/>
      <c r="DKV7" s="735"/>
      <c r="DKW7" s="735"/>
      <c r="DKX7" s="735"/>
      <c r="DKY7" s="735"/>
      <c r="DKZ7" s="735"/>
      <c r="DLA7" s="735"/>
      <c r="DLB7" s="735"/>
      <c r="DLC7" s="735"/>
      <c r="DLD7" s="735"/>
      <c r="DLE7" s="735"/>
      <c r="DLF7" s="735"/>
      <c r="DLG7" s="735"/>
      <c r="DLH7" s="735"/>
      <c r="DLI7" s="735"/>
      <c r="DLJ7" s="735"/>
      <c r="DLK7" s="735"/>
      <c r="DLL7" s="735"/>
      <c r="DLM7" s="735"/>
      <c r="DLN7" s="735"/>
      <c r="DLO7" s="735"/>
      <c r="DLP7" s="735"/>
      <c r="DLQ7" s="735"/>
      <c r="DLR7" s="735"/>
      <c r="DLS7" s="735"/>
      <c r="DLT7" s="735"/>
      <c r="DLU7" s="735"/>
      <c r="DLV7" s="735"/>
      <c r="DLW7" s="735"/>
      <c r="DLX7" s="735"/>
      <c r="DLY7" s="735"/>
      <c r="DLZ7" s="735"/>
      <c r="DMA7" s="735"/>
      <c r="DMB7" s="735"/>
      <c r="DMC7" s="735"/>
      <c r="DMD7" s="735"/>
      <c r="DME7" s="735"/>
      <c r="DMF7" s="735"/>
      <c r="DMG7" s="735"/>
      <c r="DMH7" s="735"/>
      <c r="DMI7" s="735"/>
      <c r="DMJ7" s="735"/>
      <c r="DMK7" s="735"/>
      <c r="DML7" s="735"/>
      <c r="DMM7" s="735"/>
      <c r="DMN7" s="735"/>
      <c r="DMO7" s="735"/>
      <c r="DMP7" s="735"/>
      <c r="DMQ7" s="735"/>
      <c r="DMR7" s="735"/>
      <c r="DMS7" s="735"/>
      <c r="DMT7" s="735"/>
      <c r="DMU7" s="735"/>
      <c r="DMV7" s="735"/>
      <c r="DMW7" s="735"/>
      <c r="DMX7" s="735"/>
      <c r="DMY7" s="735"/>
      <c r="DMZ7" s="735"/>
      <c r="DNA7" s="735"/>
      <c r="DNB7" s="735"/>
      <c r="DNC7" s="735"/>
      <c r="DND7" s="735"/>
      <c r="DNE7" s="735"/>
      <c r="DNF7" s="735"/>
      <c r="DNG7" s="735"/>
      <c r="DNH7" s="735"/>
      <c r="DNI7" s="735"/>
      <c r="DNJ7" s="735"/>
      <c r="DNK7" s="735"/>
      <c r="DNL7" s="735"/>
      <c r="DNM7" s="735"/>
      <c r="DNN7" s="735"/>
      <c r="DNO7" s="735"/>
      <c r="DNP7" s="735"/>
      <c r="DNQ7" s="735"/>
      <c r="DNR7" s="735"/>
      <c r="DNS7" s="735"/>
      <c r="DNT7" s="735"/>
      <c r="DNU7" s="735"/>
      <c r="DNV7" s="735"/>
      <c r="DNW7" s="735"/>
      <c r="DNX7" s="735"/>
      <c r="DNY7" s="735"/>
      <c r="DNZ7" s="735"/>
      <c r="DOA7" s="735"/>
      <c r="DOB7" s="735"/>
      <c r="DOC7" s="735"/>
      <c r="DOD7" s="735"/>
      <c r="DOE7" s="735"/>
      <c r="DOF7" s="735"/>
      <c r="DOG7" s="735"/>
      <c r="DOH7" s="735"/>
      <c r="DOI7" s="735"/>
      <c r="DOJ7" s="735"/>
      <c r="DOK7" s="735"/>
      <c r="DOL7" s="735"/>
      <c r="DOM7" s="735"/>
      <c r="DON7" s="735"/>
      <c r="DOO7" s="735"/>
      <c r="DOP7" s="735"/>
      <c r="DOQ7" s="735"/>
      <c r="DOR7" s="735"/>
      <c r="DOS7" s="735"/>
      <c r="DOT7" s="735"/>
      <c r="DOU7" s="735"/>
      <c r="DOV7" s="735"/>
      <c r="DOW7" s="735"/>
      <c r="DOX7" s="735"/>
      <c r="DOY7" s="735"/>
      <c r="DOZ7" s="735"/>
      <c r="DPA7" s="735"/>
      <c r="DPB7" s="735"/>
      <c r="DPC7" s="735"/>
      <c r="DPD7" s="735"/>
      <c r="DPE7" s="735"/>
      <c r="DPF7" s="735"/>
      <c r="DPG7" s="735"/>
      <c r="DPH7" s="735"/>
      <c r="DPI7" s="735"/>
      <c r="DPJ7" s="735"/>
      <c r="DPK7" s="735"/>
      <c r="DPL7" s="735"/>
      <c r="DPM7" s="735"/>
      <c r="DPN7" s="735"/>
      <c r="DPO7" s="735"/>
      <c r="DPP7" s="735"/>
      <c r="DPQ7" s="735"/>
      <c r="DPR7" s="735"/>
      <c r="DPS7" s="735"/>
      <c r="DPT7" s="735"/>
      <c r="DPU7" s="735"/>
      <c r="DPV7" s="735"/>
      <c r="DPW7" s="735"/>
      <c r="DPX7" s="735"/>
      <c r="DPY7" s="735"/>
      <c r="DPZ7" s="735"/>
      <c r="DQA7" s="735"/>
      <c r="DQB7" s="735"/>
      <c r="DQC7" s="735"/>
      <c r="DQD7" s="735"/>
      <c r="DQE7" s="735"/>
      <c r="DQF7" s="735"/>
      <c r="DQG7" s="735"/>
      <c r="DQH7" s="735"/>
      <c r="DQI7" s="735"/>
      <c r="DQJ7" s="735"/>
      <c r="DQK7" s="735"/>
      <c r="DQL7" s="735"/>
      <c r="DQM7" s="735"/>
      <c r="DQN7" s="735"/>
      <c r="DQO7" s="735"/>
      <c r="DQP7" s="735"/>
      <c r="DQQ7" s="735"/>
      <c r="DQR7" s="735"/>
      <c r="DQS7" s="735"/>
      <c r="DQT7" s="735"/>
      <c r="DQU7" s="735"/>
      <c r="DQV7" s="735"/>
      <c r="DQW7" s="735"/>
      <c r="DQX7" s="735"/>
      <c r="DQY7" s="735"/>
      <c r="DQZ7" s="735"/>
      <c r="DRA7" s="735"/>
      <c r="DRB7" s="735"/>
      <c r="DRC7" s="735"/>
      <c r="DRD7" s="735"/>
      <c r="DRE7" s="735"/>
      <c r="DRF7" s="735"/>
      <c r="DRG7" s="735"/>
      <c r="DRH7" s="735"/>
      <c r="DRI7" s="735"/>
      <c r="DRJ7" s="735"/>
      <c r="DRK7" s="735"/>
      <c r="DRL7" s="735"/>
      <c r="DRM7" s="735"/>
      <c r="DRN7" s="735"/>
      <c r="DRO7" s="735"/>
      <c r="DRP7" s="735"/>
      <c r="DRQ7" s="735"/>
      <c r="DRR7" s="735"/>
      <c r="DRS7" s="735"/>
      <c r="DRT7" s="735"/>
      <c r="DRU7" s="735"/>
      <c r="DRV7" s="735"/>
      <c r="DRW7" s="735"/>
      <c r="DRX7" s="735"/>
      <c r="DRY7" s="735"/>
      <c r="DRZ7" s="735"/>
      <c r="DSA7" s="735"/>
      <c r="DSB7" s="735"/>
      <c r="DSC7" s="735"/>
      <c r="DSD7" s="735"/>
      <c r="DSE7" s="735"/>
      <c r="DSF7" s="735"/>
      <c r="DSG7" s="735"/>
      <c r="DSH7" s="735"/>
      <c r="DSI7" s="735"/>
      <c r="DSJ7" s="735"/>
      <c r="DSK7" s="735"/>
      <c r="DSL7" s="735"/>
      <c r="DSM7" s="735"/>
      <c r="DSN7" s="735"/>
      <c r="DSO7" s="735"/>
      <c r="DSP7" s="735"/>
      <c r="DSQ7" s="735"/>
      <c r="DSR7" s="735"/>
      <c r="DSS7" s="735"/>
      <c r="DST7" s="735"/>
      <c r="DSU7" s="735"/>
      <c r="DSV7" s="735"/>
      <c r="DSW7" s="735"/>
      <c r="DSX7" s="735"/>
      <c r="DSY7" s="735"/>
      <c r="DSZ7" s="735"/>
      <c r="DTA7" s="735"/>
      <c r="DTB7" s="735"/>
      <c r="DTC7" s="735"/>
      <c r="DTD7" s="735"/>
      <c r="DTE7" s="735"/>
      <c r="DTF7" s="735"/>
      <c r="DTG7" s="735"/>
      <c r="DTH7" s="735"/>
      <c r="DTI7" s="735"/>
      <c r="DTJ7" s="735"/>
      <c r="DTK7" s="735"/>
      <c r="DTL7" s="735"/>
      <c r="DTM7" s="735"/>
      <c r="DTN7" s="735"/>
      <c r="DTO7" s="735"/>
      <c r="DTP7" s="735"/>
      <c r="DTQ7" s="735"/>
      <c r="DTR7" s="735"/>
      <c r="DTS7" s="735"/>
      <c r="DTT7" s="735"/>
      <c r="DTU7" s="735"/>
      <c r="DTV7" s="735"/>
      <c r="DTW7" s="735"/>
      <c r="DTX7" s="735"/>
      <c r="DTY7" s="735"/>
      <c r="DTZ7" s="735"/>
      <c r="DUA7" s="735"/>
      <c r="DUB7" s="735"/>
      <c r="DUC7" s="735"/>
      <c r="DUD7" s="735"/>
      <c r="DUE7" s="735"/>
      <c r="DUF7" s="735"/>
      <c r="DUG7" s="735"/>
      <c r="DUH7" s="735"/>
      <c r="DUI7" s="735"/>
      <c r="DUJ7" s="735"/>
      <c r="DUK7" s="735"/>
      <c r="DUL7" s="735"/>
      <c r="DUM7" s="735"/>
      <c r="DUN7" s="735"/>
      <c r="DUO7" s="735"/>
      <c r="DUP7" s="735"/>
      <c r="DUQ7" s="735"/>
      <c r="DUR7" s="735"/>
      <c r="DUS7" s="735"/>
      <c r="DUT7" s="735"/>
      <c r="DUU7" s="735"/>
      <c r="DUV7" s="735"/>
      <c r="DUW7" s="735"/>
      <c r="DUX7" s="735"/>
      <c r="DUY7" s="735"/>
      <c r="DUZ7" s="735"/>
      <c r="DVA7" s="735"/>
      <c r="DVB7" s="735"/>
      <c r="DVC7" s="735"/>
      <c r="DVD7" s="735"/>
      <c r="DVE7" s="735"/>
      <c r="DVF7" s="735"/>
      <c r="DVG7" s="735"/>
      <c r="DVH7" s="735"/>
      <c r="DVI7" s="735"/>
      <c r="DVJ7" s="735"/>
      <c r="DVK7" s="735"/>
      <c r="DVL7" s="735"/>
      <c r="DVM7" s="735"/>
      <c r="DVN7" s="735"/>
      <c r="DVO7" s="735"/>
      <c r="DVP7" s="735"/>
      <c r="DVQ7" s="735"/>
      <c r="DVR7" s="735"/>
      <c r="DVS7" s="735"/>
      <c r="DVT7" s="735"/>
      <c r="DVU7" s="735"/>
      <c r="DVV7" s="735"/>
      <c r="DVW7" s="735"/>
      <c r="DVX7" s="735"/>
      <c r="DVY7" s="735"/>
      <c r="DVZ7" s="735"/>
      <c r="DWA7" s="735"/>
      <c r="DWB7" s="735"/>
      <c r="DWC7" s="735"/>
      <c r="DWD7" s="735"/>
      <c r="DWE7" s="735"/>
      <c r="DWF7" s="735"/>
      <c r="DWG7" s="735"/>
      <c r="DWH7" s="735"/>
      <c r="DWI7" s="735"/>
      <c r="DWJ7" s="735"/>
      <c r="DWK7" s="735"/>
      <c r="DWL7" s="735"/>
      <c r="DWM7" s="735"/>
      <c r="DWN7" s="735"/>
      <c r="DWO7" s="735"/>
      <c r="DWP7" s="735"/>
      <c r="DWQ7" s="735"/>
      <c r="DWR7" s="735"/>
      <c r="DWS7" s="735"/>
      <c r="DWT7" s="735"/>
      <c r="DWU7" s="735"/>
      <c r="DWV7" s="735"/>
      <c r="DWW7" s="735"/>
      <c r="DWX7" s="735"/>
      <c r="DWY7" s="735"/>
      <c r="DWZ7" s="735"/>
      <c r="DXA7" s="735"/>
      <c r="DXB7" s="735"/>
      <c r="DXC7" s="735"/>
      <c r="DXD7" s="735"/>
      <c r="DXE7" s="735"/>
      <c r="DXF7" s="735"/>
      <c r="DXG7" s="735"/>
      <c r="DXH7" s="735"/>
      <c r="DXI7" s="735"/>
      <c r="DXJ7" s="735"/>
      <c r="DXK7" s="735"/>
      <c r="DXL7" s="735"/>
      <c r="DXM7" s="735"/>
      <c r="DXN7" s="735"/>
      <c r="DXO7" s="735"/>
      <c r="DXP7" s="735"/>
      <c r="DXQ7" s="735"/>
      <c r="DXR7" s="735"/>
      <c r="DXS7" s="735"/>
      <c r="DXT7" s="735"/>
      <c r="DXU7" s="735"/>
      <c r="DXV7" s="735"/>
      <c r="DXW7" s="735"/>
      <c r="DXX7" s="735"/>
      <c r="DXY7" s="735"/>
      <c r="DXZ7" s="735"/>
      <c r="DYA7" s="735"/>
      <c r="DYB7" s="735"/>
      <c r="DYC7" s="735"/>
      <c r="DYD7" s="735"/>
      <c r="DYE7" s="735"/>
      <c r="DYF7" s="735"/>
      <c r="DYG7" s="735"/>
      <c r="DYH7" s="735"/>
      <c r="DYI7" s="735"/>
      <c r="DYJ7" s="735"/>
      <c r="DYK7" s="735"/>
      <c r="DYL7" s="735"/>
      <c r="DYM7" s="735"/>
      <c r="DYN7" s="735"/>
      <c r="DYO7" s="735"/>
      <c r="DYP7" s="735"/>
      <c r="DYQ7" s="735"/>
      <c r="DYR7" s="735"/>
      <c r="DYS7" s="735"/>
      <c r="DYT7" s="735"/>
      <c r="DYU7" s="735"/>
      <c r="DYV7" s="735"/>
      <c r="DYW7" s="735"/>
      <c r="DYX7" s="735"/>
      <c r="DYY7" s="735"/>
      <c r="DYZ7" s="735"/>
      <c r="DZA7" s="735"/>
      <c r="DZB7" s="735"/>
      <c r="DZC7" s="735"/>
      <c r="DZD7" s="735"/>
      <c r="DZE7" s="735"/>
      <c r="DZF7" s="735"/>
      <c r="DZG7" s="735"/>
      <c r="DZH7" s="735"/>
      <c r="DZI7" s="735"/>
      <c r="DZJ7" s="735"/>
      <c r="DZK7" s="735"/>
      <c r="DZL7" s="735"/>
      <c r="DZM7" s="735"/>
      <c r="DZN7" s="735"/>
      <c r="DZO7" s="735"/>
      <c r="DZP7" s="735"/>
      <c r="DZQ7" s="735"/>
      <c r="DZR7" s="735"/>
      <c r="DZS7" s="735"/>
      <c r="DZT7" s="735"/>
      <c r="DZU7" s="735"/>
      <c r="DZV7" s="735"/>
      <c r="DZW7" s="735"/>
      <c r="DZX7" s="735"/>
      <c r="DZY7" s="735"/>
      <c r="DZZ7" s="735"/>
      <c r="EAA7" s="735"/>
      <c r="EAB7" s="735"/>
      <c r="EAC7" s="735"/>
      <c r="EAD7" s="735"/>
      <c r="EAE7" s="735"/>
      <c r="EAF7" s="735"/>
      <c r="EAG7" s="735"/>
      <c r="EAH7" s="735"/>
      <c r="EAI7" s="735"/>
      <c r="EAJ7" s="735"/>
      <c r="EAK7" s="735"/>
      <c r="EAL7" s="735"/>
      <c r="EAM7" s="735"/>
      <c r="EAN7" s="735"/>
      <c r="EAO7" s="735"/>
      <c r="EAP7" s="735"/>
      <c r="EAQ7" s="735"/>
      <c r="EAR7" s="735"/>
      <c r="EAS7" s="735"/>
      <c r="EAT7" s="735"/>
      <c r="EAU7" s="735"/>
      <c r="EAV7" s="735"/>
      <c r="EAW7" s="735"/>
      <c r="EAX7" s="735"/>
      <c r="EAY7" s="735"/>
      <c r="EAZ7" s="735"/>
      <c r="EBA7" s="735"/>
      <c r="EBB7" s="735"/>
      <c r="EBC7" s="735"/>
      <c r="EBD7" s="735"/>
      <c r="EBE7" s="735"/>
      <c r="EBF7" s="735"/>
      <c r="EBG7" s="735"/>
      <c r="EBH7" s="735"/>
      <c r="EBI7" s="735"/>
      <c r="EBJ7" s="735"/>
      <c r="EBK7" s="735"/>
      <c r="EBL7" s="735"/>
      <c r="EBM7" s="735"/>
      <c r="EBN7" s="735"/>
      <c r="EBO7" s="735"/>
      <c r="EBP7" s="735"/>
      <c r="EBQ7" s="735"/>
      <c r="EBR7" s="735"/>
      <c r="EBS7" s="735"/>
      <c r="EBT7" s="735"/>
      <c r="EBU7" s="735"/>
      <c r="EBV7" s="735"/>
      <c r="EBW7" s="735"/>
      <c r="EBX7" s="735"/>
      <c r="EBY7" s="735"/>
      <c r="EBZ7" s="735"/>
      <c r="ECA7" s="735"/>
      <c r="ECB7" s="735"/>
      <c r="ECC7" s="735"/>
      <c r="ECD7" s="735"/>
      <c r="ECE7" s="735"/>
      <c r="ECF7" s="735"/>
      <c r="ECG7" s="735"/>
      <c r="ECH7" s="735"/>
      <c r="ECI7" s="735"/>
      <c r="ECJ7" s="735"/>
      <c r="ECK7" s="735"/>
      <c r="ECL7" s="735"/>
      <c r="ECM7" s="735"/>
      <c r="ECN7" s="735"/>
      <c r="ECO7" s="735"/>
      <c r="ECP7" s="735"/>
      <c r="ECQ7" s="735"/>
      <c r="ECR7" s="735"/>
      <c r="ECS7" s="735"/>
      <c r="ECT7" s="735"/>
      <c r="ECU7" s="735"/>
      <c r="ECV7" s="735"/>
      <c r="ECW7" s="735"/>
      <c r="ECX7" s="735"/>
      <c r="ECY7" s="735"/>
      <c r="ECZ7" s="735"/>
      <c r="EDA7" s="735"/>
      <c r="EDB7" s="735"/>
      <c r="EDC7" s="735"/>
      <c r="EDD7" s="735"/>
      <c r="EDE7" s="735"/>
      <c r="EDF7" s="735"/>
      <c r="EDG7" s="735"/>
      <c r="EDH7" s="735"/>
      <c r="EDI7" s="735"/>
      <c r="EDJ7" s="735"/>
      <c r="EDK7" s="735"/>
      <c r="EDL7" s="735"/>
      <c r="EDM7" s="735"/>
      <c r="EDN7" s="735"/>
      <c r="EDO7" s="735"/>
      <c r="EDP7" s="735"/>
      <c r="EDQ7" s="735"/>
      <c r="EDR7" s="735"/>
      <c r="EDS7" s="735"/>
      <c r="EDT7" s="735"/>
      <c r="EDU7" s="735"/>
      <c r="EDV7" s="735"/>
      <c r="EDW7" s="735"/>
      <c r="EDX7" s="735"/>
      <c r="EDY7" s="735"/>
      <c r="EDZ7" s="735"/>
      <c r="EEA7" s="735"/>
      <c r="EEB7" s="735"/>
      <c r="EEC7" s="735"/>
      <c r="EED7" s="735"/>
      <c r="EEE7" s="735"/>
      <c r="EEF7" s="735"/>
      <c r="EEG7" s="735"/>
      <c r="EEH7" s="735"/>
      <c r="EEI7" s="735"/>
      <c r="EEJ7" s="735"/>
      <c r="EEK7" s="735"/>
      <c r="EEL7" s="735"/>
      <c r="EEM7" s="735"/>
      <c r="EEN7" s="735"/>
      <c r="EEO7" s="735"/>
      <c r="EEP7" s="735"/>
      <c r="EEQ7" s="735"/>
      <c r="EER7" s="735"/>
      <c r="EES7" s="735"/>
      <c r="EET7" s="735"/>
      <c r="EEU7" s="735"/>
      <c r="EEV7" s="735"/>
      <c r="EEW7" s="735"/>
      <c r="EEX7" s="735"/>
      <c r="EEY7" s="735"/>
      <c r="EEZ7" s="735"/>
      <c r="EFA7" s="735"/>
      <c r="EFB7" s="735"/>
      <c r="EFC7" s="735"/>
      <c r="EFD7" s="735"/>
      <c r="EFE7" s="735"/>
      <c r="EFF7" s="735"/>
      <c r="EFG7" s="735"/>
      <c r="EFH7" s="735"/>
      <c r="EFI7" s="735"/>
      <c r="EFJ7" s="735"/>
      <c r="EFK7" s="735"/>
      <c r="EFL7" s="735"/>
      <c r="EFM7" s="735"/>
      <c r="EFN7" s="735"/>
      <c r="EFO7" s="735"/>
      <c r="EFP7" s="735"/>
      <c r="EFQ7" s="735"/>
      <c r="EFR7" s="735"/>
      <c r="EFS7" s="735"/>
      <c r="EFT7" s="735"/>
      <c r="EFU7" s="735"/>
      <c r="EFV7" s="735"/>
      <c r="EFW7" s="735"/>
      <c r="EFX7" s="735"/>
      <c r="EFY7" s="735"/>
      <c r="EFZ7" s="735"/>
      <c r="EGA7" s="735"/>
      <c r="EGB7" s="735"/>
      <c r="EGC7" s="735"/>
      <c r="EGD7" s="735"/>
      <c r="EGE7" s="735"/>
      <c r="EGF7" s="735"/>
      <c r="EGG7" s="735"/>
      <c r="EGH7" s="735"/>
      <c r="EGI7" s="735"/>
      <c r="EGJ7" s="735"/>
      <c r="EGK7" s="735"/>
      <c r="EGL7" s="735"/>
      <c r="EGM7" s="735"/>
      <c r="EGN7" s="735"/>
      <c r="EGO7" s="735"/>
      <c r="EGP7" s="735"/>
      <c r="EGQ7" s="735"/>
      <c r="EGR7" s="735"/>
      <c r="EGS7" s="735"/>
      <c r="EGT7" s="735"/>
      <c r="EGU7" s="735"/>
      <c r="EGV7" s="735"/>
      <c r="EGW7" s="735"/>
      <c r="EGX7" s="735"/>
      <c r="EGY7" s="735"/>
      <c r="EGZ7" s="735"/>
      <c r="EHA7" s="735"/>
      <c r="EHB7" s="735"/>
      <c r="EHC7" s="735"/>
      <c r="EHD7" s="735"/>
      <c r="EHE7" s="735"/>
      <c r="EHF7" s="735"/>
      <c r="EHG7" s="735"/>
      <c r="EHH7" s="735"/>
      <c r="EHI7" s="735"/>
      <c r="EHJ7" s="735"/>
      <c r="EHK7" s="735"/>
      <c r="EHL7" s="735"/>
      <c r="EHM7" s="735"/>
      <c r="EHN7" s="735"/>
      <c r="EHO7" s="735"/>
      <c r="EHP7" s="735"/>
      <c r="EHQ7" s="735"/>
      <c r="EHR7" s="735"/>
      <c r="EHS7" s="735"/>
      <c r="EHT7" s="735"/>
      <c r="EHU7" s="735"/>
      <c r="EHV7" s="735"/>
      <c r="EHW7" s="735"/>
      <c r="EHX7" s="735"/>
      <c r="EHY7" s="735"/>
      <c r="EHZ7" s="735"/>
      <c r="EIA7" s="735"/>
      <c r="EIB7" s="735"/>
      <c r="EIC7" s="735"/>
      <c r="EID7" s="735"/>
      <c r="EIE7" s="735"/>
      <c r="EIF7" s="735"/>
      <c r="EIG7" s="735"/>
      <c r="EIH7" s="735"/>
      <c r="EII7" s="735"/>
      <c r="EIJ7" s="735"/>
      <c r="EIK7" s="735"/>
      <c r="EIL7" s="735"/>
      <c r="EIM7" s="735"/>
      <c r="EIN7" s="735"/>
      <c r="EIO7" s="735"/>
      <c r="EIP7" s="735"/>
      <c r="EIQ7" s="735"/>
      <c r="EIR7" s="735"/>
      <c r="EIS7" s="735"/>
      <c r="EIT7" s="735"/>
      <c r="EIU7" s="735"/>
      <c r="EIV7" s="735"/>
      <c r="EIW7" s="735"/>
      <c r="EIX7" s="735"/>
      <c r="EIY7" s="735"/>
      <c r="EIZ7" s="735"/>
      <c r="EJA7" s="735"/>
      <c r="EJB7" s="735"/>
      <c r="EJC7" s="735"/>
      <c r="EJD7" s="735"/>
      <c r="EJE7" s="735"/>
      <c r="EJF7" s="735"/>
      <c r="EJG7" s="735"/>
      <c r="EJH7" s="735"/>
      <c r="EJI7" s="735"/>
      <c r="EJJ7" s="735"/>
      <c r="EJK7" s="735"/>
      <c r="EJL7" s="735"/>
      <c r="EJM7" s="735"/>
      <c r="EJN7" s="735"/>
      <c r="EJO7" s="735"/>
      <c r="EJP7" s="735"/>
      <c r="EJQ7" s="735"/>
      <c r="EJR7" s="735"/>
      <c r="EJS7" s="735"/>
      <c r="EJT7" s="735"/>
      <c r="EJU7" s="735"/>
      <c r="EJV7" s="735"/>
      <c r="EJW7" s="735"/>
      <c r="EJX7" s="735"/>
      <c r="EJY7" s="735"/>
      <c r="EJZ7" s="735"/>
      <c r="EKA7" s="735"/>
      <c r="EKB7" s="735"/>
      <c r="EKC7" s="735"/>
      <c r="EKD7" s="735"/>
      <c r="EKE7" s="735"/>
      <c r="EKF7" s="735"/>
      <c r="EKG7" s="735"/>
      <c r="EKH7" s="735"/>
      <c r="EKI7" s="735"/>
      <c r="EKJ7" s="735"/>
      <c r="EKK7" s="735"/>
      <c r="EKL7" s="735"/>
      <c r="EKM7" s="735"/>
      <c r="EKN7" s="735"/>
      <c r="EKO7" s="735"/>
      <c r="EKP7" s="735"/>
      <c r="EKQ7" s="735"/>
      <c r="EKR7" s="735"/>
      <c r="EKS7" s="735"/>
      <c r="EKT7" s="735"/>
      <c r="EKU7" s="735"/>
      <c r="EKV7" s="735"/>
      <c r="EKW7" s="735"/>
      <c r="EKX7" s="735"/>
      <c r="EKY7" s="735"/>
      <c r="EKZ7" s="735"/>
      <c r="ELA7" s="735"/>
      <c r="ELB7" s="735"/>
      <c r="ELC7" s="735"/>
      <c r="ELD7" s="735"/>
      <c r="ELE7" s="735"/>
      <c r="ELF7" s="735"/>
      <c r="ELG7" s="735"/>
      <c r="ELH7" s="735"/>
      <c r="ELI7" s="735"/>
      <c r="ELJ7" s="735"/>
      <c r="ELK7" s="735"/>
      <c r="ELL7" s="735"/>
      <c r="ELM7" s="735"/>
      <c r="ELN7" s="735"/>
      <c r="ELO7" s="735"/>
      <c r="ELP7" s="735"/>
      <c r="ELQ7" s="735"/>
      <c r="ELR7" s="735"/>
      <c r="ELS7" s="735"/>
      <c r="ELT7" s="735"/>
      <c r="ELU7" s="735"/>
      <c r="ELV7" s="735"/>
      <c r="ELW7" s="735"/>
      <c r="ELX7" s="735"/>
      <c r="ELY7" s="735"/>
      <c r="ELZ7" s="735"/>
      <c r="EMA7" s="735"/>
      <c r="EMB7" s="735"/>
      <c r="EMC7" s="735"/>
      <c r="EMD7" s="735"/>
      <c r="EME7" s="735"/>
      <c r="EMF7" s="735"/>
      <c r="EMG7" s="735"/>
      <c r="EMH7" s="735"/>
      <c r="EMI7" s="735"/>
      <c r="EMJ7" s="735"/>
      <c r="EMK7" s="735"/>
      <c r="EML7" s="735"/>
      <c r="EMM7" s="735"/>
      <c r="EMN7" s="735"/>
      <c r="EMO7" s="735"/>
      <c r="EMP7" s="735"/>
      <c r="EMQ7" s="735"/>
      <c r="EMR7" s="735"/>
      <c r="EMS7" s="735"/>
      <c r="EMT7" s="735"/>
      <c r="EMU7" s="735"/>
      <c r="EMV7" s="735"/>
      <c r="EMW7" s="735"/>
      <c r="EMX7" s="735"/>
      <c r="EMY7" s="735"/>
      <c r="EMZ7" s="735"/>
      <c r="ENA7" s="735"/>
      <c r="ENB7" s="735"/>
      <c r="ENC7" s="735"/>
      <c r="END7" s="735"/>
      <c r="ENE7" s="735"/>
      <c r="ENF7" s="735"/>
      <c r="ENG7" s="735"/>
      <c r="ENH7" s="735"/>
      <c r="ENI7" s="735"/>
      <c r="ENJ7" s="735"/>
      <c r="ENK7" s="735"/>
      <c r="ENL7" s="735"/>
      <c r="ENM7" s="735"/>
      <c r="ENN7" s="735"/>
      <c r="ENO7" s="735"/>
      <c r="ENP7" s="735"/>
      <c r="ENQ7" s="735"/>
      <c r="ENR7" s="735"/>
      <c r="ENS7" s="735"/>
      <c r="ENT7" s="735"/>
      <c r="ENU7" s="735"/>
      <c r="ENV7" s="735"/>
      <c r="ENW7" s="735"/>
      <c r="ENX7" s="735"/>
      <c r="ENY7" s="735"/>
      <c r="ENZ7" s="735"/>
      <c r="EOA7" s="735"/>
      <c r="EOB7" s="735"/>
      <c r="EOC7" s="735"/>
      <c r="EOD7" s="735"/>
      <c r="EOE7" s="735"/>
      <c r="EOF7" s="735"/>
      <c r="EOG7" s="735"/>
      <c r="EOH7" s="735"/>
      <c r="EOI7" s="735"/>
      <c r="EOJ7" s="735"/>
      <c r="EOK7" s="735"/>
      <c r="EOL7" s="735"/>
      <c r="EOM7" s="735"/>
      <c r="EON7" s="735"/>
      <c r="EOO7" s="735"/>
      <c r="EOP7" s="735"/>
      <c r="EOQ7" s="735"/>
      <c r="EOR7" s="735"/>
      <c r="EOS7" s="735"/>
      <c r="EOT7" s="735"/>
      <c r="EOU7" s="735"/>
      <c r="EOV7" s="735"/>
      <c r="EOW7" s="735"/>
      <c r="EOX7" s="735"/>
      <c r="EOY7" s="735"/>
      <c r="EOZ7" s="735"/>
      <c r="EPA7" s="735"/>
      <c r="EPB7" s="735"/>
      <c r="EPC7" s="735"/>
      <c r="EPD7" s="735"/>
      <c r="EPE7" s="735"/>
      <c r="EPF7" s="735"/>
      <c r="EPG7" s="735"/>
      <c r="EPH7" s="735"/>
      <c r="EPI7" s="735"/>
      <c r="EPJ7" s="735"/>
      <c r="EPK7" s="735"/>
      <c r="EPL7" s="735"/>
      <c r="EPM7" s="735"/>
      <c r="EPN7" s="735"/>
      <c r="EPO7" s="735"/>
      <c r="EPP7" s="735"/>
      <c r="EPQ7" s="735"/>
      <c r="EPR7" s="735"/>
      <c r="EPS7" s="735"/>
      <c r="EPT7" s="735"/>
      <c r="EPU7" s="735"/>
      <c r="EPV7" s="735"/>
      <c r="EPW7" s="735"/>
      <c r="EPX7" s="735"/>
      <c r="EPY7" s="735"/>
      <c r="EPZ7" s="735"/>
      <c r="EQA7" s="735"/>
      <c r="EQB7" s="735"/>
      <c r="EQC7" s="735"/>
      <c r="EQD7" s="735"/>
      <c r="EQE7" s="735"/>
      <c r="EQF7" s="735"/>
      <c r="EQG7" s="735"/>
      <c r="EQH7" s="735"/>
      <c r="EQI7" s="735"/>
      <c r="EQJ7" s="735"/>
      <c r="EQK7" s="735"/>
      <c r="EQL7" s="735"/>
      <c r="EQM7" s="735"/>
      <c r="EQN7" s="735"/>
      <c r="EQO7" s="735"/>
      <c r="EQP7" s="735"/>
      <c r="EQQ7" s="735"/>
      <c r="EQR7" s="735"/>
      <c r="EQS7" s="735"/>
      <c r="EQT7" s="735"/>
      <c r="EQU7" s="735"/>
      <c r="EQV7" s="735"/>
      <c r="EQW7" s="735"/>
      <c r="EQX7" s="735"/>
      <c r="EQY7" s="735"/>
      <c r="EQZ7" s="735"/>
      <c r="ERA7" s="735"/>
      <c r="ERB7" s="735"/>
      <c r="ERC7" s="735"/>
      <c r="ERD7" s="735"/>
      <c r="ERE7" s="735"/>
      <c r="ERF7" s="735"/>
      <c r="ERG7" s="735"/>
      <c r="ERH7" s="735"/>
      <c r="ERI7" s="735"/>
      <c r="ERJ7" s="735"/>
      <c r="ERK7" s="735"/>
      <c r="ERL7" s="735"/>
      <c r="ERM7" s="735"/>
      <c r="ERN7" s="735"/>
      <c r="ERO7" s="735"/>
      <c r="ERP7" s="735"/>
      <c r="ERQ7" s="735"/>
      <c r="ERR7" s="735"/>
      <c r="ERS7" s="735"/>
      <c r="ERT7" s="735"/>
      <c r="ERU7" s="735"/>
      <c r="ERV7" s="735"/>
      <c r="ERW7" s="735"/>
      <c r="ERX7" s="735"/>
      <c r="ERY7" s="735"/>
      <c r="ERZ7" s="735"/>
      <c r="ESA7" s="735"/>
      <c r="ESB7" s="735"/>
      <c r="ESC7" s="735"/>
      <c r="ESD7" s="735"/>
      <c r="ESE7" s="735"/>
      <c r="ESF7" s="735"/>
      <c r="ESG7" s="735"/>
      <c r="ESH7" s="735"/>
      <c r="ESI7" s="735"/>
      <c r="ESJ7" s="735"/>
      <c r="ESK7" s="735"/>
      <c r="ESL7" s="735"/>
      <c r="ESM7" s="735"/>
      <c r="ESN7" s="735"/>
      <c r="ESO7" s="735"/>
      <c r="ESP7" s="735"/>
      <c r="ESQ7" s="735"/>
      <c r="ESR7" s="735"/>
      <c r="ESS7" s="735"/>
      <c r="EST7" s="735"/>
      <c r="ESU7" s="735"/>
      <c r="ESV7" s="735"/>
      <c r="ESW7" s="735"/>
      <c r="ESX7" s="735"/>
      <c r="ESY7" s="735"/>
      <c r="ESZ7" s="735"/>
      <c r="ETA7" s="735"/>
      <c r="ETB7" s="735"/>
      <c r="ETC7" s="735"/>
      <c r="ETD7" s="735"/>
      <c r="ETE7" s="735"/>
      <c r="ETF7" s="735"/>
      <c r="ETG7" s="735"/>
      <c r="ETH7" s="735"/>
      <c r="ETI7" s="735"/>
      <c r="ETJ7" s="735"/>
      <c r="ETK7" s="735"/>
      <c r="ETL7" s="735"/>
      <c r="ETM7" s="735"/>
      <c r="ETN7" s="735"/>
      <c r="ETO7" s="735"/>
      <c r="ETP7" s="735"/>
      <c r="ETQ7" s="735"/>
      <c r="ETR7" s="735"/>
      <c r="ETS7" s="735"/>
      <c r="ETT7" s="735"/>
      <c r="ETU7" s="735"/>
      <c r="ETV7" s="735"/>
      <c r="ETW7" s="735"/>
      <c r="ETX7" s="735"/>
      <c r="ETY7" s="735"/>
      <c r="ETZ7" s="735"/>
      <c r="EUA7" s="735"/>
      <c r="EUB7" s="735"/>
      <c r="EUC7" s="735"/>
      <c r="EUD7" s="735"/>
      <c r="EUE7" s="735"/>
      <c r="EUF7" s="735"/>
      <c r="EUG7" s="735"/>
      <c r="EUH7" s="735"/>
      <c r="EUI7" s="735"/>
      <c r="EUJ7" s="735"/>
      <c r="EUK7" s="735"/>
      <c r="EUL7" s="735"/>
      <c r="EUM7" s="735"/>
      <c r="EUN7" s="735"/>
      <c r="EUO7" s="735"/>
      <c r="EUP7" s="735"/>
      <c r="EUQ7" s="735"/>
      <c r="EUR7" s="735"/>
      <c r="EUS7" s="735"/>
      <c r="EUT7" s="735"/>
      <c r="EUU7" s="735"/>
      <c r="EUV7" s="735"/>
      <c r="EUW7" s="735"/>
      <c r="EUX7" s="735"/>
      <c r="EUY7" s="735"/>
      <c r="EUZ7" s="735"/>
      <c r="EVA7" s="735"/>
      <c r="EVB7" s="735"/>
      <c r="EVC7" s="735"/>
      <c r="EVD7" s="735"/>
      <c r="EVE7" s="735"/>
      <c r="EVF7" s="735"/>
      <c r="EVG7" s="735"/>
      <c r="EVH7" s="735"/>
      <c r="EVI7" s="735"/>
      <c r="EVJ7" s="735"/>
      <c r="EVK7" s="735"/>
      <c r="EVL7" s="735"/>
      <c r="EVM7" s="735"/>
      <c r="EVN7" s="735"/>
      <c r="EVO7" s="735"/>
      <c r="EVP7" s="735"/>
      <c r="EVQ7" s="735"/>
      <c r="EVR7" s="735"/>
      <c r="EVS7" s="735"/>
      <c r="EVT7" s="735"/>
      <c r="EVU7" s="735"/>
      <c r="EVV7" s="735"/>
      <c r="EVW7" s="735"/>
      <c r="EVX7" s="735"/>
      <c r="EVY7" s="735"/>
      <c r="EVZ7" s="735"/>
      <c r="EWA7" s="735"/>
      <c r="EWB7" s="735"/>
      <c r="EWC7" s="735"/>
      <c r="EWD7" s="735"/>
      <c r="EWE7" s="735"/>
      <c r="EWF7" s="735"/>
      <c r="EWG7" s="735"/>
      <c r="EWH7" s="735"/>
      <c r="EWI7" s="735"/>
      <c r="EWJ7" s="735"/>
      <c r="EWK7" s="735"/>
      <c r="EWL7" s="735"/>
      <c r="EWM7" s="735"/>
      <c r="EWN7" s="735"/>
      <c r="EWO7" s="735"/>
      <c r="EWP7" s="735"/>
      <c r="EWQ7" s="735"/>
      <c r="EWR7" s="735"/>
      <c r="EWS7" s="735"/>
      <c r="EWT7" s="735"/>
      <c r="EWU7" s="735"/>
      <c r="EWV7" s="735"/>
      <c r="EWW7" s="735"/>
      <c r="EWX7" s="735"/>
      <c r="EWY7" s="735"/>
      <c r="EWZ7" s="735"/>
      <c r="EXA7" s="735"/>
      <c r="EXB7" s="735"/>
      <c r="EXC7" s="735"/>
      <c r="EXD7" s="735"/>
      <c r="EXE7" s="735"/>
      <c r="EXF7" s="735"/>
      <c r="EXG7" s="735"/>
      <c r="EXH7" s="735"/>
      <c r="EXI7" s="735"/>
      <c r="EXJ7" s="735"/>
      <c r="EXK7" s="735"/>
      <c r="EXL7" s="735"/>
      <c r="EXM7" s="735"/>
      <c r="EXN7" s="735"/>
      <c r="EXO7" s="735"/>
      <c r="EXP7" s="735"/>
      <c r="EXQ7" s="735"/>
      <c r="EXR7" s="735"/>
      <c r="EXS7" s="735"/>
      <c r="EXT7" s="735"/>
      <c r="EXU7" s="735"/>
      <c r="EXV7" s="735"/>
      <c r="EXW7" s="735"/>
      <c r="EXX7" s="735"/>
      <c r="EXY7" s="735"/>
      <c r="EXZ7" s="735"/>
      <c r="EYA7" s="735"/>
      <c r="EYB7" s="735"/>
      <c r="EYC7" s="735"/>
      <c r="EYD7" s="735"/>
      <c r="EYE7" s="735"/>
      <c r="EYF7" s="735"/>
      <c r="EYG7" s="735"/>
      <c r="EYH7" s="735"/>
      <c r="EYI7" s="735"/>
      <c r="EYJ7" s="735"/>
      <c r="EYK7" s="735"/>
      <c r="EYL7" s="735"/>
      <c r="EYM7" s="735"/>
      <c r="EYN7" s="735"/>
      <c r="EYO7" s="735"/>
      <c r="EYP7" s="735"/>
      <c r="EYQ7" s="735"/>
      <c r="EYR7" s="735"/>
      <c r="EYS7" s="735"/>
      <c r="EYT7" s="735"/>
      <c r="EYU7" s="735"/>
      <c r="EYV7" s="735"/>
      <c r="EYW7" s="735"/>
      <c r="EYX7" s="735"/>
      <c r="EYY7" s="735"/>
      <c r="EYZ7" s="735"/>
      <c r="EZA7" s="735"/>
      <c r="EZB7" s="735"/>
      <c r="EZC7" s="735"/>
      <c r="EZD7" s="735"/>
      <c r="EZE7" s="735"/>
      <c r="EZF7" s="735"/>
      <c r="EZG7" s="735"/>
      <c r="EZH7" s="735"/>
      <c r="EZI7" s="735"/>
      <c r="EZJ7" s="735"/>
      <c r="EZK7" s="735"/>
      <c r="EZL7" s="735"/>
      <c r="EZM7" s="735"/>
      <c r="EZN7" s="735"/>
      <c r="EZO7" s="735"/>
      <c r="EZP7" s="735"/>
      <c r="EZQ7" s="735"/>
      <c r="EZR7" s="735"/>
      <c r="EZS7" s="735"/>
      <c r="EZT7" s="735"/>
      <c r="EZU7" s="735"/>
      <c r="EZV7" s="735"/>
      <c r="EZW7" s="735"/>
      <c r="EZX7" s="735"/>
      <c r="EZY7" s="735"/>
      <c r="EZZ7" s="735"/>
      <c r="FAA7" s="735"/>
      <c r="FAB7" s="735"/>
      <c r="FAC7" s="735"/>
      <c r="FAD7" s="735"/>
      <c r="FAE7" s="735"/>
      <c r="FAF7" s="735"/>
      <c r="FAG7" s="735"/>
      <c r="FAH7" s="735"/>
      <c r="FAI7" s="735"/>
      <c r="FAJ7" s="735"/>
      <c r="FAK7" s="735"/>
      <c r="FAL7" s="735"/>
      <c r="FAM7" s="735"/>
      <c r="FAN7" s="735"/>
      <c r="FAO7" s="735"/>
      <c r="FAP7" s="735"/>
      <c r="FAQ7" s="735"/>
      <c r="FAR7" s="735"/>
      <c r="FAS7" s="735"/>
      <c r="FAT7" s="735"/>
      <c r="FAU7" s="735"/>
      <c r="FAV7" s="735"/>
      <c r="FAW7" s="735"/>
      <c r="FAX7" s="735"/>
      <c r="FAY7" s="735"/>
      <c r="FAZ7" s="735"/>
      <c r="FBA7" s="735"/>
      <c r="FBB7" s="735"/>
      <c r="FBC7" s="735"/>
      <c r="FBD7" s="735"/>
      <c r="FBE7" s="735"/>
      <c r="FBF7" s="735"/>
      <c r="FBG7" s="735"/>
      <c r="FBH7" s="735"/>
      <c r="FBI7" s="735"/>
      <c r="FBJ7" s="735"/>
      <c r="FBK7" s="735"/>
      <c r="FBL7" s="735"/>
      <c r="FBM7" s="735"/>
      <c r="FBN7" s="735"/>
      <c r="FBO7" s="735"/>
      <c r="FBP7" s="735"/>
      <c r="FBQ7" s="735"/>
      <c r="FBR7" s="735"/>
      <c r="FBS7" s="735"/>
      <c r="FBT7" s="735"/>
      <c r="FBU7" s="735"/>
      <c r="FBV7" s="735"/>
      <c r="FBW7" s="735"/>
      <c r="FBX7" s="735"/>
      <c r="FBY7" s="735"/>
      <c r="FBZ7" s="735"/>
      <c r="FCA7" s="735"/>
      <c r="FCB7" s="735"/>
      <c r="FCC7" s="735"/>
      <c r="FCD7" s="735"/>
      <c r="FCE7" s="735"/>
      <c r="FCF7" s="735"/>
      <c r="FCG7" s="735"/>
      <c r="FCH7" s="735"/>
      <c r="FCI7" s="735"/>
      <c r="FCJ7" s="735"/>
      <c r="FCK7" s="735"/>
      <c r="FCL7" s="735"/>
      <c r="FCM7" s="735"/>
      <c r="FCN7" s="735"/>
      <c r="FCO7" s="735"/>
      <c r="FCP7" s="735"/>
      <c r="FCQ7" s="735"/>
      <c r="FCR7" s="735"/>
      <c r="FCS7" s="735"/>
      <c r="FCT7" s="735"/>
      <c r="FCU7" s="735"/>
      <c r="FCV7" s="735"/>
      <c r="FCW7" s="735"/>
      <c r="FCX7" s="735"/>
      <c r="FCY7" s="735"/>
      <c r="FCZ7" s="735"/>
      <c r="FDA7" s="735"/>
      <c r="FDB7" s="735"/>
      <c r="FDC7" s="735"/>
      <c r="FDD7" s="735"/>
      <c r="FDE7" s="735"/>
      <c r="FDF7" s="735"/>
      <c r="FDG7" s="735"/>
      <c r="FDH7" s="735"/>
      <c r="FDI7" s="735"/>
      <c r="FDJ7" s="735"/>
      <c r="FDK7" s="735"/>
      <c r="FDL7" s="735"/>
      <c r="FDM7" s="735"/>
      <c r="FDN7" s="735"/>
      <c r="FDO7" s="735"/>
      <c r="FDP7" s="735"/>
      <c r="FDQ7" s="735"/>
      <c r="FDR7" s="735"/>
      <c r="FDS7" s="735"/>
      <c r="FDT7" s="735"/>
      <c r="FDU7" s="735"/>
      <c r="FDV7" s="735"/>
      <c r="FDW7" s="735"/>
      <c r="FDX7" s="735"/>
      <c r="FDY7" s="735"/>
      <c r="FDZ7" s="735"/>
      <c r="FEA7" s="735"/>
      <c r="FEB7" s="735"/>
      <c r="FEC7" s="735"/>
      <c r="FED7" s="735"/>
      <c r="FEE7" s="735"/>
      <c r="FEF7" s="735"/>
      <c r="FEG7" s="735"/>
      <c r="FEH7" s="735"/>
      <c r="FEI7" s="735"/>
      <c r="FEJ7" s="735"/>
      <c r="FEK7" s="735"/>
      <c r="FEL7" s="735"/>
      <c r="FEM7" s="735"/>
      <c r="FEN7" s="735"/>
      <c r="FEO7" s="735"/>
      <c r="FEP7" s="735"/>
      <c r="FEQ7" s="735"/>
      <c r="FER7" s="735"/>
      <c r="FES7" s="735"/>
      <c r="FET7" s="735"/>
      <c r="FEU7" s="735"/>
      <c r="FEV7" s="735"/>
      <c r="FEW7" s="735"/>
      <c r="FEX7" s="735"/>
      <c r="FEY7" s="735"/>
      <c r="FEZ7" s="735"/>
      <c r="FFA7" s="735"/>
      <c r="FFB7" s="735"/>
      <c r="FFC7" s="735"/>
      <c r="FFD7" s="735"/>
      <c r="FFE7" s="735"/>
      <c r="FFF7" s="735"/>
      <c r="FFG7" s="735"/>
      <c r="FFH7" s="735"/>
      <c r="FFI7" s="735"/>
      <c r="FFJ7" s="735"/>
      <c r="FFK7" s="735"/>
      <c r="FFL7" s="735"/>
      <c r="FFM7" s="735"/>
      <c r="FFN7" s="735"/>
      <c r="FFO7" s="735"/>
      <c r="FFP7" s="735"/>
      <c r="FFQ7" s="735"/>
      <c r="FFR7" s="735"/>
      <c r="FFS7" s="735"/>
      <c r="FFT7" s="735"/>
      <c r="FFU7" s="735"/>
      <c r="FFV7" s="735"/>
      <c r="FFW7" s="735"/>
      <c r="FFX7" s="735"/>
      <c r="FFY7" s="735"/>
      <c r="FFZ7" s="735"/>
      <c r="FGA7" s="735"/>
      <c r="FGB7" s="735"/>
      <c r="FGC7" s="735"/>
      <c r="FGD7" s="735"/>
      <c r="FGE7" s="735"/>
      <c r="FGF7" s="735"/>
      <c r="FGG7" s="735"/>
      <c r="FGH7" s="735"/>
      <c r="FGI7" s="735"/>
      <c r="FGJ7" s="735"/>
      <c r="FGK7" s="735"/>
      <c r="FGL7" s="735"/>
      <c r="FGM7" s="735"/>
      <c r="FGN7" s="735"/>
      <c r="FGO7" s="735"/>
      <c r="FGP7" s="735"/>
      <c r="FGQ7" s="735"/>
      <c r="FGR7" s="735"/>
      <c r="FGS7" s="735"/>
      <c r="FGT7" s="735"/>
      <c r="FGU7" s="735"/>
      <c r="FGV7" s="735"/>
      <c r="FGW7" s="735"/>
      <c r="FGX7" s="735"/>
      <c r="FGY7" s="735"/>
      <c r="FGZ7" s="735"/>
      <c r="FHA7" s="735"/>
      <c r="FHB7" s="735"/>
      <c r="FHC7" s="735"/>
      <c r="FHD7" s="735"/>
      <c r="FHE7" s="735"/>
      <c r="FHF7" s="735"/>
      <c r="FHG7" s="735"/>
      <c r="FHH7" s="735"/>
      <c r="FHI7" s="735"/>
      <c r="FHJ7" s="735"/>
      <c r="FHK7" s="735"/>
      <c r="FHL7" s="735"/>
      <c r="FHM7" s="735"/>
      <c r="FHN7" s="735"/>
      <c r="FHO7" s="735"/>
      <c r="FHP7" s="735"/>
      <c r="FHQ7" s="735"/>
      <c r="FHR7" s="735"/>
      <c r="FHS7" s="735"/>
      <c r="FHT7" s="735"/>
      <c r="FHU7" s="735"/>
      <c r="FHV7" s="735"/>
      <c r="FHW7" s="735"/>
      <c r="FHX7" s="735"/>
      <c r="FHY7" s="735"/>
      <c r="FHZ7" s="735"/>
      <c r="FIA7" s="735"/>
      <c r="FIB7" s="735"/>
      <c r="FIC7" s="735"/>
      <c r="FID7" s="735"/>
      <c r="FIE7" s="735"/>
      <c r="FIF7" s="735"/>
      <c r="FIG7" s="735"/>
      <c r="FIH7" s="735"/>
      <c r="FII7" s="735"/>
      <c r="FIJ7" s="735"/>
      <c r="FIK7" s="735"/>
      <c r="FIL7" s="735"/>
      <c r="FIM7" s="735"/>
      <c r="FIN7" s="735"/>
      <c r="FIO7" s="735"/>
      <c r="FIP7" s="735"/>
      <c r="FIQ7" s="735"/>
      <c r="FIR7" s="735"/>
      <c r="FIS7" s="735"/>
      <c r="FIT7" s="735"/>
      <c r="FIU7" s="735"/>
      <c r="FIV7" s="735"/>
      <c r="FIW7" s="735"/>
      <c r="FIX7" s="735"/>
      <c r="FIY7" s="735"/>
      <c r="FIZ7" s="735"/>
      <c r="FJA7" s="735"/>
      <c r="FJB7" s="735"/>
      <c r="FJC7" s="735"/>
      <c r="FJD7" s="735"/>
      <c r="FJE7" s="735"/>
      <c r="FJF7" s="735"/>
      <c r="FJG7" s="735"/>
      <c r="FJH7" s="735"/>
      <c r="FJI7" s="735"/>
      <c r="FJJ7" s="735"/>
      <c r="FJK7" s="735"/>
      <c r="FJL7" s="735"/>
      <c r="FJM7" s="735"/>
      <c r="FJN7" s="735"/>
      <c r="FJO7" s="735"/>
      <c r="FJP7" s="735"/>
      <c r="FJQ7" s="735"/>
      <c r="FJR7" s="735"/>
      <c r="FJS7" s="735"/>
      <c r="FJT7" s="735"/>
      <c r="FJU7" s="735"/>
      <c r="FJV7" s="735"/>
      <c r="FJW7" s="735"/>
      <c r="FJX7" s="735"/>
      <c r="FJY7" s="735"/>
      <c r="FJZ7" s="735"/>
      <c r="FKA7" s="735"/>
      <c r="FKB7" s="735"/>
      <c r="FKC7" s="735"/>
      <c r="FKD7" s="735"/>
      <c r="FKE7" s="735"/>
      <c r="FKF7" s="735"/>
      <c r="FKG7" s="735"/>
      <c r="FKH7" s="735"/>
      <c r="FKI7" s="735"/>
      <c r="FKJ7" s="735"/>
      <c r="FKK7" s="735"/>
      <c r="FKL7" s="735"/>
      <c r="FKM7" s="735"/>
      <c r="FKN7" s="735"/>
      <c r="FKO7" s="735"/>
      <c r="FKP7" s="735"/>
      <c r="FKQ7" s="735"/>
      <c r="FKR7" s="735"/>
      <c r="FKS7" s="735"/>
      <c r="FKT7" s="735"/>
      <c r="FKU7" s="735"/>
      <c r="FKV7" s="735"/>
      <c r="FKW7" s="735"/>
      <c r="FKX7" s="735"/>
      <c r="FKY7" s="735"/>
      <c r="FKZ7" s="735"/>
      <c r="FLA7" s="735"/>
      <c r="FLB7" s="735"/>
      <c r="FLC7" s="735"/>
      <c r="FLD7" s="735"/>
      <c r="FLE7" s="735"/>
      <c r="FLF7" s="735"/>
      <c r="FLG7" s="735"/>
      <c r="FLH7" s="735"/>
      <c r="FLI7" s="735"/>
      <c r="FLJ7" s="735"/>
      <c r="FLK7" s="735"/>
      <c r="FLL7" s="735"/>
      <c r="FLM7" s="735"/>
      <c r="FLN7" s="735"/>
      <c r="FLO7" s="735"/>
      <c r="FLP7" s="735"/>
      <c r="FLQ7" s="735"/>
      <c r="FLR7" s="735"/>
      <c r="FLS7" s="735"/>
      <c r="FLT7" s="735"/>
      <c r="FLU7" s="735"/>
      <c r="FLV7" s="735"/>
      <c r="FLW7" s="735"/>
      <c r="FLX7" s="735"/>
      <c r="FLY7" s="735"/>
      <c r="FLZ7" s="735"/>
      <c r="FMA7" s="735"/>
      <c r="FMB7" s="735"/>
      <c r="FMC7" s="735"/>
      <c r="FMD7" s="735"/>
      <c r="FME7" s="735"/>
      <c r="FMF7" s="735"/>
      <c r="FMG7" s="735"/>
      <c r="FMH7" s="735"/>
      <c r="FMI7" s="735"/>
      <c r="FMJ7" s="735"/>
      <c r="FMK7" s="735"/>
      <c r="FML7" s="735"/>
      <c r="FMM7" s="735"/>
      <c r="FMN7" s="735"/>
      <c r="FMO7" s="735"/>
      <c r="FMP7" s="735"/>
      <c r="FMQ7" s="735"/>
      <c r="FMR7" s="735"/>
      <c r="FMS7" s="735"/>
      <c r="FMT7" s="735"/>
      <c r="FMU7" s="735"/>
      <c r="FMV7" s="735"/>
      <c r="FMW7" s="735"/>
      <c r="FMX7" s="735"/>
      <c r="FMY7" s="735"/>
      <c r="FMZ7" s="735"/>
      <c r="FNA7" s="735"/>
      <c r="FNB7" s="735"/>
      <c r="FNC7" s="735"/>
      <c r="FND7" s="735"/>
      <c r="FNE7" s="735"/>
      <c r="FNF7" s="735"/>
      <c r="FNG7" s="735"/>
      <c r="FNH7" s="735"/>
      <c r="FNI7" s="735"/>
      <c r="FNJ7" s="735"/>
      <c r="FNK7" s="735"/>
      <c r="FNL7" s="735"/>
      <c r="FNM7" s="735"/>
      <c r="FNN7" s="735"/>
      <c r="FNO7" s="735"/>
      <c r="FNP7" s="735"/>
      <c r="FNQ7" s="735"/>
      <c r="FNR7" s="735"/>
      <c r="FNS7" s="735"/>
      <c r="FNT7" s="735"/>
      <c r="FNU7" s="735"/>
      <c r="FNV7" s="735"/>
      <c r="FNW7" s="735"/>
      <c r="FNX7" s="735"/>
      <c r="FNY7" s="735"/>
      <c r="FNZ7" s="735"/>
      <c r="FOA7" s="735"/>
      <c r="FOB7" s="735"/>
      <c r="FOC7" s="735"/>
      <c r="FOD7" s="735"/>
      <c r="FOE7" s="735"/>
      <c r="FOF7" s="735"/>
      <c r="FOG7" s="735"/>
      <c r="FOH7" s="735"/>
      <c r="FOI7" s="735"/>
      <c r="FOJ7" s="735"/>
      <c r="FOK7" s="735"/>
      <c r="FOL7" s="735"/>
      <c r="FOM7" s="735"/>
      <c r="FON7" s="735"/>
      <c r="FOO7" s="735"/>
      <c r="FOP7" s="735"/>
      <c r="FOQ7" s="735"/>
      <c r="FOR7" s="735"/>
      <c r="FOS7" s="735"/>
      <c r="FOT7" s="735"/>
      <c r="FOU7" s="735"/>
      <c r="FOV7" s="735"/>
      <c r="FOW7" s="735"/>
      <c r="FOX7" s="735"/>
      <c r="FOY7" s="735"/>
      <c r="FOZ7" s="735"/>
      <c r="FPA7" s="735"/>
      <c r="FPB7" s="735"/>
      <c r="FPC7" s="735"/>
      <c r="FPD7" s="735"/>
      <c r="FPE7" s="735"/>
      <c r="FPF7" s="735"/>
      <c r="FPG7" s="735"/>
      <c r="FPH7" s="735"/>
      <c r="FPI7" s="735"/>
      <c r="FPJ7" s="735"/>
      <c r="FPK7" s="735"/>
      <c r="FPL7" s="735"/>
      <c r="FPM7" s="735"/>
      <c r="FPN7" s="735"/>
      <c r="FPO7" s="735"/>
      <c r="FPP7" s="735"/>
      <c r="FPQ7" s="735"/>
      <c r="FPR7" s="735"/>
      <c r="FPS7" s="735"/>
      <c r="FPT7" s="735"/>
      <c r="FPU7" s="735"/>
      <c r="FPV7" s="735"/>
      <c r="FPW7" s="735"/>
      <c r="FPX7" s="735"/>
      <c r="FPY7" s="735"/>
      <c r="FPZ7" s="735"/>
      <c r="FQA7" s="735"/>
      <c r="FQB7" s="735"/>
      <c r="FQC7" s="735"/>
      <c r="FQD7" s="735"/>
      <c r="FQE7" s="735"/>
      <c r="FQF7" s="735"/>
      <c r="FQG7" s="735"/>
      <c r="FQH7" s="735"/>
      <c r="FQI7" s="735"/>
      <c r="FQJ7" s="735"/>
      <c r="FQK7" s="735"/>
      <c r="FQL7" s="735"/>
      <c r="FQM7" s="735"/>
      <c r="FQN7" s="735"/>
      <c r="FQO7" s="735"/>
      <c r="FQP7" s="735"/>
      <c r="FQQ7" s="735"/>
      <c r="FQR7" s="735"/>
      <c r="FQS7" s="735"/>
      <c r="FQT7" s="735"/>
      <c r="FQU7" s="735"/>
      <c r="FQV7" s="735"/>
      <c r="FQW7" s="735"/>
      <c r="FQX7" s="735"/>
      <c r="FQY7" s="735"/>
      <c r="FQZ7" s="735"/>
      <c r="FRA7" s="735"/>
      <c r="FRB7" s="735"/>
      <c r="FRC7" s="735"/>
      <c r="FRD7" s="735"/>
      <c r="FRE7" s="735"/>
      <c r="FRF7" s="735"/>
      <c r="FRG7" s="735"/>
      <c r="FRH7" s="735"/>
      <c r="FRI7" s="735"/>
      <c r="FRJ7" s="735"/>
      <c r="FRK7" s="735"/>
      <c r="FRL7" s="735"/>
      <c r="FRM7" s="735"/>
      <c r="FRN7" s="735"/>
      <c r="FRO7" s="735"/>
      <c r="FRP7" s="735"/>
      <c r="FRQ7" s="735"/>
      <c r="FRR7" s="735"/>
      <c r="FRS7" s="735"/>
      <c r="FRT7" s="735"/>
      <c r="FRU7" s="735"/>
      <c r="FRV7" s="735"/>
      <c r="FRW7" s="735"/>
      <c r="FRX7" s="735"/>
      <c r="FRY7" s="735"/>
      <c r="FRZ7" s="735"/>
      <c r="FSA7" s="735"/>
      <c r="FSB7" s="735"/>
      <c r="FSC7" s="735"/>
      <c r="FSD7" s="735"/>
      <c r="FSE7" s="735"/>
      <c r="FSF7" s="735"/>
      <c r="FSG7" s="735"/>
      <c r="FSH7" s="735"/>
      <c r="FSI7" s="735"/>
      <c r="FSJ7" s="735"/>
      <c r="FSK7" s="735"/>
      <c r="FSL7" s="735"/>
      <c r="FSM7" s="735"/>
      <c r="FSN7" s="735"/>
      <c r="FSO7" s="735"/>
      <c r="FSP7" s="735"/>
      <c r="FSQ7" s="735"/>
      <c r="FSR7" s="735"/>
      <c r="FSS7" s="735"/>
      <c r="FST7" s="735"/>
      <c r="FSU7" s="735"/>
      <c r="FSV7" s="735"/>
      <c r="FSW7" s="735"/>
      <c r="FSX7" s="735"/>
      <c r="FSY7" s="735"/>
      <c r="FSZ7" s="735"/>
      <c r="FTA7" s="735"/>
      <c r="FTB7" s="735"/>
      <c r="FTC7" s="735"/>
      <c r="FTD7" s="735"/>
      <c r="FTE7" s="735"/>
      <c r="FTF7" s="735"/>
      <c r="FTG7" s="735"/>
      <c r="FTH7" s="735"/>
      <c r="FTI7" s="735"/>
      <c r="FTJ7" s="735"/>
      <c r="FTK7" s="735"/>
      <c r="FTL7" s="735"/>
      <c r="FTM7" s="735"/>
      <c r="FTN7" s="735"/>
      <c r="FTO7" s="735"/>
      <c r="FTP7" s="735"/>
      <c r="FTQ7" s="735"/>
      <c r="FTR7" s="735"/>
      <c r="FTS7" s="735"/>
      <c r="FTT7" s="735"/>
      <c r="FTU7" s="735"/>
      <c r="FTV7" s="735"/>
      <c r="FTW7" s="735"/>
      <c r="FTX7" s="735"/>
      <c r="FTY7" s="735"/>
      <c r="FTZ7" s="735"/>
      <c r="FUA7" s="735"/>
      <c r="FUB7" s="735"/>
      <c r="FUC7" s="735"/>
      <c r="FUD7" s="735"/>
      <c r="FUE7" s="735"/>
      <c r="FUF7" s="735"/>
      <c r="FUG7" s="735"/>
      <c r="FUH7" s="735"/>
      <c r="FUI7" s="735"/>
      <c r="FUJ7" s="735"/>
      <c r="FUK7" s="735"/>
      <c r="FUL7" s="735"/>
      <c r="FUM7" s="735"/>
      <c r="FUN7" s="735"/>
      <c r="FUO7" s="735"/>
      <c r="FUP7" s="735"/>
      <c r="FUQ7" s="735"/>
      <c r="FUR7" s="735"/>
      <c r="FUS7" s="735"/>
      <c r="FUT7" s="735"/>
      <c r="FUU7" s="735"/>
      <c r="FUV7" s="735"/>
      <c r="FUW7" s="735"/>
      <c r="FUX7" s="735"/>
      <c r="FUY7" s="735"/>
      <c r="FUZ7" s="735"/>
      <c r="FVA7" s="735"/>
      <c r="FVB7" s="735"/>
      <c r="FVC7" s="735"/>
      <c r="FVD7" s="735"/>
      <c r="FVE7" s="735"/>
      <c r="FVF7" s="735"/>
      <c r="FVG7" s="735"/>
      <c r="FVH7" s="735"/>
      <c r="FVI7" s="735"/>
      <c r="FVJ7" s="735"/>
      <c r="FVK7" s="735"/>
      <c r="FVL7" s="735"/>
      <c r="FVM7" s="735"/>
      <c r="FVN7" s="735"/>
      <c r="FVO7" s="735"/>
      <c r="FVP7" s="735"/>
      <c r="FVQ7" s="735"/>
      <c r="FVR7" s="735"/>
      <c r="FVS7" s="735"/>
      <c r="FVT7" s="735"/>
      <c r="FVU7" s="735"/>
      <c r="FVV7" s="735"/>
      <c r="FVW7" s="735"/>
      <c r="FVX7" s="735"/>
      <c r="FVY7" s="735"/>
      <c r="FVZ7" s="735"/>
      <c r="FWA7" s="735"/>
      <c r="FWB7" s="735"/>
      <c r="FWC7" s="735"/>
      <c r="FWD7" s="735"/>
      <c r="FWE7" s="735"/>
      <c r="FWF7" s="735"/>
      <c r="FWG7" s="735"/>
      <c r="FWH7" s="735"/>
      <c r="FWI7" s="735"/>
      <c r="FWJ7" s="735"/>
      <c r="FWK7" s="735"/>
      <c r="FWL7" s="735"/>
      <c r="FWM7" s="735"/>
      <c r="FWN7" s="735"/>
      <c r="FWO7" s="735"/>
      <c r="FWP7" s="735"/>
      <c r="FWQ7" s="735"/>
      <c r="FWR7" s="735"/>
      <c r="FWS7" s="735"/>
      <c r="FWT7" s="735"/>
      <c r="FWU7" s="735"/>
      <c r="FWV7" s="735"/>
      <c r="FWW7" s="735"/>
      <c r="FWX7" s="735"/>
      <c r="FWY7" s="735"/>
      <c r="FWZ7" s="735"/>
      <c r="FXA7" s="735"/>
      <c r="FXB7" s="735"/>
      <c r="FXC7" s="735"/>
      <c r="FXD7" s="735"/>
      <c r="FXE7" s="735"/>
      <c r="FXF7" s="735"/>
      <c r="FXG7" s="735"/>
      <c r="FXH7" s="735"/>
      <c r="FXI7" s="735"/>
      <c r="FXJ7" s="735"/>
      <c r="FXK7" s="735"/>
      <c r="FXL7" s="735"/>
      <c r="FXM7" s="735"/>
      <c r="FXN7" s="735"/>
      <c r="FXO7" s="735"/>
      <c r="FXP7" s="735"/>
      <c r="FXQ7" s="735"/>
      <c r="FXR7" s="735"/>
      <c r="FXS7" s="735"/>
      <c r="FXT7" s="735"/>
      <c r="FXU7" s="735"/>
      <c r="FXV7" s="735"/>
      <c r="FXW7" s="735"/>
      <c r="FXX7" s="735"/>
      <c r="FXY7" s="735"/>
      <c r="FXZ7" s="735"/>
      <c r="FYA7" s="735"/>
      <c r="FYB7" s="735"/>
      <c r="FYC7" s="735"/>
      <c r="FYD7" s="735"/>
      <c r="FYE7" s="735"/>
      <c r="FYF7" s="735"/>
      <c r="FYG7" s="735"/>
      <c r="FYH7" s="735"/>
      <c r="FYI7" s="735"/>
      <c r="FYJ7" s="735"/>
      <c r="FYK7" s="735"/>
      <c r="FYL7" s="735"/>
      <c r="FYM7" s="735"/>
      <c r="FYN7" s="735"/>
      <c r="FYO7" s="735"/>
      <c r="FYP7" s="735"/>
      <c r="FYQ7" s="735"/>
      <c r="FYR7" s="735"/>
      <c r="FYS7" s="735"/>
      <c r="FYT7" s="735"/>
      <c r="FYU7" s="735"/>
      <c r="FYV7" s="735"/>
      <c r="FYW7" s="735"/>
      <c r="FYX7" s="735"/>
      <c r="FYY7" s="735"/>
      <c r="FYZ7" s="735"/>
      <c r="FZA7" s="735"/>
      <c r="FZB7" s="735"/>
      <c r="FZC7" s="735"/>
      <c r="FZD7" s="735"/>
      <c r="FZE7" s="735"/>
      <c r="FZF7" s="735"/>
      <c r="FZG7" s="735"/>
      <c r="FZH7" s="735"/>
      <c r="FZI7" s="735"/>
      <c r="FZJ7" s="735"/>
      <c r="FZK7" s="735"/>
      <c r="FZL7" s="735"/>
      <c r="FZM7" s="735"/>
      <c r="FZN7" s="735"/>
      <c r="FZO7" s="735"/>
      <c r="FZP7" s="735"/>
      <c r="FZQ7" s="735"/>
      <c r="FZR7" s="735"/>
      <c r="FZS7" s="735"/>
      <c r="FZT7" s="735"/>
      <c r="FZU7" s="735"/>
      <c r="FZV7" s="735"/>
      <c r="FZW7" s="735"/>
      <c r="FZX7" s="735"/>
      <c r="FZY7" s="735"/>
      <c r="FZZ7" s="735"/>
      <c r="GAA7" s="735"/>
      <c r="GAB7" s="735"/>
      <c r="GAC7" s="735"/>
      <c r="GAD7" s="735"/>
      <c r="GAE7" s="735"/>
      <c r="GAF7" s="735"/>
      <c r="GAG7" s="735"/>
      <c r="GAH7" s="735"/>
      <c r="GAI7" s="735"/>
      <c r="GAJ7" s="735"/>
      <c r="GAK7" s="735"/>
      <c r="GAL7" s="735"/>
      <c r="GAM7" s="735"/>
      <c r="GAN7" s="735"/>
      <c r="GAO7" s="735"/>
      <c r="GAP7" s="735"/>
      <c r="GAQ7" s="735"/>
      <c r="GAR7" s="735"/>
      <c r="GAS7" s="735"/>
      <c r="GAT7" s="735"/>
      <c r="GAU7" s="735"/>
      <c r="GAV7" s="735"/>
      <c r="GAW7" s="735"/>
      <c r="GAX7" s="735"/>
      <c r="GAY7" s="735"/>
      <c r="GAZ7" s="735"/>
      <c r="GBA7" s="735"/>
      <c r="GBB7" s="735"/>
      <c r="GBC7" s="735"/>
      <c r="GBD7" s="735"/>
      <c r="GBE7" s="735"/>
      <c r="GBF7" s="735"/>
      <c r="GBG7" s="735"/>
      <c r="GBH7" s="735"/>
      <c r="GBI7" s="735"/>
      <c r="GBJ7" s="735"/>
      <c r="GBK7" s="735"/>
      <c r="GBL7" s="735"/>
      <c r="GBM7" s="735"/>
      <c r="GBN7" s="735"/>
      <c r="GBO7" s="735"/>
      <c r="GBP7" s="735"/>
      <c r="GBQ7" s="735"/>
      <c r="GBR7" s="735"/>
      <c r="GBS7" s="735"/>
      <c r="GBT7" s="735"/>
      <c r="GBU7" s="735"/>
      <c r="GBV7" s="735"/>
      <c r="GBW7" s="735"/>
      <c r="GBX7" s="735"/>
      <c r="GBY7" s="735"/>
      <c r="GBZ7" s="735"/>
      <c r="GCA7" s="735"/>
      <c r="GCB7" s="735"/>
      <c r="GCC7" s="735"/>
      <c r="GCD7" s="735"/>
      <c r="GCE7" s="735"/>
      <c r="GCF7" s="735"/>
      <c r="GCG7" s="735"/>
      <c r="GCH7" s="735"/>
      <c r="GCI7" s="735"/>
      <c r="GCJ7" s="735"/>
      <c r="GCK7" s="735"/>
      <c r="GCL7" s="735"/>
      <c r="GCM7" s="735"/>
      <c r="GCN7" s="735"/>
      <c r="GCO7" s="735"/>
      <c r="GCP7" s="735"/>
      <c r="GCQ7" s="735"/>
      <c r="GCR7" s="735"/>
      <c r="GCS7" s="735"/>
      <c r="GCT7" s="735"/>
      <c r="GCU7" s="735"/>
      <c r="GCV7" s="735"/>
      <c r="GCW7" s="735"/>
      <c r="GCX7" s="735"/>
      <c r="GCY7" s="735"/>
      <c r="GCZ7" s="735"/>
      <c r="GDA7" s="735"/>
      <c r="GDB7" s="735"/>
      <c r="GDC7" s="735"/>
      <c r="GDD7" s="735"/>
      <c r="GDE7" s="735"/>
      <c r="GDF7" s="735"/>
      <c r="GDG7" s="735"/>
      <c r="GDH7" s="735"/>
      <c r="GDI7" s="735"/>
      <c r="GDJ7" s="735"/>
      <c r="GDK7" s="735"/>
      <c r="GDL7" s="735"/>
      <c r="GDM7" s="735"/>
      <c r="GDN7" s="735"/>
      <c r="GDO7" s="735"/>
      <c r="GDP7" s="735"/>
      <c r="GDQ7" s="735"/>
      <c r="GDR7" s="735"/>
      <c r="GDS7" s="735"/>
      <c r="GDT7" s="735"/>
      <c r="GDU7" s="735"/>
      <c r="GDV7" s="735"/>
      <c r="GDW7" s="735"/>
      <c r="GDX7" s="735"/>
      <c r="GDY7" s="735"/>
      <c r="GDZ7" s="735"/>
      <c r="GEA7" s="735"/>
      <c r="GEB7" s="735"/>
      <c r="GEC7" s="735"/>
      <c r="GED7" s="735"/>
      <c r="GEE7" s="735"/>
      <c r="GEF7" s="735"/>
      <c r="GEG7" s="735"/>
      <c r="GEH7" s="735"/>
      <c r="GEI7" s="735"/>
      <c r="GEJ7" s="735"/>
      <c r="GEK7" s="735"/>
      <c r="GEL7" s="735"/>
      <c r="GEM7" s="735"/>
      <c r="GEN7" s="735"/>
      <c r="GEO7" s="735"/>
      <c r="GEP7" s="735"/>
      <c r="GEQ7" s="735"/>
      <c r="GER7" s="735"/>
      <c r="GES7" s="735"/>
      <c r="GET7" s="735"/>
      <c r="GEU7" s="735"/>
      <c r="GEV7" s="735"/>
      <c r="GEW7" s="735"/>
      <c r="GEX7" s="735"/>
      <c r="GEY7" s="735"/>
      <c r="GEZ7" s="735"/>
      <c r="GFA7" s="735"/>
      <c r="GFB7" s="735"/>
      <c r="GFC7" s="735"/>
      <c r="GFD7" s="735"/>
      <c r="GFE7" s="735"/>
      <c r="GFF7" s="735"/>
      <c r="GFG7" s="735"/>
      <c r="GFH7" s="735"/>
      <c r="GFI7" s="735"/>
      <c r="GFJ7" s="735"/>
      <c r="GFK7" s="735"/>
      <c r="GFL7" s="735"/>
      <c r="GFM7" s="735"/>
      <c r="GFN7" s="735"/>
      <c r="GFO7" s="735"/>
      <c r="GFP7" s="735"/>
      <c r="GFQ7" s="735"/>
      <c r="GFR7" s="735"/>
      <c r="GFS7" s="735"/>
      <c r="GFT7" s="735"/>
      <c r="GFU7" s="735"/>
      <c r="GFV7" s="735"/>
      <c r="GFW7" s="735"/>
      <c r="GFX7" s="735"/>
      <c r="GFY7" s="735"/>
      <c r="GFZ7" s="735"/>
      <c r="GGA7" s="735"/>
      <c r="GGB7" s="735"/>
      <c r="GGC7" s="735"/>
      <c r="GGD7" s="735"/>
      <c r="GGE7" s="735"/>
      <c r="GGF7" s="735"/>
      <c r="GGG7" s="735"/>
      <c r="GGH7" s="735"/>
      <c r="GGI7" s="735"/>
      <c r="GGJ7" s="735"/>
      <c r="GGK7" s="735"/>
      <c r="GGL7" s="735"/>
      <c r="GGM7" s="735"/>
      <c r="GGN7" s="735"/>
      <c r="GGO7" s="735"/>
      <c r="GGP7" s="735"/>
      <c r="GGQ7" s="735"/>
      <c r="GGR7" s="735"/>
      <c r="GGS7" s="735"/>
      <c r="GGT7" s="735"/>
      <c r="GGU7" s="735"/>
      <c r="GGV7" s="735"/>
      <c r="GGW7" s="735"/>
      <c r="GGX7" s="735"/>
      <c r="GGY7" s="735"/>
      <c r="GGZ7" s="735"/>
      <c r="GHA7" s="735"/>
      <c r="GHB7" s="735"/>
      <c r="GHC7" s="735"/>
      <c r="GHD7" s="735"/>
      <c r="GHE7" s="735"/>
      <c r="GHF7" s="735"/>
      <c r="GHG7" s="735"/>
      <c r="GHH7" s="735"/>
      <c r="GHI7" s="735"/>
      <c r="GHJ7" s="735"/>
      <c r="GHK7" s="735"/>
      <c r="GHL7" s="735"/>
      <c r="GHM7" s="735"/>
      <c r="GHN7" s="735"/>
      <c r="GHO7" s="735"/>
      <c r="GHP7" s="735"/>
      <c r="GHQ7" s="735"/>
      <c r="GHR7" s="735"/>
      <c r="GHS7" s="735"/>
      <c r="GHT7" s="735"/>
      <c r="GHU7" s="735"/>
      <c r="GHV7" s="735"/>
      <c r="GHW7" s="735"/>
      <c r="GHX7" s="735"/>
      <c r="GHY7" s="735"/>
      <c r="GHZ7" s="735"/>
      <c r="GIA7" s="735"/>
      <c r="GIB7" s="735"/>
      <c r="GIC7" s="735"/>
      <c r="GID7" s="735"/>
      <c r="GIE7" s="735"/>
      <c r="GIF7" s="735"/>
      <c r="GIG7" s="735"/>
      <c r="GIH7" s="735"/>
      <c r="GII7" s="735"/>
      <c r="GIJ7" s="735"/>
      <c r="GIK7" s="735"/>
      <c r="GIL7" s="735"/>
      <c r="GIM7" s="735"/>
      <c r="GIN7" s="735"/>
      <c r="GIO7" s="735"/>
      <c r="GIP7" s="735"/>
      <c r="GIQ7" s="735"/>
      <c r="GIR7" s="735"/>
      <c r="GIS7" s="735"/>
      <c r="GIT7" s="735"/>
      <c r="GIU7" s="735"/>
      <c r="GIV7" s="735"/>
      <c r="GIW7" s="735"/>
      <c r="GIX7" s="735"/>
      <c r="GIY7" s="735"/>
      <c r="GIZ7" s="735"/>
      <c r="GJA7" s="735"/>
      <c r="GJB7" s="735"/>
      <c r="GJC7" s="735"/>
      <c r="GJD7" s="735"/>
      <c r="GJE7" s="735"/>
      <c r="GJF7" s="735"/>
      <c r="GJG7" s="735"/>
      <c r="GJH7" s="735"/>
      <c r="GJI7" s="735"/>
      <c r="GJJ7" s="735"/>
      <c r="GJK7" s="735"/>
      <c r="GJL7" s="735"/>
      <c r="GJM7" s="735"/>
      <c r="GJN7" s="735"/>
      <c r="GJO7" s="735"/>
      <c r="GJP7" s="735"/>
      <c r="GJQ7" s="735"/>
      <c r="GJR7" s="735"/>
      <c r="GJS7" s="735"/>
      <c r="GJT7" s="735"/>
      <c r="GJU7" s="735"/>
      <c r="GJV7" s="735"/>
      <c r="GJW7" s="735"/>
      <c r="GJX7" s="735"/>
      <c r="GJY7" s="735"/>
      <c r="GJZ7" s="735"/>
      <c r="GKA7" s="735"/>
      <c r="GKB7" s="735"/>
      <c r="GKC7" s="735"/>
      <c r="GKD7" s="735"/>
      <c r="GKE7" s="735"/>
      <c r="GKF7" s="735"/>
      <c r="GKG7" s="735"/>
      <c r="GKH7" s="735"/>
      <c r="GKI7" s="735"/>
      <c r="GKJ7" s="735"/>
      <c r="GKK7" s="735"/>
      <c r="GKL7" s="735"/>
      <c r="GKM7" s="735"/>
      <c r="GKN7" s="735"/>
      <c r="GKO7" s="735"/>
      <c r="GKP7" s="735"/>
      <c r="GKQ7" s="735"/>
      <c r="GKR7" s="735"/>
      <c r="GKS7" s="735"/>
      <c r="GKT7" s="735"/>
      <c r="GKU7" s="735"/>
      <c r="GKV7" s="735"/>
      <c r="GKW7" s="735"/>
      <c r="GKX7" s="735"/>
      <c r="GKY7" s="735"/>
      <c r="GKZ7" s="735"/>
      <c r="GLA7" s="735"/>
      <c r="GLB7" s="735"/>
      <c r="GLC7" s="735"/>
      <c r="GLD7" s="735"/>
      <c r="GLE7" s="735"/>
      <c r="GLF7" s="735"/>
      <c r="GLG7" s="735"/>
      <c r="GLH7" s="735"/>
      <c r="GLI7" s="735"/>
      <c r="GLJ7" s="735"/>
      <c r="GLK7" s="735"/>
      <c r="GLL7" s="735"/>
      <c r="GLM7" s="735"/>
      <c r="GLN7" s="735"/>
      <c r="GLO7" s="735"/>
      <c r="GLP7" s="735"/>
      <c r="GLQ7" s="735"/>
      <c r="GLR7" s="735"/>
      <c r="GLS7" s="735"/>
      <c r="GLT7" s="735"/>
      <c r="GLU7" s="735"/>
      <c r="GLV7" s="735"/>
      <c r="GLW7" s="735"/>
      <c r="GLX7" s="735"/>
      <c r="GLY7" s="735"/>
      <c r="GLZ7" s="735"/>
      <c r="GMA7" s="735"/>
      <c r="GMB7" s="735"/>
      <c r="GMC7" s="735"/>
      <c r="GMD7" s="735"/>
      <c r="GME7" s="735"/>
      <c r="GMF7" s="735"/>
      <c r="GMG7" s="735"/>
      <c r="GMH7" s="735"/>
      <c r="GMI7" s="735"/>
      <c r="GMJ7" s="735"/>
      <c r="GMK7" s="735"/>
      <c r="GML7" s="735"/>
      <c r="GMM7" s="735"/>
      <c r="GMN7" s="735"/>
      <c r="GMO7" s="735"/>
      <c r="GMP7" s="735"/>
      <c r="GMQ7" s="735"/>
      <c r="GMR7" s="735"/>
      <c r="GMS7" s="735"/>
      <c r="GMT7" s="735"/>
      <c r="GMU7" s="735"/>
      <c r="GMV7" s="735"/>
      <c r="GMW7" s="735"/>
      <c r="GMX7" s="735"/>
      <c r="GMY7" s="735"/>
      <c r="GMZ7" s="735"/>
      <c r="GNA7" s="735"/>
      <c r="GNB7" s="735"/>
      <c r="GNC7" s="735"/>
      <c r="GND7" s="735"/>
      <c r="GNE7" s="735"/>
      <c r="GNF7" s="735"/>
      <c r="GNG7" s="735"/>
      <c r="GNH7" s="735"/>
      <c r="GNI7" s="735"/>
      <c r="GNJ7" s="735"/>
      <c r="GNK7" s="735"/>
      <c r="GNL7" s="735"/>
      <c r="GNM7" s="735"/>
      <c r="GNN7" s="735"/>
      <c r="GNO7" s="735"/>
      <c r="GNP7" s="735"/>
      <c r="GNQ7" s="735"/>
      <c r="GNR7" s="735"/>
      <c r="GNS7" s="735"/>
      <c r="GNT7" s="735"/>
      <c r="GNU7" s="735"/>
      <c r="GNV7" s="735"/>
      <c r="GNW7" s="735"/>
      <c r="GNX7" s="735"/>
      <c r="GNY7" s="735"/>
      <c r="GNZ7" s="735"/>
      <c r="GOA7" s="735"/>
      <c r="GOB7" s="735"/>
      <c r="GOC7" s="735"/>
      <c r="GOD7" s="735"/>
      <c r="GOE7" s="735"/>
      <c r="GOF7" s="735"/>
      <c r="GOG7" s="735"/>
      <c r="GOH7" s="735"/>
      <c r="GOI7" s="735"/>
      <c r="GOJ7" s="735"/>
      <c r="GOK7" s="735"/>
      <c r="GOL7" s="735"/>
      <c r="GOM7" s="735"/>
      <c r="GON7" s="735"/>
      <c r="GOO7" s="735"/>
      <c r="GOP7" s="735"/>
      <c r="GOQ7" s="735"/>
      <c r="GOR7" s="735"/>
      <c r="GOS7" s="735"/>
      <c r="GOT7" s="735"/>
      <c r="GOU7" s="735"/>
      <c r="GOV7" s="735"/>
      <c r="GOW7" s="735"/>
      <c r="GOX7" s="735"/>
      <c r="GOY7" s="735"/>
      <c r="GOZ7" s="735"/>
      <c r="GPA7" s="735"/>
      <c r="GPB7" s="735"/>
      <c r="GPC7" s="735"/>
      <c r="GPD7" s="735"/>
      <c r="GPE7" s="735"/>
      <c r="GPF7" s="735"/>
      <c r="GPG7" s="735"/>
      <c r="GPH7" s="735"/>
      <c r="GPI7" s="735"/>
      <c r="GPJ7" s="735"/>
      <c r="GPK7" s="735"/>
      <c r="GPL7" s="735"/>
      <c r="GPM7" s="735"/>
      <c r="GPN7" s="735"/>
      <c r="GPO7" s="735"/>
      <c r="GPP7" s="735"/>
      <c r="GPQ7" s="735"/>
      <c r="GPR7" s="735"/>
      <c r="GPS7" s="735"/>
      <c r="GPT7" s="735"/>
      <c r="GPU7" s="735"/>
      <c r="GPV7" s="735"/>
      <c r="GPW7" s="735"/>
      <c r="GPX7" s="735"/>
      <c r="GPY7" s="735"/>
      <c r="GPZ7" s="735"/>
      <c r="GQA7" s="735"/>
      <c r="GQB7" s="735"/>
      <c r="GQC7" s="735"/>
      <c r="GQD7" s="735"/>
      <c r="GQE7" s="735"/>
      <c r="GQF7" s="735"/>
      <c r="GQG7" s="735"/>
      <c r="GQH7" s="735"/>
      <c r="GQI7" s="735"/>
      <c r="GQJ7" s="735"/>
      <c r="GQK7" s="735"/>
      <c r="GQL7" s="735"/>
      <c r="GQM7" s="735"/>
      <c r="GQN7" s="735"/>
      <c r="GQO7" s="735"/>
      <c r="GQP7" s="735"/>
      <c r="GQQ7" s="735"/>
      <c r="GQR7" s="735"/>
      <c r="GQS7" s="735"/>
      <c r="GQT7" s="735"/>
      <c r="GQU7" s="735"/>
      <c r="GQV7" s="735"/>
      <c r="GQW7" s="735"/>
      <c r="GQX7" s="735"/>
      <c r="GQY7" s="735"/>
      <c r="GQZ7" s="735"/>
      <c r="GRA7" s="735"/>
      <c r="GRB7" s="735"/>
      <c r="GRC7" s="735"/>
      <c r="GRD7" s="735"/>
      <c r="GRE7" s="735"/>
      <c r="GRF7" s="735"/>
      <c r="GRG7" s="735"/>
      <c r="GRH7" s="735"/>
      <c r="GRI7" s="735"/>
      <c r="GRJ7" s="735"/>
      <c r="GRK7" s="735"/>
      <c r="GRL7" s="735"/>
      <c r="GRM7" s="735"/>
      <c r="GRN7" s="735"/>
      <c r="GRO7" s="735"/>
      <c r="GRP7" s="735"/>
      <c r="GRQ7" s="735"/>
      <c r="GRR7" s="735"/>
      <c r="GRS7" s="735"/>
      <c r="GRT7" s="735"/>
      <c r="GRU7" s="735"/>
      <c r="GRV7" s="735"/>
      <c r="GRW7" s="735"/>
      <c r="GRX7" s="735"/>
      <c r="GRY7" s="735"/>
      <c r="GRZ7" s="735"/>
      <c r="GSA7" s="735"/>
      <c r="GSB7" s="735"/>
      <c r="GSC7" s="735"/>
      <c r="GSD7" s="735"/>
      <c r="GSE7" s="735"/>
      <c r="GSF7" s="735"/>
      <c r="GSG7" s="735"/>
      <c r="GSH7" s="735"/>
      <c r="GSI7" s="735"/>
      <c r="GSJ7" s="735"/>
      <c r="GSK7" s="735"/>
      <c r="GSL7" s="735"/>
      <c r="GSM7" s="735"/>
      <c r="GSN7" s="735"/>
      <c r="GSO7" s="735"/>
      <c r="GSP7" s="735"/>
      <c r="GSQ7" s="735"/>
      <c r="GSR7" s="735"/>
      <c r="GSS7" s="735"/>
      <c r="GST7" s="735"/>
      <c r="GSU7" s="735"/>
      <c r="GSV7" s="735"/>
      <c r="GSW7" s="735"/>
      <c r="GSX7" s="735"/>
      <c r="GSY7" s="735"/>
      <c r="GSZ7" s="735"/>
      <c r="GTA7" s="735"/>
      <c r="GTB7" s="735"/>
      <c r="GTC7" s="735"/>
      <c r="GTD7" s="735"/>
      <c r="GTE7" s="735"/>
      <c r="GTF7" s="735"/>
      <c r="GTG7" s="735"/>
      <c r="GTH7" s="735"/>
      <c r="GTI7" s="735"/>
      <c r="GTJ7" s="735"/>
      <c r="GTK7" s="735"/>
      <c r="GTL7" s="735"/>
      <c r="GTM7" s="735"/>
      <c r="GTN7" s="735"/>
      <c r="GTO7" s="735"/>
      <c r="GTP7" s="735"/>
      <c r="GTQ7" s="735"/>
      <c r="GTR7" s="735"/>
      <c r="GTS7" s="735"/>
      <c r="GTT7" s="735"/>
      <c r="GTU7" s="735"/>
      <c r="GTV7" s="735"/>
      <c r="GTW7" s="735"/>
      <c r="GTX7" s="735"/>
      <c r="GTY7" s="735"/>
      <c r="GTZ7" s="735"/>
      <c r="GUA7" s="735"/>
      <c r="GUB7" s="735"/>
      <c r="GUC7" s="735"/>
      <c r="GUD7" s="735"/>
      <c r="GUE7" s="735"/>
      <c r="GUF7" s="735"/>
      <c r="GUG7" s="735"/>
      <c r="GUH7" s="735"/>
      <c r="GUI7" s="735"/>
      <c r="GUJ7" s="735"/>
      <c r="GUK7" s="735"/>
      <c r="GUL7" s="735"/>
      <c r="GUM7" s="735"/>
      <c r="GUN7" s="735"/>
      <c r="GUO7" s="735"/>
      <c r="GUP7" s="735"/>
      <c r="GUQ7" s="735"/>
      <c r="GUR7" s="735"/>
      <c r="GUS7" s="735"/>
      <c r="GUT7" s="735"/>
      <c r="GUU7" s="735"/>
      <c r="GUV7" s="735"/>
      <c r="GUW7" s="735"/>
      <c r="GUX7" s="735"/>
      <c r="GUY7" s="735"/>
      <c r="GUZ7" s="735"/>
      <c r="GVA7" s="735"/>
      <c r="GVB7" s="735"/>
      <c r="GVC7" s="735"/>
      <c r="GVD7" s="735"/>
      <c r="GVE7" s="735"/>
      <c r="GVF7" s="735"/>
      <c r="GVG7" s="735"/>
      <c r="GVH7" s="735"/>
      <c r="GVI7" s="735"/>
      <c r="GVJ7" s="735"/>
      <c r="GVK7" s="735"/>
      <c r="GVL7" s="735"/>
      <c r="GVM7" s="735"/>
      <c r="GVN7" s="735"/>
      <c r="GVO7" s="735"/>
      <c r="GVP7" s="735"/>
      <c r="GVQ7" s="735"/>
      <c r="GVR7" s="735"/>
      <c r="GVS7" s="735"/>
      <c r="GVT7" s="735"/>
      <c r="GVU7" s="735"/>
      <c r="GVV7" s="735"/>
      <c r="GVW7" s="735"/>
      <c r="GVX7" s="735"/>
      <c r="GVY7" s="735"/>
      <c r="GVZ7" s="735"/>
      <c r="GWA7" s="735"/>
      <c r="GWB7" s="735"/>
      <c r="GWC7" s="735"/>
      <c r="GWD7" s="735"/>
      <c r="GWE7" s="735"/>
      <c r="GWF7" s="735"/>
      <c r="GWG7" s="735"/>
      <c r="GWH7" s="735"/>
      <c r="GWI7" s="735"/>
      <c r="GWJ7" s="735"/>
      <c r="GWK7" s="735"/>
      <c r="GWL7" s="735"/>
      <c r="GWM7" s="735"/>
      <c r="GWN7" s="735"/>
      <c r="GWO7" s="735"/>
      <c r="GWP7" s="735"/>
      <c r="GWQ7" s="735"/>
      <c r="GWR7" s="735"/>
      <c r="GWS7" s="735"/>
      <c r="GWT7" s="735"/>
      <c r="GWU7" s="735"/>
      <c r="GWV7" s="735"/>
      <c r="GWW7" s="735"/>
      <c r="GWX7" s="735"/>
      <c r="GWY7" s="735"/>
      <c r="GWZ7" s="735"/>
      <c r="GXA7" s="735"/>
      <c r="GXB7" s="735"/>
      <c r="GXC7" s="735"/>
      <c r="GXD7" s="735"/>
      <c r="GXE7" s="735"/>
      <c r="GXF7" s="735"/>
      <c r="GXG7" s="735"/>
      <c r="GXH7" s="735"/>
      <c r="GXI7" s="735"/>
      <c r="GXJ7" s="735"/>
      <c r="GXK7" s="735"/>
      <c r="GXL7" s="735"/>
      <c r="GXM7" s="735"/>
      <c r="GXN7" s="735"/>
      <c r="GXO7" s="735"/>
      <c r="GXP7" s="735"/>
      <c r="GXQ7" s="735"/>
      <c r="GXR7" s="735"/>
      <c r="GXS7" s="735"/>
      <c r="GXT7" s="735"/>
      <c r="GXU7" s="735"/>
      <c r="GXV7" s="735"/>
      <c r="GXW7" s="735"/>
      <c r="GXX7" s="735"/>
      <c r="GXY7" s="735"/>
      <c r="GXZ7" s="735"/>
      <c r="GYA7" s="735"/>
      <c r="GYB7" s="735"/>
      <c r="GYC7" s="735"/>
      <c r="GYD7" s="735"/>
      <c r="GYE7" s="735"/>
      <c r="GYF7" s="735"/>
      <c r="GYG7" s="735"/>
      <c r="GYH7" s="735"/>
      <c r="GYI7" s="735"/>
      <c r="GYJ7" s="735"/>
      <c r="GYK7" s="735"/>
      <c r="GYL7" s="735"/>
      <c r="GYM7" s="735"/>
      <c r="GYN7" s="735"/>
      <c r="GYO7" s="735"/>
      <c r="GYP7" s="735"/>
      <c r="GYQ7" s="735"/>
      <c r="GYR7" s="735"/>
      <c r="GYS7" s="735"/>
      <c r="GYT7" s="735"/>
      <c r="GYU7" s="735"/>
      <c r="GYV7" s="735"/>
      <c r="GYW7" s="735"/>
      <c r="GYX7" s="735"/>
      <c r="GYY7" s="735"/>
      <c r="GYZ7" s="735"/>
      <c r="GZA7" s="735"/>
      <c r="GZB7" s="735"/>
      <c r="GZC7" s="735"/>
      <c r="GZD7" s="735"/>
      <c r="GZE7" s="735"/>
      <c r="GZF7" s="735"/>
      <c r="GZG7" s="735"/>
      <c r="GZH7" s="735"/>
      <c r="GZI7" s="735"/>
      <c r="GZJ7" s="735"/>
      <c r="GZK7" s="735"/>
      <c r="GZL7" s="735"/>
      <c r="GZM7" s="735"/>
      <c r="GZN7" s="735"/>
      <c r="GZO7" s="735"/>
      <c r="GZP7" s="735"/>
      <c r="GZQ7" s="735"/>
      <c r="GZR7" s="735"/>
      <c r="GZS7" s="735"/>
      <c r="GZT7" s="735"/>
      <c r="GZU7" s="735"/>
      <c r="GZV7" s="735"/>
      <c r="GZW7" s="735"/>
      <c r="GZX7" s="735"/>
      <c r="GZY7" s="735"/>
      <c r="GZZ7" s="735"/>
      <c r="HAA7" s="735"/>
      <c r="HAB7" s="735"/>
      <c r="HAC7" s="735"/>
      <c r="HAD7" s="735"/>
      <c r="HAE7" s="735"/>
      <c r="HAF7" s="735"/>
      <c r="HAG7" s="735"/>
      <c r="HAH7" s="735"/>
      <c r="HAI7" s="735"/>
      <c r="HAJ7" s="735"/>
      <c r="HAK7" s="735"/>
      <c r="HAL7" s="735"/>
      <c r="HAM7" s="735"/>
      <c r="HAN7" s="735"/>
      <c r="HAO7" s="735"/>
      <c r="HAP7" s="735"/>
      <c r="HAQ7" s="735"/>
      <c r="HAR7" s="735"/>
      <c r="HAS7" s="735"/>
      <c r="HAT7" s="735"/>
      <c r="HAU7" s="735"/>
      <c r="HAV7" s="735"/>
      <c r="HAW7" s="735"/>
      <c r="HAX7" s="735"/>
      <c r="HAY7" s="735"/>
      <c r="HAZ7" s="735"/>
      <c r="HBA7" s="735"/>
      <c r="HBB7" s="735"/>
      <c r="HBC7" s="735"/>
      <c r="HBD7" s="735"/>
      <c r="HBE7" s="735"/>
      <c r="HBF7" s="735"/>
      <c r="HBG7" s="735"/>
      <c r="HBH7" s="735"/>
      <c r="HBI7" s="735"/>
      <c r="HBJ7" s="735"/>
      <c r="HBK7" s="735"/>
      <c r="HBL7" s="735"/>
      <c r="HBM7" s="735"/>
      <c r="HBN7" s="735"/>
      <c r="HBO7" s="735"/>
      <c r="HBP7" s="735"/>
      <c r="HBQ7" s="735"/>
      <c r="HBR7" s="735"/>
      <c r="HBS7" s="735"/>
      <c r="HBT7" s="735"/>
      <c r="HBU7" s="735"/>
      <c r="HBV7" s="735"/>
      <c r="HBW7" s="735"/>
      <c r="HBX7" s="735"/>
      <c r="HBY7" s="735"/>
      <c r="HBZ7" s="735"/>
      <c r="HCA7" s="735"/>
      <c r="HCB7" s="735"/>
      <c r="HCC7" s="735"/>
      <c r="HCD7" s="735"/>
      <c r="HCE7" s="735"/>
      <c r="HCF7" s="735"/>
      <c r="HCG7" s="735"/>
      <c r="HCH7" s="735"/>
      <c r="HCI7" s="735"/>
      <c r="HCJ7" s="735"/>
      <c r="HCK7" s="735"/>
      <c r="HCL7" s="735"/>
      <c r="HCM7" s="735"/>
      <c r="HCN7" s="735"/>
      <c r="HCO7" s="735"/>
      <c r="HCP7" s="735"/>
      <c r="HCQ7" s="735"/>
      <c r="HCR7" s="735"/>
      <c r="HCS7" s="735"/>
      <c r="HCT7" s="735"/>
      <c r="HCU7" s="735"/>
      <c r="HCV7" s="735"/>
      <c r="HCW7" s="735"/>
      <c r="HCX7" s="735"/>
      <c r="HCY7" s="735"/>
      <c r="HCZ7" s="735"/>
      <c r="HDA7" s="735"/>
      <c r="HDB7" s="735"/>
      <c r="HDC7" s="735"/>
      <c r="HDD7" s="735"/>
      <c r="HDE7" s="735"/>
      <c r="HDF7" s="735"/>
      <c r="HDG7" s="735"/>
      <c r="HDH7" s="735"/>
      <c r="HDI7" s="735"/>
      <c r="HDJ7" s="735"/>
      <c r="HDK7" s="735"/>
      <c r="HDL7" s="735"/>
      <c r="HDM7" s="735"/>
      <c r="HDN7" s="735"/>
      <c r="HDO7" s="735"/>
      <c r="HDP7" s="735"/>
      <c r="HDQ7" s="735"/>
      <c r="HDR7" s="735"/>
      <c r="HDS7" s="735"/>
      <c r="HDT7" s="735"/>
      <c r="HDU7" s="735"/>
      <c r="HDV7" s="735"/>
      <c r="HDW7" s="735"/>
      <c r="HDX7" s="735"/>
      <c r="HDY7" s="735"/>
      <c r="HDZ7" s="735"/>
      <c r="HEA7" s="735"/>
      <c r="HEB7" s="735"/>
      <c r="HEC7" s="735"/>
      <c r="HED7" s="735"/>
      <c r="HEE7" s="735"/>
      <c r="HEF7" s="735"/>
      <c r="HEG7" s="735"/>
      <c r="HEH7" s="735"/>
      <c r="HEI7" s="735"/>
      <c r="HEJ7" s="735"/>
      <c r="HEK7" s="735"/>
      <c r="HEL7" s="735"/>
      <c r="HEM7" s="735"/>
      <c r="HEN7" s="735"/>
      <c r="HEO7" s="735"/>
      <c r="HEP7" s="735"/>
      <c r="HEQ7" s="735"/>
      <c r="HER7" s="735"/>
      <c r="HES7" s="735"/>
      <c r="HET7" s="735"/>
      <c r="HEU7" s="735"/>
      <c r="HEV7" s="735"/>
      <c r="HEW7" s="735"/>
      <c r="HEX7" s="735"/>
      <c r="HEY7" s="735"/>
      <c r="HEZ7" s="735"/>
      <c r="HFA7" s="735"/>
      <c r="HFB7" s="735"/>
      <c r="HFC7" s="735"/>
      <c r="HFD7" s="735"/>
      <c r="HFE7" s="735"/>
      <c r="HFF7" s="735"/>
      <c r="HFG7" s="735"/>
      <c r="HFH7" s="735"/>
      <c r="HFI7" s="735"/>
      <c r="HFJ7" s="735"/>
      <c r="HFK7" s="735"/>
      <c r="HFL7" s="735"/>
      <c r="HFM7" s="735"/>
      <c r="HFN7" s="735"/>
      <c r="HFO7" s="735"/>
      <c r="HFP7" s="735"/>
      <c r="HFQ7" s="735"/>
      <c r="HFR7" s="735"/>
      <c r="HFS7" s="735"/>
      <c r="HFT7" s="735"/>
      <c r="HFU7" s="735"/>
      <c r="HFV7" s="735"/>
      <c r="HFW7" s="735"/>
      <c r="HFX7" s="735"/>
      <c r="HFY7" s="735"/>
      <c r="HFZ7" s="735"/>
      <c r="HGA7" s="735"/>
      <c r="HGB7" s="735"/>
      <c r="HGC7" s="735"/>
      <c r="HGD7" s="735"/>
      <c r="HGE7" s="735"/>
      <c r="HGF7" s="735"/>
      <c r="HGG7" s="735"/>
      <c r="HGH7" s="735"/>
      <c r="HGI7" s="735"/>
      <c r="HGJ7" s="735"/>
      <c r="HGK7" s="735"/>
      <c r="HGL7" s="735"/>
      <c r="HGM7" s="735"/>
      <c r="HGN7" s="735"/>
      <c r="HGO7" s="735"/>
      <c r="HGP7" s="735"/>
      <c r="HGQ7" s="735"/>
      <c r="HGR7" s="735"/>
      <c r="HGS7" s="735"/>
      <c r="HGT7" s="735"/>
      <c r="HGU7" s="735"/>
      <c r="HGV7" s="735"/>
      <c r="HGW7" s="735"/>
      <c r="HGX7" s="735"/>
      <c r="HGY7" s="735"/>
      <c r="HGZ7" s="735"/>
      <c r="HHA7" s="735"/>
      <c r="HHB7" s="735"/>
      <c r="HHC7" s="735"/>
      <c r="HHD7" s="735"/>
      <c r="HHE7" s="735"/>
      <c r="HHF7" s="735"/>
      <c r="HHG7" s="735"/>
      <c r="HHH7" s="735"/>
      <c r="HHI7" s="735"/>
      <c r="HHJ7" s="735"/>
      <c r="HHK7" s="735"/>
      <c r="HHL7" s="735"/>
      <c r="HHM7" s="735"/>
      <c r="HHN7" s="735"/>
      <c r="HHO7" s="735"/>
      <c r="HHP7" s="735"/>
      <c r="HHQ7" s="735"/>
      <c r="HHR7" s="735"/>
      <c r="HHS7" s="735"/>
      <c r="HHT7" s="735"/>
      <c r="HHU7" s="735"/>
      <c r="HHV7" s="735"/>
      <c r="HHW7" s="735"/>
      <c r="HHX7" s="735"/>
      <c r="HHY7" s="735"/>
      <c r="HHZ7" s="735"/>
      <c r="HIA7" s="735"/>
      <c r="HIB7" s="735"/>
      <c r="HIC7" s="735"/>
      <c r="HID7" s="735"/>
      <c r="HIE7" s="735"/>
      <c r="HIF7" s="735"/>
      <c r="HIG7" s="735"/>
      <c r="HIH7" s="735"/>
      <c r="HII7" s="735"/>
      <c r="HIJ7" s="735"/>
      <c r="HIK7" s="735"/>
      <c r="HIL7" s="735"/>
      <c r="HIM7" s="735"/>
      <c r="HIN7" s="735"/>
      <c r="HIO7" s="735"/>
      <c r="HIP7" s="735"/>
      <c r="HIQ7" s="735"/>
      <c r="HIR7" s="735"/>
      <c r="HIS7" s="735"/>
      <c r="HIT7" s="735"/>
      <c r="HIU7" s="735"/>
      <c r="HIV7" s="735"/>
      <c r="HIW7" s="735"/>
      <c r="HIX7" s="735"/>
      <c r="HIY7" s="735"/>
      <c r="HIZ7" s="735"/>
      <c r="HJA7" s="735"/>
      <c r="HJB7" s="735"/>
      <c r="HJC7" s="735"/>
      <c r="HJD7" s="735"/>
      <c r="HJE7" s="735"/>
      <c r="HJF7" s="735"/>
      <c r="HJG7" s="735"/>
      <c r="HJH7" s="735"/>
      <c r="HJI7" s="735"/>
      <c r="HJJ7" s="735"/>
      <c r="HJK7" s="735"/>
      <c r="HJL7" s="735"/>
      <c r="HJM7" s="735"/>
      <c r="HJN7" s="735"/>
      <c r="HJO7" s="735"/>
      <c r="HJP7" s="735"/>
      <c r="HJQ7" s="735"/>
      <c r="HJR7" s="735"/>
      <c r="HJS7" s="735"/>
      <c r="HJT7" s="735"/>
      <c r="HJU7" s="735"/>
      <c r="HJV7" s="735"/>
      <c r="HJW7" s="735"/>
      <c r="HJX7" s="735"/>
      <c r="HJY7" s="735"/>
      <c r="HJZ7" s="735"/>
      <c r="HKA7" s="735"/>
      <c r="HKB7" s="735"/>
      <c r="HKC7" s="735"/>
      <c r="HKD7" s="735"/>
      <c r="HKE7" s="735"/>
      <c r="HKF7" s="735"/>
      <c r="HKG7" s="735"/>
      <c r="HKH7" s="735"/>
      <c r="HKI7" s="735"/>
      <c r="HKJ7" s="735"/>
      <c r="HKK7" s="735"/>
      <c r="HKL7" s="735"/>
      <c r="HKM7" s="735"/>
      <c r="HKN7" s="735"/>
      <c r="HKO7" s="735"/>
      <c r="HKP7" s="735"/>
      <c r="HKQ7" s="735"/>
      <c r="HKR7" s="735"/>
      <c r="HKS7" s="735"/>
      <c r="HKT7" s="735"/>
      <c r="HKU7" s="735"/>
      <c r="HKV7" s="735"/>
      <c r="HKW7" s="735"/>
      <c r="HKX7" s="735"/>
      <c r="HKY7" s="735"/>
      <c r="HKZ7" s="735"/>
      <c r="HLA7" s="735"/>
      <c r="HLB7" s="735"/>
      <c r="HLC7" s="735"/>
      <c r="HLD7" s="735"/>
      <c r="HLE7" s="735"/>
      <c r="HLF7" s="735"/>
      <c r="HLG7" s="735"/>
      <c r="HLH7" s="735"/>
      <c r="HLI7" s="735"/>
      <c r="HLJ7" s="735"/>
      <c r="HLK7" s="735"/>
      <c r="HLL7" s="735"/>
      <c r="HLM7" s="735"/>
      <c r="HLN7" s="735"/>
      <c r="HLO7" s="735"/>
      <c r="HLP7" s="735"/>
      <c r="HLQ7" s="735"/>
      <c r="HLR7" s="735"/>
      <c r="HLS7" s="735"/>
      <c r="HLT7" s="735"/>
      <c r="HLU7" s="735"/>
      <c r="HLV7" s="735"/>
      <c r="HLW7" s="735"/>
      <c r="HLX7" s="735"/>
      <c r="HLY7" s="735"/>
      <c r="HLZ7" s="735"/>
      <c r="HMA7" s="735"/>
      <c r="HMB7" s="735"/>
      <c r="HMC7" s="735"/>
      <c r="HMD7" s="735"/>
      <c r="HME7" s="735"/>
      <c r="HMF7" s="735"/>
      <c r="HMG7" s="735"/>
      <c r="HMH7" s="735"/>
      <c r="HMI7" s="735"/>
      <c r="HMJ7" s="735"/>
      <c r="HMK7" s="735"/>
      <c r="HML7" s="735"/>
      <c r="HMM7" s="735"/>
      <c r="HMN7" s="735"/>
      <c r="HMO7" s="735"/>
      <c r="HMP7" s="735"/>
      <c r="HMQ7" s="735"/>
      <c r="HMR7" s="735"/>
      <c r="HMS7" s="735"/>
      <c r="HMT7" s="735"/>
      <c r="HMU7" s="735"/>
      <c r="HMV7" s="735"/>
      <c r="HMW7" s="735"/>
      <c r="HMX7" s="735"/>
      <c r="HMY7" s="735"/>
      <c r="HMZ7" s="735"/>
      <c r="HNA7" s="735"/>
      <c r="HNB7" s="735"/>
      <c r="HNC7" s="735"/>
      <c r="HND7" s="735"/>
      <c r="HNE7" s="735"/>
      <c r="HNF7" s="735"/>
      <c r="HNG7" s="735"/>
      <c r="HNH7" s="735"/>
      <c r="HNI7" s="735"/>
      <c r="HNJ7" s="735"/>
      <c r="HNK7" s="735"/>
      <c r="HNL7" s="735"/>
      <c r="HNM7" s="735"/>
      <c r="HNN7" s="735"/>
      <c r="HNO7" s="735"/>
      <c r="HNP7" s="735"/>
      <c r="HNQ7" s="735"/>
      <c r="HNR7" s="735"/>
      <c r="HNS7" s="735"/>
      <c r="HNT7" s="735"/>
      <c r="HNU7" s="735"/>
      <c r="HNV7" s="735"/>
      <c r="HNW7" s="735"/>
      <c r="HNX7" s="735"/>
      <c r="HNY7" s="735"/>
      <c r="HNZ7" s="735"/>
      <c r="HOA7" s="735"/>
      <c r="HOB7" s="735"/>
      <c r="HOC7" s="735"/>
      <c r="HOD7" s="735"/>
      <c r="HOE7" s="735"/>
      <c r="HOF7" s="735"/>
      <c r="HOG7" s="735"/>
      <c r="HOH7" s="735"/>
      <c r="HOI7" s="735"/>
      <c r="HOJ7" s="735"/>
      <c r="HOK7" s="735"/>
      <c r="HOL7" s="735"/>
      <c r="HOM7" s="735"/>
      <c r="HON7" s="735"/>
      <c r="HOO7" s="735"/>
      <c r="HOP7" s="735"/>
      <c r="HOQ7" s="735"/>
      <c r="HOR7" s="735"/>
      <c r="HOS7" s="735"/>
      <c r="HOT7" s="735"/>
      <c r="HOU7" s="735"/>
      <c r="HOV7" s="735"/>
      <c r="HOW7" s="735"/>
      <c r="HOX7" s="735"/>
      <c r="HOY7" s="735"/>
      <c r="HOZ7" s="735"/>
      <c r="HPA7" s="735"/>
      <c r="HPB7" s="735"/>
      <c r="HPC7" s="735"/>
      <c r="HPD7" s="735"/>
      <c r="HPE7" s="735"/>
      <c r="HPF7" s="735"/>
      <c r="HPG7" s="735"/>
      <c r="HPH7" s="735"/>
      <c r="HPI7" s="735"/>
      <c r="HPJ7" s="735"/>
      <c r="HPK7" s="735"/>
      <c r="HPL7" s="735"/>
      <c r="HPM7" s="735"/>
      <c r="HPN7" s="735"/>
      <c r="HPO7" s="735"/>
      <c r="HPP7" s="735"/>
      <c r="HPQ7" s="735"/>
      <c r="HPR7" s="735"/>
      <c r="HPS7" s="735"/>
      <c r="HPT7" s="735"/>
      <c r="HPU7" s="735"/>
      <c r="HPV7" s="735"/>
      <c r="HPW7" s="735"/>
      <c r="HPX7" s="735"/>
      <c r="HPY7" s="735"/>
      <c r="HPZ7" s="735"/>
      <c r="HQA7" s="735"/>
      <c r="HQB7" s="735"/>
      <c r="HQC7" s="735"/>
      <c r="HQD7" s="735"/>
      <c r="HQE7" s="735"/>
      <c r="HQF7" s="735"/>
      <c r="HQG7" s="735"/>
      <c r="HQH7" s="735"/>
      <c r="HQI7" s="735"/>
      <c r="HQJ7" s="735"/>
      <c r="HQK7" s="735"/>
      <c r="HQL7" s="735"/>
      <c r="HQM7" s="735"/>
      <c r="HQN7" s="735"/>
      <c r="HQO7" s="735"/>
      <c r="HQP7" s="735"/>
      <c r="HQQ7" s="735"/>
      <c r="HQR7" s="735"/>
      <c r="HQS7" s="735"/>
      <c r="HQT7" s="735"/>
      <c r="HQU7" s="735"/>
      <c r="HQV7" s="735"/>
      <c r="HQW7" s="735"/>
      <c r="HQX7" s="735"/>
      <c r="HQY7" s="735"/>
      <c r="HQZ7" s="735"/>
      <c r="HRA7" s="735"/>
      <c r="HRB7" s="735"/>
      <c r="HRC7" s="735"/>
      <c r="HRD7" s="735"/>
      <c r="HRE7" s="735"/>
      <c r="HRF7" s="735"/>
      <c r="HRG7" s="735"/>
      <c r="HRH7" s="735"/>
      <c r="HRI7" s="735"/>
      <c r="HRJ7" s="735"/>
      <c r="HRK7" s="735"/>
      <c r="HRL7" s="735"/>
      <c r="HRM7" s="735"/>
      <c r="HRN7" s="735"/>
      <c r="HRO7" s="735"/>
      <c r="HRP7" s="735"/>
      <c r="HRQ7" s="735"/>
      <c r="HRR7" s="735"/>
      <c r="HRS7" s="735"/>
      <c r="HRT7" s="735"/>
      <c r="HRU7" s="735"/>
      <c r="HRV7" s="735"/>
      <c r="HRW7" s="735"/>
      <c r="HRX7" s="735"/>
      <c r="HRY7" s="735"/>
      <c r="HRZ7" s="735"/>
      <c r="HSA7" s="735"/>
      <c r="HSB7" s="735"/>
      <c r="HSC7" s="735"/>
      <c r="HSD7" s="735"/>
      <c r="HSE7" s="735"/>
      <c r="HSF7" s="735"/>
      <c r="HSG7" s="735"/>
      <c r="HSH7" s="735"/>
      <c r="HSI7" s="735"/>
      <c r="HSJ7" s="735"/>
      <c r="HSK7" s="735"/>
      <c r="HSL7" s="735"/>
      <c r="HSM7" s="735"/>
      <c r="HSN7" s="735"/>
      <c r="HSO7" s="735"/>
      <c r="HSP7" s="735"/>
      <c r="HSQ7" s="735"/>
      <c r="HSR7" s="735"/>
      <c r="HSS7" s="735"/>
      <c r="HST7" s="735"/>
      <c r="HSU7" s="735"/>
      <c r="HSV7" s="735"/>
      <c r="HSW7" s="735"/>
      <c r="HSX7" s="735"/>
      <c r="HSY7" s="735"/>
      <c r="HSZ7" s="735"/>
      <c r="HTA7" s="735"/>
      <c r="HTB7" s="735"/>
      <c r="HTC7" s="735"/>
      <c r="HTD7" s="735"/>
      <c r="HTE7" s="735"/>
      <c r="HTF7" s="735"/>
      <c r="HTG7" s="735"/>
      <c r="HTH7" s="735"/>
      <c r="HTI7" s="735"/>
      <c r="HTJ7" s="735"/>
      <c r="HTK7" s="735"/>
      <c r="HTL7" s="735"/>
      <c r="HTM7" s="735"/>
      <c r="HTN7" s="735"/>
      <c r="HTO7" s="735"/>
      <c r="HTP7" s="735"/>
      <c r="HTQ7" s="735"/>
      <c r="HTR7" s="735"/>
      <c r="HTS7" s="735"/>
      <c r="HTT7" s="735"/>
      <c r="HTU7" s="735"/>
      <c r="HTV7" s="735"/>
      <c r="HTW7" s="735"/>
      <c r="HTX7" s="735"/>
      <c r="HTY7" s="735"/>
      <c r="HTZ7" s="735"/>
      <c r="HUA7" s="735"/>
      <c r="HUB7" s="735"/>
      <c r="HUC7" s="735"/>
      <c r="HUD7" s="735"/>
      <c r="HUE7" s="735"/>
      <c r="HUF7" s="735"/>
      <c r="HUG7" s="735"/>
      <c r="HUH7" s="735"/>
      <c r="HUI7" s="735"/>
      <c r="HUJ7" s="735"/>
      <c r="HUK7" s="735"/>
      <c r="HUL7" s="735"/>
      <c r="HUM7" s="735"/>
      <c r="HUN7" s="735"/>
      <c r="HUO7" s="735"/>
      <c r="HUP7" s="735"/>
      <c r="HUQ7" s="735"/>
      <c r="HUR7" s="735"/>
      <c r="HUS7" s="735"/>
      <c r="HUT7" s="735"/>
      <c r="HUU7" s="735"/>
      <c r="HUV7" s="735"/>
      <c r="HUW7" s="735"/>
      <c r="HUX7" s="735"/>
      <c r="HUY7" s="735"/>
      <c r="HUZ7" s="735"/>
      <c r="HVA7" s="735"/>
      <c r="HVB7" s="735"/>
      <c r="HVC7" s="735"/>
      <c r="HVD7" s="735"/>
      <c r="HVE7" s="735"/>
      <c r="HVF7" s="735"/>
      <c r="HVG7" s="735"/>
      <c r="HVH7" s="735"/>
      <c r="HVI7" s="735"/>
      <c r="HVJ7" s="735"/>
      <c r="HVK7" s="735"/>
      <c r="HVL7" s="735"/>
      <c r="HVM7" s="735"/>
      <c r="HVN7" s="735"/>
      <c r="HVO7" s="735"/>
      <c r="HVP7" s="735"/>
      <c r="HVQ7" s="735"/>
      <c r="HVR7" s="735"/>
      <c r="HVS7" s="735"/>
      <c r="HVT7" s="735"/>
      <c r="HVU7" s="735"/>
      <c r="HVV7" s="735"/>
      <c r="HVW7" s="735"/>
      <c r="HVX7" s="735"/>
      <c r="HVY7" s="735"/>
      <c r="HVZ7" s="735"/>
      <c r="HWA7" s="735"/>
      <c r="HWB7" s="735"/>
      <c r="HWC7" s="735"/>
      <c r="HWD7" s="735"/>
      <c r="HWE7" s="735"/>
      <c r="HWF7" s="735"/>
      <c r="HWG7" s="735"/>
      <c r="HWH7" s="735"/>
      <c r="HWI7" s="735"/>
      <c r="HWJ7" s="735"/>
      <c r="HWK7" s="735"/>
      <c r="HWL7" s="735"/>
      <c r="HWM7" s="735"/>
      <c r="HWN7" s="735"/>
      <c r="HWO7" s="735"/>
      <c r="HWP7" s="735"/>
      <c r="HWQ7" s="735"/>
      <c r="HWR7" s="735"/>
      <c r="HWS7" s="735"/>
      <c r="HWT7" s="735"/>
      <c r="HWU7" s="735"/>
      <c r="HWV7" s="735"/>
      <c r="HWW7" s="735"/>
      <c r="HWX7" s="735"/>
      <c r="HWY7" s="735"/>
      <c r="HWZ7" s="735"/>
      <c r="HXA7" s="735"/>
      <c r="HXB7" s="735"/>
      <c r="HXC7" s="735"/>
      <c r="HXD7" s="735"/>
      <c r="HXE7" s="735"/>
      <c r="HXF7" s="735"/>
      <c r="HXG7" s="735"/>
      <c r="HXH7" s="735"/>
      <c r="HXI7" s="735"/>
      <c r="HXJ7" s="735"/>
      <c r="HXK7" s="735"/>
      <c r="HXL7" s="735"/>
      <c r="HXM7" s="735"/>
      <c r="HXN7" s="735"/>
      <c r="HXO7" s="735"/>
      <c r="HXP7" s="735"/>
      <c r="HXQ7" s="735"/>
      <c r="HXR7" s="735"/>
      <c r="HXS7" s="735"/>
      <c r="HXT7" s="735"/>
      <c r="HXU7" s="735"/>
      <c r="HXV7" s="735"/>
      <c r="HXW7" s="735"/>
      <c r="HXX7" s="735"/>
      <c r="HXY7" s="735"/>
      <c r="HXZ7" s="735"/>
      <c r="HYA7" s="735"/>
      <c r="HYB7" s="735"/>
      <c r="HYC7" s="735"/>
      <c r="HYD7" s="735"/>
      <c r="HYE7" s="735"/>
      <c r="HYF7" s="735"/>
      <c r="HYG7" s="735"/>
      <c r="HYH7" s="735"/>
      <c r="HYI7" s="735"/>
      <c r="HYJ7" s="735"/>
      <c r="HYK7" s="735"/>
      <c r="HYL7" s="735"/>
      <c r="HYM7" s="735"/>
      <c r="HYN7" s="735"/>
      <c r="HYO7" s="735"/>
      <c r="HYP7" s="735"/>
      <c r="HYQ7" s="735"/>
      <c r="HYR7" s="735"/>
      <c r="HYS7" s="735"/>
      <c r="HYT7" s="735"/>
      <c r="HYU7" s="735"/>
      <c r="HYV7" s="735"/>
      <c r="HYW7" s="735"/>
      <c r="HYX7" s="735"/>
      <c r="HYY7" s="735"/>
      <c r="HYZ7" s="735"/>
      <c r="HZA7" s="735"/>
      <c r="HZB7" s="735"/>
      <c r="HZC7" s="735"/>
      <c r="HZD7" s="735"/>
      <c r="HZE7" s="735"/>
      <c r="HZF7" s="735"/>
      <c r="HZG7" s="735"/>
      <c r="HZH7" s="735"/>
      <c r="HZI7" s="735"/>
      <c r="HZJ7" s="735"/>
      <c r="HZK7" s="735"/>
      <c r="HZL7" s="735"/>
      <c r="HZM7" s="735"/>
      <c r="HZN7" s="735"/>
      <c r="HZO7" s="735"/>
      <c r="HZP7" s="735"/>
      <c r="HZQ7" s="735"/>
      <c r="HZR7" s="735"/>
      <c r="HZS7" s="735"/>
      <c r="HZT7" s="735"/>
      <c r="HZU7" s="735"/>
      <c r="HZV7" s="735"/>
      <c r="HZW7" s="735"/>
      <c r="HZX7" s="735"/>
      <c r="HZY7" s="735"/>
      <c r="HZZ7" s="735"/>
      <c r="IAA7" s="735"/>
      <c r="IAB7" s="735"/>
      <c r="IAC7" s="735"/>
      <c r="IAD7" s="735"/>
      <c r="IAE7" s="735"/>
      <c r="IAF7" s="735"/>
      <c r="IAG7" s="735"/>
      <c r="IAH7" s="735"/>
      <c r="IAI7" s="735"/>
      <c r="IAJ7" s="735"/>
      <c r="IAK7" s="735"/>
      <c r="IAL7" s="735"/>
      <c r="IAM7" s="735"/>
      <c r="IAN7" s="735"/>
      <c r="IAO7" s="735"/>
      <c r="IAP7" s="735"/>
      <c r="IAQ7" s="735"/>
      <c r="IAR7" s="735"/>
      <c r="IAS7" s="735"/>
      <c r="IAT7" s="735"/>
      <c r="IAU7" s="735"/>
      <c r="IAV7" s="735"/>
      <c r="IAW7" s="735"/>
      <c r="IAX7" s="735"/>
      <c r="IAY7" s="735"/>
      <c r="IAZ7" s="735"/>
      <c r="IBA7" s="735"/>
      <c r="IBB7" s="735"/>
      <c r="IBC7" s="735"/>
      <c r="IBD7" s="735"/>
      <c r="IBE7" s="735"/>
      <c r="IBF7" s="735"/>
      <c r="IBG7" s="735"/>
      <c r="IBH7" s="735"/>
      <c r="IBI7" s="735"/>
      <c r="IBJ7" s="735"/>
      <c r="IBK7" s="735"/>
      <c r="IBL7" s="735"/>
      <c r="IBM7" s="735"/>
      <c r="IBN7" s="735"/>
      <c r="IBO7" s="735"/>
      <c r="IBP7" s="735"/>
      <c r="IBQ7" s="735"/>
      <c r="IBR7" s="735"/>
      <c r="IBS7" s="735"/>
      <c r="IBT7" s="735"/>
      <c r="IBU7" s="735"/>
      <c r="IBV7" s="735"/>
      <c r="IBW7" s="735"/>
      <c r="IBX7" s="735"/>
      <c r="IBY7" s="735"/>
      <c r="IBZ7" s="735"/>
      <c r="ICA7" s="735"/>
      <c r="ICB7" s="735"/>
      <c r="ICC7" s="735"/>
      <c r="ICD7" s="735"/>
      <c r="ICE7" s="735"/>
      <c r="ICF7" s="735"/>
      <c r="ICG7" s="735"/>
      <c r="ICH7" s="735"/>
      <c r="ICI7" s="735"/>
      <c r="ICJ7" s="735"/>
      <c r="ICK7" s="735"/>
      <c r="ICL7" s="735"/>
      <c r="ICM7" s="735"/>
      <c r="ICN7" s="735"/>
      <c r="ICO7" s="735"/>
      <c r="ICP7" s="735"/>
      <c r="ICQ7" s="735"/>
      <c r="ICR7" s="735"/>
      <c r="ICS7" s="735"/>
      <c r="ICT7" s="735"/>
      <c r="ICU7" s="735"/>
      <c r="ICV7" s="735"/>
      <c r="ICW7" s="735"/>
      <c r="ICX7" s="735"/>
      <c r="ICY7" s="735"/>
      <c r="ICZ7" s="735"/>
      <c r="IDA7" s="735"/>
      <c r="IDB7" s="735"/>
      <c r="IDC7" s="735"/>
      <c r="IDD7" s="735"/>
      <c r="IDE7" s="735"/>
      <c r="IDF7" s="735"/>
      <c r="IDG7" s="735"/>
      <c r="IDH7" s="735"/>
      <c r="IDI7" s="735"/>
      <c r="IDJ7" s="735"/>
      <c r="IDK7" s="735"/>
      <c r="IDL7" s="735"/>
      <c r="IDM7" s="735"/>
      <c r="IDN7" s="735"/>
      <c r="IDO7" s="735"/>
      <c r="IDP7" s="735"/>
      <c r="IDQ7" s="735"/>
      <c r="IDR7" s="735"/>
      <c r="IDS7" s="735"/>
      <c r="IDT7" s="735"/>
      <c r="IDU7" s="735"/>
      <c r="IDV7" s="735"/>
      <c r="IDW7" s="735"/>
      <c r="IDX7" s="735"/>
      <c r="IDY7" s="735"/>
      <c r="IDZ7" s="735"/>
      <c r="IEA7" s="735"/>
      <c r="IEB7" s="735"/>
      <c r="IEC7" s="735"/>
      <c r="IED7" s="735"/>
      <c r="IEE7" s="735"/>
      <c r="IEF7" s="735"/>
      <c r="IEG7" s="735"/>
      <c r="IEH7" s="735"/>
      <c r="IEI7" s="735"/>
      <c r="IEJ7" s="735"/>
      <c r="IEK7" s="735"/>
      <c r="IEL7" s="735"/>
      <c r="IEM7" s="735"/>
      <c r="IEN7" s="735"/>
      <c r="IEO7" s="735"/>
      <c r="IEP7" s="735"/>
      <c r="IEQ7" s="735"/>
      <c r="IER7" s="735"/>
      <c r="IES7" s="735"/>
      <c r="IET7" s="735"/>
      <c r="IEU7" s="735"/>
      <c r="IEV7" s="735"/>
      <c r="IEW7" s="735"/>
      <c r="IEX7" s="735"/>
      <c r="IEY7" s="735"/>
      <c r="IEZ7" s="735"/>
      <c r="IFA7" s="735"/>
      <c r="IFB7" s="735"/>
      <c r="IFC7" s="735"/>
      <c r="IFD7" s="735"/>
      <c r="IFE7" s="735"/>
      <c r="IFF7" s="735"/>
      <c r="IFG7" s="735"/>
      <c r="IFH7" s="735"/>
      <c r="IFI7" s="735"/>
      <c r="IFJ7" s="735"/>
      <c r="IFK7" s="735"/>
      <c r="IFL7" s="735"/>
      <c r="IFM7" s="735"/>
      <c r="IFN7" s="735"/>
      <c r="IFO7" s="735"/>
      <c r="IFP7" s="735"/>
      <c r="IFQ7" s="735"/>
      <c r="IFR7" s="735"/>
      <c r="IFS7" s="735"/>
      <c r="IFT7" s="735"/>
      <c r="IFU7" s="735"/>
      <c r="IFV7" s="735"/>
      <c r="IFW7" s="735"/>
      <c r="IFX7" s="735"/>
      <c r="IFY7" s="735"/>
      <c r="IFZ7" s="735"/>
      <c r="IGA7" s="735"/>
      <c r="IGB7" s="735"/>
      <c r="IGC7" s="735"/>
      <c r="IGD7" s="735"/>
      <c r="IGE7" s="735"/>
      <c r="IGF7" s="735"/>
      <c r="IGG7" s="735"/>
      <c r="IGH7" s="735"/>
      <c r="IGI7" s="735"/>
      <c r="IGJ7" s="735"/>
      <c r="IGK7" s="735"/>
      <c r="IGL7" s="735"/>
      <c r="IGM7" s="735"/>
      <c r="IGN7" s="735"/>
      <c r="IGO7" s="735"/>
      <c r="IGP7" s="735"/>
      <c r="IGQ7" s="735"/>
      <c r="IGR7" s="735"/>
      <c r="IGS7" s="735"/>
      <c r="IGT7" s="735"/>
      <c r="IGU7" s="735"/>
      <c r="IGV7" s="735"/>
      <c r="IGW7" s="735"/>
      <c r="IGX7" s="735"/>
      <c r="IGY7" s="735"/>
      <c r="IGZ7" s="735"/>
      <c r="IHA7" s="735"/>
      <c r="IHB7" s="735"/>
      <c r="IHC7" s="735"/>
      <c r="IHD7" s="735"/>
      <c r="IHE7" s="735"/>
      <c r="IHF7" s="735"/>
      <c r="IHG7" s="735"/>
      <c r="IHH7" s="735"/>
      <c r="IHI7" s="735"/>
      <c r="IHJ7" s="735"/>
      <c r="IHK7" s="735"/>
      <c r="IHL7" s="735"/>
      <c r="IHM7" s="735"/>
      <c r="IHN7" s="735"/>
      <c r="IHO7" s="735"/>
      <c r="IHP7" s="735"/>
      <c r="IHQ7" s="735"/>
      <c r="IHR7" s="735"/>
      <c r="IHS7" s="735"/>
      <c r="IHT7" s="735"/>
      <c r="IHU7" s="735"/>
      <c r="IHV7" s="735"/>
      <c r="IHW7" s="735"/>
      <c r="IHX7" s="735"/>
      <c r="IHY7" s="735"/>
      <c r="IHZ7" s="735"/>
      <c r="IIA7" s="735"/>
      <c r="IIB7" s="735"/>
      <c r="IIC7" s="735"/>
      <c r="IID7" s="735"/>
      <c r="IIE7" s="735"/>
      <c r="IIF7" s="735"/>
      <c r="IIG7" s="735"/>
      <c r="IIH7" s="735"/>
      <c r="III7" s="735"/>
      <c r="IIJ7" s="735"/>
      <c r="IIK7" s="735"/>
      <c r="IIL7" s="735"/>
      <c r="IIM7" s="735"/>
      <c r="IIN7" s="735"/>
      <c r="IIO7" s="735"/>
      <c r="IIP7" s="735"/>
      <c r="IIQ7" s="735"/>
      <c r="IIR7" s="735"/>
      <c r="IIS7" s="735"/>
      <c r="IIT7" s="735"/>
      <c r="IIU7" s="735"/>
      <c r="IIV7" s="735"/>
      <c r="IIW7" s="735"/>
      <c r="IIX7" s="735"/>
      <c r="IIY7" s="735"/>
      <c r="IIZ7" s="735"/>
      <c r="IJA7" s="735"/>
      <c r="IJB7" s="735"/>
      <c r="IJC7" s="735"/>
      <c r="IJD7" s="735"/>
      <c r="IJE7" s="735"/>
      <c r="IJF7" s="735"/>
      <c r="IJG7" s="735"/>
      <c r="IJH7" s="735"/>
      <c r="IJI7" s="735"/>
      <c r="IJJ7" s="735"/>
      <c r="IJK7" s="735"/>
      <c r="IJL7" s="735"/>
      <c r="IJM7" s="735"/>
      <c r="IJN7" s="735"/>
      <c r="IJO7" s="735"/>
      <c r="IJP7" s="735"/>
      <c r="IJQ7" s="735"/>
      <c r="IJR7" s="735"/>
      <c r="IJS7" s="735"/>
      <c r="IJT7" s="735"/>
      <c r="IJU7" s="735"/>
      <c r="IJV7" s="735"/>
      <c r="IJW7" s="735"/>
      <c r="IJX7" s="735"/>
      <c r="IJY7" s="735"/>
      <c r="IJZ7" s="735"/>
      <c r="IKA7" s="735"/>
      <c r="IKB7" s="735"/>
      <c r="IKC7" s="735"/>
      <c r="IKD7" s="735"/>
      <c r="IKE7" s="735"/>
      <c r="IKF7" s="735"/>
      <c r="IKG7" s="735"/>
      <c r="IKH7" s="735"/>
      <c r="IKI7" s="735"/>
      <c r="IKJ7" s="735"/>
      <c r="IKK7" s="735"/>
      <c r="IKL7" s="735"/>
      <c r="IKM7" s="735"/>
      <c r="IKN7" s="735"/>
      <c r="IKO7" s="735"/>
      <c r="IKP7" s="735"/>
      <c r="IKQ7" s="735"/>
      <c r="IKR7" s="735"/>
      <c r="IKS7" s="735"/>
      <c r="IKT7" s="735"/>
      <c r="IKU7" s="735"/>
      <c r="IKV7" s="735"/>
      <c r="IKW7" s="735"/>
      <c r="IKX7" s="735"/>
      <c r="IKY7" s="735"/>
      <c r="IKZ7" s="735"/>
      <c r="ILA7" s="735"/>
      <c r="ILB7" s="735"/>
      <c r="ILC7" s="735"/>
      <c r="ILD7" s="735"/>
      <c r="ILE7" s="735"/>
      <c r="ILF7" s="735"/>
      <c r="ILG7" s="735"/>
      <c r="ILH7" s="735"/>
      <c r="ILI7" s="735"/>
      <c r="ILJ7" s="735"/>
      <c r="ILK7" s="735"/>
      <c r="ILL7" s="735"/>
      <c r="ILM7" s="735"/>
      <c r="ILN7" s="735"/>
      <c r="ILO7" s="735"/>
      <c r="ILP7" s="735"/>
      <c r="ILQ7" s="735"/>
      <c r="ILR7" s="735"/>
      <c r="ILS7" s="735"/>
      <c r="ILT7" s="735"/>
      <c r="ILU7" s="735"/>
      <c r="ILV7" s="735"/>
      <c r="ILW7" s="735"/>
      <c r="ILX7" s="735"/>
      <c r="ILY7" s="735"/>
      <c r="ILZ7" s="735"/>
      <c r="IMA7" s="735"/>
      <c r="IMB7" s="735"/>
      <c r="IMC7" s="735"/>
      <c r="IMD7" s="735"/>
      <c r="IME7" s="735"/>
      <c r="IMF7" s="735"/>
      <c r="IMG7" s="735"/>
      <c r="IMH7" s="735"/>
      <c r="IMI7" s="735"/>
      <c r="IMJ7" s="735"/>
      <c r="IMK7" s="735"/>
      <c r="IML7" s="735"/>
      <c r="IMM7" s="735"/>
      <c r="IMN7" s="735"/>
      <c r="IMO7" s="735"/>
      <c r="IMP7" s="735"/>
      <c r="IMQ7" s="735"/>
      <c r="IMR7" s="735"/>
      <c r="IMS7" s="735"/>
      <c r="IMT7" s="735"/>
      <c r="IMU7" s="735"/>
      <c r="IMV7" s="735"/>
      <c r="IMW7" s="735"/>
      <c r="IMX7" s="735"/>
      <c r="IMY7" s="735"/>
      <c r="IMZ7" s="735"/>
      <c r="INA7" s="735"/>
      <c r="INB7" s="735"/>
      <c r="INC7" s="735"/>
      <c r="IND7" s="735"/>
      <c r="INE7" s="735"/>
      <c r="INF7" s="735"/>
      <c r="ING7" s="735"/>
      <c r="INH7" s="735"/>
      <c r="INI7" s="735"/>
      <c r="INJ7" s="735"/>
      <c r="INK7" s="735"/>
      <c r="INL7" s="735"/>
      <c r="INM7" s="735"/>
      <c r="INN7" s="735"/>
      <c r="INO7" s="735"/>
      <c r="INP7" s="735"/>
      <c r="INQ7" s="735"/>
      <c r="INR7" s="735"/>
      <c r="INS7" s="735"/>
      <c r="INT7" s="735"/>
      <c r="INU7" s="735"/>
      <c r="INV7" s="735"/>
      <c r="INW7" s="735"/>
      <c r="INX7" s="735"/>
      <c r="INY7" s="735"/>
      <c r="INZ7" s="735"/>
      <c r="IOA7" s="735"/>
      <c r="IOB7" s="735"/>
      <c r="IOC7" s="735"/>
      <c r="IOD7" s="735"/>
      <c r="IOE7" s="735"/>
      <c r="IOF7" s="735"/>
      <c r="IOG7" s="735"/>
      <c r="IOH7" s="735"/>
      <c r="IOI7" s="735"/>
      <c r="IOJ7" s="735"/>
      <c r="IOK7" s="735"/>
      <c r="IOL7" s="735"/>
      <c r="IOM7" s="735"/>
      <c r="ION7" s="735"/>
      <c r="IOO7" s="735"/>
      <c r="IOP7" s="735"/>
      <c r="IOQ7" s="735"/>
      <c r="IOR7" s="735"/>
      <c r="IOS7" s="735"/>
      <c r="IOT7" s="735"/>
      <c r="IOU7" s="735"/>
      <c r="IOV7" s="735"/>
      <c r="IOW7" s="735"/>
      <c r="IOX7" s="735"/>
      <c r="IOY7" s="735"/>
      <c r="IOZ7" s="735"/>
      <c r="IPA7" s="735"/>
      <c r="IPB7" s="735"/>
      <c r="IPC7" s="735"/>
      <c r="IPD7" s="735"/>
      <c r="IPE7" s="735"/>
      <c r="IPF7" s="735"/>
      <c r="IPG7" s="735"/>
      <c r="IPH7" s="735"/>
      <c r="IPI7" s="735"/>
      <c r="IPJ7" s="735"/>
      <c r="IPK7" s="735"/>
      <c r="IPL7" s="735"/>
      <c r="IPM7" s="735"/>
      <c r="IPN7" s="735"/>
      <c r="IPO7" s="735"/>
      <c r="IPP7" s="735"/>
      <c r="IPQ7" s="735"/>
      <c r="IPR7" s="735"/>
      <c r="IPS7" s="735"/>
      <c r="IPT7" s="735"/>
      <c r="IPU7" s="735"/>
      <c r="IPV7" s="735"/>
      <c r="IPW7" s="735"/>
      <c r="IPX7" s="735"/>
      <c r="IPY7" s="735"/>
      <c r="IPZ7" s="735"/>
      <c r="IQA7" s="735"/>
      <c r="IQB7" s="735"/>
      <c r="IQC7" s="735"/>
      <c r="IQD7" s="735"/>
      <c r="IQE7" s="735"/>
      <c r="IQF7" s="735"/>
      <c r="IQG7" s="735"/>
      <c r="IQH7" s="735"/>
      <c r="IQI7" s="735"/>
      <c r="IQJ7" s="735"/>
      <c r="IQK7" s="735"/>
      <c r="IQL7" s="735"/>
      <c r="IQM7" s="735"/>
      <c r="IQN7" s="735"/>
      <c r="IQO7" s="735"/>
      <c r="IQP7" s="735"/>
      <c r="IQQ7" s="735"/>
      <c r="IQR7" s="735"/>
      <c r="IQS7" s="735"/>
      <c r="IQT7" s="735"/>
      <c r="IQU7" s="735"/>
      <c r="IQV7" s="735"/>
      <c r="IQW7" s="735"/>
      <c r="IQX7" s="735"/>
      <c r="IQY7" s="735"/>
      <c r="IQZ7" s="735"/>
      <c r="IRA7" s="735"/>
      <c r="IRB7" s="735"/>
      <c r="IRC7" s="735"/>
      <c r="IRD7" s="735"/>
      <c r="IRE7" s="735"/>
      <c r="IRF7" s="735"/>
      <c r="IRG7" s="735"/>
      <c r="IRH7" s="735"/>
      <c r="IRI7" s="735"/>
      <c r="IRJ7" s="735"/>
      <c r="IRK7" s="735"/>
      <c r="IRL7" s="735"/>
      <c r="IRM7" s="735"/>
      <c r="IRN7" s="735"/>
      <c r="IRO7" s="735"/>
      <c r="IRP7" s="735"/>
      <c r="IRQ7" s="735"/>
      <c r="IRR7" s="735"/>
      <c r="IRS7" s="735"/>
      <c r="IRT7" s="735"/>
      <c r="IRU7" s="735"/>
      <c r="IRV7" s="735"/>
      <c r="IRW7" s="735"/>
      <c r="IRX7" s="735"/>
      <c r="IRY7" s="735"/>
      <c r="IRZ7" s="735"/>
      <c r="ISA7" s="735"/>
      <c r="ISB7" s="735"/>
      <c r="ISC7" s="735"/>
      <c r="ISD7" s="735"/>
      <c r="ISE7" s="735"/>
      <c r="ISF7" s="735"/>
      <c r="ISG7" s="735"/>
      <c r="ISH7" s="735"/>
      <c r="ISI7" s="735"/>
      <c r="ISJ7" s="735"/>
      <c r="ISK7" s="735"/>
      <c r="ISL7" s="735"/>
      <c r="ISM7" s="735"/>
      <c r="ISN7" s="735"/>
      <c r="ISO7" s="735"/>
      <c r="ISP7" s="735"/>
      <c r="ISQ7" s="735"/>
      <c r="ISR7" s="735"/>
      <c r="ISS7" s="735"/>
      <c r="IST7" s="735"/>
      <c r="ISU7" s="735"/>
      <c r="ISV7" s="735"/>
      <c r="ISW7" s="735"/>
      <c r="ISX7" s="735"/>
      <c r="ISY7" s="735"/>
      <c r="ISZ7" s="735"/>
      <c r="ITA7" s="735"/>
      <c r="ITB7" s="735"/>
      <c r="ITC7" s="735"/>
      <c r="ITD7" s="735"/>
      <c r="ITE7" s="735"/>
      <c r="ITF7" s="735"/>
      <c r="ITG7" s="735"/>
      <c r="ITH7" s="735"/>
      <c r="ITI7" s="735"/>
      <c r="ITJ7" s="735"/>
      <c r="ITK7" s="735"/>
      <c r="ITL7" s="735"/>
      <c r="ITM7" s="735"/>
      <c r="ITN7" s="735"/>
      <c r="ITO7" s="735"/>
      <c r="ITP7" s="735"/>
      <c r="ITQ7" s="735"/>
      <c r="ITR7" s="735"/>
      <c r="ITS7" s="735"/>
      <c r="ITT7" s="735"/>
      <c r="ITU7" s="735"/>
      <c r="ITV7" s="735"/>
      <c r="ITW7" s="735"/>
      <c r="ITX7" s="735"/>
      <c r="ITY7" s="735"/>
      <c r="ITZ7" s="735"/>
      <c r="IUA7" s="735"/>
      <c r="IUB7" s="735"/>
      <c r="IUC7" s="735"/>
      <c r="IUD7" s="735"/>
      <c r="IUE7" s="735"/>
      <c r="IUF7" s="735"/>
      <c r="IUG7" s="735"/>
      <c r="IUH7" s="735"/>
      <c r="IUI7" s="735"/>
      <c r="IUJ7" s="735"/>
      <c r="IUK7" s="735"/>
      <c r="IUL7" s="735"/>
      <c r="IUM7" s="735"/>
      <c r="IUN7" s="735"/>
      <c r="IUO7" s="735"/>
      <c r="IUP7" s="735"/>
      <c r="IUQ7" s="735"/>
      <c r="IUR7" s="735"/>
      <c r="IUS7" s="735"/>
      <c r="IUT7" s="735"/>
      <c r="IUU7" s="735"/>
      <c r="IUV7" s="735"/>
      <c r="IUW7" s="735"/>
      <c r="IUX7" s="735"/>
      <c r="IUY7" s="735"/>
      <c r="IUZ7" s="735"/>
      <c r="IVA7" s="735"/>
      <c r="IVB7" s="735"/>
      <c r="IVC7" s="735"/>
      <c r="IVD7" s="735"/>
      <c r="IVE7" s="735"/>
      <c r="IVF7" s="735"/>
      <c r="IVG7" s="735"/>
      <c r="IVH7" s="735"/>
      <c r="IVI7" s="735"/>
      <c r="IVJ7" s="735"/>
      <c r="IVK7" s="735"/>
      <c r="IVL7" s="735"/>
      <c r="IVM7" s="735"/>
      <c r="IVN7" s="735"/>
      <c r="IVO7" s="735"/>
      <c r="IVP7" s="735"/>
      <c r="IVQ7" s="735"/>
      <c r="IVR7" s="735"/>
      <c r="IVS7" s="735"/>
      <c r="IVT7" s="735"/>
      <c r="IVU7" s="735"/>
      <c r="IVV7" s="735"/>
      <c r="IVW7" s="735"/>
      <c r="IVX7" s="735"/>
      <c r="IVY7" s="735"/>
      <c r="IVZ7" s="735"/>
      <c r="IWA7" s="735"/>
      <c r="IWB7" s="735"/>
      <c r="IWC7" s="735"/>
      <c r="IWD7" s="735"/>
      <c r="IWE7" s="735"/>
      <c r="IWF7" s="735"/>
      <c r="IWG7" s="735"/>
      <c r="IWH7" s="735"/>
      <c r="IWI7" s="735"/>
      <c r="IWJ7" s="735"/>
      <c r="IWK7" s="735"/>
      <c r="IWL7" s="735"/>
      <c r="IWM7" s="735"/>
      <c r="IWN7" s="735"/>
      <c r="IWO7" s="735"/>
      <c r="IWP7" s="735"/>
      <c r="IWQ7" s="735"/>
      <c r="IWR7" s="735"/>
      <c r="IWS7" s="735"/>
      <c r="IWT7" s="735"/>
      <c r="IWU7" s="735"/>
      <c r="IWV7" s="735"/>
      <c r="IWW7" s="735"/>
      <c r="IWX7" s="735"/>
      <c r="IWY7" s="735"/>
      <c r="IWZ7" s="735"/>
      <c r="IXA7" s="735"/>
      <c r="IXB7" s="735"/>
      <c r="IXC7" s="735"/>
      <c r="IXD7" s="735"/>
      <c r="IXE7" s="735"/>
      <c r="IXF7" s="735"/>
      <c r="IXG7" s="735"/>
      <c r="IXH7" s="735"/>
      <c r="IXI7" s="735"/>
      <c r="IXJ7" s="735"/>
      <c r="IXK7" s="735"/>
      <c r="IXL7" s="735"/>
      <c r="IXM7" s="735"/>
      <c r="IXN7" s="735"/>
      <c r="IXO7" s="735"/>
      <c r="IXP7" s="735"/>
      <c r="IXQ7" s="735"/>
      <c r="IXR7" s="735"/>
      <c r="IXS7" s="735"/>
      <c r="IXT7" s="735"/>
      <c r="IXU7" s="735"/>
      <c r="IXV7" s="735"/>
      <c r="IXW7" s="735"/>
      <c r="IXX7" s="735"/>
      <c r="IXY7" s="735"/>
      <c r="IXZ7" s="735"/>
      <c r="IYA7" s="735"/>
      <c r="IYB7" s="735"/>
      <c r="IYC7" s="735"/>
      <c r="IYD7" s="735"/>
      <c r="IYE7" s="735"/>
      <c r="IYF7" s="735"/>
      <c r="IYG7" s="735"/>
      <c r="IYH7" s="735"/>
      <c r="IYI7" s="735"/>
      <c r="IYJ7" s="735"/>
      <c r="IYK7" s="735"/>
      <c r="IYL7" s="735"/>
      <c r="IYM7" s="735"/>
      <c r="IYN7" s="735"/>
      <c r="IYO7" s="735"/>
      <c r="IYP7" s="735"/>
      <c r="IYQ7" s="735"/>
      <c r="IYR7" s="735"/>
      <c r="IYS7" s="735"/>
      <c r="IYT7" s="735"/>
      <c r="IYU7" s="735"/>
      <c r="IYV7" s="735"/>
      <c r="IYW7" s="735"/>
      <c r="IYX7" s="735"/>
      <c r="IYY7" s="735"/>
      <c r="IYZ7" s="735"/>
      <c r="IZA7" s="735"/>
      <c r="IZB7" s="735"/>
      <c r="IZC7" s="735"/>
      <c r="IZD7" s="735"/>
      <c r="IZE7" s="735"/>
      <c r="IZF7" s="735"/>
      <c r="IZG7" s="735"/>
      <c r="IZH7" s="735"/>
      <c r="IZI7" s="735"/>
      <c r="IZJ7" s="735"/>
      <c r="IZK7" s="735"/>
      <c r="IZL7" s="735"/>
      <c r="IZM7" s="735"/>
      <c r="IZN7" s="735"/>
      <c r="IZO7" s="735"/>
      <c r="IZP7" s="735"/>
      <c r="IZQ7" s="735"/>
      <c r="IZR7" s="735"/>
      <c r="IZS7" s="735"/>
      <c r="IZT7" s="735"/>
      <c r="IZU7" s="735"/>
      <c r="IZV7" s="735"/>
      <c r="IZW7" s="735"/>
      <c r="IZX7" s="735"/>
      <c r="IZY7" s="735"/>
      <c r="IZZ7" s="735"/>
      <c r="JAA7" s="735"/>
      <c r="JAB7" s="735"/>
      <c r="JAC7" s="735"/>
      <c r="JAD7" s="735"/>
      <c r="JAE7" s="735"/>
      <c r="JAF7" s="735"/>
      <c r="JAG7" s="735"/>
      <c r="JAH7" s="735"/>
      <c r="JAI7" s="735"/>
      <c r="JAJ7" s="735"/>
      <c r="JAK7" s="735"/>
      <c r="JAL7" s="735"/>
      <c r="JAM7" s="735"/>
      <c r="JAN7" s="735"/>
      <c r="JAO7" s="735"/>
      <c r="JAP7" s="735"/>
      <c r="JAQ7" s="735"/>
      <c r="JAR7" s="735"/>
      <c r="JAS7" s="735"/>
      <c r="JAT7" s="735"/>
      <c r="JAU7" s="735"/>
      <c r="JAV7" s="735"/>
      <c r="JAW7" s="735"/>
      <c r="JAX7" s="735"/>
      <c r="JAY7" s="735"/>
      <c r="JAZ7" s="735"/>
      <c r="JBA7" s="735"/>
      <c r="JBB7" s="735"/>
      <c r="JBC7" s="735"/>
      <c r="JBD7" s="735"/>
      <c r="JBE7" s="735"/>
      <c r="JBF7" s="735"/>
      <c r="JBG7" s="735"/>
      <c r="JBH7" s="735"/>
      <c r="JBI7" s="735"/>
      <c r="JBJ7" s="735"/>
      <c r="JBK7" s="735"/>
      <c r="JBL7" s="735"/>
      <c r="JBM7" s="735"/>
      <c r="JBN7" s="735"/>
      <c r="JBO7" s="735"/>
      <c r="JBP7" s="735"/>
      <c r="JBQ7" s="735"/>
      <c r="JBR7" s="735"/>
      <c r="JBS7" s="735"/>
      <c r="JBT7" s="735"/>
      <c r="JBU7" s="735"/>
      <c r="JBV7" s="735"/>
      <c r="JBW7" s="735"/>
      <c r="JBX7" s="735"/>
      <c r="JBY7" s="735"/>
      <c r="JBZ7" s="735"/>
      <c r="JCA7" s="735"/>
      <c r="JCB7" s="735"/>
      <c r="JCC7" s="735"/>
      <c r="JCD7" s="735"/>
      <c r="JCE7" s="735"/>
      <c r="JCF7" s="735"/>
      <c r="JCG7" s="735"/>
      <c r="JCH7" s="735"/>
      <c r="JCI7" s="735"/>
      <c r="JCJ7" s="735"/>
      <c r="JCK7" s="735"/>
      <c r="JCL7" s="735"/>
      <c r="JCM7" s="735"/>
      <c r="JCN7" s="735"/>
      <c r="JCO7" s="735"/>
      <c r="JCP7" s="735"/>
      <c r="JCQ7" s="735"/>
      <c r="JCR7" s="735"/>
      <c r="JCS7" s="735"/>
      <c r="JCT7" s="735"/>
      <c r="JCU7" s="735"/>
      <c r="JCV7" s="735"/>
      <c r="JCW7" s="735"/>
      <c r="JCX7" s="735"/>
      <c r="JCY7" s="735"/>
      <c r="JCZ7" s="735"/>
      <c r="JDA7" s="735"/>
      <c r="JDB7" s="735"/>
      <c r="JDC7" s="735"/>
      <c r="JDD7" s="735"/>
      <c r="JDE7" s="735"/>
      <c r="JDF7" s="735"/>
      <c r="JDG7" s="735"/>
      <c r="JDH7" s="735"/>
      <c r="JDI7" s="735"/>
      <c r="JDJ7" s="735"/>
      <c r="JDK7" s="735"/>
      <c r="JDL7" s="735"/>
      <c r="JDM7" s="735"/>
      <c r="JDN7" s="735"/>
      <c r="JDO7" s="735"/>
      <c r="JDP7" s="735"/>
      <c r="JDQ7" s="735"/>
      <c r="JDR7" s="735"/>
      <c r="JDS7" s="735"/>
      <c r="JDT7" s="735"/>
      <c r="JDU7" s="735"/>
      <c r="JDV7" s="735"/>
      <c r="JDW7" s="735"/>
      <c r="JDX7" s="735"/>
      <c r="JDY7" s="735"/>
      <c r="JDZ7" s="735"/>
      <c r="JEA7" s="735"/>
      <c r="JEB7" s="735"/>
      <c r="JEC7" s="735"/>
      <c r="JED7" s="735"/>
      <c r="JEE7" s="735"/>
      <c r="JEF7" s="735"/>
      <c r="JEG7" s="735"/>
      <c r="JEH7" s="735"/>
      <c r="JEI7" s="735"/>
      <c r="JEJ7" s="735"/>
      <c r="JEK7" s="735"/>
      <c r="JEL7" s="735"/>
      <c r="JEM7" s="735"/>
      <c r="JEN7" s="735"/>
      <c r="JEO7" s="735"/>
      <c r="JEP7" s="735"/>
      <c r="JEQ7" s="735"/>
      <c r="JER7" s="735"/>
      <c r="JES7" s="735"/>
      <c r="JET7" s="735"/>
      <c r="JEU7" s="735"/>
      <c r="JEV7" s="735"/>
      <c r="JEW7" s="735"/>
      <c r="JEX7" s="735"/>
      <c r="JEY7" s="735"/>
      <c r="JEZ7" s="735"/>
      <c r="JFA7" s="735"/>
      <c r="JFB7" s="735"/>
      <c r="JFC7" s="735"/>
      <c r="JFD7" s="735"/>
      <c r="JFE7" s="735"/>
      <c r="JFF7" s="735"/>
      <c r="JFG7" s="735"/>
      <c r="JFH7" s="735"/>
      <c r="JFI7" s="735"/>
      <c r="JFJ7" s="735"/>
      <c r="JFK7" s="735"/>
      <c r="JFL7" s="735"/>
      <c r="JFM7" s="735"/>
      <c r="JFN7" s="735"/>
      <c r="JFO7" s="735"/>
      <c r="JFP7" s="735"/>
      <c r="JFQ7" s="735"/>
      <c r="JFR7" s="735"/>
      <c r="JFS7" s="735"/>
      <c r="JFT7" s="735"/>
      <c r="JFU7" s="735"/>
      <c r="JFV7" s="735"/>
      <c r="JFW7" s="735"/>
      <c r="JFX7" s="735"/>
      <c r="JFY7" s="735"/>
      <c r="JFZ7" s="735"/>
      <c r="JGA7" s="735"/>
      <c r="JGB7" s="735"/>
      <c r="JGC7" s="735"/>
      <c r="JGD7" s="735"/>
      <c r="JGE7" s="735"/>
      <c r="JGF7" s="735"/>
      <c r="JGG7" s="735"/>
      <c r="JGH7" s="735"/>
      <c r="JGI7" s="735"/>
      <c r="JGJ7" s="735"/>
      <c r="JGK7" s="735"/>
      <c r="JGL7" s="735"/>
      <c r="JGM7" s="735"/>
      <c r="JGN7" s="735"/>
      <c r="JGO7" s="735"/>
      <c r="JGP7" s="735"/>
      <c r="JGQ7" s="735"/>
      <c r="JGR7" s="735"/>
      <c r="JGS7" s="735"/>
      <c r="JGT7" s="735"/>
      <c r="JGU7" s="735"/>
      <c r="JGV7" s="735"/>
      <c r="JGW7" s="735"/>
      <c r="JGX7" s="735"/>
      <c r="JGY7" s="735"/>
      <c r="JGZ7" s="735"/>
      <c r="JHA7" s="735"/>
      <c r="JHB7" s="735"/>
      <c r="JHC7" s="735"/>
      <c r="JHD7" s="735"/>
      <c r="JHE7" s="735"/>
      <c r="JHF7" s="735"/>
      <c r="JHG7" s="735"/>
      <c r="JHH7" s="735"/>
      <c r="JHI7" s="735"/>
      <c r="JHJ7" s="735"/>
      <c r="JHK7" s="735"/>
      <c r="JHL7" s="735"/>
      <c r="JHM7" s="735"/>
      <c r="JHN7" s="735"/>
      <c r="JHO7" s="735"/>
      <c r="JHP7" s="735"/>
      <c r="JHQ7" s="735"/>
      <c r="JHR7" s="735"/>
      <c r="JHS7" s="735"/>
      <c r="JHT7" s="735"/>
      <c r="JHU7" s="735"/>
      <c r="JHV7" s="735"/>
      <c r="JHW7" s="735"/>
      <c r="JHX7" s="735"/>
      <c r="JHY7" s="735"/>
      <c r="JHZ7" s="735"/>
      <c r="JIA7" s="735"/>
      <c r="JIB7" s="735"/>
      <c r="JIC7" s="735"/>
      <c r="JID7" s="735"/>
      <c r="JIE7" s="735"/>
      <c r="JIF7" s="735"/>
      <c r="JIG7" s="735"/>
      <c r="JIH7" s="735"/>
      <c r="JII7" s="735"/>
      <c r="JIJ7" s="735"/>
      <c r="JIK7" s="735"/>
      <c r="JIL7" s="735"/>
      <c r="JIM7" s="735"/>
      <c r="JIN7" s="735"/>
      <c r="JIO7" s="735"/>
      <c r="JIP7" s="735"/>
      <c r="JIQ7" s="735"/>
      <c r="JIR7" s="735"/>
      <c r="JIS7" s="735"/>
      <c r="JIT7" s="735"/>
      <c r="JIU7" s="735"/>
      <c r="JIV7" s="735"/>
      <c r="JIW7" s="735"/>
      <c r="JIX7" s="735"/>
      <c r="JIY7" s="735"/>
      <c r="JIZ7" s="735"/>
      <c r="JJA7" s="735"/>
      <c r="JJB7" s="735"/>
      <c r="JJC7" s="735"/>
      <c r="JJD7" s="735"/>
      <c r="JJE7" s="735"/>
      <c r="JJF7" s="735"/>
      <c r="JJG7" s="735"/>
      <c r="JJH7" s="735"/>
      <c r="JJI7" s="735"/>
      <c r="JJJ7" s="735"/>
      <c r="JJK7" s="735"/>
      <c r="JJL7" s="735"/>
      <c r="JJM7" s="735"/>
      <c r="JJN7" s="735"/>
      <c r="JJO7" s="735"/>
      <c r="JJP7" s="735"/>
      <c r="JJQ7" s="735"/>
      <c r="JJR7" s="735"/>
      <c r="JJS7" s="735"/>
      <c r="JJT7" s="735"/>
      <c r="JJU7" s="735"/>
      <c r="JJV7" s="735"/>
      <c r="JJW7" s="735"/>
      <c r="JJX7" s="735"/>
      <c r="JJY7" s="735"/>
      <c r="JJZ7" s="735"/>
      <c r="JKA7" s="735"/>
      <c r="JKB7" s="735"/>
      <c r="JKC7" s="735"/>
      <c r="JKD7" s="735"/>
      <c r="JKE7" s="735"/>
      <c r="JKF7" s="735"/>
      <c r="JKG7" s="735"/>
      <c r="JKH7" s="735"/>
      <c r="JKI7" s="735"/>
      <c r="JKJ7" s="735"/>
      <c r="JKK7" s="735"/>
      <c r="JKL7" s="735"/>
      <c r="JKM7" s="735"/>
      <c r="JKN7" s="735"/>
      <c r="JKO7" s="735"/>
      <c r="JKP7" s="735"/>
      <c r="JKQ7" s="735"/>
      <c r="JKR7" s="735"/>
      <c r="JKS7" s="735"/>
      <c r="JKT7" s="735"/>
      <c r="JKU7" s="735"/>
      <c r="JKV7" s="735"/>
      <c r="JKW7" s="735"/>
      <c r="JKX7" s="735"/>
      <c r="JKY7" s="735"/>
      <c r="JKZ7" s="735"/>
      <c r="JLA7" s="735"/>
      <c r="JLB7" s="735"/>
      <c r="JLC7" s="735"/>
      <c r="JLD7" s="735"/>
      <c r="JLE7" s="735"/>
      <c r="JLF7" s="735"/>
      <c r="JLG7" s="735"/>
      <c r="JLH7" s="735"/>
      <c r="JLI7" s="735"/>
      <c r="JLJ7" s="735"/>
      <c r="JLK7" s="735"/>
      <c r="JLL7" s="735"/>
      <c r="JLM7" s="735"/>
      <c r="JLN7" s="735"/>
      <c r="JLO7" s="735"/>
      <c r="JLP7" s="735"/>
      <c r="JLQ7" s="735"/>
      <c r="JLR7" s="735"/>
      <c r="JLS7" s="735"/>
      <c r="JLT7" s="735"/>
      <c r="JLU7" s="735"/>
      <c r="JLV7" s="735"/>
      <c r="JLW7" s="735"/>
      <c r="JLX7" s="735"/>
      <c r="JLY7" s="735"/>
      <c r="JLZ7" s="735"/>
      <c r="JMA7" s="735"/>
      <c r="JMB7" s="735"/>
      <c r="JMC7" s="735"/>
      <c r="JMD7" s="735"/>
      <c r="JME7" s="735"/>
      <c r="JMF7" s="735"/>
      <c r="JMG7" s="735"/>
      <c r="JMH7" s="735"/>
      <c r="JMI7" s="735"/>
      <c r="JMJ7" s="735"/>
      <c r="JMK7" s="735"/>
      <c r="JML7" s="735"/>
      <c r="JMM7" s="735"/>
      <c r="JMN7" s="735"/>
      <c r="JMO7" s="735"/>
      <c r="JMP7" s="735"/>
      <c r="JMQ7" s="735"/>
      <c r="JMR7" s="735"/>
      <c r="JMS7" s="735"/>
      <c r="JMT7" s="735"/>
      <c r="JMU7" s="735"/>
      <c r="JMV7" s="735"/>
      <c r="JMW7" s="735"/>
      <c r="JMX7" s="735"/>
      <c r="JMY7" s="735"/>
      <c r="JMZ7" s="735"/>
      <c r="JNA7" s="735"/>
      <c r="JNB7" s="735"/>
      <c r="JNC7" s="735"/>
      <c r="JND7" s="735"/>
      <c r="JNE7" s="735"/>
      <c r="JNF7" s="735"/>
      <c r="JNG7" s="735"/>
      <c r="JNH7" s="735"/>
      <c r="JNI7" s="735"/>
      <c r="JNJ7" s="735"/>
      <c r="JNK7" s="735"/>
      <c r="JNL7" s="735"/>
      <c r="JNM7" s="735"/>
      <c r="JNN7" s="735"/>
      <c r="JNO7" s="735"/>
      <c r="JNP7" s="735"/>
      <c r="JNQ7" s="735"/>
      <c r="JNR7" s="735"/>
      <c r="JNS7" s="735"/>
      <c r="JNT7" s="735"/>
      <c r="JNU7" s="735"/>
      <c r="JNV7" s="735"/>
      <c r="JNW7" s="735"/>
      <c r="JNX7" s="735"/>
      <c r="JNY7" s="735"/>
      <c r="JNZ7" s="735"/>
      <c r="JOA7" s="735"/>
      <c r="JOB7" s="735"/>
      <c r="JOC7" s="735"/>
      <c r="JOD7" s="735"/>
      <c r="JOE7" s="735"/>
      <c r="JOF7" s="735"/>
      <c r="JOG7" s="735"/>
      <c r="JOH7" s="735"/>
      <c r="JOI7" s="735"/>
      <c r="JOJ7" s="735"/>
      <c r="JOK7" s="735"/>
      <c r="JOL7" s="735"/>
      <c r="JOM7" s="735"/>
      <c r="JON7" s="735"/>
      <c r="JOO7" s="735"/>
      <c r="JOP7" s="735"/>
      <c r="JOQ7" s="735"/>
      <c r="JOR7" s="735"/>
      <c r="JOS7" s="735"/>
      <c r="JOT7" s="735"/>
      <c r="JOU7" s="735"/>
      <c r="JOV7" s="735"/>
      <c r="JOW7" s="735"/>
      <c r="JOX7" s="735"/>
      <c r="JOY7" s="735"/>
      <c r="JOZ7" s="735"/>
      <c r="JPA7" s="735"/>
      <c r="JPB7" s="735"/>
      <c r="JPC7" s="735"/>
      <c r="JPD7" s="735"/>
      <c r="JPE7" s="735"/>
      <c r="JPF7" s="735"/>
      <c r="JPG7" s="735"/>
      <c r="JPH7" s="735"/>
      <c r="JPI7" s="735"/>
      <c r="JPJ7" s="735"/>
      <c r="JPK7" s="735"/>
      <c r="JPL7" s="735"/>
      <c r="JPM7" s="735"/>
      <c r="JPN7" s="735"/>
      <c r="JPO7" s="735"/>
      <c r="JPP7" s="735"/>
      <c r="JPQ7" s="735"/>
      <c r="JPR7" s="735"/>
      <c r="JPS7" s="735"/>
      <c r="JPT7" s="735"/>
      <c r="JPU7" s="735"/>
      <c r="JPV7" s="735"/>
      <c r="JPW7" s="735"/>
      <c r="JPX7" s="735"/>
      <c r="JPY7" s="735"/>
      <c r="JPZ7" s="735"/>
      <c r="JQA7" s="735"/>
      <c r="JQB7" s="735"/>
      <c r="JQC7" s="735"/>
      <c r="JQD7" s="735"/>
      <c r="JQE7" s="735"/>
      <c r="JQF7" s="735"/>
      <c r="JQG7" s="735"/>
      <c r="JQH7" s="735"/>
      <c r="JQI7" s="735"/>
      <c r="JQJ7" s="735"/>
      <c r="JQK7" s="735"/>
      <c r="JQL7" s="735"/>
      <c r="JQM7" s="735"/>
      <c r="JQN7" s="735"/>
      <c r="JQO7" s="735"/>
      <c r="JQP7" s="735"/>
      <c r="JQQ7" s="735"/>
      <c r="JQR7" s="735"/>
      <c r="JQS7" s="735"/>
      <c r="JQT7" s="735"/>
      <c r="JQU7" s="735"/>
      <c r="JQV7" s="735"/>
      <c r="JQW7" s="735"/>
      <c r="JQX7" s="735"/>
      <c r="JQY7" s="735"/>
      <c r="JQZ7" s="735"/>
      <c r="JRA7" s="735"/>
      <c r="JRB7" s="735"/>
      <c r="JRC7" s="735"/>
      <c r="JRD7" s="735"/>
      <c r="JRE7" s="735"/>
      <c r="JRF7" s="735"/>
      <c r="JRG7" s="735"/>
      <c r="JRH7" s="735"/>
      <c r="JRI7" s="735"/>
      <c r="JRJ7" s="735"/>
      <c r="JRK7" s="735"/>
      <c r="JRL7" s="735"/>
      <c r="JRM7" s="735"/>
      <c r="JRN7" s="735"/>
      <c r="JRO7" s="735"/>
      <c r="JRP7" s="735"/>
      <c r="JRQ7" s="735"/>
      <c r="JRR7" s="735"/>
      <c r="JRS7" s="735"/>
      <c r="JRT7" s="735"/>
      <c r="JRU7" s="735"/>
      <c r="JRV7" s="735"/>
      <c r="JRW7" s="735"/>
      <c r="JRX7" s="735"/>
      <c r="JRY7" s="735"/>
      <c r="JRZ7" s="735"/>
      <c r="JSA7" s="735"/>
      <c r="JSB7" s="735"/>
      <c r="JSC7" s="735"/>
      <c r="JSD7" s="735"/>
      <c r="JSE7" s="735"/>
      <c r="JSF7" s="735"/>
      <c r="JSG7" s="735"/>
      <c r="JSH7" s="735"/>
      <c r="JSI7" s="735"/>
      <c r="JSJ7" s="735"/>
      <c r="JSK7" s="735"/>
      <c r="JSL7" s="735"/>
      <c r="JSM7" s="735"/>
      <c r="JSN7" s="735"/>
      <c r="JSO7" s="735"/>
      <c r="JSP7" s="735"/>
      <c r="JSQ7" s="735"/>
      <c r="JSR7" s="735"/>
      <c r="JSS7" s="735"/>
      <c r="JST7" s="735"/>
      <c r="JSU7" s="735"/>
      <c r="JSV7" s="735"/>
      <c r="JSW7" s="735"/>
      <c r="JSX7" s="735"/>
      <c r="JSY7" s="735"/>
      <c r="JSZ7" s="735"/>
      <c r="JTA7" s="735"/>
      <c r="JTB7" s="735"/>
      <c r="JTC7" s="735"/>
      <c r="JTD7" s="735"/>
      <c r="JTE7" s="735"/>
      <c r="JTF7" s="735"/>
      <c r="JTG7" s="735"/>
      <c r="JTH7" s="735"/>
      <c r="JTI7" s="735"/>
      <c r="JTJ7" s="735"/>
      <c r="JTK7" s="735"/>
      <c r="JTL7" s="735"/>
      <c r="JTM7" s="735"/>
      <c r="JTN7" s="735"/>
      <c r="JTO7" s="735"/>
      <c r="JTP7" s="735"/>
      <c r="JTQ7" s="735"/>
      <c r="JTR7" s="735"/>
      <c r="JTS7" s="735"/>
      <c r="JTT7" s="735"/>
      <c r="JTU7" s="735"/>
      <c r="JTV7" s="735"/>
      <c r="JTW7" s="735"/>
      <c r="JTX7" s="735"/>
      <c r="JTY7" s="735"/>
      <c r="JTZ7" s="735"/>
      <c r="JUA7" s="735"/>
      <c r="JUB7" s="735"/>
      <c r="JUC7" s="735"/>
      <c r="JUD7" s="735"/>
      <c r="JUE7" s="735"/>
      <c r="JUF7" s="735"/>
      <c r="JUG7" s="735"/>
      <c r="JUH7" s="735"/>
      <c r="JUI7" s="735"/>
      <c r="JUJ7" s="735"/>
      <c r="JUK7" s="735"/>
      <c r="JUL7" s="735"/>
      <c r="JUM7" s="735"/>
      <c r="JUN7" s="735"/>
      <c r="JUO7" s="735"/>
      <c r="JUP7" s="735"/>
      <c r="JUQ7" s="735"/>
      <c r="JUR7" s="735"/>
      <c r="JUS7" s="735"/>
      <c r="JUT7" s="735"/>
      <c r="JUU7" s="735"/>
      <c r="JUV7" s="735"/>
      <c r="JUW7" s="735"/>
      <c r="JUX7" s="735"/>
      <c r="JUY7" s="735"/>
      <c r="JUZ7" s="735"/>
      <c r="JVA7" s="735"/>
      <c r="JVB7" s="735"/>
      <c r="JVC7" s="735"/>
      <c r="JVD7" s="735"/>
      <c r="JVE7" s="735"/>
      <c r="JVF7" s="735"/>
      <c r="JVG7" s="735"/>
      <c r="JVH7" s="735"/>
      <c r="JVI7" s="735"/>
      <c r="JVJ7" s="735"/>
      <c r="JVK7" s="735"/>
      <c r="JVL7" s="735"/>
      <c r="JVM7" s="735"/>
      <c r="JVN7" s="735"/>
      <c r="JVO7" s="735"/>
      <c r="JVP7" s="735"/>
      <c r="JVQ7" s="735"/>
      <c r="JVR7" s="735"/>
      <c r="JVS7" s="735"/>
      <c r="JVT7" s="735"/>
      <c r="JVU7" s="735"/>
      <c r="JVV7" s="735"/>
      <c r="JVW7" s="735"/>
      <c r="JVX7" s="735"/>
      <c r="JVY7" s="735"/>
      <c r="JVZ7" s="735"/>
      <c r="JWA7" s="735"/>
      <c r="JWB7" s="735"/>
      <c r="JWC7" s="735"/>
      <c r="JWD7" s="735"/>
      <c r="JWE7" s="735"/>
      <c r="JWF7" s="735"/>
      <c r="JWG7" s="735"/>
      <c r="JWH7" s="735"/>
      <c r="JWI7" s="735"/>
      <c r="JWJ7" s="735"/>
      <c r="JWK7" s="735"/>
      <c r="JWL7" s="735"/>
      <c r="JWM7" s="735"/>
      <c r="JWN7" s="735"/>
      <c r="JWO7" s="735"/>
      <c r="JWP7" s="735"/>
      <c r="JWQ7" s="735"/>
      <c r="JWR7" s="735"/>
      <c r="JWS7" s="735"/>
      <c r="JWT7" s="735"/>
      <c r="JWU7" s="735"/>
      <c r="JWV7" s="735"/>
      <c r="JWW7" s="735"/>
      <c r="JWX7" s="735"/>
      <c r="JWY7" s="735"/>
      <c r="JWZ7" s="735"/>
      <c r="JXA7" s="735"/>
      <c r="JXB7" s="735"/>
      <c r="JXC7" s="735"/>
      <c r="JXD7" s="735"/>
      <c r="JXE7" s="735"/>
      <c r="JXF7" s="735"/>
      <c r="JXG7" s="735"/>
      <c r="JXH7" s="735"/>
      <c r="JXI7" s="735"/>
      <c r="JXJ7" s="735"/>
      <c r="JXK7" s="735"/>
      <c r="JXL7" s="735"/>
      <c r="JXM7" s="735"/>
      <c r="JXN7" s="735"/>
      <c r="JXO7" s="735"/>
      <c r="JXP7" s="735"/>
      <c r="JXQ7" s="735"/>
      <c r="JXR7" s="735"/>
      <c r="JXS7" s="735"/>
      <c r="JXT7" s="735"/>
      <c r="JXU7" s="735"/>
      <c r="JXV7" s="735"/>
      <c r="JXW7" s="735"/>
      <c r="JXX7" s="735"/>
      <c r="JXY7" s="735"/>
      <c r="JXZ7" s="735"/>
      <c r="JYA7" s="735"/>
      <c r="JYB7" s="735"/>
      <c r="JYC7" s="735"/>
      <c r="JYD7" s="735"/>
      <c r="JYE7" s="735"/>
      <c r="JYF7" s="735"/>
      <c r="JYG7" s="735"/>
      <c r="JYH7" s="735"/>
      <c r="JYI7" s="735"/>
      <c r="JYJ7" s="735"/>
      <c r="JYK7" s="735"/>
      <c r="JYL7" s="735"/>
      <c r="JYM7" s="735"/>
      <c r="JYN7" s="735"/>
      <c r="JYO7" s="735"/>
      <c r="JYP7" s="735"/>
      <c r="JYQ7" s="735"/>
      <c r="JYR7" s="735"/>
      <c r="JYS7" s="735"/>
      <c r="JYT7" s="735"/>
      <c r="JYU7" s="735"/>
      <c r="JYV7" s="735"/>
      <c r="JYW7" s="735"/>
      <c r="JYX7" s="735"/>
      <c r="JYY7" s="735"/>
      <c r="JYZ7" s="735"/>
      <c r="JZA7" s="735"/>
      <c r="JZB7" s="735"/>
      <c r="JZC7" s="735"/>
      <c r="JZD7" s="735"/>
      <c r="JZE7" s="735"/>
      <c r="JZF7" s="735"/>
      <c r="JZG7" s="735"/>
      <c r="JZH7" s="735"/>
      <c r="JZI7" s="735"/>
      <c r="JZJ7" s="735"/>
      <c r="JZK7" s="735"/>
      <c r="JZL7" s="735"/>
      <c r="JZM7" s="735"/>
      <c r="JZN7" s="735"/>
      <c r="JZO7" s="735"/>
      <c r="JZP7" s="735"/>
      <c r="JZQ7" s="735"/>
      <c r="JZR7" s="735"/>
      <c r="JZS7" s="735"/>
      <c r="JZT7" s="735"/>
      <c r="JZU7" s="735"/>
      <c r="JZV7" s="735"/>
      <c r="JZW7" s="735"/>
      <c r="JZX7" s="735"/>
      <c r="JZY7" s="735"/>
      <c r="JZZ7" s="735"/>
      <c r="KAA7" s="735"/>
      <c r="KAB7" s="735"/>
      <c r="KAC7" s="735"/>
      <c r="KAD7" s="735"/>
      <c r="KAE7" s="735"/>
      <c r="KAF7" s="735"/>
      <c r="KAG7" s="735"/>
      <c r="KAH7" s="735"/>
      <c r="KAI7" s="735"/>
      <c r="KAJ7" s="735"/>
      <c r="KAK7" s="735"/>
      <c r="KAL7" s="735"/>
      <c r="KAM7" s="735"/>
      <c r="KAN7" s="735"/>
      <c r="KAO7" s="735"/>
      <c r="KAP7" s="735"/>
      <c r="KAQ7" s="735"/>
      <c r="KAR7" s="735"/>
      <c r="KAS7" s="735"/>
      <c r="KAT7" s="735"/>
      <c r="KAU7" s="735"/>
      <c r="KAV7" s="735"/>
      <c r="KAW7" s="735"/>
      <c r="KAX7" s="735"/>
      <c r="KAY7" s="735"/>
      <c r="KAZ7" s="735"/>
      <c r="KBA7" s="735"/>
      <c r="KBB7" s="735"/>
      <c r="KBC7" s="735"/>
      <c r="KBD7" s="735"/>
      <c r="KBE7" s="735"/>
      <c r="KBF7" s="735"/>
      <c r="KBG7" s="735"/>
      <c r="KBH7" s="735"/>
      <c r="KBI7" s="735"/>
      <c r="KBJ7" s="735"/>
      <c r="KBK7" s="735"/>
      <c r="KBL7" s="735"/>
      <c r="KBM7" s="735"/>
      <c r="KBN7" s="735"/>
      <c r="KBO7" s="735"/>
      <c r="KBP7" s="735"/>
      <c r="KBQ7" s="735"/>
      <c r="KBR7" s="735"/>
      <c r="KBS7" s="735"/>
      <c r="KBT7" s="735"/>
      <c r="KBU7" s="735"/>
      <c r="KBV7" s="735"/>
      <c r="KBW7" s="735"/>
      <c r="KBX7" s="735"/>
      <c r="KBY7" s="735"/>
      <c r="KBZ7" s="735"/>
      <c r="KCA7" s="735"/>
      <c r="KCB7" s="735"/>
      <c r="KCC7" s="735"/>
      <c r="KCD7" s="735"/>
      <c r="KCE7" s="735"/>
      <c r="KCF7" s="735"/>
      <c r="KCG7" s="735"/>
      <c r="KCH7" s="735"/>
      <c r="KCI7" s="735"/>
      <c r="KCJ7" s="735"/>
      <c r="KCK7" s="735"/>
      <c r="KCL7" s="735"/>
      <c r="KCM7" s="735"/>
      <c r="KCN7" s="735"/>
      <c r="KCO7" s="735"/>
      <c r="KCP7" s="735"/>
      <c r="KCQ7" s="735"/>
      <c r="KCR7" s="735"/>
      <c r="KCS7" s="735"/>
      <c r="KCT7" s="735"/>
      <c r="KCU7" s="735"/>
      <c r="KCV7" s="735"/>
      <c r="KCW7" s="735"/>
      <c r="KCX7" s="735"/>
      <c r="KCY7" s="735"/>
      <c r="KCZ7" s="735"/>
      <c r="KDA7" s="735"/>
      <c r="KDB7" s="735"/>
      <c r="KDC7" s="735"/>
      <c r="KDD7" s="735"/>
      <c r="KDE7" s="735"/>
      <c r="KDF7" s="735"/>
      <c r="KDG7" s="735"/>
      <c r="KDH7" s="735"/>
      <c r="KDI7" s="735"/>
      <c r="KDJ7" s="735"/>
      <c r="KDK7" s="735"/>
      <c r="KDL7" s="735"/>
      <c r="KDM7" s="735"/>
      <c r="KDN7" s="735"/>
      <c r="KDO7" s="735"/>
      <c r="KDP7" s="735"/>
      <c r="KDQ7" s="735"/>
      <c r="KDR7" s="735"/>
      <c r="KDS7" s="735"/>
      <c r="KDT7" s="735"/>
      <c r="KDU7" s="735"/>
      <c r="KDV7" s="735"/>
      <c r="KDW7" s="735"/>
      <c r="KDX7" s="735"/>
      <c r="KDY7" s="735"/>
      <c r="KDZ7" s="735"/>
      <c r="KEA7" s="735"/>
      <c r="KEB7" s="735"/>
      <c r="KEC7" s="735"/>
      <c r="KED7" s="735"/>
      <c r="KEE7" s="735"/>
      <c r="KEF7" s="735"/>
      <c r="KEG7" s="735"/>
      <c r="KEH7" s="735"/>
      <c r="KEI7" s="735"/>
      <c r="KEJ7" s="735"/>
      <c r="KEK7" s="735"/>
      <c r="KEL7" s="735"/>
      <c r="KEM7" s="735"/>
      <c r="KEN7" s="735"/>
      <c r="KEO7" s="735"/>
      <c r="KEP7" s="735"/>
      <c r="KEQ7" s="735"/>
      <c r="KER7" s="735"/>
      <c r="KES7" s="735"/>
      <c r="KET7" s="735"/>
      <c r="KEU7" s="735"/>
      <c r="KEV7" s="735"/>
      <c r="KEW7" s="735"/>
      <c r="KEX7" s="735"/>
      <c r="KEY7" s="735"/>
      <c r="KEZ7" s="735"/>
      <c r="KFA7" s="735"/>
      <c r="KFB7" s="735"/>
      <c r="KFC7" s="735"/>
      <c r="KFD7" s="735"/>
      <c r="KFE7" s="735"/>
      <c r="KFF7" s="735"/>
      <c r="KFG7" s="735"/>
      <c r="KFH7" s="735"/>
      <c r="KFI7" s="735"/>
      <c r="KFJ7" s="735"/>
      <c r="KFK7" s="735"/>
      <c r="KFL7" s="735"/>
      <c r="KFM7" s="735"/>
      <c r="KFN7" s="735"/>
      <c r="KFO7" s="735"/>
      <c r="KFP7" s="735"/>
      <c r="KFQ7" s="735"/>
      <c r="KFR7" s="735"/>
      <c r="KFS7" s="735"/>
      <c r="KFT7" s="735"/>
      <c r="KFU7" s="735"/>
      <c r="KFV7" s="735"/>
      <c r="KFW7" s="735"/>
      <c r="KFX7" s="735"/>
      <c r="KFY7" s="735"/>
      <c r="KFZ7" s="735"/>
      <c r="KGA7" s="735"/>
      <c r="KGB7" s="735"/>
      <c r="KGC7" s="735"/>
      <c r="KGD7" s="735"/>
      <c r="KGE7" s="735"/>
      <c r="KGF7" s="735"/>
      <c r="KGG7" s="735"/>
      <c r="KGH7" s="735"/>
      <c r="KGI7" s="735"/>
      <c r="KGJ7" s="735"/>
      <c r="KGK7" s="735"/>
      <c r="KGL7" s="735"/>
      <c r="KGM7" s="735"/>
      <c r="KGN7" s="735"/>
      <c r="KGO7" s="735"/>
      <c r="KGP7" s="735"/>
      <c r="KGQ7" s="735"/>
      <c r="KGR7" s="735"/>
      <c r="KGS7" s="735"/>
      <c r="KGT7" s="735"/>
      <c r="KGU7" s="735"/>
      <c r="KGV7" s="735"/>
      <c r="KGW7" s="735"/>
      <c r="KGX7" s="735"/>
      <c r="KGY7" s="735"/>
      <c r="KGZ7" s="735"/>
      <c r="KHA7" s="735"/>
      <c r="KHB7" s="735"/>
      <c r="KHC7" s="735"/>
      <c r="KHD7" s="735"/>
      <c r="KHE7" s="735"/>
      <c r="KHF7" s="735"/>
      <c r="KHG7" s="735"/>
      <c r="KHH7" s="735"/>
      <c r="KHI7" s="735"/>
      <c r="KHJ7" s="735"/>
      <c r="KHK7" s="735"/>
      <c r="KHL7" s="735"/>
      <c r="KHM7" s="735"/>
      <c r="KHN7" s="735"/>
      <c r="KHO7" s="735"/>
      <c r="KHP7" s="735"/>
      <c r="KHQ7" s="735"/>
      <c r="KHR7" s="735"/>
      <c r="KHS7" s="735"/>
      <c r="KHT7" s="735"/>
      <c r="KHU7" s="735"/>
      <c r="KHV7" s="735"/>
      <c r="KHW7" s="735"/>
      <c r="KHX7" s="735"/>
      <c r="KHY7" s="735"/>
      <c r="KHZ7" s="735"/>
      <c r="KIA7" s="735"/>
      <c r="KIB7" s="735"/>
      <c r="KIC7" s="735"/>
      <c r="KID7" s="735"/>
      <c r="KIE7" s="735"/>
      <c r="KIF7" s="735"/>
      <c r="KIG7" s="735"/>
      <c r="KIH7" s="735"/>
      <c r="KII7" s="735"/>
      <c r="KIJ7" s="735"/>
      <c r="KIK7" s="735"/>
      <c r="KIL7" s="735"/>
      <c r="KIM7" s="735"/>
      <c r="KIN7" s="735"/>
      <c r="KIO7" s="735"/>
      <c r="KIP7" s="735"/>
      <c r="KIQ7" s="735"/>
      <c r="KIR7" s="735"/>
      <c r="KIS7" s="735"/>
      <c r="KIT7" s="735"/>
      <c r="KIU7" s="735"/>
      <c r="KIV7" s="735"/>
      <c r="KIW7" s="735"/>
      <c r="KIX7" s="735"/>
      <c r="KIY7" s="735"/>
      <c r="KIZ7" s="735"/>
      <c r="KJA7" s="735"/>
      <c r="KJB7" s="735"/>
      <c r="KJC7" s="735"/>
      <c r="KJD7" s="735"/>
      <c r="KJE7" s="735"/>
      <c r="KJF7" s="735"/>
      <c r="KJG7" s="735"/>
      <c r="KJH7" s="735"/>
      <c r="KJI7" s="735"/>
      <c r="KJJ7" s="735"/>
      <c r="KJK7" s="735"/>
      <c r="KJL7" s="735"/>
      <c r="KJM7" s="735"/>
      <c r="KJN7" s="735"/>
      <c r="KJO7" s="735"/>
      <c r="KJP7" s="735"/>
      <c r="KJQ7" s="735"/>
      <c r="KJR7" s="735"/>
      <c r="KJS7" s="735"/>
      <c r="KJT7" s="735"/>
      <c r="KJU7" s="735"/>
      <c r="KJV7" s="735"/>
      <c r="KJW7" s="735"/>
      <c r="KJX7" s="735"/>
      <c r="KJY7" s="735"/>
      <c r="KJZ7" s="735"/>
      <c r="KKA7" s="735"/>
      <c r="KKB7" s="735"/>
      <c r="KKC7" s="735"/>
      <c r="KKD7" s="735"/>
      <c r="KKE7" s="735"/>
      <c r="KKF7" s="735"/>
      <c r="KKG7" s="735"/>
      <c r="KKH7" s="735"/>
      <c r="KKI7" s="735"/>
      <c r="KKJ7" s="735"/>
      <c r="KKK7" s="735"/>
      <c r="KKL7" s="735"/>
      <c r="KKM7" s="735"/>
      <c r="KKN7" s="735"/>
      <c r="KKO7" s="735"/>
      <c r="KKP7" s="735"/>
      <c r="KKQ7" s="735"/>
      <c r="KKR7" s="735"/>
      <c r="KKS7" s="735"/>
      <c r="KKT7" s="735"/>
      <c r="KKU7" s="735"/>
      <c r="KKV7" s="735"/>
      <c r="KKW7" s="735"/>
      <c r="KKX7" s="735"/>
      <c r="KKY7" s="735"/>
      <c r="KKZ7" s="735"/>
      <c r="KLA7" s="735"/>
      <c r="KLB7" s="735"/>
      <c r="KLC7" s="735"/>
      <c r="KLD7" s="735"/>
      <c r="KLE7" s="735"/>
      <c r="KLF7" s="735"/>
      <c r="KLG7" s="735"/>
      <c r="KLH7" s="735"/>
      <c r="KLI7" s="735"/>
      <c r="KLJ7" s="735"/>
      <c r="KLK7" s="735"/>
      <c r="KLL7" s="735"/>
      <c r="KLM7" s="735"/>
      <c r="KLN7" s="735"/>
      <c r="KLO7" s="735"/>
      <c r="KLP7" s="735"/>
      <c r="KLQ7" s="735"/>
      <c r="KLR7" s="735"/>
      <c r="KLS7" s="735"/>
      <c r="KLT7" s="735"/>
      <c r="KLU7" s="735"/>
      <c r="KLV7" s="735"/>
      <c r="KLW7" s="735"/>
      <c r="KLX7" s="735"/>
      <c r="KLY7" s="735"/>
      <c r="KLZ7" s="735"/>
      <c r="KMA7" s="735"/>
      <c r="KMB7" s="735"/>
      <c r="KMC7" s="735"/>
      <c r="KMD7" s="735"/>
      <c r="KME7" s="735"/>
      <c r="KMF7" s="735"/>
      <c r="KMG7" s="735"/>
      <c r="KMH7" s="735"/>
      <c r="KMI7" s="735"/>
      <c r="KMJ7" s="735"/>
      <c r="KMK7" s="735"/>
      <c r="KML7" s="735"/>
      <c r="KMM7" s="735"/>
      <c r="KMN7" s="735"/>
      <c r="KMO7" s="735"/>
      <c r="KMP7" s="735"/>
      <c r="KMQ7" s="735"/>
      <c r="KMR7" s="735"/>
      <c r="KMS7" s="735"/>
      <c r="KMT7" s="735"/>
      <c r="KMU7" s="735"/>
      <c r="KMV7" s="735"/>
      <c r="KMW7" s="735"/>
      <c r="KMX7" s="735"/>
      <c r="KMY7" s="735"/>
      <c r="KMZ7" s="735"/>
      <c r="KNA7" s="735"/>
      <c r="KNB7" s="735"/>
      <c r="KNC7" s="735"/>
      <c r="KND7" s="735"/>
      <c r="KNE7" s="735"/>
      <c r="KNF7" s="735"/>
      <c r="KNG7" s="735"/>
      <c r="KNH7" s="735"/>
      <c r="KNI7" s="735"/>
      <c r="KNJ7" s="735"/>
      <c r="KNK7" s="735"/>
      <c r="KNL7" s="735"/>
      <c r="KNM7" s="735"/>
      <c r="KNN7" s="735"/>
      <c r="KNO7" s="735"/>
      <c r="KNP7" s="735"/>
      <c r="KNQ7" s="735"/>
      <c r="KNR7" s="735"/>
      <c r="KNS7" s="735"/>
      <c r="KNT7" s="735"/>
      <c r="KNU7" s="735"/>
      <c r="KNV7" s="735"/>
      <c r="KNW7" s="735"/>
      <c r="KNX7" s="735"/>
      <c r="KNY7" s="735"/>
      <c r="KNZ7" s="735"/>
      <c r="KOA7" s="735"/>
      <c r="KOB7" s="735"/>
      <c r="KOC7" s="735"/>
      <c r="KOD7" s="735"/>
      <c r="KOE7" s="735"/>
      <c r="KOF7" s="735"/>
      <c r="KOG7" s="735"/>
      <c r="KOH7" s="735"/>
      <c r="KOI7" s="735"/>
      <c r="KOJ7" s="735"/>
      <c r="KOK7" s="735"/>
      <c r="KOL7" s="735"/>
      <c r="KOM7" s="735"/>
      <c r="KON7" s="735"/>
      <c r="KOO7" s="735"/>
      <c r="KOP7" s="735"/>
      <c r="KOQ7" s="735"/>
      <c r="KOR7" s="735"/>
      <c r="KOS7" s="735"/>
      <c r="KOT7" s="735"/>
      <c r="KOU7" s="735"/>
      <c r="KOV7" s="735"/>
      <c r="KOW7" s="735"/>
      <c r="KOX7" s="735"/>
      <c r="KOY7" s="735"/>
      <c r="KOZ7" s="735"/>
      <c r="KPA7" s="735"/>
      <c r="KPB7" s="735"/>
      <c r="KPC7" s="735"/>
      <c r="KPD7" s="735"/>
      <c r="KPE7" s="735"/>
      <c r="KPF7" s="735"/>
      <c r="KPG7" s="735"/>
      <c r="KPH7" s="735"/>
      <c r="KPI7" s="735"/>
      <c r="KPJ7" s="735"/>
      <c r="KPK7" s="735"/>
      <c r="KPL7" s="735"/>
      <c r="KPM7" s="735"/>
      <c r="KPN7" s="735"/>
      <c r="KPO7" s="735"/>
      <c r="KPP7" s="735"/>
      <c r="KPQ7" s="735"/>
      <c r="KPR7" s="735"/>
      <c r="KPS7" s="735"/>
      <c r="KPT7" s="735"/>
      <c r="KPU7" s="735"/>
      <c r="KPV7" s="735"/>
      <c r="KPW7" s="735"/>
      <c r="KPX7" s="735"/>
      <c r="KPY7" s="735"/>
      <c r="KPZ7" s="735"/>
      <c r="KQA7" s="735"/>
      <c r="KQB7" s="735"/>
      <c r="KQC7" s="735"/>
      <c r="KQD7" s="735"/>
      <c r="KQE7" s="735"/>
      <c r="KQF7" s="735"/>
      <c r="KQG7" s="735"/>
      <c r="KQH7" s="735"/>
      <c r="KQI7" s="735"/>
      <c r="KQJ7" s="735"/>
      <c r="KQK7" s="735"/>
      <c r="KQL7" s="735"/>
      <c r="KQM7" s="735"/>
      <c r="KQN7" s="735"/>
      <c r="KQO7" s="735"/>
      <c r="KQP7" s="735"/>
      <c r="KQQ7" s="735"/>
      <c r="KQR7" s="735"/>
      <c r="KQS7" s="735"/>
      <c r="KQT7" s="735"/>
      <c r="KQU7" s="735"/>
      <c r="KQV7" s="735"/>
      <c r="KQW7" s="735"/>
      <c r="KQX7" s="735"/>
      <c r="KQY7" s="735"/>
      <c r="KQZ7" s="735"/>
      <c r="KRA7" s="735"/>
      <c r="KRB7" s="735"/>
      <c r="KRC7" s="735"/>
      <c r="KRD7" s="735"/>
      <c r="KRE7" s="735"/>
      <c r="KRF7" s="735"/>
      <c r="KRG7" s="735"/>
      <c r="KRH7" s="735"/>
      <c r="KRI7" s="735"/>
      <c r="KRJ7" s="735"/>
      <c r="KRK7" s="735"/>
      <c r="KRL7" s="735"/>
      <c r="KRM7" s="735"/>
      <c r="KRN7" s="735"/>
      <c r="KRO7" s="735"/>
      <c r="KRP7" s="735"/>
      <c r="KRQ7" s="735"/>
      <c r="KRR7" s="735"/>
      <c r="KRS7" s="735"/>
      <c r="KRT7" s="735"/>
      <c r="KRU7" s="735"/>
      <c r="KRV7" s="735"/>
      <c r="KRW7" s="735"/>
      <c r="KRX7" s="735"/>
      <c r="KRY7" s="735"/>
      <c r="KRZ7" s="735"/>
      <c r="KSA7" s="735"/>
      <c r="KSB7" s="735"/>
      <c r="KSC7" s="735"/>
      <c r="KSD7" s="735"/>
      <c r="KSE7" s="735"/>
      <c r="KSF7" s="735"/>
      <c r="KSG7" s="735"/>
      <c r="KSH7" s="735"/>
      <c r="KSI7" s="735"/>
      <c r="KSJ7" s="735"/>
      <c r="KSK7" s="735"/>
      <c r="KSL7" s="735"/>
      <c r="KSM7" s="735"/>
      <c r="KSN7" s="735"/>
      <c r="KSO7" s="735"/>
      <c r="KSP7" s="735"/>
      <c r="KSQ7" s="735"/>
      <c r="KSR7" s="735"/>
      <c r="KSS7" s="735"/>
      <c r="KST7" s="735"/>
      <c r="KSU7" s="735"/>
      <c r="KSV7" s="735"/>
      <c r="KSW7" s="735"/>
      <c r="KSX7" s="735"/>
      <c r="KSY7" s="735"/>
      <c r="KSZ7" s="735"/>
      <c r="KTA7" s="735"/>
      <c r="KTB7" s="735"/>
      <c r="KTC7" s="735"/>
      <c r="KTD7" s="735"/>
      <c r="KTE7" s="735"/>
      <c r="KTF7" s="735"/>
      <c r="KTG7" s="735"/>
      <c r="KTH7" s="735"/>
      <c r="KTI7" s="735"/>
      <c r="KTJ7" s="735"/>
      <c r="KTK7" s="735"/>
      <c r="KTL7" s="735"/>
      <c r="KTM7" s="735"/>
      <c r="KTN7" s="735"/>
      <c r="KTO7" s="735"/>
      <c r="KTP7" s="735"/>
      <c r="KTQ7" s="735"/>
      <c r="KTR7" s="735"/>
      <c r="KTS7" s="735"/>
      <c r="KTT7" s="735"/>
      <c r="KTU7" s="735"/>
      <c r="KTV7" s="735"/>
      <c r="KTW7" s="735"/>
      <c r="KTX7" s="735"/>
      <c r="KTY7" s="735"/>
      <c r="KTZ7" s="735"/>
      <c r="KUA7" s="735"/>
      <c r="KUB7" s="735"/>
      <c r="KUC7" s="735"/>
      <c r="KUD7" s="735"/>
      <c r="KUE7" s="735"/>
      <c r="KUF7" s="735"/>
      <c r="KUG7" s="735"/>
      <c r="KUH7" s="735"/>
      <c r="KUI7" s="735"/>
      <c r="KUJ7" s="735"/>
      <c r="KUK7" s="735"/>
      <c r="KUL7" s="735"/>
      <c r="KUM7" s="735"/>
      <c r="KUN7" s="735"/>
      <c r="KUO7" s="735"/>
      <c r="KUP7" s="735"/>
      <c r="KUQ7" s="735"/>
      <c r="KUR7" s="735"/>
      <c r="KUS7" s="735"/>
      <c r="KUT7" s="735"/>
      <c r="KUU7" s="735"/>
      <c r="KUV7" s="735"/>
      <c r="KUW7" s="735"/>
      <c r="KUX7" s="735"/>
      <c r="KUY7" s="735"/>
      <c r="KUZ7" s="735"/>
      <c r="KVA7" s="735"/>
      <c r="KVB7" s="735"/>
      <c r="KVC7" s="735"/>
      <c r="KVD7" s="735"/>
      <c r="KVE7" s="735"/>
      <c r="KVF7" s="735"/>
      <c r="KVG7" s="735"/>
      <c r="KVH7" s="735"/>
      <c r="KVI7" s="735"/>
      <c r="KVJ7" s="735"/>
      <c r="KVK7" s="735"/>
      <c r="KVL7" s="735"/>
      <c r="KVM7" s="735"/>
      <c r="KVN7" s="735"/>
      <c r="KVO7" s="735"/>
      <c r="KVP7" s="735"/>
      <c r="KVQ7" s="735"/>
      <c r="KVR7" s="735"/>
      <c r="KVS7" s="735"/>
      <c r="KVT7" s="735"/>
      <c r="KVU7" s="735"/>
      <c r="KVV7" s="735"/>
      <c r="KVW7" s="735"/>
      <c r="KVX7" s="735"/>
      <c r="KVY7" s="735"/>
      <c r="KVZ7" s="735"/>
      <c r="KWA7" s="735"/>
      <c r="KWB7" s="735"/>
      <c r="KWC7" s="735"/>
      <c r="KWD7" s="735"/>
      <c r="KWE7" s="735"/>
      <c r="KWF7" s="735"/>
      <c r="KWG7" s="735"/>
      <c r="KWH7" s="735"/>
      <c r="KWI7" s="735"/>
      <c r="KWJ7" s="735"/>
      <c r="KWK7" s="735"/>
      <c r="KWL7" s="735"/>
      <c r="KWM7" s="735"/>
      <c r="KWN7" s="735"/>
      <c r="KWO7" s="735"/>
      <c r="KWP7" s="735"/>
      <c r="KWQ7" s="735"/>
      <c r="KWR7" s="735"/>
      <c r="KWS7" s="735"/>
      <c r="KWT7" s="735"/>
      <c r="KWU7" s="735"/>
      <c r="KWV7" s="735"/>
      <c r="KWW7" s="735"/>
      <c r="KWX7" s="735"/>
      <c r="KWY7" s="735"/>
      <c r="KWZ7" s="735"/>
      <c r="KXA7" s="735"/>
      <c r="KXB7" s="735"/>
      <c r="KXC7" s="735"/>
      <c r="KXD7" s="735"/>
      <c r="KXE7" s="735"/>
      <c r="KXF7" s="735"/>
      <c r="KXG7" s="735"/>
      <c r="KXH7" s="735"/>
      <c r="KXI7" s="735"/>
      <c r="KXJ7" s="735"/>
      <c r="KXK7" s="735"/>
      <c r="KXL7" s="735"/>
      <c r="KXM7" s="735"/>
      <c r="KXN7" s="735"/>
      <c r="KXO7" s="735"/>
      <c r="KXP7" s="735"/>
      <c r="KXQ7" s="735"/>
      <c r="KXR7" s="735"/>
      <c r="KXS7" s="735"/>
      <c r="KXT7" s="735"/>
      <c r="KXU7" s="735"/>
      <c r="KXV7" s="735"/>
      <c r="KXW7" s="735"/>
      <c r="KXX7" s="735"/>
      <c r="KXY7" s="735"/>
      <c r="KXZ7" s="735"/>
      <c r="KYA7" s="735"/>
      <c r="KYB7" s="735"/>
      <c r="KYC7" s="735"/>
      <c r="KYD7" s="735"/>
      <c r="KYE7" s="735"/>
      <c r="KYF7" s="735"/>
      <c r="KYG7" s="735"/>
      <c r="KYH7" s="735"/>
      <c r="KYI7" s="735"/>
      <c r="KYJ7" s="735"/>
      <c r="KYK7" s="735"/>
      <c r="KYL7" s="735"/>
      <c r="KYM7" s="735"/>
      <c r="KYN7" s="735"/>
      <c r="KYO7" s="735"/>
      <c r="KYP7" s="735"/>
      <c r="KYQ7" s="735"/>
      <c r="KYR7" s="735"/>
      <c r="KYS7" s="735"/>
      <c r="KYT7" s="735"/>
      <c r="KYU7" s="735"/>
      <c r="KYV7" s="735"/>
      <c r="KYW7" s="735"/>
      <c r="KYX7" s="735"/>
      <c r="KYY7" s="735"/>
      <c r="KYZ7" s="735"/>
      <c r="KZA7" s="735"/>
      <c r="KZB7" s="735"/>
      <c r="KZC7" s="735"/>
      <c r="KZD7" s="735"/>
      <c r="KZE7" s="735"/>
      <c r="KZF7" s="735"/>
      <c r="KZG7" s="735"/>
      <c r="KZH7" s="735"/>
      <c r="KZI7" s="735"/>
      <c r="KZJ7" s="735"/>
      <c r="KZK7" s="735"/>
      <c r="KZL7" s="735"/>
      <c r="KZM7" s="735"/>
      <c r="KZN7" s="735"/>
      <c r="KZO7" s="735"/>
      <c r="KZP7" s="735"/>
      <c r="KZQ7" s="735"/>
      <c r="KZR7" s="735"/>
      <c r="KZS7" s="735"/>
      <c r="KZT7" s="735"/>
      <c r="KZU7" s="735"/>
      <c r="KZV7" s="735"/>
      <c r="KZW7" s="735"/>
      <c r="KZX7" s="735"/>
      <c r="KZY7" s="735"/>
      <c r="KZZ7" s="735"/>
      <c r="LAA7" s="735"/>
      <c r="LAB7" s="735"/>
      <c r="LAC7" s="735"/>
      <c r="LAD7" s="735"/>
      <c r="LAE7" s="735"/>
      <c r="LAF7" s="735"/>
      <c r="LAG7" s="735"/>
      <c r="LAH7" s="735"/>
      <c r="LAI7" s="735"/>
      <c r="LAJ7" s="735"/>
      <c r="LAK7" s="735"/>
      <c r="LAL7" s="735"/>
      <c r="LAM7" s="735"/>
      <c r="LAN7" s="735"/>
      <c r="LAO7" s="735"/>
      <c r="LAP7" s="735"/>
      <c r="LAQ7" s="735"/>
      <c r="LAR7" s="735"/>
      <c r="LAS7" s="735"/>
      <c r="LAT7" s="735"/>
      <c r="LAU7" s="735"/>
      <c r="LAV7" s="735"/>
      <c r="LAW7" s="735"/>
      <c r="LAX7" s="735"/>
      <c r="LAY7" s="735"/>
      <c r="LAZ7" s="735"/>
      <c r="LBA7" s="735"/>
      <c r="LBB7" s="735"/>
      <c r="LBC7" s="735"/>
      <c r="LBD7" s="735"/>
      <c r="LBE7" s="735"/>
      <c r="LBF7" s="735"/>
      <c r="LBG7" s="735"/>
      <c r="LBH7" s="735"/>
      <c r="LBI7" s="735"/>
      <c r="LBJ7" s="735"/>
      <c r="LBK7" s="735"/>
      <c r="LBL7" s="735"/>
      <c r="LBM7" s="735"/>
      <c r="LBN7" s="735"/>
      <c r="LBO7" s="735"/>
      <c r="LBP7" s="735"/>
      <c r="LBQ7" s="735"/>
      <c r="LBR7" s="735"/>
      <c r="LBS7" s="735"/>
      <c r="LBT7" s="735"/>
      <c r="LBU7" s="735"/>
      <c r="LBV7" s="735"/>
      <c r="LBW7" s="735"/>
      <c r="LBX7" s="735"/>
      <c r="LBY7" s="735"/>
      <c r="LBZ7" s="735"/>
      <c r="LCA7" s="735"/>
      <c r="LCB7" s="735"/>
      <c r="LCC7" s="735"/>
      <c r="LCD7" s="735"/>
      <c r="LCE7" s="735"/>
      <c r="LCF7" s="735"/>
      <c r="LCG7" s="735"/>
      <c r="LCH7" s="735"/>
      <c r="LCI7" s="735"/>
      <c r="LCJ7" s="735"/>
      <c r="LCK7" s="735"/>
      <c r="LCL7" s="735"/>
      <c r="LCM7" s="735"/>
      <c r="LCN7" s="735"/>
      <c r="LCO7" s="735"/>
      <c r="LCP7" s="735"/>
      <c r="LCQ7" s="735"/>
      <c r="LCR7" s="735"/>
      <c r="LCS7" s="735"/>
      <c r="LCT7" s="735"/>
      <c r="LCU7" s="735"/>
      <c r="LCV7" s="735"/>
      <c r="LCW7" s="735"/>
      <c r="LCX7" s="735"/>
      <c r="LCY7" s="735"/>
      <c r="LCZ7" s="735"/>
      <c r="LDA7" s="735"/>
      <c r="LDB7" s="735"/>
      <c r="LDC7" s="735"/>
      <c r="LDD7" s="735"/>
      <c r="LDE7" s="735"/>
      <c r="LDF7" s="735"/>
      <c r="LDG7" s="735"/>
      <c r="LDH7" s="735"/>
      <c r="LDI7" s="735"/>
      <c r="LDJ7" s="735"/>
      <c r="LDK7" s="735"/>
      <c r="LDL7" s="735"/>
      <c r="LDM7" s="735"/>
      <c r="LDN7" s="735"/>
      <c r="LDO7" s="735"/>
      <c r="LDP7" s="735"/>
      <c r="LDQ7" s="735"/>
      <c r="LDR7" s="735"/>
      <c r="LDS7" s="735"/>
      <c r="LDT7" s="735"/>
      <c r="LDU7" s="735"/>
      <c r="LDV7" s="735"/>
      <c r="LDW7" s="735"/>
      <c r="LDX7" s="735"/>
      <c r="LDY7" s="735"/>
      <c r="LDZ7" s="735"/>
      <c r="LEA7" s="735"/>
      <c r="LEB7" s="735"/>
      <c r="LEC7" s="735"/>
      <c r="LED7" s="735"/>
      <c r="LEE7" s="735"/>
      <c r="LEF7" s="735"/>
      <c r="LEG7" s="735"/>
      <c r="LEH7" s="735"/>
      <c r="LEI7" s="735"/>
      <c r="LEJ7" s="735"/>
      <c r="LEK7" s="735"/>
      <c r="LEL7" s="735"/>
      <c r="LEM7" s="735"/>
      <c r="LEN7" s="735"/>
      <c r="LEO7" s="735"/>
      <c r="LEP7" s="735"/>
      <c r="LEQ7" s="735"/>
      <c r="LER7" s="735"/>
      <c r="LES7" s="735"/>
      <c r="LET7" s="735"/>
      <c r="LEU7" s="735"/>
      <c r="LEV7" s="735"/>
      <c r="LEW7" s="735"/>
      <c r="LEX7" s="735"/>
      <c r="LEY7" s="735"/>
      <c r="LEZ7" s="735"/>
      <c r="LFA7" s="735"/>
      <c r="LFB7" s="735"/>
      <c r="LFC7" s="735"/>
      <c r="LFD7" s="735"/>
      <c r="LFE7" s="735"/>
      <c r="LFF7" s="735"/>
      <c r="LFG7" s="735"/>
      <c r="LFH7" s="735"/>
      <c r="LFI7" s="735"/>
      <c r="LFJ7" s="735"/>
      <c r="LFK7" s="735"/>
      <c r="LFL7" s="735"/>
      <c r="LFM7" s="735"/>
      <c r="LFN7" s="735"/>
      <c r="LFO7" s="735"/>
      <c r="LFP7" s="735"/>
      <c r="LFQ7" s="735"/>
      <c r="LFR7" s="735"/>
      <c r="LFS7" s="735"/>
      <c r="LFT7" s="735"/>
      <c r="LFU7" s="735"/>
      <c r="LFV7" s="735"/>
      <c r="LFW7" s="735"/>
      <c r="LFX7" s="735"/>
      <c r="LFY7" s="735"/>
      <c r="LFZ7" s="735"/>
      <c r="LGA7" s="735"/>
      <c r="LGB7" s="735"/>
      <c r="LGC7" s="735"/>
      <c r="LGD7" s="735"/>
      <c r="LGE7" s="735"/>
      <c r="LGF7" s="735"/>
      <c r="LGG7" s="735"/>
      <c r="LGH7" s="735"/>
      <c r="LGI7" s="735"/>
      <c r="LGJ7" s="735"/>
      <c r="LGK7" s="735"/>
      <c r="LGL7" s="735"/>
      <c r="LGM7" s="735"/>
      <c r="LGN7" s="735"/>
      <c r="LGO7" s="735"/>
      <c r="LGP7" s="735"/>
      <c r="LGQ7" s="735"/>
      <c r="LGR7" s="735"/>
      <c r="LGS7" s="735"/>
      <c r="LGT7" s="735"/>
      <c r="LGU7" s="735"/>
      <c r="LGV7" s="735"/>
      <c r="LGW7" s="735"/>
      <c r="LGX7" s="735"/>
      <c r="LGY7" s="735"/>
      <c r="LGZ7" s="735"/>
      <c r="LHA7" s="735"/>
      <c r="LHB7" s="735"/>
      <c r="LHC7" s="735"/>
      <c r="LHD7" s="735"/>
      <c r="LHE7" s="735"/>
      <c r="LHF7" s="735"/>
      <c r="LHG7" s="735"/>
      <c r="LHH7" s="735"/>
      <c r="LHI7" s="735"/>
      <c r="LHJ7" s="735"/>
      <c r="LHK7" s="735"/>
      <c r="LHL7" s="735"/>
      <c r="LHM7" s="735"/>
      <c r="LHN7" s="735"/>
      <c r="LHO7" s="735"/>
      <c r="LHP7" s="735"/>
      <c r="LHQ7" s="735"/>
      <c r="LHR7" s="735"/>
      <c r="LHS7" s="735"/>
      <c r="LHT7" s="735"/>
      <c r="LHU7" s="735"/>
      <c r="LHV7" s="735"/>
      <c r="LHW7" s="735"/>
      <c r="LHX7" s="735"/>
      <c r="LHY7" s="735"/>
      <c r="LHZ7" s="735"/>
      <c r="LIA7" s="735"/>
      <c r="LIB7" s="735"/>
      <c r="LIC7" s="735"/>
      <c r="LID7" s="735"/>
      <c r="LIE7" s="735"/>
      <c r="LIF7" s="735"/>
      <c r="LIG7" s="735"/>
      <c r="LIH7" s="735"/>
      <c r="LII7" s="735"/>
      <c r="LIJ7" s="735"/>
      <c r="LIK7" s="735"/>
      <c r="LIL7" s="735"/>
      <c r="LIM7" s="735"/>
      <c r="LIN7" s="735"/>
      <c r="LIO7" s="735"/>
      <c r="LIP7" s="735"/>
      <c r="LIQ7" s="735"/>
      <c r="LIR7" s="735"/>
      <c r="LIS7" s="735"/>
      <c r="LIT7" s="735"/>
      <c r="LIU7" s="735"/>
      <c r="LIV7" s="735"/>
      <c r="LIW7" s="735"/>
      <c r="LIX7" s="735"/>
      <c r="LIY7" s="735"/>
      <c r="LIZ7" s="735"/>
      <c r="LJA7" s="735"/>
      <c r="LJB7" s="735"/>
      <c r="LJC7" s="735"/>
      <c r="LJD7" s="735"/>
      <c r="LJE7" s="735"/>
      <c r="LJF7" s="735"/>
      <c r="LJG7" s="735"/>
      <c r="LJH7" s="735"/>
      <c r="LJI7" s="735"/>
      <c r="LJJ7" s="735"/>
      <c r="LJK7" s="735"/>
      <c r="LJL7" s="735"/>
      <c r="LJM7" s="735"/>
      <c r="LJN7" s="735"/>
      <c r="LJO7" s="735"/>
      <c r="LJP7" s="735"/>
      <c r="LJQ7" s="735"/>
      <c r="LJR7" s="735"/>
      <c r="LJS7" s="735"/>
      <c r="LJT7" s="735"/>
      <c r="LJU7" s="735"/>
      <c r="LJV7" s="735"/>
      <c r="LJW7" s="735"/>
      <c r="LJX7" s="735"/>
      <c r="LJY7" s="735"/>
      <c r="LJZ7" s="735"/>
      <c r="LKA7" s="735"/>
      <c r="LKB7" s="735"/>
      <c r="LKC7" s="735"/>
      <c r="LKD7" s="735"/>
      <c r="LKE7" s="735"/>
      <c r="LKF7" s="735"/>
      <c r="LKG7" s="735"/>
      <c r="LKH7" s="735"/>
      <c r="LKI7" s="735"/>
      <c r="LKJ7" s="735"/>
      <c r="LKK7" s="735"/>
      <c r="LKL7" s="735"/>
      <c r="LKM7" s="735"/>
      <c r="LKN7" s="735"/>
      <c r="LKO7" s="735"/>
      <c r="LKP7" s="735"/>
      <c r="LKQ7" s="735"/>
      <c r="LKR7" s="735"/>
      <c r="LKS7" s="735"/>
      <c r="LKT7" s="735"/>
      <c r="LKU7" s="735"/>
      <c r="LKV7" s="735"/>
      <c r="LKW7" s="735"/>
      <c r="LKX7" s="735"/>
      <c r="LKY7" s="735"/>
      <c r="LKZ7" s="735"/>
      <c r="LLA7" s="735"/>
      <c r="LLB7" s="735"/>
      <c r="LLC7" s="735"/>
      <c r="LLD7" s="735"/>
      <c r="LLE7" s="735"/>
      <c r="LLF7" s="735"/>
      <c r="LLG7" s="735"/>
      <c r="LLH7" s="735"/>
      <c r="LLI7" s="735"/>
      <c r="LLJ7" s="735"/>
      <c r="LLK7" s="735"/>
      <c r="LLL7" s="735"/>
      <c r="LLM7" s="735"/>
      <c r="LLN7" s="735"/>
      <c r="LLO7" s="735"/>
      <c r="LLP7" s="735"/>
      <c r="LLQ7" s="735"/>
      <c r="LLR7" s="735"/>
      <c r="LLS7" s="735"/>
      <c r="LLT7" s="735"/>
      <c r="LLU7" s="735"/>
      <c r="LLV7" s="735"/>
      <c r="LLW7" s="735"/>
      <c r="LLX7" s="735"/>
      <c r="LLY7" s="735"/>
      <c r="LLZ7" s="735"/>
      <c r="LMA7" s="735"/>
      <c r="LMB7" s="735"/>
      <c r="LMC7" s="735"/>
      <c r="LMD7" s="735"/>
      <c r="LME7" s="735"/>
      <c r="LMF7" s="735"/>
      <c r="LMG7" s="735"/>
      <c r="LMH7" s="735"/>
      <c r="LMI7" s="735"/>
      <c r="LMJ7" s="735"/>
      <c r="LMK7" s="735"/>
      <c r="LML7" s="735"/>
      <c r="LMM7" s="735"/>
      <c r="LMN7" s="735"/>
      <c r="LMO7" s="735"/>
      <c r="LMP7" s="735"/>
      <c r="LMQ7" s="735"/>
      <c r="LMR7" s="735"/>
      <c r="LMS7" s="735"/>
      <c r="LMT7" s="735"/>
      <c r="LMU7" s="735"/>
      <c r="LMV7" s="735"/>
      <c r="LMW7" s="735"/>
      <c r="LMX7" s="735"/>
      <c r="LMY7" s="735"/>
      <c r="LMZ7" s="735"/>
      <c r="LNA7" s="735"/>
      <c r="LNB7" s="735"/>
      <c r="LNC7" s="735"/>
      <c r="LND7" s="735"/>
      <c r="LNE7" s="735"/>
      <c r="LNF7" s="735"/>
      <c r="LNG7" s="735"/>
      <c r="LNH7" s="735"/>
      <c r="LNI7" s="735"/>
      <c r="LNJ7" s="735"/>
      <c r="LNK7" s="735"/>
      <c r="LNL7" s="735"/>
      <c r="LNM7" s="735"/>
      <c r="LNN7" s="735"/>
      <c r="LNO7" s="735"/>
      <c r="LNP7" s="735"/>
      <c r="LNQ7" s="735"/>
      <c r="LNR7" s="735"/>
      <c r="LNS7" s="735"/>
      <c r="LNT7" s="735"/>
      <c r="LNU7" s="735"/>
      <c r="LNV7" s="735"/>
      <c r="LNW7" s="735"/>
      <c r="LNX7" s="735"/>
      <c r="LNY7" s="735"/>
      <c r="LNZ7" s="735"/>
      <c r="LOA7" s="735"/>
      <c r="LOB7" s="735"/>
      <c r="LOC7" s="735"/>
      <c r="LOD7" s="735"/>
      <c r="LOE7" s="735"/>
      <c r="LOF7" s="735"/>
      <c r="LOG7" s="735"/>
      <c r="LOH7" s="735"/>
      <c r="LOI7" s="735"/>
      <c r="LOJ7" s="735"/>
      <c r="LOK7" s="735"/>
      <c r="LOL7" s="735"/>
      <c r="LOM7" s="735"/>
      <c r="LON7" s="735"/>
      <c r="LOO7" s="735"/>
      <c r="LOP7" s="735"/>
      <c r="LOQ7" s="735"/>
      <c r="LOR7" s="735"/>
      <c r="LOS7" s="735"/>
      <c r="LOT7" s="735"/>
      <c r="LOU7" s="735"/>
      <c r="LOV7" s="735"/>
      <c r="LOW7" s="735"/>
      <c r="LOX7" s="735"/>
      <c r="LOY7" s="735"/>
      <c r="LOZ7" s="735"/>
      <c r="LPA7" s="735"/>
      <c r="LPB7" s="735"/>
      <c r="LPC7" s="735"/>
      <c r="LPD7" s="735"/>
      <c r="LPE7" s="735"/>
      <c r="LPF7" s="735"/>
      <c r="LPG7" s="735"/>
      <c r="LPH7" s="735"/>
      <c r="LPI7" s="735"/>
      <c r="LPJ7" s="735"/>
      <c r="LPK7" s="735"/>
      <c r="LPL7" s="735"/>
      <c r="LPM7" s="735"/>
      <c r="LPN7" s="735"/>
      <c r="LPO7" s="735"/>
      <c r="LPP7" s="735"/>
      <c r="LPQ7" s="735"/>
      <c r="LPR7" s="735"/>
      <c r="LPS7" s="735"/>
      <c r="LPT7" s="735"/>
      <c r="LPU7" s="735"/>
      <c r="LPV7" s="735"/>
      <c r="LPW7" s="735"/>
      <c r="LPX7" s="735"/>
      <c r="LPY7" s="735"/>
      <c r="LPZ7" s="735"/>
      <c r="LQA7" s="735"/>
      <c r="LQB7" s="735"/>
      <c r="LQC7" s="735"/>
      <c r="LQD7" s="735"/>
      <c r="LQE7" s="735"/>
      <c r="LQF7" s="735"/>
      <c r="LQG7" s="735"/>
      <c r="LQH7" s="735"/>
      <c r="LQI7" s="735"/>
      <c r="LQJ7" s="735"/>
      <c r="LQK7" s="735"/>
      <c r="LQL7" s="735"/>
      <c r="LQM7" s="735"/>
      <c r="LQN7" s="735"/>
      <c r="LQO7" s="735"/>
      <c r="LQP7" s="735"/>
      <c r="LQQ7" s="735"/>
      <c r="LQR7" s="735"/>
      <c r="LQS7" s="735"/>
      <c r="LQT7" s="735"/>
      <c r="LQU7" s="735"/>
      <c r="LQV7" s="735"/>
      <c r="LQW7" s="735"/>
      <c r="LQX7" s="735"/>
      <c r="LQY7" s="735"/>
      <c r="LQZ7" s="735"/>
      <c r="LRA7" s="735"/>
      <c r="LRB7" s="735"/>
      <c r="LRC7" s="735"/>
      <c r="LRD7" s="735"/>
      <c r="LRE7" s="735"/>
      <c r="LRF7" s="735"/>
      <c r="LRG7" s="735"/>
      <c r="LRH7" s="735"/>
      <c r="LRI7" s="735"/>
      <c r="LRJ7" s="735"/>
      <c r="LRK7" s="735"/>
      <c r="LRL7" s="735"/>
      <c r="LRM7" s="735"/>
      <c r="LRN7" s="735"/>
      <c r="LRO7" s="735"/>
      <c r="LRP7" s="735"/>
      <c r="LRQ7" s="735"/>
      <c r="LRR7" s="735"/>
      <c r="LRS7" s="735"/>
      <c r="LRT7" s="735"/>
      <c r="LRU7" s="735"/>
      <c r="LRV7" s="735"/>
      <c r="LRW7" s="735"/>
      <c r="LRX7" s="735"/>
      <c r="LRY7" s="735"/>
      <c r="LRZ7" s="735"/>
      <c r="LSA7" s="735"/>
      <c r="LSB7" s="735"/>
      <c r="LSC7" s="735"/>
      <c r="LSD7" s="735"/>
      <c r="LSE7" s="735"/>
      <c r="LSF7" s="735"/>
      <c r="LSG7" s="735"/>
      <c r="LSH7" s="735"/>
      <c r="LSI7" s="735"/>
      <c r="LSJ7" s="735"/>
      <c r="LSK7" s="735"/>
      <c r="LSL7" s="735"/>
      <c r="LSM7" s="735"/>
      <c r="LSN7" s="735"/>
      <c r="LSO7" s="735"/>
      <c r="LSP7" s="735"/>
      <c r="LSQ7" s="735"/>
      <c r="LSR7" s="735"/>
      <c r="LSS7" s="735"/>
      <c r="LST7" s="735"/>
      <c r="LSU7" s="735"/>
      <c r="LSV7" s="735"/>
      <c r="LSW7" s="735"/>
      <c r="LSX7" s="735"/>
      <c r="LSY7" s="735"/>
      <c r="LSZ7" s="735"/>
      <c r="LTA7" s="735"/>
      <c r="LTB7" s="735"/>
      <c r="LTC7" s="735"/>
      <c r="LTD7" s="735"/>
      <c r="LTE7" s="735"/>
      <c r="LTF7" s="735"/>
      <c r="LTG7" s="735"/>
      <c r="LTH7" s="735"/>
      <c r="LTI7" s="735"/>
      <c r="LTJ7" s="735"/>
      <c r="LTK7" s="735"/>
      <c r="LTL7" s="735"/>
      <c r="LTM7" s="735"/>
      <c r="LTN7" s="735"/>
      <c r="LTO7" s="735"/>
      <c r="LTP7" s="735"/>
      <c r="LTQ7" s="735"/>
      <c r="LTR7" s="735"/>
      <c r="LTS7" s="735"/>
      <c r="LTT7" s="735"/>
      <c r="LTU7" s="735"/>
      <c r="LTV7" s="735"/>
      <c r="LTW7" s="735"/>
      <c r="LTX7" s="735"/>
      <c r="LTY7" s="735"/>
      <c r="LTZ7" s="735"/>
      <c r="LUA7" s="735"/>
      <c r="LUB7" s="735"/>
      <c r="LUC7" s="735"/>
      <c r="LUD7" s="735"/>
      <c r="LUE7" s="735"/>
      <c r="LUF7" s="735"/>
      <c r="LUG7" s="735"/>
      <c r="LUH7" s="735"/>
      <c r="LUI7" s="735"/>
      <c r="LUJ7" s="735"/>
      <c r="LUK7" s="735"/>
      <c r="LUL7" s="735"/>
      <c r="LUM7" s="735"/>
      <c r="LUN7" s="735"/>
      <c r="LUO7" s="735"/>
      <c r="LUP7" s="735"/>
      <c r="LUQ7" s="735"/>
      <c r="LUR7" s="735"/>
      <c r="LUS7" s="735"/>
      <c r="LUT7" s="735"/>
      <c r="LUU7" s="735"/>
      <c r="LUV7" s="735"/>
      <c r="LUW7" s="735"/>
      <c r="LUX7" s="735"/>
      <c r="LUY7" s="735"/>
      <c r="LUZ7" s="735"/>
      <c r="LVA7" s="735"/>
      <c r="LVB7" s="735"/>
      <c r="LVC7" s="735"/>
      <c r="LVD7" s="735"/>
      <c r="LVE7" s="735"/>
      <c r="LVF7" s="735"/>
      <c r="LVG7" s="735"/>
      <c r="LVH7" s="735"/>
      <c r="LVI7" s="735"/>
      <c r="LVJ7" s="735"/>
      <c r="LVK7" s="735"/>
      <c r="LVL7" s="735"/>
      <c r="LVM7" s="735"/>
      <c r="LVN7" s="735"/>
      <c r="LVO7" s="735"/>
      <c r="LVP7" s="735"/>
      <c r="LVQ7" s="735"/>
      <c r="LVR7" s="735"/>
      <c r="LVS7" s="735"/>
      <c r="LVT7" s="735"/>
      <c r="LVU7" s="735"/>
      <c r="LVV7" s="735"/>
      <c r="LVW7" s="735"/>
      <c r="LVX7" s="735"/>
      <c r="LVY7" s="735"/>
      <c r="LVZ7" s="735"/>
      <c r="LWA7" s="735"/>
      <c r="LWB7" s="735"/>
      <c r="LWC7" s="735"/>
      <c r="LWD7" s="735"/>
      <c r="LWE7" s="735"/>
      <c r="LWF7" s="735"/>
      <c r="LWG7" s="735"/>
      <c r="LWH7" s="735"/>
      <c r="LWI7" s="735"/>
      <c r="LWJ7" s="735"/>
      <c r="LWK7" s="735"/>
      <c r="LWL7" s="735"/>
      <c r="LWM7" s="735"/>
      <c r="LWN7" s="735"/>
      <c r="LWO7" s="735"/>
      <c r="LWP7" s="735"/>
      <c r="LWQ7" s="735"/>
      <c r="LWR7" s="735"/>
      <c r="LWS7" s="735"/>
      <c r="LWT7" s="735"/>
      <c r="LWU7" s="735"/>
      <c r="LWV7" s="735"/>
      <c r="LWW7" s="735"/>
      <c r="LWX7" s="735"/>
      <c r="LWY7" s="735"/>
      <c r="LWZ7" s="735"/>
      <c r="LXA7" s="735"/>
      <c r="LXB7" s="735"/>
      <c r="LXC7" s="735"/>
      <c r="LXD7" s="735"/>
      <c r="LXE7" s="735"/>
      <c r="LXF7" s="735"/>
      <c r="LXG7" s="735"/>
      <c r="LXH7" s="735"/>
      <c r="LXI7" s="735"/>
      <c r="LXJ7" s="735"/>
      <c r="LXK7" s="735"/>
      <c r="LXL7" s="735"/>
      <c r="LXM7" s="735"/>
      <c r="LXN7" s="735"/>
      <c r="LXO7" s="735"/>
      <c r="LXP7" s="735"/>
      <c r="LXQ7" s="735"/>
      <c r="LXR7" s="735"/>
      <c r="LXS7" s="735"/>
      <c r="LXT7" s="735"/>
      <c r="LXU7" s="735"/>
      <c r="LXV7" s="735"/>
      <c r="LXW7" s="735"/>
      <c r="LXX7" s="735"/>
      <c r="LXY7" s="735"/>
      <c r="LXZ7" s="735"/>
      <c r="LYA7" s="735"/>
      <c r="LYB7" s="735"/>
      <c r="LYC7" s="735"/>
      <c r="LYD7" s="735"/>
      <c r="LYE7" s="735"/>
      <c r="LYF7" s="735"/>
      <c r="LYG7" s="735"/>
      <c r="LYH7" s="735"/>
      <c r="LYI7" s="735"/>
      <c r="LYJ7" s="735"/>
      <c r="LYK7" s="735"/>
      <c r="LYL7" s="735"/>
      <c r="LYM7" s="735"/>
      <c r="LYN7" s="735"/>
      <c r="LYO7" s="735"/>
      <c r="LYP7" s="735"/>
      <c r="LYQ7" s="735"/>
      <c r="LYR7" s="735"/>
      <c r="LYS7" s="735"/>
      <c r="LYT7" s="735"/>
      <c r="LYU7" s="735"/>
      <c r="LYV7" s="735"/>
      <c r="LYW7" s="735"/>
      <c r="LYX7" s="735"/>
      <c r="LYY7" s="735"/>
      <c r="LYZ7" s="735"/>
      <c r="LZA7" s="735"/>
      <c r="LZB7" s="735"/>
      <c r="LZC7" s="735"/>
      <c r="LZD7" s="735"/>
      <c r="LZE7" s="735"/>
      <c r="LZF7" s="735"/>
      <c r="LZG7" s="735"/>
      <c r="LZH7" s="735"/>
      <c r="LZI7" s="735"/>
      <c r="LZJ7" s="735"/>
      <c r="LZK7" s="735"/>
      <c r="LZL7" s="735"/>
      <c r="LZM7" s="735"/>
      <c r="LZN7" s="735"/>
      <c r="LZO7" s="735"/>
      <c r="LZP7" s="735"/>
      <c r="LZQ7" s="735"/>
      <c r="LZR7" s="735"/>
      <c r="LZS7" s="735"/>
      <c r="LZT7" s="735"/>
      <c r="LZU7" s="735"/>
      <c r="LZV7" s="735"/>
      <c r="LZW7" s="735"/>
      <c r="LZX7" s="735"/>
      <c r="LZY7" s="735"/>
      <c r="LZZ7" s="735"/>
      <c r="MAA7" s="735"/>
      <c r="MAB7" s="735"/>
      <c r="MAC7" s="735"/>
      <c r="MAD7" s="735"/>
      <c r="MAE7" s="735"/>
      <c r="MAF7" s="735"/>
      <c r="MAG7" s="735"/>
      <c r="MAH7" s="735"/>
      <c r="MAI7" s="735"/>
      <c r="MAJ7" s="735"/>
      <c r="MAK7" s="735"/>
      <c r="MAL7" s="735"/>
      <c r="MAM7" s="735"/>
      <c r="MAN7" s="735"/>
      <c r="MAO7" s="735"/>
      <c r="MAP7" s="735"/>
      <c r="MAQ7" s="735"/>
      <c r="MAR7" s="735"/>
      <c r="MAS7" s="735"/>
      <c r="MAT7" s="735"/>
      <c r="MAU7" s="735"/>
      <c r="MAV7" s="735"/>
      <c r="MAW7" s="735"/>
      <c r="MAX7" s="735"/>
      <c r="MAY7" s="735"/>
      <c r="MAZ7" s="735"/>
      <c r="MBA7" s="735"/>
      <c r="MBB7" s="735"/>
      <c r="MBC7" s="735"/>
      <c r="MBD7" s="735"/>
      <c r="MBE7" s="735"/>
      <c r="MBF7" s="735"/>
      <c r="MBG7" s="735"/>
      <c r="MBH7" s="735"/>
      <c r="MBI7" s="735"/>
      <c r="MBJ7" s="735"/>
      <c r="MBK7" s="735"/>
      <c r="MBL7" s="735"/>
      <c r="MBM7" s="735"/>
      <c r="MBN7" s="735"/>
      <c r="MBO7" s="735"/>
      <c r="MBP7" s="735"/>
      <c r="MBQ7" s="735"/>
      <c r="MBR7" s="735"/>
      <c r="MBS7" s="735"/>
      <c r="MBT7" s="735"/>
      <c r="MBU7" s="735"/>
      <c r="MBV7" s="735"/>
      <c r="MBW7" s="735"/>
      <c r="MBX7" s="735"/>
      <c r="MBY7" s="735"/>
      <c r="MBZ7" s="735"/>
      <c r="MCA7" s="735"/>
      <c r="MCB7" s="735"/>
      <c r="MCC7" s="735"/>
      <c r="MCD7" s="735"/>
      <c r="MCE7" s="735"/>
      <c r="MCF7" s="735"/>
      <c r="MCG7" s="735"/>
      <c r="MCH7" s="735"/>
      <c r="MCI7" s="735"/>
      <c r="MCJ7" s="735"/>
      <c r="MCK7" s="735"/>
      <c r="MCL7" s="735"/>
      <c r="MCM7" s="735"/>
      <c r="MCN7" s="735"/>
      <c r="MCO7" s="735"/>
      <c r="MCP7" s="735"/>
      <c r="MCQ7" s="735"/>
      <c r="MCR7" s="735"/>
      <c r="MCS7" s="735"/>
      <c r="MCT7" s="735"/>
      <c r="MCU7" s="735"/>
      <c r="MCV7" s="735"/>
      <c r="MCW7" s="735"/>
      <c r="MCX7" s="735"/>
      <c r="MCY7" s="735"/>
      <c r="MCZ7" s="735"/>
      <c r="MDA7" s="735"/>
      <c r="MDB7" s="735"/>
      <c r="MDC7" s="735"/>
      <c r="MDD7" s="735"/>
      <c r="MDE7" s="735"/>
      <c r="MDF7" s="735"/>
      <c r="MDG7" s="735"/>
      <c r="MDH7" s="735"/>
      <c r="MDI7" s="735"/>
      <c r="MDJ7" s="735"/>
      <c r="MDK7" s="735"/>
      <c r="MDL7" s="735"/>
      <c r="MDM7" s="735"/>
      <c r="MDN7" s="735"/>
      <c r="MDO7" s="735"/>
      <c r="MDP7" s="735"/>
      <c r="MDQ7" s="735"/>
      <c r="MDR7" s="735"/>
      <c r="MDS7" s="735"/>
      <c r="MDT7" s="735"/>
      <c r="MDU7" s="735"/>
      <c r="MDV7" s="735"/>
      <c r="MDW7" s="735"/>
      <c r="MDX7" s="735"/>
      <c r="MDY7" s="735"/>
      <c r="MDZ7" s="735"/>
      <c r="MEA7" s="735"/>
      <c r="MEB7" s="735"/>
      <c r="MEC7" s="735"/>
      <c r="MED7" s="735"/>
      <c r="MEE7" s="735"/>
      <c r="MEF7" s="735"/>
      <c r="MEG7" s="735"/>
      <c r="MEH7" s="735"/>
      <c r="MEI7" s="735"/>
      <c r="MEJ7" s="735"/>
      <c r="MEK7" s="735"/>
      <c r="MEL7" s="735"/>
      <c r="MEM7" s="735"/>
      <c r="MEN7" s="735"/>
      <c r="MEO7" s="735"/>
      <c r="MEP7" s="735"/>
      <c r="MEQ7" s="735"/>
      <c r="MER7" s="735"/>
      <c r="MES7" s="735"/>
      <c r="MET7" s="735"/>
      <c r="MEU7" s="735"/>
      <c r="MEV7" s="735"/>
      <c r="MEW7" s="735"/>
      <c r="MEX7" s="735"/>
      <c r="MEY7" s="735"/>
      <c r="MEZ7" s="735"/>
      <c r="MFA7" s="735"/>
      <c r="MFB7" s="735"/>
      <c r="MFC7" s="735"/>
      <c r="MFD7" s="735"/>
      <c r="MFE7" s="735"/>
      <c r="MFF7" s="735"/>
      <c r="MFG7" s="735"/>
      <c r="MFH7" s="735"/>
      <c r="MFI7" s="735"/>
      <c r="MFJ7" s="735"/>
      <c r="MFK7" s="735"/>
      <c r="MFL7" s="735"/>
      <c r="MFM7" s="735"/>
      <c r="MFN7" s="735"/>
      <c r="MFO7" s="735"/>
      <c r="MFP7" s="735"/>
      <c r="MFQ7" s="735"/>
      <c r="MFR7" s="735"/>
      <c r="MFS7" s="735"/>
      <c r="MFT7" s="735"/>
      <c r="MFU7" s="735"/>
      <c r="MFV7" s="735"/>
      <c r="MFW7" s="735"/>
      <c r="MFX7" s="735"/>
      <c r="MFY7" s="735"/>
      <c r="MFZ7" s="735"/>
      <c r="MGA7" s="735"/>
      <c r="MGB7" s="735"/>
      <c r="MGC7" s="735"/>
      <c r="MGD7" s="735"/>
      <c r="MGE7" s="735"/>
      <c r="MGF7" s="735"/>
      <c r="MGG7" s="735"/>
      <c r="MGH7" s="735"/>
      <c r="MGI7" s="735"/>
      <c r="MGJ7" s="735"/>
      <c r="MGK7" s="735"/>
      <c r="MGL7" s="735"/>
      <c r="MGM7" s="735"/>
      <c r="MGN7" s="735"/>
      <c r="MGO7" s="735"/>
      <c r="MGP7" s="735"/>
      <c r="MGQ7" s="735"/>
      <c r="MGR7" s="735"/>
      <c r="MGS7" s="735"/>
      <c r="MGT7" s="735"/>
      <c r="MGU7" s="735"/>
      <c r="MGV7" s="735"/>
      <c r="MGW7" s="735"/>
      <c r="MGX7" s="735"/>
      <c r="MGY7" s="735"/>
      <c r="MGZ7" s="735"/>
      <c r="MHA7" s="735"/>
      <c r="MHB7" s="735"/>
      <c r="MHC7" s="735"/>
      <c r="MHD7" s="735"/>
      <c r="MHE7" s="735"/>
      <c r="MHF7" s="735"/>
      <c r="MHG7" s="735"/>
      <c r="MHH7" s="735"/>
      <c r="MHI7" s="735"/>
      <c r="MHJ7" s="735"/>
      <c r="MHK7" s="735"/>
      <c r="MHL7" s="735"/>
      <c r="MHM7" s="735"/>
      <c r="MHN7" s="735"/>
      <c r="MHO7" s="735"/>
      <c r="MHP7" s="735"/>
      <c r="MHQ7" s="735"/>
      <c r="MHR7" s="735"/>
      <c r="MHS7" s="735"/>
      <c r="MHT7" s="735"/>
      <c r="MHU7" s="735"/>
      <c r="MHV7" s="735"/>
      <c r="MHW7" s="735"/>
      <c r="MHX7" s="735"/>
      <c r="MHY7" s="735"/>
      <c r="MHZ7" s="735"/>
      <c r="MIA7" s="735"/>
      <c r="MIB7" s="735"/>
      <c r="MIC7" s="735"/>
      <c r="MID7" s="735"/>
      <c r="MIE7" s="735"/>
      <c r="MIF7" s="735"/>
      <c r="MIG7" s="735"/>
      <c r="MIH7" s="735"/>
      <c r="MII7" s="735"/>
      <c r="MIJ7" s="735"/>
      <c r="MIK7" s="735"/>
      <c r="MIL7" s="735"/>
      <c r="MIM7" s="735"/>
      <c r="MIN7" s="735"/>
      <c r="MIO7" s="735"/>
      <c r="MIP7" s="735"/>
      <c r="MIQ7" s="735"/>
      <c r="MIR7" s="735"/>
      <c r="MIS7" s="735"/>
      <c r="MIT7" s="735"/>
      <c r="MIU7" s="735"/>
      <c r="MIV7" s="735"/>
      <c r="MIW7" s="735"/>
      <c r="MIX7" s="735"/>
      <c r="MIY7" s="735"/>
      <c r="MIZ7" s="735"/>
      <c r="MJA7" s="735"/>
      <c r="MJB7" s="735"/>
      <c r="MJC7" s="735"/>
      <c r="MJD7" s="735"/>
      <c r="MJE7" s="735"/>
      <c r="MJF7" s="735"/>
      <c r="MJG7" s="735"/>
      <c r="MJH7" s="735"/>
      <c r="MJI7" s="735"/>
      <c r="MJJ7" s="735"/>
      <c r="MJK7" s="735"/>
      <c r="MJL7" s="735"/>
      <c r="MJM7" s="735"/>
      <c r="MJN7" s="735"/>
      <c r="MJO7" s="735"/>
      <c r="MJP7" s="735"/>
      <c r="MJQ7" s="735"/>
      <c r="MJR7" s="735"/>
      <c r="MJS7" s="735"/>
      <c r="MJT7" s="735"/>
      <c r="MJU7" s="735"/>
      <c r="MJV7" s="735"/>
      <c r="MJW7" s="735"/>
      <c r="MJX7" s="735"/>
      <c r="MJY7" s="735"/>
      <c r="MJZ7" s="735"/>
      <c r="MKA7" s="735"/>
      <c r="MKB7" s="735"/>
      <c r="MKC7" s="735"/>
      <c r="MKD7" s="735"/>
      <c r="MKE7" s="735"/>
      <c r="MKF7" s="735"/>
      <c r="MKG7" s="735"/>
      <c r="MKH7" s="735"/>
      <c r="MKI7" s="735"/>
      <c r="MKJ7" s="735"/>
      <c r="MKK7" s="735"/>
      <c r="MKL7" s="735"/>
      <c r="MKM7" s="735"/>
      <c r="MKN7" s="735"/>
      <c r="MKO7" s="735"/>
      <c r="MKP7" s="735"/>
      <c r="MKQ7" s="735"/>
      <c r="MKR7" s="735"/>
      <c r="MKS7" s="735"/>
      <c r="MKT7" s="735"/>
      <c r="MKU7" s="735"/>
      <c r="MKV7" s="735"/>
      <c r="MKW7" s="735"/>
      <c r="MKX7" s="735"/>
      <c r="MKY7" s="735"/>
      <c r="MKZ7" s="735"/>
      <c r="MLA7" s="735"/>
      <c r="MLB7" s="735"/>
      <c r="MLC7" s="735"/>
      <c r="MLD7" s="735"/>
      <c r="MLE7" s="735"/>
      <c r="MLF7" s="735"/>
      <c r="MLG7" s="735"/>
      <c r="MLH7" s="735"/>
      <c r="MLI7" s="735"/>
      <c r="MLJ7" s="735"/>
      <c r="MLK7" s="735"/>
      <c r="MLL7" s="735"/>
      <c r="MLM7" s="735"/>
      <c r="MLN7" s="735"/>
      <c r="MLO7" s="735"/>
      <c r="MLP7" s="735"/>
      <c r="MLQ7" s="735"/>
      <c r="MLR7" s="735"/>
      <c r="MLS7" s="735"/>
      <c r="MLT7" s="735"/>
      <c r="MLU7" s="735"/>
      <c r="MLV7" s="735"/>
      <c r="MLW7" s="735"/>
      <c r="MLX7" s="735"/>
      <c r="MLY7" s="735"/>
      <c r="MLZ7" s="735"/>
      <c r="MMA7" s="735"/>
      <c r="MMB7" s="735"/>
      <c r="MMC7" s="735"/>
      <c r="MMD7" s="735"/>
      <c r="MME7" s="735"/>
      <c r="MMF7" s="735"/>
      <c r="MMG7" s="735"/>
      <c r="MMH7" s="735"/>
      <c r="MMI7" s="735"/>
      <c r="MMJ7" s="735"/>
      <c r="MMK7" s="735"/>
      <c r="MML7" s="735"/>
      <c r="MMM7" s="735"/>
      <c r="MMN7" s="735"/>
      <c r="MMO7" s="735"/>
      <c r="MMP7" s="735"/>
      <c r="MMQ7" s="735"/>
      <c r="MMR7" s="735"/>
      <c r="MMS7" s="735"/>
      <c r="MMT7" s="735"/>
      <c r="MMU7" s="735"/>
      <c r="MMV7" s="735"/>
      <c r="MMW7" s="735"/>
      <c r="MMX7" s="735"/>
      <c r="MMY7" s="735"/>
      <c r="MMZ7" s="735"/>
      <c r="MNA7" s="735"/>
      <c r="MNB7" s="735"/>
      <c r="MNC7" s="735"/>
      <c r="MND7" s="735"/>
      <c r="MNE7" s="735"/>
      <c r="MNF7" s="735"/>
      <c r="MNG7" s="735"/>
      <c r="MNH7" s="735"/>
      <c r="MNI7" s="735"/>
      <c r="MNJ7" s="735"/>
      <c r="MNK7" s="735"/>
      <c r="MNL7" s="735"/>
      <c r="MNM7" s="735"/>
      <c r="MNN7" s="735"/>
      <c r="MNO7" s="735"/>
      <c r="MNP7" s="735"/>
      <c r="MNQ7" s="735"/>
      <c r="MNR7" s="735"/>
      <c r="MNS7" s="735"/>
      <c r="MNT7" s="735"/>
      <c r="MNU7" s="735"/>
      <c r="MNV7" s="735"/>
      <c r="MNW7" s="735"/>
      <c r="MNX7" s="735"/>
      <c r="MNY7" s="735"/>
      <c r="MNZ7" s="735"/>
      <c r="MOA7" s="735"/>
      <c r="MOB7" s="735"/>
      <c r="MOC7" s="735"/>
      <c r="MOD7" s="735"/>
      <c r="MOE7" s="735"/>
      <c r="MOF7" s="735"/>
      <c r="MOG7" s="735"/>
      <c r="MOH7" s="735"/>
      <c r="MOI7" s="735"/>
      <c r="MOJ7" s="735"/>
      <c r="MOK7" s="735"/>
      <c r="MOL7" s="735"/>
      <c r="MOM7" s="735"/>
      <c r="MON7" s="735"/>
      <c r="MOO7" s="735"/>
      <c r="MOP7" s="735"/>
      <c r="MOQ7" s="735"/>
      <c r="MOR7" s="735"/>
      <c r="MOS7" s="735"/>
      <c r="MOT7" s="735"/>
      <c r="MOU7" s="735"/>
      <c r="MOV7" s="735"/>
      <c r="MOW7" s="735"/>
      <c r="MOX7" s="735"/>
      <c r="MOY7" s="735"/>
      <c r="MOZ7" s="735"/>
      <c r="MPA7" s="735"/>
      <c r="MPB7" s="735"/>
      <c r="MPC7" s="735"/>
      <c r="MPD7" s="735"/>
      <c r="MPE7" s="735"/>
      <c r="MPF7" s="735"/>
      <c r="MPG7" s="735"/>
      <c r="MPH7" s="735"/>
      <c r="MPI7" s="735"/>
      <c r="MPJ7" s="735"/>
      <c r="MPK7" s="735"/>
      <c r="MPL7" s="735"/>
      <c r="MPM7" s="735"/>
      <c r="MPN7" s="735"/>
      <c r="MPO7" s="735"/>
      <c r="MPP7" s="735"/>
      <c r="MPQ7" s="735"/>
      <c r="MPR7" s="735"/>
      <c r="MPS7" s="735"/>
      <c r="MPT7" s="735"/>
      <c r="MPU7" s="735"/>
      <c r="MPV7" s="735"/>
      <c r="MPW7" s="735"/>
      <c r="MPX7" s="735"/>
      <c r="MPY7" s="735"/>
      <c r="MPZ7" s="735"/>
      <c r="MQA7" s="735"/>
      <c r="MQB7" s="735"/>
      <c r="MQC7" s="735"/>
      <c r="MQD7" s="735"/>
      <c r="MQE7" s="735"/>
      <c r="MQF7" s="735"/>
      <c r="MQG7" s="735"/>
      <c r="MQH7" s="735"/>
      <c r="MQI7" s="735"/>
      <c r="MQJ7" s="735"/>
      <c r="MQK7" s="735"/>
      <c r="MQL7" s="735"/>
      <c r="MQM7" s="735"/>
      <c r="MQN7" s="735"/>
      <c r="MQO7" s="735"/>
      <c r="MQP7" s="735"/>
      <c r="MQQ7" s="735"/>
      <c r="MQR7" s="735"/>
      <c r="MQS7" s="735"/>
      <c r="MQT7" s="735"/>
      <c r="MQU7" s="735"/>
      <c r="MQV7" s="735"/>
      <c r="MQW7" s="735"/>
      <c r="MQX7" s="735"/>
      <c r="MQY7" s="735"/>
      <c r="MQZ7" s="735"/>
      <c r="MRA7" s="735"/>
      <c r="MRB7" s="735"/>
      <c r="MRC7" s="735"/>
      <c r="MRD7" s="735"/>
      <c r="MRE7" s="735"/>
      <c r="MRF7" s="735"/>
      <c r="MRG7" s="735"/>
      <c r="MRH7" s="735"/>
      <c r="MRI7" s="735"/>
      <c r="MRJ7" s="735"/>
      <c r="MRK7" s="735"/>
      <c r="MRL7" s="735"/>
      <c r="MRM7" s="735"/>
      <c r="MRN7" s="735"/>
      <c r="MRO7" s="735"/>
      <c r="MRP7" s="735"/>
      <c r="MRQ7" s="735"/>
      <c r="MRR7" s="735"/>
      <c r="MRS7" s="735"/>
      <c r="MRT7" s="735"/>
      <c r="MRU7" s="735"/>
      <c r="MRV7" s="735"/>
      <c r="MRW7" s="735"/>
      <c r="MRX7" s="735"/>
      <c r="MRY7" s="735"/>
      <c r="MRZ7" s="735"/>
      <c r="MSA7" s="735"/>
      <c r="MSB7" s="735"/>
      <c r="MSC7" s="735"/>
      <c r="MSD7" s="735"/>
      <c r="MSE7" s="735"/>
      <c r="MSF7" s="735"/>
      <c r="MSG7" s="735"/>
      <c r="MSH7" s="735"/>
      <c r="MSI7" s="735"/>
      <c r="MSJ7" s="735"/>
      <c r="MSK7" s="735"/>
      <c r="MSL7" s="735"/>
      <c r="MSM7" s="735"/>
      <c r="MSN7" s="735"/>
      <c r="MSO7" s="735"/>
      <c r="MSP7" s="735"/>
      <c r="MSQ7" s="735"/>
      <c r="MSR7" s="735"/>
      <c r="MSS7" s="735"/>
      <c r="MST7" s="735"/>
      <c r="MSU7" s="735"/>
      <c r="MSV7" s="735"/>
      <c r="MSW7" s="735"/>
      <c r="MSX7" s="735"/>
      <c r="MSY7" s="735"/>
      <c r="MSZ7" s="735"/>
      <c r="MTA7" s="735"/>
      <c r="MTB7" s="735"/>
      <c r="MTC7" s="735"/>
      <c r="MTD7" s="735"/>
      <c r="MTE7" s="735"/>
      <c r="MTF7" s="735"/>
      <c r="MTG7" s="735"/>
      <c r="MTH7" s="735"/>
      <c r="MTI7" s="735"/>
      <c r="MTJ7" s="735"/>
      <c r="MTK7" s="735"/>
      <c r="MTL7" s="735"/>
      <c r="MTM7" s="735"/>
      <c r="MTN7" s="735"/>
      <c r="MTO7" s="735"/>
      <c r="MTP7" s="735"/>
      <c r="MTQ7" s="735"/>
      <c r="MTR7" s="735"/>
      <c r="MTS7" s="735"/>
      <c r="MTT7" s="735"/>
      <c r="MTU7" s="735"/>
      <c r="MTV7" s="735"/>
      <c r="MTW7" s="735"/>
      <c r="MTX7" s="735"/>
      <c r="MTY7" s="735"/>
      <c r="MTZ7" s="735"/>
      <c r="MUA7" s="735"/>
      <c r="MUB7" s="735"/>
      <c r="MUC7" s="735"/>
      <c r="MUD7" s="735"/>
      <c r="MUE7" s="735"/>
      <c r="MUF7" s="735"/>
      <c r="MUG7" s="735"/>
      <c r="MUH7" s="735"/>
      <c r="MUI7" s="735"/>
      <c r="MUJ7" s="735"/>
      <c r="MUK7" s="735"/>
      <c r="MUL7" s="735"/>
      <c r="MUM7" s="735"/>
      <c r="MUN7" s="735"/>
      <c r="MUO7" s="735"/>
      <c r="MUP7" s="735"/>
      <c r="MUQ7" s="735"/>
      <c r="MUR7" s="735"/>
      <c r="MUS7" s="735"/>
      <c r="MUT7" s="735"/>
      <c r="MUU7" s="735"/>
      <c r="MUV7" s="735"/>
      <c r="MUW7" s="735"/>
      <c r="MUX7" s="735"/>
      <c r="MUY7" s="735"/>
      <c r="MUZ7" s="735"/>
      <c r="MVA7" s="735"/>
      <c r="MVB7" s="735"/>
      <c r="MVC7" s="735"/>
      <c r="MVD7" s="735"/>
      <c r="MVE7" s="735"/>
      <c r="MVF7" s="735"/>
      <c r="MVG7" s="735"/>
      <c r="MVH7" s="735"/>
      <c r="MVI7" s="735"/>
      <c r="MVJ7" s="735"/>
      <c r="MVK7" s="735"/>
      <c r="MVL7" s="735"/>
      <c r="MVM7" s="735"/>
      <c r="MVN7" s="735"/>
      <c r="MVO7" s="735"/>
      <c r="MVP7" s="735"/>
      <c r="MVQ7" s="735"/>
      <c r="MVR7" s="735"/>
      <c r="MVS7" s="735"/>
      <c r="MVT7" s="735"/>
      <c r="MVU7" s="735"/>
      <c r="MVV7" s="735"/>
      <c r="MVW7" s="735"/>
      <c r="MVX7" s="735"/>
      <c r="MVY7" s="735"/>
      <c r="MVZ7" s="735"/>
      <c r="MWA7" s="735"/>
      <c r="MWB7" s="735"/>
      <c r="MWC7" s="735"/>
      <c r="MWD7" s="735"/>
      <c r="MWE7" s="735"/>
      <c r="MWF7" s="735"/>
      <c r="MWG7" s="735"/>
      <c r="MWH7" s="735"/>
      <c r="MWI7" s="735"/>
      <c r="MWJ7" s="735"/>
      <c r="MWK7" s="735"/>
      <c r="MWL7" s="735"/>
      <c r="MWM7" s="735"/>
      <c r="MWN7" s="735"/>
      <c r="MWO7" s="735"/>
      <c r="MWP7" s="735"/>
      <c r="MWQ7" s="735"/>
      <c r="MWR7" s="735"/>
      <c r="MWS7" s="735"/>
      <c r="MWT7" s="735"/>
      <c r="MWU7" s="735"/>
      <c r="MWV7" s="735"/>
      <c r="MWW7" s="735"/>
      <c r="MWX7" s="735"/>
      <c r="MWY7" s="735"/>
      <c r="MWZ7" s="735"/>
      <c r="MXA7" s="735"/>
      <c r="MXB7" s="735"/>
      <c r="MXC7" s="735"/>
      <c r="MXD7" s="735"/>
      <c r="MXE7" s="735"/>
      <c r="MXF7" s="735"/>
      <c r="MXG7" s="735"/>
      <c r="MXH7" s="735"/>
      <c r="MXI7" s="735"/>
      <c r="MXJ7" s="735"/>
      <c r="MXK7" s="735"/>
      <c r="MXL7" s="735"/>
      <c r="MXM7" s="735"/>
      <c r="MXN7" s="735"/>
      <c r="MXO7" s="735"/>
      <c r="MXP7" s="735"/>
      <c r="MXQ7" s="735"/>
      <c r="MXR7" s="735"/>
      <c r="MXS7" s="735"/>
      <c r="MXT7" s="735"/>
      <c r="MXU7" s="735"/>
      <c r="MXV7" s="735"/>
      <c r="MXW7" s="735"/>
      <c r="MXX7" s="735"/>
      <c r="MXY7" s="735"/>
      <c r="MXZ7" s="735"/>
      <c r="MYA7" s="735"/>
      <c r="MYB7" s="735"/>
      <c r="MYC7" s="735"/>
      <c r="MYD7" s="735"/>
      <c r="MYE7" s="735"/>
      <c r="MYF7" s="735"/>
      <c r="MYG7" s="735"/>
      <c r="MYH7" s="735"/>
      <c r="MYI7" s="735"/>
      <c r="MYJ7" s="735"/>
      <c r="MYK7" s="735"/>
      <c r="MYL7" s="735"/>
      <c r="MYM7" s="735"/>
      <c r="MYN7" s="735"/>
      <c r="MYO7" s="735"/>
      <c r="MYP7" s="735"/>
      <c r="MYQ7" s="735"/>
      <c r="MYR7" s="735"/>
      <c r="MYS7" s="735"/>
      <c r="MYT7" s="735"/>
      <c r="MYU7" s="735"/>
      <c r="MYV7" s="735"/>
      <c r="MYW7" s="735"/>
      <c r="MYX7" s="735"/>
      <c r="MYY7" s="735"/>
      <c r="MYZ7" s="735"/>
      <c r="MZA7" s="735"/>
      <c r="MZB7" s="735"/>
      <c r="MZC7" s="735"/>
      <c r="MZD7" s="735"/>
      <c r="MZE7" s="735"/>
      <c r="MZF7" s="735"/>
      <c r="MZG7" s="735"/>
      <c r="MZH7" s="735"/>
      <c r="MZI7" s="735"/>
      <c r="MZJ7" s="735"/>
      <c r="MZK7" s="735"/>
      <c r="MZL7" s="735"/>
      <c r="MZM7" s="735"/>
      <c r="MZN7" s="735"/>
      <c r="MZO7" s="735"/>
      <c r="MZP7" s="735"/>
      <c r="MZQ7" s="735"/>
      <c r="MZR7" s="735"/>
      <c r="MZS7" s="735"/>
      <c r="MZT7" s="735"/>
      <c r="MZU7" s="735"/>
      <c r="MZV7" s="735"/>
      <c r="MZW7" s="735"/>
      <c r="MZX7" s="735"/>
      <c r="MZY7" s="735"/>
      <c r="MZZ7" s="735"/>
      <c r="NAA7" s="735"/>
      <c r="NAB7" s="735"/>
      <c r="NAC7" s="735"/>
      <c r="NAD7" s="735"/>
      <c r="NAE7" s="735"/>
      <c r="NAF7" s="735"/>
      <c r="NAG7" s="735"/>
      <c r="NAH7" s="735"/>
      <c r="NAI7" s="735"/>
      <c r="NAJ7" s="735"/>
      <c r="NAK7" s="735"/>
      <c r="NAL7" s="735"/>
      <c r="NAM7" s="735"/>
      <c r="NAN7" s="735"/>
      <c r="NAO7" s="735"/>
      <c r="NAP7" s="735"/>
      <c r="NAQ7" s="735"/>
      <c r="NAR7" s="735"/>
      <c r="NAS7" s="735"/>
      <c r="NAT7" s="735"/>
      <c r="NAU7" s="735"/>
      <c r="NAV7" s="735"/>
      <c r="NAW7" s="735"/>
      <c r="NAX7" s="735"/>
      <c r="NAY7" s="735"/>
      <c r="NAZ7" s="735"/>
      <c r="NBA7" s="735"/>
      <c r="NBB7" s="735"/>
      <c r="NBC7" s="735"/>
      <c r="NBD7" s="735"/>
      <c r="NBE7" s="735"/>
      <c r="NBF7" s="735"/>
      <c r="NBG7" s="735"/>
      <c r="NBH7" s="735"/>
      <c r="NBI7" s="735"/>
      <c r="NBJ7" s="735"/>
      <c r="NBK7" s="735"/>
      <c r="NBL7" s="735"/>
      <c r="NBM7" s="735"/>
      <c r="NBN7" s="735"/>
      <c r="NBO7" s="735"/>
      <c r="NBP7" s="735"/>
      <c r="NBQ7" s="735"/>
      <c r="NBR7" s="735"/>
      <c r="NBS7" s="735"/>
      <c r="NBT7" s="735"/>
      <c r="NBU7" s="735"/>
      <c r="NBV7" s="735"/>
      <c r="NBW7" s="735"/>
      <c r="NBX7" s="735"/>
      <c r="NBY7" s="735"/>
      <c r="NBZ7" s="735"/>
      <c r="NCA7" s="735"/>
      <c r="NCB7" s="735"/>
      <c r="NCC7" s="735"/>
      <c r="NCD7" s="735"/>
      <c r="NCE7" s="735"/>
      <c r="NCF7" s="735"/>
      <c r="NCG7" s="735"/>
      <c r="NCH7" s="735"/>
      <c r="NCI7" s="735"/>
      <c r="NCJ7" s="735"/>
      <c r="NCK7" s="735"/>
      <c r="NCL7" s="735"/>
      <c r="NCM7" s="735"/>
      <c r="NCN7" s="735"/>
      <c r="NCO7" s="735"/>
      <c r="NCP7" s="735"/>
      <c r="NCQ7" s="735"/>
      <c r="NCR7" s="735"/>
      <c r="NCS7" s="735"/>
      <c r="NCT7" s="735"/>
      <c r="NCU7" s="735"/>
      <c r="NCV7" s="735"/>
      <c r="NCW7" s="735"/>
      <c r="NCX7" s="735"/>
      <c r="NCY7" s="735"/>
      <c r="NCZ7" s="735"/>
      <c r="NDA7" s="735"/>
      <c r="NDB7" s="735"/>
      <c r="NDC7" s="735"/>
      <c r="NDD7" s="735"/>
      <c r="NDE7" s="735"/>
      <c r="NDF7" s="735"/>
      <c r="NDG7" s="735"/>
      <c r="NDH7" s="735"/>
      <c r="NDI7" s="735"/>
      <c r="NDJ7" s="735"/>
      <c r="NDK7" s="735"/>
      <c r="NDL7" s="735"/>
      <c r="NDM7" s="735"/>
      <c r="NDN7" s="735"/>
      <c r="NDO7" s="735"/>
      <c r="NDP7" s="735"/>
      <c r="NDQ7" s="735"/>
      <c r="NDR7" s="735"/>
      <c r="NDS7" s="735"/>
      <c r="NDT7" s="735"/>
      <c r="NDU7" s="735"/>
      <c r="NDV7" s="735"/>
      <c r="NDW7" s="735"/>
      <c r="NDX7" s="735"/>
      <c r="NDY7" s="735"/>
      <c r="NDZ7" s="735"/>
      <c r="NEA7" s="735"/>
      <c r="NEB7" s="735"/>
      <c r="NEC7" s="735"/>
      <c r="NED7" s="735"/>
      <c r="NEE7" s="735"/>
      <c r="NEF7" s="735"/>
      <c r="NEG7" s="735"/>
      <c r="NEH7" s="735"/>
      <c r="NEI7" s="735"/>
      <c r="NEJ7" s="735"/>
      <c r="NEK7" s="735"/>
      <c r="NEL7" s="735"/>
      <c r="NEM7" s="735"/>
      <c r="NEN7" s="735"/>
      <c r="NEO7" s="735"/>
      <c r="NEP7" s="735"/>
      <c r="NEQ7" s="735"/>
      <c r="NER7" s="735"/>
      <c r="NES7" s="735"/>
      <c r="NET7" s="735"/>
      <c r="NEU7" s="735"/>
      <c r="NEV7" s="735"/>
      <c r="NEW7" s="735"/>
      <c r="NEX7" s="735"/>
      <c r="NEY7" s="735"/>
      <c r="NEZ7" s="735"/>
      <c r="NFA7" s="735"/>
      <c r="NFB7" s="735"/>
      <c r="NFC7" s="735"/>
      <c r="NFD7" s="735"/>
      <c r="NFE7" s="735"/>
      <c r="NFF7" s="735"/>
      <c r="NFG7" s="735"/>
      <c r="NFH7" s="735"/>
      <c r="NFI7" s="735"/>
      <c r="NFJ7" s="735"/>
      <c r="NFK7" s="735"/>
      <c r="NFL7" s="735"/>
      <c r="NFM7" s="735"/>
      <c r="NFN7" s="735"/>
      <c r="NFO7" s="735"/>
      <c r="NFP7" s="735"/>
      <c r="NFQ7" s="735"/>
      <c r="NFR7" s="735"/>
      <c r="NFS7" s="735"/>
      <c r="NFT7" s="735"/>
      <c r="NFU7" s="735"/>
      <c r="NFV7" s="735"/>
      <c r="NFW7" s="735"/>
      <c r="NFX7" s="735"/>
      <c r="NFY7" s="735"/>
      <c r="NFZ7" s="735"/>
      <c r="NGA7" s="735"/>
      <c r="NGB7" s="735"/>
      <c r="NGC7" s="735"/>
      <c r="NGD7" s="735"/>
      <c r="NGE7" s="735"/>
      <c r="NGF7" s="735"/>
      <c r="NGG7" s="735"/>
      <c r="NGH7" s="735"/>
      <c r="NGI7" s="735"/>
      <c r="NGJ7" s="735"/>
      <c r="NGK7" s="735"/>
      <c r="NGL7" s="735"/>
      <c r="NGM7" s="735"/>
      <c r="NGN7" s="735"/>
      <c r="NGO7" s="735"/>
      <c r="NGP7" s="735"/>
      <c r="NGQ7" s="735"/>
      <c r="NGR7" s="735"/>
      <c r="NGS7" s="735"/>
      <c r="NGT7" s="735"/>
      <c r="NGU7" s="735"/>
      <c r="NGV7" s="735"/>
      <c r="NGW7" s="735"/>
      <c r="NGX7" s="735"/>
      <c r="NGY7" s="735"/>
      <c r="NGZ7" s="735"/>
      <c r="NHA7" s="735"/>
      <c r="NHB7" s="735"/>
      <c r="NHC7" s="735"/>
      <c r="NHD7" s="735"/>
      <c r="NHE7" s="735"/>
      <c r="NHF7" s="735"/>
      <c r="NHG7" s="735"/>
      <c r="NHH7" s="735"/>
      <c r="NHI7" s="735"/>
      <c r="NHJ7" s="735"/>
      <c r="NHK7" s="735"/>
      <c r="NHL7" s="735"/>
      <c r="NHM7" s="735"/>
      <c r="NHN7" s="735"/>
      <c r="NHO7" s="735"/>
      <c r="NHP7" s="735"/>
      <c r="NHQ7" s="735"/>
      <c r="NHR7" s="735"/>
      <c r="NHS7" s="735"/>
      <c r="NHT7" s="735"/>
      <c r="NHU7" s="735"/>
      <c r="NHV7" s="735"/>
      <c r="NHW7" s="735"/>
      <c r="NHX7" s="735"/>
      <c r="NHY7" s="735"/>
      <c r="NHZ7" s="735"/>
      <c r="NIA7" s="735"/>
      <c r="NIB7" s="735"/>
      <c r="NIC7" s="735"/>
      <c r="NID7" s="735"/>
      <c r="NIE7" s="735"/>
      <c r="NIF7" s="735"/>
      <c r="NIG7" s="735"/>
      <c r="NIH7" s="735"/>
      <c r="NII7" s="735"/>
      <c r="NIJ7" s="735"/>
      <c r="NIK7" s="735"/>
      <c r="NIL7" s="735"/>
      <c r="NIM7" s="735"/>
      <c r="NIN7" s="735"/>
      <c r="NIO7" s="735"/>
      <c r="NIP7" s="735"/>
      <c r="NIQ7" s="735"/>
      <c r="NIR7" s="735"/>
      <c r="NIS7" s="735"/>
      <c r="NIT7" s="735"/>
      <c r="NIU7" s="735"/>
      <c r="NIV7" s="735"/>
      <c r="NIW7" s="735"/>
      <c r="NIX7" s="735"/>
      <c r="NIY7" s="735"/>
      <c r="NIZ7" s="735"/>
      <c r="NJA7" s="735"/>
      <c r="NJB7" s="735"/>
      <c r="NJC7" s="735"/>
      <c r="NJD7" s="735"/>
      <c r="NJE7" s="735"/>
      <c r="NJF7" s="735"/>
      <c r="NJG7" s="735"/>
      <c r="NJH7" s="735"/>
      <c r="NJI7" s="735"/>
      <c r="NJJ7" s="735"/>
      <c r="NJK7" s="735"/>
      <c r="NJL7" s="735"/>
      <c r="NJM7" s="735"/>
      <c r="NJN7" s="735"/>
      <c r="NJO7" s="735"/>
      <c r="NJP7" s="735"/>
      <c r="NJQ7" s="735"/>
      <c r="NJR7" s="735"/>
      <c r="NJS7" s="735"/>
      <c r="NJT7" s="735"/>
      <c r="NJU7" s="735"/>
      <c r="NJV7" s="735"/>
      <c r="NJW7" s="735"/>
      <c r="NJX7" s="735"/>
      <c r="NJY7" s="735"/>
      <c r="NJZ7" s="735"/>
      <c r="NKA7" s="735"/>
      <c r="NKB7" s="735"/>
      <c r="NKC7" s="735"/>
      <c r="NKD7" s="735"/>
      <c r="NKE7" s="735"/>
      <c r="NKF7" s="735"/>
      <c r="NKG7" s="735"/>
      <c r="NKH7" s="735"/>
      <c r="NKI7" s="735"/>
      <c r="NKJ7" s="735"/>
      <c r="NKK7" s="735"/>
      <c r="NKL7" s="735"/>
      <c r="NKM7" s="735"/>
      <c r="NKN7" s="735"/>
      <c r="NKO7" s="735"/>
      <c r="NKP7" s="735"/>
      <c r="NKQ7" s="735"/>
      <c r="NKR7" s="735"/>
      <c r="NKS7" s="735"/>
      <c r="NKT7" s="735"/>
      <c r="NKU7" s="735"/>
      <c r="NKV7" s="735"/>
      <c r="NKW7" s="735"/>
      <c r="NKX7" s="735"/>
      <c r="NKY7" s="735"/>
      <c r="NKZ7" s="735"/>
      <c r="NLA7" s="735"/>
      <c r="NLB7" s="735"/>
      <c r="NLC7" s="735"/>
      <c r="NLD7" s="735"/>
      <c r="NLE7" s="735"/>
      <c r="NLF7" s="735"/>
      <c r="NLG7" s="735"/>
      <c r="NLH7" s="735"/>
      <c r="NLI7" s="735"/>
      <c r="NLJ7" s="735"/>
      <c r="NLK7" s="735"/>
      <c r="NLL7" s="735"/>
      <c r="NLM7" s="735"/>
      <c r="NLN7" s="735"/>
      <c r="NLO7" s="735"/>
      <c r="NLP7" s="735"/>
      <c r="NLQ7" s="735"/>
      <c r="NLR7" s="735"/>
      <c r="NLS7" s="735"/>
      <c r="NLT7" s="735"/>
      <c r="NLU7" s="735"/>
      <c r="NLV7" s="735"/>
      <c r="NLW7" s="735"/>
      <c r="NLX7" s="735"/>
      <c r="NLY7" s="735"/>
      <c r="NLZ7" s="735"/>
      <c r="NMA7" s="735"/>
      <c r="NMB7" s="735"/>
      <c r="NMC7" s="735"/>
      <c r="NMD7" s="735"/>
      <c r="NME7" s="735"/>
      <c r="NMF7" s="735"/>
      <c r="NMG7" s="735"/>
      <c r="NMH7" s="735"/>
      <c r="NMI7" s="735"/>
      <c r="NMJ7" s="735"/>
      <c r="NMK7" s="735"/>
      <c r="NML7" s="735"/>
      <c r="NMM7" s="735"/>
      <c r="NMN7" s="735"/>
      <c r="NMO7" s="735"/>
      <c r="NMP7" s="735"/>
      <c r="NMQ7" s="735"/>
      <c r="NMR7" s="735"/>
      <c r="NMS7" s="735"/>
      <c r="NMT7" s="735"/>
      <c r="NMU7" s="735"/>
      <c r="NMV7" s="735"/>
      <c r="NMW7" s="735"/>
      <c r="NMX7" s="735"/>
      <c r="NMY7" s="735"/>
      <c r="NMZ7" s="735"/>
      <c r="NNA7" s="735"/>
      <c r="NNB7" s="735"/>
      <c r="NNC7" s="735"/>
      <c r="NND7" s="735"/>
      <c r="NNE7" s="735"/>
      <c r="NNF7" s="735"/>
      <c r="NNG7" s="735"/>
      <c r="NNH7" s="735"/>
      <c r="NNI7" s="735"/>
      <c r="NNJ7" s="735"/>
      <c r="NNK7" s="735"/>
      <c r="NNL7" s="735"/>
      <c r="NNM7" s="735"/>
      <c r="NNN7" s="735"/>
      <c r="NNO7" s="735"/>
      <c r="NNP7" s="735"/>
      <c r="NNQ7" s="735"/>
      <c r="NNR7" s="735"/>
      <c r="NNS7" s="735"/>
      <c r="NNT7" s="735"/>
      <c r="NNU7" s="735"/>
      <c r="NNV7" s="735"/>
      <c r="NNW7" s="735"/>
      <c r="NNX7" s="735"/>
      <c r="NNY7" s="735"/>
      <c r="NNZ7" s="735"/>
      <c r="NOA7" s="735"/>
      <c r="NOB7" s="735"/>
      <c r="NOC7" s="735"/>
      <c r="NOD7" s="735"/>
      <c r="NOE7" s="735"/>
      <c r="NOF7" s="735"/>
      <c r="NOG7" s="735"/>
      <c r="NOH7" s="735"/>
      <c r="NOI7" s="735"/>
      <c r="NOJ7" s="735"/>
      <c r="NOK7" s="735"/>
      <c r="NOL7" s="735"/>
      <c r="NOM7" s="735"/>
      <c r="NON7" s="735"/>
      <c r="NOO7" s="735"/>
      <c r="NOP7" s="735"/>
      <c r="NOQ7" s="735"/>
      <c r="NOR7" s="735"/>
      <c r="NOS7" s="735"/>
      <c r="NOT7" s="735"/>
      <c r="NOU7" s="735"/>
      <c r="NOV7" s="735"/>
      <c r="NOW7" s="735"/>
      <c r="NOX7" s="735"/>
      <c r="NOY7" s="735"/>
      <c r="NOZ7" s="735"/>
      <c r="NPA7" s="735"/>
      <c r="NPB7" s="735"/>
      <c r="NPC7" s="735"/>
      <c r="NPD7" s="735"/>
      <c r="NPE7" s="735"/>
      <c r="NPF7" s="735"/>
      <c r="NPG7" s="735"/>
      <c r="NPH7" s="735"/>
      <c r="NPI7" s="735"/>
      <c r="NPJ7" s="735"/>
      <c r="NPK7" s="735"/>
      <c r="NPL7" s="735"/>
      <c r="NPM7" s="735"/>
      <c r="NPN7" s="735"/>
      <c r="NPO7" s="735"/>
      <c r="NPP7" s="735"/>
      <c r="NPQ7" s="735"/>
      <c r="NPR7" s="735"/>
      <c r="NPS7" s="735"/>
      <c r="NPT7" s="735"/>
      <c r="NPU7" s="735"/>
      <c r="NPV7" s="735"/>
      <c r="NPW7" s="735"/>
      <c r="NPX7" s="735"/>
      <c r="NPY7" s="735"/>
      <c r="NPZ7" s="735"/>
      <c r="NQA7" s="735"/>
      <c r="NQB7" s="735"/>
      <c r="NQC7" s="735"/>
      <c r="NQD7" s="735"/>
      <c r="NQE7" s="735"/>
      <c r="NQF7" s="735"/>
      <c r="NQG7" s="735"/>
      <c r="NQH7" s="735"/>
      <c r="NQI7" s="735"/>
      <c r="NQJ7" s="735"/>
      <c r="NQK7" s="735"/>
      <c r="NQL7" s="735"/>
      <c r="NQM7" s="735"/>
      <c r="NQN7" s="735"/>
      <c r="NQO7" s="735"/>
      <c r="NQP7" s="735"/>
      <c r="NQQ7" s="735"/>
      <c r="NQR7" s="735"/>
      <c r="NQS7" s="735"/>
      <c r="NQT7" s="735"/>
      <c r="NQU7" s="735"/>
      <c r="NQV7" s="735"/>
      <c r="NQW7" s="735"/>
      <c r="NQX7" s="735"/>
      <c r="NQY7" s="735"/>
      <c r="NQZ7" s="735"/>
      <c r="NRA7" s="735"/>
      <c r="NRB7" s="735"/>
      <c r="NRC7" s="735"/>
      <c r="NRD7" s="735"/>
      <c r="NRE7" s="735"/>
      <c r="NRF7" s="735"/>
      <c r="NRG7" s="735"/>
      <c r="NRH7" s="735"/>
      <c r="NRI7" s="735"/>
      <c r="NRJ7" s="735"/>
      <c r="NRK7" s="735"/>
      <c r="NRL7" s="735"/>
      <c r="NRM7" s="735"/>
      <c r="NRN7" s="735"/>
      <c r="NRO7" s="735"/>
      <c r="NRP7" s="735"/>
      <c r="NRQ7" s="735"/>
      <c r="NRR7" s="735"/>
      <c r="NRS7" s="735"/>
      <c r="NRT7" s="735"/>
      <c r="NRU7" s="735"/>
      <c r="NRV7" s="735"/>
      <c r="NRW7" s="735"/>
      <c r="NRX7" s="735"/>
      <c r="NRY7" s="735"/>
      <c r="NRZ7" s="735"/>
      <c r="NSA7" s="735"/>
      <c r="NSB7" s="735"/>
      <c r="NSC7" s="735"/>
      <c r="NSD7" s="735"/>
      <c r="NSE7" s="735"/>
      <c r="NSF7" s="735"/>
      <c r="NSG7" s="735"/>
      <c r="NSH7" s="735"/>
      <c r="NSI7" s="735"/>
      <c r="NSJ7" s="735"/>
      <c r="NSK7" s="735"/>
      <c r="NSL7" s="735"/>
      <c r="NSM7" s="735"/>
      <c r="NSN7" s="735"/>
      <c r="NSO7" s="735"/>
      <c r="NSP7" s="735"/>
      <c r="NSQ7" s="735"/>
      <c r="NSR7" s="735"/>
      <c r="NSS7" s="735"/>
      <c r="NST7" s="735"/>
      <c r="NSU7" s="735"/>
      <c r="NSV7" s="735"/>
      <c r="NSW7" s="735"/>
      <c r="NSX7" s="735"/>
      <c r="NSY7" s="735"/>
      <c r="NSZ7" s="735"/>
      <c r="NTA7" s="735"/>
      <c r="NTB7" s="735"/>
      <c r="NTC7" s="735"/>
      <c r="NTD7" s="735"/>
      <c r="NTE7" s="735"/>
      <c r="NTF7" s="735"/>
      <c r="NTG7" s="735"/>
      <c r="NTH7" s="735"/>
      <c r="NTI7" s="735"/>
      <c r="NTJ7" s="735"/>
      <c r="NTK7" s="735"/>
      <c r="NTL7" s="735"/>
      <c r="NTM7" s="735"/>
      <c r="NTN7" s="735"/>
      <c r="NTO7" s="735"/>
      <c r="NTP7" s="735"/>
      <c r="NTQ7" s="735"/>
      <c r="NTR7" s="735"/>
      <c r="NTS7" s="735"/>
      <c r="NTT7" s="735"/>
      <c r="NTU7" s="735"/>
      <c r="NTV7" s="735"/>
      <c r="NTW7" s="735"/>
      <c r="NTX7" s="735"/>
      <c r="NTY7" s="735"/>
      <c r="NTZ7" s="735"/>
      <c r="NUA7" s="735"/>
      <c r="NUB7" s="735"/>
      <c r="NUC7" s="735"/>
      <c r="NUD7" s="735"/>
      <c r="NUE7" s="735"/>
      <c r="NUF7" s="735"/>
      <c r="NUG7" s="735"/>
      <c r="NUH7" s="735"/>
      <c r="NUI7" s="735"/>
      <c r="NUJ7" s="735"/>
      <c r="NUK7" s="735"/>
      <c r="NUL7" s="735"/>
      <c r="NUM7" s="735"/>
      <c r="NUN7" s="735"/>
      <c r="NUO7" s="735"/>
      <c r="NUP7" s="735"/>
      <c r="NUQ7" s="735"/>
      <c r="NUR7" s="735"/>
      <c r="NUS7" s="735"/>
      <c r="NUT7" s="735"/>
      <c r="NUU7" s="735"/>
      <c r="NUV7" s="735"/>
      <c r="NUW7" s="735"/>
      <c r="NUX7" s="735"/>
      <c r="NUY7" s="735"/>
      <c r="NUZ7" s="735"/>
      <c r="NVA7" s="735"/>
      <c r="NVB7" s="735"/>
      <c r="NVC7" s="735"/>
      <c r="NVD7" s="735"/>
      <c r="NVE7" s="735"/>
      <c r="NVF7" s="735"/>
      <c r="NVG7" s="735"/>
      <c r="NVH7" s="735"/>
      <c r="NVI7" s="735"/>
      <c r="NVJ7" s="735"/>
      <c r="NVK7" s="735"/>
      <c r="NVL7" s="735"/>
      <c r="NVM7" s="735"/>
      <c r="NVN7" s="735"/>
      <c r="NVO7" s="735"/>
      <c r="NVP7" s="735"/>
      <c r="NVQ7" s="735"/>
      <c r="NVR7" s="735"/>
      <c r="NVS7" s="735"/>
      <c r="NVT7" s="735"/>
      <c r="NVU7" s="735"/>
      <c r="NVV7" s="735"/>
      <c r="NVW7" s="735"/>
      <c r="NVX7" s="735"/>
      <c r="NVY7" s="735"/>
      <c r="NVZ7" s="735"/>
      <c r="NWA7" s="735"/>
      <c r="NWB7" s="735"/>
      <c r="NWC7" s="735"/>
      <c r="NWD7" s="735"/>
      <c r="NWE7" s="735"/>
      <c r="NWF7" s="735"/>
      <c r="NWG7" s="735"/>
      <c r="NWH7" s="735"/>
      <c r="NWI7" s="735"/>
      <c r="NWJ7" s="735"/>
      <c r="NWK7" s="735"/>
      <c r="NWL7" s="735"/>
      <c r="NWM7" s="735"/>
      <c r="NWN7" s="735"/>
      <c r="NWO7" s="735"/>
      <c r="NWP7" s="735"/>
      <c r="NWQ7" s="735"/>
      <c r="NWR7" s="735"/>
      <c r="NWS7" s="735"/>
      <c r="NWT7" s="735"/>
      <c r="NWU7" s="735"/>
      <c r="NWV7" s="735"/>
      <c r="NWW7" s="735"/>
      <c r="NWX7" s="735"/>
      <c r="NWY7" s="735"/>
      <c r="NWZ7" s="735"/>
      <c r="NXA7" s="735"/>
      <c r="NXB7" s="735"/>
      <c r="NXC7" s="735"/>
      <c r="NXD7" s="735"/>
      <c r="NXE7" s="735"/>
      <c r="NXF7" s="735"/>
      <c r="NXG7" s="735"/>
      <c r="NXH7" s="735"/>
      <c r="NXI7" s="735"/>
      <c r="NXJ7" s="735"/>
      <c r="NXK7" s="735"/>
      <c r="NXL7" s="735"/>
      <c r="NXM7" s="735"/>
      <c r="NXN7" s="735"/>
      <c r="NXO7" s="735"/>
      <c r="NXP7" s="735"/>
      <c r="NXQ7" s="735"/>
      <c r="NXR7" s="735"/>
      <c r="NXS7" s="735"/>
      <c r="NXT7" s="735"/>
      <c r="NXU7" s="735"/>
      <c r="NXV7" s="735"/>
      <c r="NXW7" s="735"/>
      <c r="NXX7" s="735"/>
      <c r="NXY7" s="735"/>
      <c r="NXZ7" s="735"/>
      <c r="NYA7" s="735"/>
      <c r="NYB7" s="735"/>
      <c r="NYC7" s="735"/>
      <c r="NYD7" s="735"/>
      <c r="NYE7" s="735"/>
      <c r="NYF7" s="735"/>
      <c r="NYG7" s="735"/>
      <c r="NYH7" s="735"/>
      <c r="NYI7" s="735"/>
      <c r="NYJ7" s="735"/>
      <c r="NYK7" s="735"/>
      <c r="NYL7" s="735"/>
      <c r="NYM7" s="735"/>
      <c r="NYN7" s="735"/>
      <c r="NYO7" s="735"/>
      <c r="NYP7" s="735"/>
      <c r="NYQ7" s="735"/>
      <c r="NYR7" s="735"/>
      <c r="NYS7" s="735"/>
      <c r="NYT7" s="735"/>
      <c r="NYU7" s="735"/>
      <c r="NYV7" s="735"/>
      <c r="NYW7" s="735"/>
      <c r="NYX7" s="735"/>
      <c r="NYY7" s="735"/>
      <c r="NYZ7" s="735"/>
      <c r="NZA7" s="735"/>
      <c r="NZB7" s="735"/>
      <c r="NZC7" s="735"/>
      <c r="NZD7" s="735"/>
      <c r="NZE7" s="735"/>
      <c r="NZF7" s="735"/>
      <c r="NZG7" s="735"/>
      <c r="NZH7" s="735"/>
      <c r="NZI7" s="735"/>
      <c r="NZJ7" s="735"/>
      <c r="NZK7" s="735"/>
      <c r="NZL7" s="735"/>
      <c r="NZM7" s="735"/>
      <c r="NZN7" s="735"/>
      <c r="NZO7" s="735"/>
      <c r="NZP7" s="735"/>
      <c r="NZQ7" s="735"/>
      <c r="NZR7" s="735"/>
      <c r="NZS7" s="735"/>
      <c r="NZT7" s="735"/>
      <c r="NZU7" s="735"/>
      <c r="NZV7" s="735"/>
      <c r="NZW7" s="735"/>
      <c r="NZX7" s="735"/>
      <c r="NZY7" s="735"/>
      <c r="NZZ7" s="735"/>
      <c r="OAA7" s="735"/>
      <c r="OAB7" s="735"/>
      <c r="OAC7" s="735"/>
      <c r="OAD7" s="735"/>
      <c r="OAE7" s="735"/>
      <c r="OAF7" s="735"/>
      <c r="OAG7" s="735"/>
      <c r="OAH7" s="735"/>
      <c r="OAI7" s="735"/>
      <c r="OAJ7" s="735"/>
      <c r="OAK7" s="735"/>
      <c r="OAL7" s="735"/>
      <c r="OAM7" s="735"/>
      <c r="OAN7" s="735"/>
      <c r="OAO7" s="735"/>
      <c r="OAP7" s="735"/>
      <c r="OAQ7" s="735"/>
      <c r="OAR7" s="735"/>
      <c r="OAS7" s="735"/>
      <c r="OAT7" s="735"/>
      <c r="OAU7" s="735"/>
      <c r="OAV7" s="735"/>
      <c r="OAW7" s="735"/>
      <c r="OAX7" s="735"/>
      <c r="OAY7" s="735"/>
      <c r="OAZ7" s="735"/>
      <c r="OBA7" s="735"/>
      <c r="OBB7" s="735"/>
      <c r="OBC7" s="735"/>
      <c r="OBD7" s="735"/>
      <c r="OBE7" s="735"/>
      <c r="OBF7" s="735"/>
      <c r="OBG7" s="735"/>
      <c r="OBH7" s="735"/>
      <c r="OBI7" s="735"/>
      <c r="OBJ7" s="735"/>
      <c r="OBK7" s="735"/>
      <c r="OBL7" s="735"/>
      <c r="OBM7" s="735"/>
      <c r="OBN7" s="735"/>
      <c r="OBO7" s="735"/>
      <c r="OBP7" s="735"/>
      <c r="OBQ7" s="735"/>
      <c r="OBR7" s="735"/>
      <c r="OBS7" s="735"/>
      <c r="OBT7" s="735"/>
      <c r="OBU7" s="735"/>
      <c r="OBV7" s="735"/>
      <c r="OBW7" s="735"/>
      <c r="OBX7" s="735"/>
      <c r="OBY7" s="735"/>
      <c r="OBZ7" s="735"/>
      <c r="OCA7" s="735"/>
      <c r="OCB7" s="735"/>
      <c r="OCC7" s="735"/>
      <c r="OCD7" s="735"/>
      <c r="OCE7" s="735"/>
      <c r="OCF7" s="735"/>
      <c r="OCG7" s="735"/>
      <c r="OCH7" s="735"/>
      <c r="OCI7" s="735"/>
      <c r="OCJ7" s="735"/>
      <c r="OCK7" s="735"/>
      <c r="OCL7" s="735"/>
      <c r="OCM7" s="735"/>
      <c r="OCN7" s="735"/>
      <c r="OCO7" s="735"/>
      <c r="OCP7" s="735"/>
      <c r="OCQ7" s="735"/>
      <c r="OCR7" s="735"/>
      <c r="OCS7" s="735"/>
      <c r="OCT7" s="735"/>
      <c r="OCU7" s="735"/>
      <c r="OCV7" s="735"/>
      <c r="OCW7" s="735"/>
      <c r="OCX7" s="735"/>
      <c r="OCY7" s="735"/>
      <c r="OCZ7" s="735"/>
      <c r="ODA7" s="735"/>
      <c r="ODB7" s="735"/>
      <c r="ODC7" s="735"/>
      <c r="ODD7" s="735"/>
      <c r="ODE7" s="735"/>
      <c r="ODF7" s="735"/>
      <c r="ODG7" s="735"/>
      <c r="ODH7" s="735"/>
      <c r="ODI7" s="735"/>
      <c r="ODJ7" s="735"/>
      <c r="ODK7" s="735"/>
      <c r="ODL7" s="735"/>
      <c r="ODM7" s="735"/>
      <c r="ODN7" s="735"/>
      <c r="ODO7" s="735"/>
      <c r="ODP7" s="735"/>
      <c r="ODQ7" s="735"/>
      <c r="ODR7" s="735"/>
      <c r="ODS7" s="735"/>
      <c r="ODT7" s="735"/>
      <c r="ODU7" s="735"/>
      <c r="ODV7" s="735"/>
      <c r="ODW7" s="735"/>
      <c r="ODX7" s="735"/>
      <c r="ODY7" s="735"/>
      <c r="ODZ7" s="735"/>
      <c r="OEA7" s="735"/>
      <c r="OEB7" s="735"/>
      <c r="OEC7" s="735"/>
      <c r="OED7" s="735"/>
      <c r="OEE7" s="735"/>
      <c r="OEF7" s="735"/>
      <c r="OEG7" s="735"/>
      <c r="OEH7" s="735"/>
      <c r="OEI7" s="735"/>
      <c r="OEJ7" s="735"/>
      <c r="OEK7" s="735"/>
      <c r="OEL7" s="735"/>
      <c r="OEM7" s="735"/>
      <c r="OEN7" s="735"/>
      <c r="OEO7" s="735"/>
      <c r="OEP7" s="735"/>
      <c r="OEQ7" s="735"/>
      <c r="OER7" s="735"/>
      <c r="OES7" s="735"/>
      <c r="OET7" s="735"/>
      <c r="OEU7" s="735"/>
      <c r="OEV7" s="735"/>
      <c r="OEW7" s="735"/>
      <c r="OEX7" s="735"/>
      <c r="OEY7" s="735"/>
      <c r="OEZ7" s="735"/>
      <c r="OFA7" s="735"/>
      <c r="OFB7" s="735"/>
      <c r="OFC7" s="735"/>
      <c r="OFD7" s="735"/>
      <c r="OFE7" s="735"/>
      <c r="OFF7" s="735"/>
      <c r="OFG7" s="735"/>
      <c r="OFH7" s="735"/>
      <c r="OFI7" s="735"/>
      <c r="OFJ7" s="735"/>
      <c r="OFK7" s="735"/>
      <c r="OFL7" s="735"/>
      <c r="OFM7" s="735"/>
      <c r="OFN7" s="735"/>
      <c r="OFO7" s="735"/>
      <c r="OFP7" s="735"/>
      <c r="OFQ7" s="735"/>
      <c r="OFR7" s="735"/>
      <c r="OFS7" s="735"/>
      <c r="OFT7" s="735"/>
      <c r="OFU7" s="735"/>
      <c r="OFV7" s="735"/>
      <c r="OFW7" s="735"/>
      <c r="OFX7" s="735"/>
      <c r="OFY7" s="735"/>
      <c r="OFZ7" s="735"/>
      <c r="OGA7" s="735"/>
      <c r="OGB7" s="735"/>
      <c r="OGC7" s="735"/>
      <c r="OGD7" s="735"/>
      <c r="OGE7" s="735"/>
      <c r="OGF7" s="735"/>
      <c r="OGG7" s="735"/>
      <c r="OGH7" s="735"/>
      <c r="OGI7" s="735"/>
      <c r="OGJ7" s="735"/>
      <c r="OGK7" s="735"/>
      <c r="OGL7" s="735"/>
      <c r="OGM7" s="735"/>
      <c r="OGN7" s="735"/>
      <c r="OGO7" s="735"/>
      <c r="OGP7" s="735"/>
      <c r="OGQ7" s="735"/>
      <c r="OGR7" s="735"/>
      <c r="OGS7" s="735"/>
      <c r="OGT7" s="735"/>
      <c r="OGU7" s="735"/>
      <c r="OGV7" s="735"/>
      <c r="OGW7" s="735"/>
      <c r="OGX7" s="735"/>
      <c r="OGY7" s="735"/>
      <c r="OGZ7" s="735"/>
      <c r="OHA7" s="735"/>
      <c r="OHB7" s="735"/>
      <c r="OHC7" s="735"/>
      <c r="OHD7" s="735"/>
      <c r="OHE7" s="735"/>
      <c r="OHF7" s="735"/>
      <c r="OHG7" s="735"/>
      <c r="OHH7" s="735"/>
      <c r="OHI7" s="735"/>
      <c r="OHJ7" s="735"/>
      <c r="OHK7" s="735"/>
      <c r="OHL7" s="735"/>
      <c r="OHM7" s="735"/>
      <c r="OHN7" s="735"/>
      <c r="OHO7" s="735"/>
      <c r="OHP7" s="735"/>
      <c r="OHQ7" s="735"/>
      <c r="OHR7" s="735"/>
      <c r="OHS7" s="735"/>
      <c r="OHT7" s="735"/>
      <c r="OHU7" s="735"/>
      <c r="OHV7" s="735"/>
      <c r="OHW7" s="735"/>
      <c r="OHX7" s="735"/>
      <c r="OHY7" s="735"/>
      <c r="OHZ7" s="735"/>
      <c r="OIA7" s="735"/>
      <c r="OIB7" s="735"/>
      <c r="OIC7" s="735"/>
      <c r="OID7" s="735"/>
      <c r="OIE7" s="735"/>
      <c r="OIF7" s="735"/>
      <c r="OIG7" s="735"/>
      <c r="OIH7" s="735"/>
      <c r="OII7" s="735"/>
      <c r="OIJ7" s="735"/>
      <c r="OIK7" s="735"/>
      <c r="OIL7" s="735"/>
      <c r="OIM7" s="735"/>
      <c r="OIN7" s="735"/>
      <c r="OIO7" s="735"/>
      <c r="OIP7" s="735"/>
      <c r="OIQ7" s="735"/>
      <c r="OIR7" s="735"/>
      <c r="OIS7" s="735"/>
      <c r="OIT7" s="735"/>
      <c r="OIU7" s="735"/>
      <c r="OIV7" s="735"/>
      <c r="OIW7" s="735"/>
      <c r="OIX7" s="735"/>
      <c r="OIY7" s="735"/>
      <c r="OIZ7" s="735"/>
      <c r="OJA7" s="735"/>
      <c r="OJB7" s="735"/>
      <c r="OJC7" s="735"/>
      <c r="OJD7" s="735"/>
      <c r="OJE7" s="735"/>
      <c r="OJF7" s="735"/>
      <c r="OJG7" s="735"/>
      <c r="OJH7" s="735"/>
      <c r="OJI7" s="735"/>
      <c r="OJJ7" s="735"/>
      <c r="OJK7" s="735"/>
      <c r="OJL7" s="735"/>
      <c r="OJM7" s="735"/>
      <c r="OJN7" s="735"/>
      <c r="OJO7" s="735"/>
      <c r="OJP7" s="735"/>
      <c r="OJQ7" s="735"/>
      <c r="OJR7" s="735"/>
      <c r="OJS7" s="735"/>
      <c r="OJT7" s="735"/>
      <c r="OJU7" s="735"/>
      <c r="OJV7" s="735"/>
      <c r="OJW7" s="735"/>
      <c r="OJX7" s="735"/>
      <c r="OJY7" s="735"/>
      <c r="OJZ7" s="735"/>
      <c r="OKA7" s="735"/>
      <c r="OKB7" s="735"/>
      <c r="OKC7" s="735"/>
      <c r="OKD7" s="735"/>
      <c r="OKE7" s="735"/>
      <c r="OKF7" s="735"/>
      <c r="OKG7" s="735"/>
      <c r="OKH7" s="735"/>
      <c r="OKI7" s="735"/>
      <c r="OKJ7" s="735"/>
      <c r="OKK7" s="735"/>
      <c r="OKL7" s="735"/>
      <c r="OKM7" s="735"/>
      <c r="OKN7" s="735"/>
      <c r="OKO7" s="735"/>
      <c r="OKP7" s="735"/>
      <c r="OKQ7" s="735"/>
      <c r="OKR7" s="735"/>
      <c r="OKS7" s="735"/>
      <c r="OKT7" s="735"/>
      <c r="OKU7" s="735"/>
      <c r="OKV7" s="735"/>
      <c r="OKW7" s="735"/>
      <c r="OKX7" s="735"/>
      <c r="OKY7" s="735"/>
      <c r="OKZ7" s="735"/>
      <c r="OLA7" s="735"/>
      <c r="OLB7" s="735"/>
      <c r="OLC7" s="735"/>
      <c r="OLD7" s="735"/>
      <c r="OLE7" s="735"/>
      <c r="OLF7" s="735"/>
      <c r="OLG7" s="735"/>
      <c r="OLH7" s="735"/>
      <c r="OLI7" s="735"/>
      <c r="OLJ7" s="735"/>
      <c r="OLK7" s="735"/>
      <c r="OLL7" s="735"/>
      <c r="OLM7" s="735"/>
      <c r="OLN7" s="735"/>
      <c r="OLO7" s="735"/>
      <c r="OLP7" s="735"/>
      <c r="OLQ7" s="735"/>
      <c r="OLR7" s="735"/>
      <c r="OLS7" s="735"/>
      <c r="OLT7" s="735"/>
      <c r="OLU7" s="735"/>
      <c r="OLV7" s="735"/>
      <c r="OLW7" s="735"/>
      <c r="OLX7" s="735"/>
      <c r="OLY7" s="735"/>
      <c r="OLZ7" s="735"/>
      <c r="OMA7" s="735"/>
      <c r="OMB7" s="735"/>
      <c r="OMC7" s="735"/>
      <c r="OMD7" s="735"/>
      <c r="OME7" s="735"/>
      <c r="OMF7" s="735"/>
      <c r="OMG7" s="735"/>
      <c r="OMH7" s="735"/>
      <c r="OMI7" s="735"/>
      <c r="OMJ7" s="735"/>
      <c r="OMK7" s="735"/>
      <c r="OML7" s="735"/>
      <c r="OMM7" s="735"/>
      <c r="OMN7" s="735"/>
      <c r="OMO7" s="735"/>
      <c r="OMP7" s="735"/>
      <c r="OMQ7" s="735"/>
      <c r="OMR7" s="735"/>
      <c r="OMS7" s="735"/>
      <c r="OMT7" s="735"/>
      <c r="OMU7" s="735"/>
      <c r="OMV7" s="735"/>
      <c r="OMW7" s="735"/>
      <c r="OMX7" s="735"/>
      <c r="OMY7" s="735"/>
      <c r="OMZ7" s="735"/>
      <c r="ONA7" s="735"/>
      <c r="ONB7" s="735"/>
      <c r="ONC7" s="735"/>
      <c r="OND7" s="735"/>
      <c r="ONE7" s="735"/>
      <c r="ONF7" s="735"/>
      <c r="ONG7" s="735"/>
      <c r="ONH7" s="735"/>
      <c r="ONI7" s="735"/>
      <c r="ONJ7" s="735"/>
      <c r="ONK7" s="735"/>
      <c r="ONL7" s="735"/>
      <c r="ONM7" s="735"/>
      <c r="ONN7" s="735"/>
      <c r="ONO7" s="735"/>
      <c r="ONP7" s="735"/>
      <c r="ONQ7" s="735"/>
      <c r="ONR7" s="735"/>
      <c r="ONS7" s="735"/>
      <c r="ONT7" s="735"/>
      <c r="ONU7" s="735"/>
      <c r="ONV7" s="735"/>
      <c r="ONW7" s="735"/>
      <c r="ONX7" s="735"/>
      <c r="ONY7" s="735"/>
      <c r="ONZ7" s="735"/>
      <c r="OOA7" s="735"/>
      <c r="OOB7" s="735"/>
      <c r="OOC7" s="735"/>
      <c r="OOD7" s="735"/>
      <c r="OOE7" s="735"/>
      <c r="OOF7" s="735"/>
      <c r="OOG7" s="735"/>
      <c r="OOH7" s="735"/>
      <c r="OOI7" s="735"/>
      <c r="OOJ7" s="735"/>
      <c r="OOK7" s="735"/>
      <c r="OOL7" s="735"/>
      <c r="OOM7" s="735"/>
      <c r="OON7" s="735"/>
      <c r="OOO7" s="735"/>
      <c r="OOP7" s="735"/>
      <c r="OOQ7" s="735"/>
      <c r="OOR7" s="735"/>
      <c r="OOS7" s="735"/>
      <c r="OOT7" s="735"/>
      <c r="OOU7" s="735"/>
      <c r="OOV7" s="735"/>
      <c r="OOW7" s="735"/>
      <c r="OOX7" s="735"/>
      <c r="OOY7" s="735"/>
      <c r="OOZ7" s="735"/>
      <c r="OPA7" s="735"/>
      <c r="OPB7" s="735"/>
      <c r="OPC7" s="735"/>
      <c r="OPD7" s="735"/>
      <c r="OPE7" s="735"/>
      <c r="OPF7" s="735"/>
      <c r="OPG7" s="735"/>
      <c r="OPH7" s="735"/>
      <c r="OPI7" s="735"/>
      <c r="OPJ7" s="735"/>
      <c r="OPK7" s="735"/>
      <c r="OPL7" s="735"/>
      <c r="OPM7" s="735"/>
      <c r="OPN7" s="735"/>
      <c r="OPO7" s="735"/>
      <c r="OPP7" s="735"/>
      <c r="OPQ7" s="735"/>
      <c r="OPR7" s="735"/>
      <c r="OPS7" s="735"/>
      <c r="OPT7" s="735"/>
      <c r="OPU7" s="735"/>
      <c r="OPV7" s="735"/>
      <c r="OPW7" s="735"/>
      <c r="OPX7" s="735"/>
      <c r="OPY7" s="735"/>
      <c r="OPZ7" s="735"/>
      <c r="OQA7" s="735"/>
      <c r="OQB7" s="735"/>
      <c r="OQC7" s="735"/>
      <c r="OQD7" s="735"/>
      <c r="OQE7" s="735"/>
      <c r="OQF7" s="735"/>
      <c r="OQG7" s="735"/>
      <c r="OQH7" s="735"/>
      <c r="OQI7" s="735"/>
      <c r="OQJ7" s="735"/>
      <c r="OQK7" s="735"/>
      <c r="OQL7" s="735"/>
      <c r="OQM7" s="735"/>
      <c r="OQN7" s="735"/>
      <c r="OQO7" s="735"/>
      <c r="OQP7" s="735"/>
      <c r="OQQ7" s="735"/>
      <c r="OQR7" s="735"/>
      <c r="OQS7" s="735"/>
      <c r="OQT7" s="735"/>
      <c r="OQU7" s="735"/>
      <c r="OQV7" s="735"/>
      <c r="OQW7" s="735"/>
      <c r="OQX7" s="735"/>
      <c r="OQY7" s="735"/>
      <c r="OQZ7" s="735"/>
      <c r="ORA7" s="735"/>
      <c r="ORB7" s="735"/>
      <c r="ORC7" s="735"/>
      <c r="ORD7" s="735"/>
      <c r="ORE7" s="735"/>
      <c r="ORF7" s="735"/>
      <c r="ORG7" s="735"/>
      <c r="ORH7" s="735"/>
      <c r="ORI7" s="735"/>
      <c r="ORJ7" s="735"/>
      <c r="ORK7" s="735"/>
      <c r="ORL7" s="735"/>
      <c r="ORM7" s="735"/>
      <c r="ORN7" s="735"/>
      <c r="ORO7" s="735"/>
      <c r="ORP7" s="735"/>
      <c r="ORQ7" s="735"/>
      <c r="ORR7" s="735"/>
      <c r="ORS7" s="735"/>
      <c r="ORT7" s="735"/>
      <c r="ORU7" s="735"/>
      <c r="ORV7" s="735"/>
      <c r="ORW7" s="735"/>
      <c r="ORX7" s="735"/>
      <c r="ORY7" s="735"/>
      <c r="ORZ7" s="735"/>
      <c r="OSA7" s="735"/>
      <c r="OSB7" s="735"/>
      <c r="OSC7" s="735"/>
      <c r="OSD7" s="735"/>
      <c r="OSE7" s="735"/>
      <c r="OSF7" s="735"/>
      <c r="OSG7" s="735"/>
      <c r="OSH7" s="735"/>
      <c r="OSI7" s="735"/>
      <c r="OSJ7" s="735"/>
      <c r="OSK7" s="735"/>
      <c r="OSL7" s="735"/>
      <c r="OSM7" s="735"/>
      <c r="OSN7" s="735"/>
      <c r="OSO7" s="735"/>
      <c r="OSP7" s="735"/>
      <c r="OSQ7" s="735"/>
      <c r="OSR7" s="735"/>
      <c r="OSS7" s="735"/>
      <c r="OST7" s="735"/>
      <c r="OSU7" s="735"/>
      <c r="OSV7" s="735"/>
      <c r="OSW7" s="735"/>
      <c r="OSX7" s="735"/>
      <c r="OSY7" s="735"/>
      <c r="OSZ7" s="735"/>
      <c r="OTA7" s="735"/>
      <c r="OTB7" s="735"/>
      <c r="OTC7" s="735"/>
      <c r="OTD7" s="735"/>
      <c r="OTE7" s="735"/>
      <c r="OTF7" s="735"/>
      <c r="OTG7" s="735"/>
      <c r="OTH7" s="735"/>
      <c r="OTI7" s="735"/>
      <c r="OTJ7" s="735"/>
      <c r="OTK7" s="735"/>
      <c r="OTL7" s="735"/>
      <c r="OTM7" s="735"/>
      <c r="OTN7" s="735"/>
      <c r="OTO7" s="735"/>
      <c r="OTP7" s="735"/>
      <c r="OTQ7" s="735"/>
      <c r="OTR7" s="735"/>
      <c r="OTS7" s="735"/>
      <c r="OTT7" s="735"/>
      <c r="OTU7" s="735"/>
      <c r="OTV7" s="735"/>
      <c r="OTW7" s="735"/>
      <c r="OTX7" s="735"/>
      <c r="OTY7" s="735"/>
      <c r="OTZ7" s="735"/>
      <c r="OUA7" s="735"/>
      <c r="OUB7" s="735"/>
      <c r="OUC7" s="735"/>
      <c r="OUD7" s="735"/>
      <c r="OUE7" s="735"/>
      <c r="OUF7" s="735"/>
      <c r="OUG7" s="735"/>
      <c r="OUH7" s="735"/>
      <c r="OUI7" s="735"/>
      <c r="OUJ7" s="735"/>
      <c r="OUK7" s="735"/>
      <c r="OUL7" s="735"/>
      <c r="OUM7" s="735"/>
      <c r="OUN7" s="735"/>
      <c r="OUO7" s="735"/>
      <c r="OUP7" s="735"/>
      <c r="OUQ7" s="735"/>
      <c r="OUR7" s="735"/>
      <c r="OUS7" s="735"/>
      <c r="OUT7" s="735"/>
      <c r="OUU7" s="735"/>
      <c r="OUV7" s="735"/>
      <c r="OUW7" s="735"/>
      <c r="OUX7" s="735"/>
      <c r="OUY7" s="735"/>
      <c r="OUZ7" s="735"/>
      <c r="OVA7" s="735"/>
      <c r="OVB7" s="735"/>
      <c r="OVC7" s="735"/>
      <c r="OVD7" s="735"/>
      <c r="OVE7" s="735"/>
      <c r="OVF7" s="735"/>
      <c r="OVG7" s="735"/>
      <c r="OVH7" s="735"/>
      <c r="OVI7" s="735"/>
      <c r="OVJ7" s="735"/>
      <c r="OVK7" s="735"/>
      <c r="OVL7" s="735"/>
      <c r="OVM7" s="735"/>
      <c r="OVN7" s="735"/>
      <c r="OVO7" s="735"/>
      <c r="OVP7" s="735"/>
      <c r="OVQ7" s="735"/>
      <c r="OVR7" s="735"/>
      <c r="OVS7" s="735"/>
      <c r="OVT7" s="735"/>
      <c r="OVU7" s="735"/>
      <c r="OVV7" s="735"/>
      <c r="OVW7" s="735"/>
      <c r="OVX7" s="735"/>
      <c r="OVY7" s="735"/>
      <c r="OVZ7" s="735"/>
      <c r="OWA7" s="735"/>
      <c r="OWB7" s="735"/>
      <c r="OWC7" s="735"/>
      <c r="OWD7" s="735"/>
      <c r="OWE7" s="735"/>
      <c r="OWF7" s="735"/>
      <c r="OWG7" s="735"/>
      <c r="OWH7" s="735"/>
      <c r="OWI7" s="735"/>
      <c r="OWJ7" s="735"/>
      <c r="OWK7" s="735"/>
      <c r="OWL7" s="735"/>
      <c r="OWM7" s="735"/>
      <c r="OWN7" s="735"/>
      <c r="OWO7" s="735"/>
      <c r="OWP7" s="735"/>
      <c r="OWQ7" s="735"/>
      <c r="OWR7" s="735"/>
      <c r="OWS7" s="735"/>
      <c r="OWT7" s="735"/>
      <c r="OWU7" s="735"/>
      <c r="OWV7" s="735"/>
      <c r="OWW7" s="735"/>
      <c r="OWX7" s="735"/>
      <c r="OWY7" s="735"/>
      <c r="OWZ7" s="735"/>
      <c r="OXA7" s="735"/>
      <c r="OXB7" s="735"/>
      <c r="OXC7" s="735"/>
      <c r="OXD7" s="735"/>
      <c r="OXE7" s="735"/>
      <c r="OXF7" s="735"/>
      <c r="OXG7" s="735"/>
      <c r="OXH7" s="735"/>
      <c r="OXI7" s="735"/>
      <c r="OXJ7" s="735"/>
      <c r="OXK7" s="735"/>
      <c r="OXL7" s="735"/>
      <c r="OXM7" s="735"/>
      <c r="OXN7" s="735"/>
      <c r="OXO7" s="735"/>
      <c r="OXP7" s="735"/>
      <c r="OXQ7" s="735"/>
      <c r="OXR7" s="735"/>
      <c r="OXS7" s="735"/>
      <c r="OXT7" s="735"/>
      <c r="OXU7" s="735"/>
      <c r="OXV7" s="735"/>
      <c r="OXW7" s="735"/>
      <c r="OXX7" s="735"/>
      <c r="OXY7" s="735"/>
      <c r="OXZ7" s="735"/>
      <c r="OYA7" s="735"/>
      <c r="OYB7" s="735"/>
      <c r="OYC7" s="735"/>
      <c r="OYD7" s="735"/>
      <c r="OYE7" s="735"/>
      <c r="OYF7" s="735"/>
      <c r="OYG7" s="735"/>
      <c r="OYH7" s="735"/>
      <c r="OYI7" s="735"/>
      <c r="OYJ7" s="735"/>
      <c r="OYK7" s="735"/>
      <c r="OYL7" s="735"/>
      <c r="OYM7" s="735"/>
      <c r="OYN7" s="735"/>
      <c r="OYO7" s="735"/>
      <c r="OYP7" s="735"/>
      <c r="OYQ7" s="735"/>
      <c r="OYR7" s="735"/>
      <c r="OYS7" s="735"/>
      <c r="OYT7" s="735"/>
      <c r="OYU7" s="735"/>
      <c r="OYV7" s="735"/>
      <c r="OYW7" s="735"/>
      <c r="OYX7" s="735"/>
      <c r="OYY7" s="735"/>
      <c r="OYZ7" s="735"/>
      <c r="OZA7" s="735"/>
      <c r="OZB7" s="735"/>
      <c r="OZC7" s="735"/>
      <c r="OZD7" s="735"/>
      <c r="OZE7" s="735"/>
      <c r="OZF7" s="735"/>
      <c r="OZG7" s="735"/>
      <c r="OZH7" s="735"/>
      <c r="OZI7" s="735"/>
      <c r="OZJ7" s="735"/>
      <c r="OZK7" s="735"/>
      <c r="OZL7" s="735"/>
      <c r="OZM7" s="735"/>
      <c r="OZN7" s="735"/>
      <c r="OZO7" s="735"/>
      <c r="OZP7" s="735"/>
      <c r="OZQ7" s="735"/>
      <c r="OZR7" s="735"/>
      <c r="OZS7" s="735"/>
      <c r="OZT7" s="735"/>
      <c r="OZU7" s="735"/>
      <c r="OZV7" s="735"/>
      <c r="OZW7" s="735"/>
      <c r="OZX7" s="735"/>
      <c r="OZY7" s="735"/>
      <c r="OZZ7" s="735"/>
      <c r="PAA7" s="735"/>
      <c r="PAB7" s="735"/>
      <c r="PAC7" s="735"/>
      <c r="PAD7" s="735"/>
      <c r="PAE7" s="735"/>
      <c r="PAF7" s="735"/>
      <c r="PAG7" s="735"/>
      <c r="PAH7" s="735"/>
      <c r="PAI7" s="735"/>
      <c r="PAJ7" s="735"/>
      <c r="PAK7" s="735"/>
      <c r="PAL7" s="735"/>
      <c r="PAM7" s="735"/>
      <c r="PAN7" s="735"/>
      <c r="PAO7" s="735"/>
      <c r="PAP7" s="735"/>
      <c r="PAQ7" s="735"/>
      <c r="PAR7" s="735"/>
      <c r="PAS7" s="735"/>
      <c r="PAT7" s="735"/>
      <c r="PAU7" s="735"/>
      <c r="PAV7" s="735"/>
      <c r="PAW7" s="735"/>
      <c r="PAX7" s="735"/>
      <c r="PAY7" s="735"/>
      <c r="PAZ7" s="735"/>
      <c r="PBA7" s="735"/>
      <c r="PBB7" s="735"/>
      <c r="PBC7" s="735"/>
      <c r="PBD7" s="735"/>
      <c r="PBE7" s="735"/>
      <c r="PBF7" s="735"/>
      <c r="PBG7" s="735"/>
      <c r="PBH7" s="735"/>
      <c r="PBI7" s="735"/>
      <c r="PBJ7" s="735"/>
      <c r="PBK7" s="735"/>
      <c r="PBL7" s="735"/>
      <c r="PBM7" s="735"/>
      <c r="PBN7" s="735"/>
      <c r="PBO7" s="735"/>
      <c r="PBP7" s="735"/>
      <c r="PBQ7" s="735"/>
      <c r="PBR7" s="735"/>
      <c r="PBS7" s="735"/>
      <c r="PBT7" s="735"/>
      <c r="PBU7" s="735"/>
      <c r="PBV7" s="735"/>
      <c r="PBW7" s="735"/>
      <c r="PBX7" s="735"/>
      <c r="PBY7" s="735"/>
      <c r="PBZ7" s="735"/>
      <c r="PCA7" s="735"/>
      <c r="PCB7" s="735"/>
      <c r="PCC7" s="735"/>
      <c r="PCD7" s="735"/>
      <c r="PCE7" s="735"/>
      <c r="PCF7" s="735"/>
      <c r="PCG7" s="735"/>
      <c r="PCH7" s="735"/>
      <c r="PCI7" s="735"/>
      <c r="PCJ7" s="735"/>
      <c r="PCK7" s="735"/>
      <c r="PCL7" s="735"/>
      <c r="PCM7" s="735"/>
      <c r="PCN7" s="735"/>
      <c r="PCO7" s="735"/>
      <c r="PCP7" s="735"/>
      <c r="PCQ7" s="735"/>
      <c r="PCR7" s="735"/>
      <c r="PCS7" s="735"/>
      <c r="PCT7" s="735"/>
      <c r="PCU7" s="735"/>
      <c r="PCV7" s="735"/>
      <c r="PCW7" s="735"/>
      <c r="PCX7" s="735"/>
      <c r="PCY7" s="735"/>
      <c r="PCZ7" s="735"/>
      <c r="PDA7" s="735"/>
      <c r="PDB7" s="735"/>
      <c r="PDC7" s="735"/>
      <c r="PDD7" s="735"/>
      <c r="PDE7" s="735"/>
      <c r="PDF7" s="735"/>
      <c r="PDG7" s="735"/>
      <c r="PDH7" s="735"/>
      <c r="PDI7" s="735"/>
      <c r="PDJ7" s="735"/>
      <c r="PDK7" s="735"/>
      <c r="PDL7" s="735"/>
      <c r="PDM7" s="735"/>
      <c r="PDN7" s="735"/>
      <c r="PDO7" s="735"/>
      <c r="PDP7" s="735"/>
      <c r="PDQ7" s="735"/>
      <c r="PDR7" s="735"/>
      <c r="PDS7" s="735"/>
      <c r="PDT7" s="735"/>
      <c r="PDU7" s="735"/>
      <c r="PDV7" s="735"/>
      <c r="PDW7" s="735"/>
      <c r="PDX7" s="735"/>
      <c r="PDY7" s="735"/>
      <c r="PDZ7" s="735"/>
      <c r="PEA7" s="735"/>
      <c r="PEB7" s="735"/>
      <c r="PEC7" s="735"/>
      <c r="PED7" s="735"/>
      <c r="PEE7" s="735"/>
      <c r="PEF7" s="735"/>
      <c r="PEG7" s="735"/>
      <c r="PEH7" s="735"/>
      <c r="PEI7" s="735"/>
      <c r="PEJ7" s="735"/>
      <c r="PEK7" s="735"/>
      <c r="PEL7" s="735"/>
      <c r="PEM7" s="735"/>
      <c r="PEN7" s="735"/>
      <c r="PEO7" s="735"/>
      <c r="PEP7" s="735"/>
      <c r="PEQ7" s="735"/>
      <c r="PER7" s="735"/>
      <c r="PES7" s="735"/>
      <c r="PET7" s="735"/>
      <c r="PEU7" s="735"/>
      <c r="PEV7" s="735"/>
      <c r="PEW7" s="735"/>
      <c r="PEX7" s="735"/>
      <c r="PEY7" s="735"/>
      <c r="PEZ7" s="735"/>
      <c r="PFA7" s="735"/>
      <c r="PFB7" s="735"/>
      <c r="PFC7" s="735"/>
      <c r="PFD7" s="735"/>
      <c r="PFE7" s="735"/>
      <c r="PFF7" s="735"/>
      <c r="PFG7" s="735"/>
      <c r="PFH7" s="735"/>
      <c r="PFI7" s="735"/>
      <c r="PFJ7" s="735"/>
      <c r="PFK7" s="735"/>
      <c r="PFL7" s="735"/>
      <c r="PFM7" s="735"/>
      <c r="PFN7" s="735"/>
      <c r="PFO7" s="735"/>
      <c r="PFP7" s="735"/>
      <c r="PFQ7" s="735"/>
      <c r="PFR7" s="735"/>
      <c r="PFS7" s="735"/>
      <c r="PFT7" s="735"/>
      <c r="PFU7" s="735"/>
      <c r="PFV7" s="735"/>
      <c r="PFW7" s="735"/>
      <c r="PFX7" s="735"/>
      <c r="PFY7" s="735"/>
      <c r="PFZ7" s="735"/>
      <c r="PGA7" s="735"/>
      <c r="PGB7" s="735"/>
      <c r="PGC7" s="735"/>
      <c r="PGD7" s="735"/>
      <c r="PGE7" s="735"/>
      <c r="PGF7" s="735"/>
      <c r="PGG7" s="735"/>
      <c r="PGH7" s="735"/>
      <c r="PGI7" s="735"/>
      <c r="PGJ7" s="735"/>
      <c r="PGK7" s="735"/>
      <c r="PGL7" s="735"/>
      <c r="PGM7" s="735"/>
      <c r="PGN7" s="735"/>
      <c r="PGO7" s="735"/>
      <c r="PGP7" s="735"/>
      <c r="PGQ7" s="735"/>
      <c r="PGR7" s="735"/>
      <c r="PGS7" s="735"/>
      <c r="PGT7" s="735"/>
      <c r="PGU7" s="735"/>
      <c r="PGV7" s="735"/>
      <c r="PGW7" s="735"/>
      <c r="PGX7" s="735"/>
      <c r="PGY7" s="735"/>
      <c r="PGZ7" s="735"/>
      <c r="PHA7" s="735"/>
      <c r="PHB7" s="735"/>
      <c r="PHC7" s="735"/>
      <c r="PHD7" s="735"/>
      <c r="PHE7" s="735"/>
      <c r="PHF7" s="735"/>
      <c r="PHG7" s="735"/>
      <c r="PHH7" s="735"/>
      <c r="PHI7" s="735"/>
      <c r="PHJ7" s="735"/>
      <c r="PHK7" s="735"/>
      <c r="PHL7" s="735"/>
      <c r="PHM7" s="735"/>
      <c r="PHN7" s="735"/>
      <c r="PHO7" s="735"/>
      <c r="PHP7" s="735"/>
      <c r="PHQ7" s="735"/>
      <c r="PHR7" s="735"/>
      <c r="PHS7" s="735"/>
      <c r="PHT7" s="735"/>
      <c r="PHU7" s="735"/>
      <c r="PHV7" s="735"/>
      <c r="PHW7" s="735"/>
      <c r="PHX7" s="735"/>
      <c r="PHY7" s="735"/>
      <c r="PHZ7" s="735"/>
      <c r="PIA7" s="735"/>
      <c r="PIB7" s="735"/>
      <c r="PIC7" s="735"/>
      <c r="PID7" s="735"/>
      <c r="PIE7" s="735"/>
      <c r="PIF7" s="735"/>
      <c r="PIG7" s="735"/>
      <c r="PIH7" s="735"/>
      <c r="PII7" s="735"/>
      <c r="PIJ7" s="735"/>
      <c r="PIK7" s="735"/>
      <c r="PIL7" s="735"/>
      <c r="PIM7" s="735"/>
      <c r="PIN7" s="735"/>
      <c r="PIO7" s="735"/>
      <c r="PIP7" s="735"/>
      <c r="PIQ7" s="735"/>
      <c r="PIR7" s="735"/>
      <c r="PIS7" s="735"/>
      <c r="PIT7" s="735"/>
      <c r="PIU7" s="735"/>
      <c r="PIV7" s="735"/>
      <c r="PIW7" s="735"/>
      <c r="PIX7" s="735"/>
      <c r="PIY7" s="735"/>
      <c r="PIZ7" s="735"/>
      <c r="PJA7" s="735"/>
      <c r="PJB7" s="735"/>
      <c r="PJC7" s="735"/>
      <c r="PJD7" s="735"/>
      <c r="PJE7" s="735"/>
      <c r="PJF7" s="735"/>
      <c r="PJG7" s="735"/>
      <c r="PJH7" s="735"/>
      <c r="PJI7" s="735"/>
      <c r="PJJ7" s="735"/>
      <c r="PJK7" s="735"/>
      <c r="PJL7" s="735"/>
      <c r="PJM7" s="735"/>
      <c r="PJN7" s="735"/>
      <c r="PJO7" s="735"/>
      <c r="PJP7" s="735"/>
      <c r="PJQ7" s="735"/>
      <c r="PJR7" s="735"/>
      <c r="PJS7" s="735"/>
      <c r="PJT7" s="735"/>
      <c r="PJU7" s="735"/>
      <c r="PJV7" s="735"/>
      <c r="PJW7" s="735"/>
      <c r="PJX7" s="735"/>
      <c r="PJY7" s="735"/>
      <c r="PJZ7" s="735"/>
      <c r="PKA7" s="735"/>
      <c r="PKB7" s="735"/>
      <c r="PKC7" s="735"/>
      <c r="PKD7" s="735"/>
      <c r="PKE7" s="735"/>
      <c r="PKF7" s="735"/>
      <c r="PKG7" s="735"/>
      <c r="PKH7" s="735"/>
      <c r="PKI7" s="735"/>
      <c r="PKJ7" s="735"/>
      <c r="PKK7" s="735"/>
      <c r="PKL7" s="735"/>
      <c r="PKM7" s="735"/>
      <c r="PKN7" s="735"/>
      <c r="PKO7" s="735"/>
      <c r="PKP7" s="735"/>
      <c r="PKQ7" s="735"/>
      <c r="PKR7" s="735"/>
      <c r="PKS7" s="735"/>
      <c r="PKT7" s="735"/>
      <c r="PKU7" s="735"/>
      <c r="PKV7" s="735"/>
      <c r="PKW7" s="735"/>
      <c r="PKX7" s="735"/>
      <c r="PKY7" s="735"/>
      <c r="PKZ7" s="735"/>
      <c r="PLA7" s="735"/>
      <c r="PLB7" s="735"/>
      <c r="PLC7" s="735"/>
      <c r="PLD7" s="735"/>
      <c r="PLE7" s="735"/>
      <c r="PLF7" s="735"/>
      <c r="PLG7" s="735"/>
      <c r="PLH7" s="735"/>
      <c r="PLI7" s="735"/>
      <c r="PLJ7" s="735"/>
      <c r="PLK7" s="735"/>
      <c r="PLL7" s="735"/>
      <c r="PLM7" s="735"/>
      <c r="PLN7" s="735"/>
      <c r="PLO7" s="735"/>
      <c r="PLP7" s="735"/>
      <c r="PLQ7" s="735"/>
      <c r="PLR7" s="735"/>
      <c r="PLS7" s="735"/>
      <c r="PLT7" s="735"/>
      <c r="PLU7" s="735"/>
      <c r="PLV7" s="735"/>
      <c r="PLW7" s="735"/>
      <c r="PLX7" s="735"/>
      <c r="PLY7" s="735"/>
      <c r="PLZ7" s="735"/>
      <c r="PMA7" s="735"/>
      <c r="PMB7" s="735"/>
      <c r="PMC7" s="735"/>
      <c r="PMD7" s="735"/>
      <c r="PME7" s="735"/>
      <c r="PMF7" s="735"/>
      <c r="PMG7" s="735"/>
      <c r="PMH7" s="735"/>
      <c r="PMI7" s="735"/>
      <c r="PMJ7" s="735"/>
      <c r="PMK7" s="735"/>
      <c r="PML7" s="735"/>
      <c r="PMM7" s="735"/>
      <c r="PMN7" s="735"/>
      <c r="PMO7" s="735"/>
      <c r="PMP7" s="735"/>
      <c r="PMQ7" s="735"/>
      <c r="PMR7" s="735"/>
      <c r="PMS7" s="735"/>
      <c r="PMT7" s="735"/>
      <c r="PMU7" s="735"/>
      <c r="PMV7" s="735"/>
      <c r="PMW7" s="735"/>
      <c r="PMX7" s="735"/>
      <c r="PMY7" s="735"/>
      <c r="PMZ7" s="735"/>
      <c r="PNA7" s="735"/>
      <c r="PNB7" s="735"/>
      <c r="PNC7" s="735"/>
      <c r="PND7" s="735"/>
      <c r="PNE7" s="735"/>
      <c r="PNF7" s="735"/>
      <c r="PNG7" s="735"/>
      <c r="PNH7" s="735"/>
      <c r="PNI7" s="735"/>
      <c r="PNJ7" s="735"/>
      <c r="PNK7" s="735"/>
      <c r="PNL7" s="735"/>
      <c r="PNM7" s="735"/>
      <c r="PNN7" s="735"/>
      <c r="PNO7" s="735"/>
      <c r="PNP7" s="735"/>
      <c r="PNQ7" s="735"/>
      <c r="PNR7" s="735"/>
      <c r="PNS7" s="735"/>
      <c r="PNT7" s="735"/>
      <c r="PNU7" s="735"/>
      <c r="PNV7" s="735"/>
      <c r="PNW7" s="735"/>
      <c r="PNX7" s="735"/>
      <c r="PNY7" s="735"/>
      <c r="PNZ7" s="735"/>
      <c r="POA7" s="735"/>
      <c r="POB7" s="735"/>
      <c r="POC7" s="735"/>
      <c r="POD7" s="735"/>
      <c r="POE7" s="735"/>
      <c r="POF7" s="735"/>
      <c r="POG7" s="735"/>
      <c r="POH7" s="735"/>
      <c r="POI7" s="735"/>
      <c r="POJ7" s="735"/>
      <c r="POK7" s="735"/>
      <c r="POL7" s="735"/>
      <c r="POM7" s="735"/>
      <c r="PON7" s="735"/>
      <c r="POO7" s="735"/>
      <c r="POP7" s="735"/>
      <c r="POQ7" s="735"/>
      <c r="POR7" s="735"/>
      <c r="POS7" s="735"/>
      <c r="POT7" s="735"/>
      <c r="POU7" s="735"/>
      <c r="POV7" s="735"/>
      <c r="POW7" s="735"/>
      <c r="POX7" s="735"/>
      <c r="POY7" s="735"/>
      <c r="POZ7" s="735"/>
      <c r="PPA7" s="735"/>
      <c r="PPB7" s="735"/>
      <c r="PPC7" s="735"/>
      <c r="PPD7" s="735"/>
      <c r="PPE7" s="735"/>
      <c r="PPF7" s="735"/>
      <c r="PPG7" s="735"/>
      <c r="PPH7" s="735"/>
      <c r="PPI7" s="735"/>
      <c r="PPJ7" s="735"/>
      <c r="PPK7" s="735"/>
      <c r="PPL7" s="735"/>
      <c r="PPM7" s="735"/>
      <c r="PPN7" s="735"/>
      <c r="PPO7" s="735"/>
      <c r="PPP7" s="735"/>
      <c r="PPQ7" s="735"/>
      <c r="PPR7" s="735"/>
      <c r="PPS7" s="735"/>
      <c r="PPT7" s="735"/>
      <c r="PPU7" s="735"/>
      <c r="PPV7" s="735"/>
      <c r="PPW7" s="735"/>
      <c r="PPX7" s="735"/>
      <c r="PPY7" s="735"/>
      <c r="PPZ7" s="735"/>
      <c r="PQA7" s="735"/>
      <c r="PQB7" s="735"/>
      <c r="PQC7" s="735"/>
      <c r="PQD7" s="735"/>
      <c r="PQE7" s="735"/>
      <c r="PQF7" s="735"/>
      <c r="PQG7" s="735"/>
      <c r="PQH7" s="735"/>
      <c r="PQI7" s="735"/>
      <c r="PQJ7" s="735"/>
      <c r="PQK7" s="735"/>
      <c r="PQL7" s="735"/>
      <c r="PQM7" s="735"/>
      <c r="PQN7" s="735"/>
      <c r="PQO7" s="735"/>
      <c r="PQP7" s="735"/>
      <c r="PQQ7" s="735"/>
      <c r="PQR7" s="735"/>
      <c r="PQS7" s="735"/>
      <c r="PQT7" s="735"/>
      <c r="PQU7" s="735"/>
      <c r="PQV7" s="735"/>
      <c r="PQW7" s="735"/>
      <c r="PQX7" s="735"/>
      <c r="PQY7" s="735"/>
      <c r="PQZ7" s="735"/>
      <c r="PRA7" s="735"/>
      <c r="PRB7" s="735"/>
      <c r="PRC7" s="735"/>
      <c r="PRD7" s="735"/>
      <c r="PRE7" s="735"/>
      <c r="PRF7" s="735"/>
      <c r="PRG7" s="735"/>
      <c r="PRH7" s="735"/>
      <c r="PRI7" s="735"/>
      <c r="PRJ7" s="735"/>
      <c r="PRK7" s="735"/>
      <c r="PRL7" s="735"/>
      <c r="PRM7" s="735"/>
      <c r="PRN7" s="735"/>
      <c r="PRO7" s="735"/>
      <c r="PRP7" s="735"/>
      <c r="PRQ7" s="735"/>
      <c r="PRR7" s="735"/>
      <c r="PRS7" s="735"/>
      <c r="PRT7" s="735"/>
      <c r="PRU7" s="735"/>
      <c r="PRV7" s="735"/>
      <c r="PRW7" s="735"/>
      <c r="PRX7" s="735"/>
      <c r="PRY7" s="735"/>
      <c r="PRZ7" s="735"/>
      <c r="PSA7" s="735"/>
      <c r="PSB7" s="735"/>
      <c r="PSC7" s="735"/>
      <c r="PSD7" s="735"/>
      <c r="PSE7" s="735"/>
      <c r="PSF7" s="735"/>
      <c r="PSG7" s="735"/>
      <c r="PSH7" s="735"/>
      <c r="PSI7" s="735"/>
      <c r="PSJ7" s="735"/>
      <c r="PSK7" s="735"/>
      <c r="PSL7" s="735"/>
      <c r="PSM7" s="735"/>
      <c r="PSN7" s="735"/>
      <c r="PSO7" s="735"/>
      <c r="PSP7" s="735"/>
      <c r="PSQ7" s="735"/>
      <c r="PSR7" s="735"/>
      <c r="PSS7" s="735"/>
      <c r="PST7" s="735"/>
      <c r="PSU7" s="735"/>
      <c r="PSV7" s="735"/>
      <c r="PSW7" s="735"/>
      <c r="PSX7" s="735"/>
      <c r="PSY7" s="735"/>
      <c r="PSZ7" s="735"/>
      <c r="PTA7" s="735"/>
      <c r="PTB7" s="735"/>
      <c r="PTC7" s="735"/>
      <c r="PTD7" s="735"/>
      <c r="PTE7" s="735"/>
      <c r="PTF7" s="735"/>
      <c r="PTG7" s="735"/>
      <c r="PTH7" s="735"/>
      <c r="PTI7" s="735"/>
      <c r="PTJ7" s="735"/>
      <c r="PTK7" s="735"/>
      <c r="PTL7" s="735"/>
      <c r="PTM7" s="735"/>
      <c r="PTN7" s="735"/>
      <c r="PTO7" s="735"/>
      <c r="PTP7" s="735"/>
      <c r="PTQ7" s="735"/>
      <c r="PTR7" s="735"/>
      <c r="PTS7" s="735"/>
      <c r="PTT7" s="735"/>
      <c r="PTU7" s="735"/>
      <c r="PTV7" s="735"/>
      <c r="PTW7" s="735"/>
      <c r="PTX7" s="735"/>
      <c r="PTY7" s="735"/>
      <c r="PTZ7" s="735"/>
      <c r="PUA7" s="735"/>
      <c r="PUB7" s="735"/>
      <c r="PUC7" s="735"/>
      <c r="PUD7" s="735"/>
      <c r="PUE7" s="735"/>
      <c r="PUF7" s="735"/>
      <c r="PUG7" s="735"/>
      <c r="PUH7" s="735"/>
      <c r="PUI7" s="735"/>
      <c r="PUJ7" s="735"/>
      <c r="PUK7" s="735"/>
      <c r="PUL7" s="735"/>
      <c r="PUM7" s="735"/>
      <c r="PUN7" s="735"/>
      <c r="PUO7" s="735"/>
      <c r="PUP7" s="735"/>
      <c r="PUQ7" s="735"/>
      <c r="PUR7" s="735"/>
      <c r="PUS7" s="735"/>
      <c r="PUT7" s="735"/>
      <c r="PUU7" s="735"/>
      <c r="PUV7" s="735"/>
      <c r="PUW7" s="735"/>
      <c r="PUX7" s="735"/>
      <c r="PUY7" s="735"/>
      <c r="PUZ7" s="735"/>
      <c r="PVA7" s="735"/>
      <c r="PVB7" s="735"/>
      <c r="PVC7" s="735"/>
      <c r="PVD7" s="735"/>
      <c r="PVE7" s="735"/>
      <c r="PVF7" s="735"/>
      <c r="PVG7" s="735"/>
      <c r="PVH7" s="735"/>
      <c r="PVI7" s="735"/>
      <c r="PVJ7" s="735"/>
      <c r="PVK7" s="735"/>
      <c r="PVL7" s="735"/>
      <c r="PVM7" s="735"/>
      <c r="PVN7" s="735"/>
      <c r="PVO7" s="735"/>
      <c r="PVP7" s="735"/>
      <c r="PVQ7" s="735"/>
      <c r="PVR7" s="735"/>
      <c r="PVS7" s="735"/>
      <c r="PVT7" s="735"/>
      <c r="PVU7" s="735"/>
      <c r="PVV7" s="735"/>
      <c r="PVW7" s="735"/>
      <c r="PVX7" s="735"/>
      <c r="PVY7" s="735"/>
      <c r="PVZ7" s="735"/>
      <c r="PWA7" s="735"/>
      <c r="PWB7" s="735"/>
      <c r="PWC7" s="735"/>
      <c r="PWD7" s="735"/>
      <c r="PWE7" s="735"/>
      <c r="PWF7" s="735"/>
      <c r="PWG7" s="735"/>
      <c r="PWH7" s="735"/>
      <c r="PWI7" s="735"/>
      <c r="PWJ7" s="735"/>
      <c r="PWK7" s="735"/>
      <c r="PWL7" s="735"/>
      <c r="PWM7" s="735"/>
      <c r="PWN7" s="735"/>
      <c r="PWO7" s="735"/>
      <c r="PWP7" s="735"/>
      <c r="PWQ7" s="735"/>
      <c r="PWR7" s="735"/>
      <c r="PWS7" s="735"/>
      <c r="PWT7" s="735"/>
      <c r="PWU7" s="735"/>
      <c r="PWV7" s="735"/>
      <c r="PWW7" s="735"/>
      <c r="PWX7" s="735"/>
      <c r="PWY7" s="735"/>
      <c r="PWZ7" s="735"/>
      <c r="PXA7" s="735"/>
      <c r="PXB7" s="735"/>
      <c r="PXC7" s="735"/>
      <c r="PXD7" s="735"/>
      <c r="PXE7" s="735"/>
      <c r="PXF7" s="735"/>
      <c r="PXG7" s="735"/>
      <c r="PXH7" s="735"/>
      <c r="PXI7" s="735"/>
      <c r="PXJ7" s="735"/>
      <c r="PXK7" s="735"/>
      <c r="PXL7" s="735"/>
      <c r="PXM7" s="735"/>
      <c r="PXN7" s="735"/>
      <c r="PXO7" s="735"/>
      <c r="PXP7" s="735"/>
      <c r="PXQ7" s="735"/>
      <c r="PXR7" s="735"/>
      <c r="PXS7" s="735"/>
      <c r="PXT7" s="735"/>
      <c r="PXU7" s="735"/>
      <c r="PXV7" s="735"/>
      <c r="PXW7" s="735"/>
      <c r="PXX7" s="735"/>
      <c r="PXY7" s="735"/>
      <c r="PXZ7" s="735"/>
      <c r="PYA7" s="735"/>
      <c r="PYB7" s="735"/>
      <c r="PYC7" s="735"/>
      <c r="PYD7" s="735"/>
      <c r="PYE7" s="735"/>
      <c r="PYF7" s="735"/>
      <c r="PYG7" s="735"/>
      <c r="PYH7" s="735"/>
      <c r="PYI7" s="735"/>
      <c r="PYJ7" s="735"/>
      <c r="PYK7" s="735"/>
      <c r="PYL7" s="735"/>
      <c r="PYM7" s="735"/>
      <c r="PYN7" s="735"/>
      <c r="PYO7" s="735"/>
      <c r="PYP7" s="735"/>
      <c r="PYQ7" s="735"/>
      <c r="PYR7" s="735"/>
      <c r="PYS7" s="735"/>
      <c r="PYT7" s="735"/>
      <c r="PYU7" s="735"/>
      <c r="PYV7" s="735"/>
      <c r="PYW7" s="735"/>
      <c r="PYX7" s="735"/>
      <c r="PYY7" s="735"/>
      <c r="PYZ7" s="735"/>
      <c r="PZA7" s="735"/>
      <c r="PZB7" s="735"/>
      <c r="PZC7" s="735"/>
      <c r="PZD7" s="735"/>
      <c r="PZE7" s="735"/>
      <c r="PZF7" s="735"/>
      <c r="PZG7" s="735"/>
      <c r="PZH7" s="735"/>
      <c r="PZI7" s="735"/>
      <c r="PZJ7" s="735"/>
      <c r="PZK7" s="735"/>
      <c r="PZL7" s="735"/>
      <c r="PZM7" s="735"/>
      <c r="PZN7" s="735"/>
      <c r="PZO7" s="735"/>
      <c r="PZP7" s="735"/>
      <c r="PZQ7" s="735"/>
      <c r="PZR7" s="735"/>
      <c r="PZS7" s="735"/>
      <c r="PZT7" s="735"/>
      <c r="PZU7" s="735"/>
      <c r="PZV7" s="735"/>
      <c r="PZW7" s="735"/>
      <c r="PZX7" s="735"/>
      <c r="PZY7" s="735"/>
      <c r="PZZ7" s="735"/>
      <c r="QAA7" s="735"/>
      <c r="QAB7" s="735"/>
      <c r="QAC7" s="735"/>
      <c r="QAD7" s="735"/>
      <c r="QAE7" s="735"/>
      <c r="QAF7" s="735"/>
      <c r="QAG7" s="735"/>
      <c r="QAH7" s="735"/>
      <c r="QAI7" s="735"/>
      <c r="QAJ7" s="735"/>
      <c r="QAK7" s="735"/>
      <c r="QAL7" s="735"/>
      <c r="QAM7" s="735"/>
      <c r="QAN7" s="735"/>
      <c r="QAO7" s="735"/>
      <c r="QAP7" s="735"/>
      <c r="QAQ7" s="735"/>
      <c r="QAR7" s="735"/>
      <c r="QAS7" s="735"/>
      <c r="QAT7" s="735"/>
      <c r="QAU7" s="735"/>
      <c r="QAV7" s="735"/>
      <c r="QAW7" s="735"/>
      <c r="QAX7" s="735"/>
      <c r="QAY7" s="735"/>
      <c r="QAZ7" s="735"/>
      <c r="QBA7" s="735"/>
      <c r="QBB7" s="735"/>
      <c r="QBC7" s="735"/>
      <c r="QBD7" s="735"/>
      <c r="QBE7" s="735"/>
      <c r="QBF7" s="735"/>
      <c r="QBG7" s="735"/>
      <c r="QBH7" s="735"/>
      <c r="QBI7" s="735"/>
      <c r="QBJ7" s="735"/>
      <c r="QBK7" s="735"/>
      <c r="QBL7" s="735"/>
      <c r="QBM7" s="735"/>
      <c r="QBN7" s="735"/>
      <c r="QBO7" s="735"/>
      <c r="QBP7" s="735"/>
      <c r="QBQ7" s="735"/>
      <c r="QBR7" s="735"/>
      <c r="QBS7" s="735"/>
      <c r="QBT7" s="735"/>
      <c r="QBU7" s="735"/>
      <c r="QBV7" s="735"/>
      <c r="QBW7" s="735"/>
      <c r="QBX7" s="735"/>
      <c r="QBY7" s="735"/>
      <c r="QBZ7" s="735"/>
      <c r="QCA7" s="735"/>
      <c r="QCB7" s="735"/>
      <c r="QCC7" s="735"/>
      <c r="QCD7" s="735"/>
      <c r="QCE7" s="735"/>
      <c r="QCF7" s="735"/>
      <c r="QCG7" s="735"/>
      <c r="QCH7" s="735"/>
      <c r="QCI7" s="735"/>
      <c r="QCJ7" s="735"/>
      <c r="QCK7" s="735"/>
      <c r="QCL7" s="735"/>
      <c r="QCM7" s="735"/>
      <c r="QCN7" s="735"/>
      <c r="QCO7" s="735"/>
      <c r="QCP7" s="735"/>
      <c r="QCQ7" s="735"/>
      <c r="QCR7" s="735"/>
      <c r="QCS7" s="735"/>
      <c r="QCT7" s="735"/>
      <c r="QCU7" s="735"/>
      <c r="QCV7" s="735"/>
      <c r="QCW7" s="735"/>
      <c r="QCX7" s="735"/>
      <c r="QCY7" s="735"/>
      <c r="QCZ7" s="735"/>
      <c r="QDA7" s="735"/>
      <c r="QDB7" s="735"/>
      <c r="QDC7" s="735"/>
      <c r="QDD7" s="735"/>
      <c r="QDE7" s="735"/>
      <c r="QDF7" s="735"/>
      <c r="QDG7" s="735"/>
      <c r="QDH7" s="735"/>
      <c r="QDI7" s="735"/>
      <c r="QDJ7" s="735"/>
      <c r="QDK7" s="735"/>
      <c r="QDL7" s="735"/>
      <c r="QDM7" s="735"/>
      <c r="QDN7" s="735"/>
      <c r="QDO7" s="735"/>
      <c r="QDP7" s="735"/>
      <c r="QDQ7" s="735"/>
      <c r="QDR7" s="735"/>
      <c r="QDS7" s="735"/>
      <c r="QDT7" s="735"/>
      <c r="QDU7" s="735"/>
      <c r="QDV7" s="735"/>
      <c r="QDW7" s="735"/>
      <c r="QDX7" s="735"/>
      <c r="QDY7" s="735"/>
      <c r="QDZ7" s="735"/>
      <c r="QEA7" s="735"/>
      <c r="QEB7" s="735"/>
      <c r="QEC7" s="735"/>
      <c r="QED7" s="735"/>
      <c r="QEE7" s="735"/>
      <c r="QEF7" s="735"/>
      <c r="QEG7" s="735"/>
      <c r="QEH7" s="735"/>
      <c r="QEI7" s="735"/>
      <c r="QEJ7" s="735"/>
      <c r="QEK7" s="735"/>
      <c r="QEL7" s="735"/>
      <c r="QEM7" s="735"/>
      <c r="QEN7" s="735"/>
      <c r="QEO7" s="735"/>
      <c r="QEP7" s="735"/>
      <c r="QEQ7" s="735"/>
      <c r="QER7" s="735"/>
      <c r="QES7" s="735"/>
      <c r="QET7" s="735"/>
      <c r="QEU7" s="735"/>
      <c r="QEV7" s="735"/>
      <c r="QEW7" s="735"/>
      <c r="QEX7" s="735"/>
      <c r="QEY7" s="735"/>
      <c r="QEZ7" s="735"/>
      <c r="QFA7" s="735"/>
      <c r="QFB7" s="735"/>
      <c r="QFC7" s="735"/>
      <c r="QFD7" s="735"/>
      <c r="QFE7" s="735"/>
      <c r="QFF7" s="735"/>
      <c r="QFG7" s="735"/>
      <c r="QFH7" s="735"/>
      <c r="QFI7" s="735"/>
      <c r="QFJ7" s="735"/>
      <c r="QFK7" s="735"/>
      <c r="QFL7" s="735"/>
      <c r="QFM7" s="735"/>
      <c r="QFN7" s="735"/>
      <c r="QFO7" s="735"/>
      <c r="QFP7" s="735"/>
      <c r="QFQ7" s="735"/>
      <c r="QFR7" s="735"/>
      <c r="QFS7" s="735"/>
      <c r="QFT7" s="735"/>
      <c r="QFU7" s="735"/>
      <c r="QFV7" s="735"/>
      <c r="QFW7" s="735"/>
      <c r="QFX7" s="735"/>
      <c r="QFY7" s="735"/>
      <c r="QFZ7" s="735"/>
      <c r="QGA7" s="735"/>
      <c r="QGB7" s="735"/>
      <c r="QGC7" s="735"/>
      <c r="QGD7" s="735"/>
      <c r="QGE7" s="735"/>
      <c r="QGF7" s="735"/>
      <c r="QGG7" s="735"/>
      <c r="QGH7" s="735"/>
      <c r="QGI7" s="735"/>
      <c r="QGJ7" s="735"/>
      <c r="QGK7" s="735"/>
      <c r="QGL7" s="735"/>
      <c r="QGM7" s="735"/>
      <c r="QGN7" s="735"/>
      <c r="QGO7" s="735"/>
      <c r="QGP7" s="735"/>
      <c r="QGQ7" s="735"/>
      <c r="QGR7" s="735"/>
      <c r="QGS7" s="735"/>
      <c r="QGT7" s="735"/>
      <c r="QGU7" s="735"/>
      <c r="QGV7" s="735"/>
      <c r="QGW7" s="735"/>
      <c r="QGX7" s="735"/>
      <c r="QGY7" s="735"/>
      <c r="QGZ7" s="735"/>
      <c r="QHA7" s="735"/>
      <c r="QHB7" s="735"/>
      <c r="QHC7" s="735"/>
      <c r="QHD7" s="735"/>
      <c r="QHE7" s="735"/>
      <c r="QHF7" s="735"/>
      <c r="QHG7" s="735"/>
      <c r="QHH7" s="735"/>
      <c r="QHI7" s="735"/>
      <c r="QHJ7" s="735"/>
      <c r="QHK7" s="735"/>
      <c r="QHL7" s="735"/>
      <c r="QHM7" s="735"/>
      <c r="QHN7" s="735"/>
      <c r="QHO7" s="735"/>
      <c r="QHP7" s="735"/>
      <c r="QHQ7" s="735"/>
      <c r="QHR7" s="735"/>
      <c r="QHS7" s="735"/>
      <c r="QHT7" s="735"/>
      <c r="QHU7" s="735"/>
      <c r="QHV7" s="735"/>
      <c r="QHW7" s="735"/>
      <c r="QHX7" s="735"/>
      <c r="QHY7" s="735"/>
      <c r="QHZ7" s="735"/>
      <c r="QIA7" s="735"/>
      <c r="QIB7" s="735"/>
      <c r="QIC7" s="735"/>
      <c r="QID7" s="735"/>
      <c r="QIE7" s="735"/>
      <c r="QIF7" s="735"/>
      <c r="QIG7" s="735"/>
      <c r="QIH7" s="735"/>
      <c r="QII7" s="735"/>
      <c r="QIJ7" s="735"/>
      <c r="QIK7" s="735"/>
      <c r="QIL7" s="735"/>
      <c r="QIM7" s="735"/>
      <c r="QIN7" s="735"/>
      <c r="QIO7" s="735"/>
      <c r="QIP7" s="735"/>
      <c r="QIQ7" s="735"/>
      <c r="QIR7" s="735"/>
      <c r="QIS7" s="735"/>
      <c r="QIT7" s="735"/>
      <c r="QIU7" s="735"/>
      <c r="QIV7" s="735"/>
      <c r="QIW7" s="735"/>
      <c r="QIX7" s="735"/>
      <c r="QIY7" s="735"/>
      <c r="QIZ7" s="735"/>
      <c r="QJA7" s="735"/>
      <c r="QJB7" s="735"/>
      <c r="QJC7" s="735"/>
      <c r="QJD7" s="735"/>
      <c r="QJE7" s="735"/>
      <c r="QJF7" s="735"/>
      <c r="QJG7" s="735"/>
      <c r="QJH7" s="735"/>
      <c r="QJI7" s="735"/>
      <c r="QJJ7" s="735"/>
      <c r="QJK7" s="735"/>
      <c r="QJL7" s="735"/>
      <c r="QJM7" s="735"/>
      <c r="QJN7" s="735"/>
      <c r="QJO7" s="735"/>
      <c r="QJP7" s="735"/>
      <c r="QJQ7" s="735"/>
      <c r="QJR7" s="735"/>
      <c r="QJS7" s="735"/>
      <c r="QJT7" s="735"/>
      <c r="QJU7" s="735"/>
      <c r="QJV7" s="735"/>
      <c r="QJW7" s="735"/>
      <c r="QJX7" s="735"/>
      <c r="QJY7" s="735"/>
      <c r="QJZ7" s="735"/>
      <c r="QKA7" s="735"/>
      <c r="QKB7" s="735"/>
      <c r="QKC7" s="735"/>
      <c r="QKD7" s="735"/>
      <c r="QKE7" s="735"/>
      <c r="QKF7" s="735"/>
      <c r="QKG7" s="735"/>
      <c r="QKH7" s="735"/>
      <c r="QKI7" s="735"/>
      <c r="QKJ7" s="735"/>
      <c r="QKK7" s="735"/>
      <c r="QKL7" s="735"/>
      <c r="QKM7" s="735"/>
      <c r="QKN7" s="735"/>
      <c r="QKO7" s="735"/>
      <c r="QKP7" s="735"/>
      <c r="QKQ7" s="735"/>
      <c r="QKR7" s="735"/>
      <c r="QKS7" s="735"/>
      <c r="QKT7" s="735"/>
      <c r="QKU7" s="735"/>
      <c r="QKV7" s="735"/>
      <c r="QKW7" s="735"/>
      <c r="QKX7" s="735"/>
      <c r="QKY7" s="735"/>
      <c r="QKZ7" s="735"/>
      <c r="QLA7" s="735"/>
      <c r="QLB7" s="735"/>
      <c r="QLC7" s="735"/>
      <c r="QLD7" s="735"/>
      <c r="QLE7" s="735"/>
      <c r="QLF7" s="735"/>
      <c r="QLG7" s="735"/>
      <c r="QLH7" s="735"/>
      <c r="QLI7" s="735"/>
      <c r="QLJ7" s="735"/>
      <c r="QLK7" s="735"/>
      <c r="QLL7" s="735"/>
      <c r="QLM7" s="735"/>
      <c r="QLN7" s="735"/>
      <c r="QLO7" s="735"/>
      <c r="QLP7" s="735"/>
      <c r="QLQ7" s="735"/>
      <c r="QLR7" s="735"/>
      <c r="QLS7" s="735"/>
      <c r="QLT7" s="735"/>
      <c r="QLU7" s="735"/>
      <c r="QLV7" s="735"/>
      <c r="QLW7" s="735"/>
      <c r="QLX7" s="735"/>
      <c r="QLY7" s="735"/>
      <c r="QLZ7" s="735"/>
      <c r="QMA7" s="735"/>
      <c r="QMB7" s="735"/>
      <c r="QMC7" s="735"/>
      <c r="QMD7" s="735"/>
      <c r="QME7" s="735"/>
      <c r="QMF7" s="735"/>
      <c r="QMG7" s="735"/>
      <c r="QMH7" s="735"/>
      <c r="QMI7" s="735"/>
      <c r="QMJ7" s="735"/>
      <c r="QMK7" s="735"/>
      <c r="QML7" s="735"/>
      <c r="QMM7" s="735"/>
      <c r="QMN7" s="735"/>
      <c r="QMO7" s="735"/>
      <c r="QMP7" s="735"/>
      <c r="QMQ7" s="735"/>
      <c r="QMR7" s="735"/>
      <c r="QMS7" s="735"/>
      <c r="QMT7" s="735"/>
      <c r="QMU7" s="735"/>
      <c r="QMV7" s="735"/>
      <c r="QMW7" s="735"/>
      <c r="QMX7" s="735"/>
      <c r="QMY7" s="735"/>
      <c r="QMZ7" s="735"/>
      <c r="QNA7" s="735"/>
      <c r="QNB7" s="735"/>
      <c r="QNC7" s="735"/>
      <c r="QND7" s="735"/>
      <c r="QNE7" s="735"/>
      <c r="QNF7" s="735"/>
      <c r="QNG7" s="735"/>
      <c r="QNH7" s="735"/>
      <c r="QNI7" s="735"/>
      <c r="QNJ7" s="735"/>
      <c r="QNK7" s="735"/>
      <c r="QNL7" s="735"/>
      <c r="QNM7" s="735"/>
      <c r="QNN7" s="735"/>
      <c r="QNO7" s="735"/>
      <c r="QNP7" s="735"/>
      <c r="QNQ7" s="735"/>
      <c r="QNR7" s="735"/>
      <c r="QNS7" s="735"/>
      <c r="QNT7" s="735"/>
      <c r="QNU7" s="735"/>
      <c r="QNV7" s="735"/>
      <c r="QNW7" s="735"/>
      <c r="QNX7" s="735"/>
      <c r="QNY7" s="735"/>
      <c r="QNZ7" s="735"/>
      <c r="QOA7" s="735"/>
      <c r="QOB7" s="735"/>
      <c r="QOC7" s="735"/>
      <c r="QOD7" s="735"/>
      <c r="QOE7" s="735"/>
      <c r="QOF7" s="735"/>
      <c r="QOG7" s="735"/>
      <c r="QOH7" s="735"/>
      <c r="QOI7" s="735"/>
      <c r="QOJ7" s="735"/>
      <c r="QOK7" s="735"/>
      <c r="QOL7" s="735"/>
      <c r="QOM7" s="735"/>
      <c r="QON7" s="735"/>
      <c r="QOO7" s="735"/>
      <c r="QOP7" s="735"/>
      <c r="QOQ7" s="735"/>
      <c r="QOR7" s="735"/>
      <c r="QOS7" s="735"/>
      <c r="QOT7" s="735"/>
      <c r="QOU7" s="735"/>
      <c r="QOV7" s="735"/>
      <c r="QOW7" s="735"/>
      <c r="QOX7" s="735"/>
      <c r="QOY7" s="735"/>
      <c r="QOZ7" s="735"/>
      <c r="QPA7" s="735"/>
      <c r="QPB7" s="735"/>
      <c r="QPC7" s="735"/>
      <c r="QPD7" s="735"/>
      <c r="QPE7" s="735"/>
      <c r="QPF7" s="735"/>
      <c r="QPG7" s="735"/>
      <c r="QPH7" s="735"/>
      <c r="QPI7" s="735"/>
      <c r="QPJ7" s="735"/>
      <c r="QPK7" s="735"/>
      <c r="QPL7" s="735"/>
      <c r="QPM7" s="735"/>
      <c r="QPN7" s="735"/>
      <c r="QPO7" s="735"/>
      <c r="QPP7" s="735"/>
      <c r="QPQ7" s="735"/>
      <c r="QPR7" s="735"/>
      <c r="QPS7" s="735"/>
      <c r="QPT7" s="735"/>
      <c r="QPU7" s="735"/>
      <c r="QPV7" s="735"/>
      <c r="QPW7" s="735"/>
      <c r="QPX7" s="735"/>
      <c r="QPY7" s="735"/>
      <c r="QPZ7" s="735"/>
      <c r="QQA7" s="735"/>
      <c r="QQB7" s="735"/>
      <c r="QQC7" s="735"/>
      <c r="QQD7" s="735"/>
      <c r="QQE7" s="735"/>
      <c r="QQF7" s="735"/>
      <c r="QQG7" s="735"/>
      <c r="QQH7" s="735"/>
      <c r="QQI7" s="735"/>
      <c r="QQJ7" s="735"/>
      <c r="QQK7" s="735"/>
      <c r="QQL7" s="735"/>
      <c r="QQM7" s="735"/>
      <c r="QQN7" s="735"/>
      <c r="QQO7" s="735"/>
      <c r="QQP7" s="735"/>
      <c r="QQQ7" s="735"/>
      <c r="QQR7" s="735"/>
      <c r="QQS7" s="735"/>
      <c r="QQT7" s="735"/>
      <c r="QQU7" s="735"/>
      <c r="QQV7" s="735"/>
      <c r="QQW7" s="735"/>
      <c r="QQX7" s="735"/>
      <c r="QQY7" s="735"/>
      <c r="QQZ7" s="735"/>
      <c r="QRA7" s="735"/>
      <c r="QRB7" s="735"/>
      <c r="QRC7" s="735"/>
      <c r="QRD7" s="735"/>
      <c r="QRE7" s="735"/>
      <c r="QRF7" s="735"/>
      <c r="QRG7" s="735"/>
      <c r="QRH7" s="735"/>
      <c r="QRI7" s="735"/>
      <c r="QRJ7" s="735"/>
      <c r="QRK7" s="735"/>
      <c r="QRL7" s="735"/>
      <c r="QRM7" s="735"/>
      <c r="QRN7" s="735"/>
      <c r="QRO7" s="735"/>
      <c r="QRP7" s="735"/>
      <c r="QRQ7" s="735"/>
      <c r="QRR7" s="735"/>
      <c r="QRS7" s="735"/>
      <c r="QRT7" s="735"/>
      <c r="QRU7" s="735"/>
      <c r="QRV7" s="735"/>
      <c r="QRW7" s="735"/>
      <c r="QRX7" s="735"/>
      <c r="QRY7" s="735"/>
      <c r="QRZ7" s="735"/>
      <c r="QSA7" s="735"/>
      <c r="QSB7" s="735"/>
      <c r="QSC7" s="735"/>
      <c r="QSD7" s="735"/>
      <c r="QSE7" s="735"/>
      <c r="QSF7" s="735"/>
      <c r="QSG7" s="735"/>
      <c r="QSH7" s="735"/>
      <c r="QSI7" s="735"/>
      <c r="QSJ7" s="735"/>
      <c r="QSK7" s="735"/>
      <c r="QSL7" s="735"/>
      <c r="QSM7" s="735"/>
      <c r="QSN7" s="735"/>
      <c r="QSO7" s="735"/>
      <c r="QSP7" s="735"/>
      <c r="QSQ7" s="735"/>
      <c r="QSR7" s="735"/>
      <c r="QSS7" s="735"/>
      <c r="QST7" s="735"/>
      <c r="QSU7" s="735"/>
      <c r="QSV7" s="735"/>
      <c r="QSW7" s="735"/>
      <c r="QSX7" s="735"/>
      <c r="QSY7" s="735"/>
      <c r="QSZ7" s="735"/>
      <c r="QTA7" s="735"/>
      <c r="QTB7" s="735"/>
      <c r="QTC7" s="735"/>
      <c r="QTD7" s="735"/>
      <c r="QTE7" s="735"/>
      <c r="QTF7" s="735"/>
      <c r="QTG7" s="735"/>
      <c r="QTH7" s="735"/>
      <c r="QTI7" s="735"/>
      <c r="QTJ7" s="735"/>
      <c r="QTK7" s="735"/>
      <c r="QTL7" s="735"/>
      <c r="QTM7" s="735"/>
      <c r="QTN7" s="735"/>
      <c r="QTO7" s="735"/>
      <c r="QTP7" s="735"/>
      <c r="QTQ7" s="735"/>
      <c r="QTR7" s="735"/>
      <c r="QTS7" s="735"/>
      <c r="QTT7" s="735"/>
      <c r="QTU7" s="735"/>
      <c r="QTV7" s="735"/>
      <c r="QTW7" s="735"/>
      <c r="QTX7" s="735"/>
      <c r="QTY7" s="735"/>
      <c r="QTZ7" s="735"/>
      <c r="QUA7" s="735"/>
      <c r="QUB7" s="735"/>
      <c r="QUC7" s="735"/>
      <c r="QUD7" s="735"/>
      <c r="QUE7" s="735"/>
      <c r="QUF7" s="735"/>
      <c r="QUG7" s="735"/>
      <c r="QUH7" s="735"/>
      <c r="QUI7" s="735"/>
      <c r="QUJ7" s="735"/>
      <c r="QUK7" s="735"/>
      <c r="QUL7" s="735"/>
      <c r="QUM7" s="735"/>
      <c r="QUN7" s="735"/>
      <c r="QUO7" s="735"/>
      <c r="QUP7" s="735"/>
      <c r="QUQ7" s="735"/>
      <c r="QUR7" s="735"/>
      <c r="QUS7" s="735"/>
      <c r="QUT7" s="735"/>
      <c r="QUU7" s="735"/>
      <c r="QUV7" s="735"/>
      <c r="QUW7" s="735"/>
      <c r="QUX7" s="735"/>
      <c r="QUY7" s="735"/>
      <c r="QUZ7" s="735"/>
      <c r="QVA7" s="735"/>
      <c r="QVB7" s="735"/>
      <c r="QVC7" s="735"/>
      <c r="QVD7" s="735"/>
      <c r="QVE7" s="735"/>
      <c r="QVF7" s="735"/>
      <c r="QVG7" s="735"/>
      <c r="QVH7" s="735"/>
      <c r="QVI7" s="735"/>
      <c r="QVJ7" s="735"/>
      <c r="QVK7" s="735"/>
      <c r="QVL7" s="735"/>
      <c r="QVM7" s="735"/>
      <c r="QVN7" s="735"/>
      <c r="QVO7" s="735"/>
      <c r="QVP7" s="735"/>
      <c r="QVQ7" s="735"/>
      <c r="QVR7" s="735"/>
      <c r="QVS7" s="735"/>
      <c r="QVT7" s="735"/>
      <c r="QVU7" s="735"/>
      <c r="QVV7" s="735"/>
      <c r="QVW7" s="735"/>
      <c r="QVX7" s="735"/>
      <c r="QVY7" s="735"/>
      <c r="QVZ7" s="735"/>
      <c r="QWA7" s="735"/>
      <c r="QWB7" s="735"/>
      <c r="QWC7" s="735"/>
      <c r="QWD7" s="735"/>
      <c r="QWE7" s="735"/>
      <c r="QWF7" s="735"/>
      <c r="QWG7" s="735"/>
      <c r="QWH7" s="735"/>
      <c r="QWI7" s="735"/>
      <c r="QWJ7" s="735"/>
      <c r="QWK7" s="735"/>
      <c r="QWL7" s="735"/>
      <c r="QWM7" s="735"/>
      <c r="QWN7" s="735"/>
      <c r="QWO7" s="735"/>
      <c r="QWP7" s="735"/>
      <c r="QWQ7" s="735"/>
      <c r="QWR7" s="735"/>
      <c r="QWS7" s="735"/>
      <c r="QWT7" s="735"/>
      <c r="QWU7" s="735"/>
      <c r="QWV7" s="735"/>
      <c r="QWW7" s="735"/>
      <c r="QWX7" s="735"/>
      <c r="QWY7" s="735"/>
      <c r="QWZ7" s="735"/>
      <c r="QXA7" s="735"/>
      <c r="QXB7" s="735"/>
      <c r="QXC7" s="735"/>
      <c r="QXD7" s="735"/>
      <c r="QXE7" s="735"/>
      <c r="QXF7" s="735"/>
      <c r="QXG7" s="735"/>
      <c r="QXH7" s="735"/>
      <c r="QXI7" s="735"/>
      <c r="QXJ7" s="735"/>
      <c r="QXK7" s="735"/>
      <c r="QXL7" s="735"/>
      <c r="QXM7" s="735"/>
      <c r="QXN7" s="735"/>
      <c r="QXO7" s="735"/>
      <c r="QXP7" s="735"/>
      <c r="QXQ7" s="735"/>
      <c r="QXR7" s="735"/>
      <c r="QXS7" s="735"/>
      <c r="QXT7" s="735"/>
      <c r="QXU7" s="735"/>
      <c r="QXV7" s="735"/>
      <c r="QXW7" s="735"/>
      <c r="QXX7" s="735"/>
      <c r="QXY7" s="735"/>
      <c r="QXZ7" s="735"/>
      <c r="QYA7" s="735"/>
      <c r="QYB7" s="735"/>
      <c r="QYC7" s="735"/>
      <c r="QYD7" s="735"/>
      <c r="QYE7" s="735"/>
      <c r="QYF7" s="735"/>
      <c r="QYG7" s="735"/>
      <c r="QYH7" s="735"/>
      <c r="QYI7" s="735"/>
      <c r="QYJ7" s="735"/>
      <c r="QYK7" s="735"/>
      <c r="QYL7" s="735"/>
      <c r="QYM7" s="735"/>
      <c r="QYN7" s="735"/>
      <c r="QYO7" s="735"/>
      <c r="QYP7" s="735"/>
      <c r="QYQ7" s="735"/>
      <c r="QYR7" s="735"/>
      <c r="QYS7" s="735"/>
      <c r="QYT7" s="735"/>
      <c r="QYU7" s="735"/>
      <c r="QYV7" s="735"/>
      <c r="QYW7" s="735"/>
      <c r="QYX7" s="735"/>
      <c r="QYY7" s="735"/>
      <c r="QYZ7" s="735"/>
      <c r="QZA7" s="735"/>
      <c r="QZB7" s="735"/>
      <c r="QZC7" s="735"/>
      <c r="QZD7" s="735"/>
      <c r="QZE7" s="735"/>
      <c r="QZF7" s="735"/>
      <c r="QZG7" s="735"/>
      <c r="QZH7" s="735"/>
      <c r="QZI7" s="735"/>
      <c r="QZJ7" s="735"/>
      <c r="QZK7" s="735"/>
      <c r="QZL7" s="735"/>
      <c r="QZM7" s="735"/>
      <c r="QZN7" s="735"/>
      <c r="QZO7" s="735"/>
      <c r="QZP7" s="735"/>
      <c r="QZQ7" s="735"/>
      <c r="QZR7" s="735"/>
      <c r="QZS7" s="735"/>
      <c r="QZT7" s="735"/>
      <c r="QZU7" s="735"/>
      <c r="QZV7" s="735"/>
      <c r="QZW7" s="735"/>
      <c r="QZX7" s="735"/>
      <c r="QZY7" s="735"/>
      <c r="QZZ7" s="735"/>
      <c r="RAA7" s="735"/>
      <c r="RAB7" s="735"/>
      <c r="RAC7" s="735"/>
      <c r="RAD7" s="735"/>
      <c r="RAE7" s="735"/>
      <c r="RAF7" s="735"/>
      <c r="RAG7" s="735"/>
      <c r="RAH7" s="735"/>
      <c r="RAI7" s="735"/>
      <c r="RAJ7" s="735"/>
      <c r="RAK7" s="735"/>
      <c r="RAL7" s="735"/>
      <c r="RAM7" s="735"/>
      <c r="RAN7" s="735"/>
      <c r="RAO7" s="735"/>
      <c r="RAP7" s="735"/>
      <c r="RAQ7" s="735"/>
      <c r="RAR7" s="735"/>
      <c r="RAS7" s="735"/>
      <c r="RAT7" s="735"/>
      <c r="RAU7" s="735"/>
      <c r="RAV7" s="735"/>
      <c r="RAW7" s="735"/>
      <c r="RAX7" s="735"/>
      <c r="RAY7" s="735"/>
      <c r="RAZ7" s="735"/>
      <c r="RBA7" s="735"/>
      <c r="RBB7" s="735"/>
      <c r="RBC7" s="735"/>
      <c r="RBD7" s="735"/>
      <c r="RBE7" s="735"/>
      <c r="RBF7" s="735"/>
      <c r="RBG7" s="735"/>
      <c r="RBH7" s="735"/>
      <c r="RBI7" s="735"/>
      <c r="RBJ7" s="735"/>
      <c r="RBK7" s="735"/>
      <c r="RBL7" s="735"/>
      <c r="RBM7" s="735"/>
      <c r="RBN7" s="735"/>
      <c r="RBO7" s="735"/>
      <c r="RBP7" s="735"/>
      <c r="RBQ7" s="735"/>
      <c r="RBR7" s="735"/>
      <c r="RBS7" s="735"/>
      <c r="RBT7" s="735"/>
      <c r="RBU7" s="735"/>
      <c r="RBV7" s="735"/>
      <c r="RBW7" s="735"/>
      <c r="RBX7" s="735"/>
      <c r="RBY7" s="735"/>
      <c r="RBZ7" s="735"/>
      <c r="RCA7" s="735"/>
      <c r="RCB7" s="735"/>
      <c r="RCC7" s="735"/>
      <c r="RCD7" s="735"/>
      <c r="RCE7" s="735"/>
      <c r="RCF7" s="735"/>
      <c r="RCG7" s="735"/>
      <c r="RCH7" s="735"/>
      <c r="RCI7" s="735"/>
      <c r="RCJ7" s="735"/>
      <c r="RCK7" s="735"/>
      <c r="RCL7" s="735"/>
      <c r="RCM7" s="735"/>
      <c r="RCN7" s="735"/>
      <c r="RCO7" s="735"/>
      <c r="RCP7" s="735"/>
      <c r="RCQ7" s="735"/>
      <c r="RCR7" s="735"/>
      <c r="RCS7" s="735"/>
      <c r="RCT7" s="735"/>
      <c r="RCU7" s="735"/>
      <c r="RCV7" s="735"/>
      <c r="RCW7" s="735"/>
      <c r="RCX7" s="735"/>
      <c r="RCY7" s="735"/>
      <c r="RCZ7" s="735"/>
      <c r="RDA7" s="735"/>
      <c r="RDB7" s="735"/>
      <c r="RDC7" s="735"/>
      <c r="RDD7" s="735"/>
      <c r="RDE7" s="735"/>
      <c r="RDF7" s="735"/>
      <c r="RDG7" s="735"/>
      <c r="RDH7" s="735"/>
      <c r="RDI7" s="735"/>
      <c r="RDJ7" s="735"/>
      <c r="RDK7" s="735"/>
      <c r="RDL7" s="735"/>
      <c r="RDM7" s="735"/>
      <c r="RDN7" s="735"/>
      <c r="RDO7" s="735"/>
      <c r="RDP7" s="735"/>
      <c r="RDQ7" s="735"/>
      <c r="RDR7" s="735"/>
      <c r="RDS7" s="735"/>
      <c r="RDT7" s="735"/>
      <c r="RDU7" s="735"/>
      <c r="RDV7" s="735"/>
      <c r="RDW7" s="735"/>
      <c r="RDX7" s="735"/>
      <c r="RDY7" s="735"/>
      <c r="RDZ7" s="735"/>
      <c r="REA7" s="735"/>
      <c r="REB7" s="735"/>
      <c r="REC7" s="735"/>
      <c r="RED7" s="735"/>
      <c r="REE7" s="735"/>
      <c r="REF7" s="735"/>
      <c r="REG7" s="735"/>
      <c r="REH7" s="735"/>
      <c r="REI7" s="735"/>
      <c r="REJ7" s="735"/>
      <c r="REK7" s="735"/>
      <c r="REL7" s="735"/>
      <c r="REM7" s="735"/>
      <c r="REN7" s="735"/>
      <c r="REO7" s="735"/>
      <c r="REP7" s="735"/>
      <c r="REQ7" s="735"/>
      <c r="RER7" s="735"/>
      <c r="RES7" s="735"/>
      <c r="RET7" s="735"/>
      <c r="REU7" s="735"/>
      <c r="REV7" s="735"/>
      <c r="REW7" s="735"/>
      <c r="REX7" s="735"/>
      <c r="REY7" s="735"/>
      <c r="REZ7" s="735"/>
      <c r="RFA7" s="735"/>
      <c r="RFB7" s="735"/>
      <c r="RFC7" s="735"/>
      <c r="RFD7" s="735"/>
      <c r="RFE7" s="735"/>
      <c r="RFF7" s="735"/>
      <c r="RFG7" s="735"/>
      <c r="RFH7" s="735"/>
      <c r="RFI7" s="735"/>
      <c r="RFJ7" s="735"/>
      <c r="RFK7" s="735"/>
      <c r="RFL7" s="735"/>
      <c r="RFM7" s="735"/>
      <c r="RFN7" s="735"/>
      <c r="RFO7" s="735"/>
      <c r="RFP7" s="735"/>
      <c r="RFQ7" s="735"/>
      <c r="RFR7" s="735"/>
      <c r="RFS7" s="735"/>
      <c r="RFT7" s="735"/>
      <c r="RFU7" s="735"/>
      <c r="RFV7" s="735"/>
      <c r="RFW7" s="735"/>
      <c r="RFX7" s="735"/>
      <c r="RFY7" s="735"/>
      <c r="RFZ7" s="735"/>
      <c r="RGA7" s="735"/>
      <c r="RGB7" s="735"/>
      <c r="RGC7" s="735"/>
      <c r="RGD7" s="735"/>
      <c r="RGE7" s="735"/>
      <c r="RGF7" s="735"/>
      <c r="RGG7" s="735"/>
      <c r="RGH7" s="735"/>
      <c r="RGI7" s="735"/>
      <c r="RGJ7" s="735"/>
      <c r="RGK7" s="735"/>
      <c r="RGL7" s="735"/>
      <c r="RGM7" s="735"/>
      <c r="RGN7" s="735"/>
      <c r="RGO7" s="735"/>
      <c r="RGP7" s="735"/>
      <c r="RGQ7" s="735"/>
      <c r="RGR7" s="735"/>
      <c r="RGS7" s="735"/>
      <c r="RGT7" s="735"/>
      <c r="RGU7" s="735"/>
      <c r="RGV7" s="735"/>
      <c r="RGW7" s="735"/>
      <c r="RGX7" s="735"/>
      <c r="RGY7" s="735"/>
      <c r="RGZ7" s="735"/>
      <c r="RHA7" s="735"/>
      <c r="RHB7" s="735"/>
      <c r="RHC7" s="735"/>
      <c r="RHD7" s="735"/>
      <c r="RHE7" s="735"/>
      <c r="RHF7" s="735"/>
      <c r="RHG7" s="735"/>
      <c r="RHH7" s="735"/>
      <c r="RHI7" s="735"/>
      <c r="RHJ7" s="735"/>
      <c r="RHK7" s="735"/>
      <c r="RHL7" s="735"/>
      <c r="RHM7" s="735"/>
      <c r="RHN7" s="735"/>
      <c r="RHO7" s="735"/>
      <c r="RHP7" s="735"/>
      <c r="RHQ7" s="735"/>
      <c r="RHR7" s="735"/>
      <c r="RHS7" s="735"/>
      <c r="RHT7" s="735"/>
      <c r="RHU7" s="735"/>
      <c r="RHV7" s="735"/>
      <c r="RHW7" s="735"/>
      <c r="RHX7" s="735"/>
      <c r="RHY7" s="735"/>
      <c r="RHZ7" s="735"/>
      <c r="RIA7" s="735"/>
      <c r="RIB7" s="735"/>
      <c r="RIC7" s="735"/>
      <c r="RID7" s="735"/>
      <c r="RIE7" s="735"/>
      <c r="RIF7" s="735"/>
      <c r="RIG7" s="735"/>
      <c r="RIH7" s="735"/>
      <c r="RII7" s="735"/>
      <c r="RIJ7" s="735"/>
      <c r="RIK7" s="735"/>
      <c r="RIL7" s="735"/>
      <c r="RIM7" s="735"/>
      <c r="RIN7" s="735"/>
      <c r="RIO7" s="735"/>
      <c r="RIP7" s="735"/>
      <c r="RIQ7" s="735"/>
      <c r="RIR7" s="735"/>
      <c r="RIS7" s="735"/>
      <c r="RIT7" s="735"/>
      <c r="RIU7" s="735"/>
      <c r="RIV7" s="735"/>
      <c r="RIW7" s="735"/>
      <c r="RIX7" s="735"/>
      <c r="RIY7" s="735"/>
      <c r="RIZ7" s="735"/>
      <c r="RJA7" s="735"/>
      <c r="RJB7" s="735"/>
      <c r="RJC7" s="735"/>
      <c r="RJD7" s="735"/>
      <c r="RJE7" s="735"/>
      <c r="RJF7" s="735"/>
      <c r="RJG7" s="735"/>
      <c r="RJH7" s="735"/>
      <c r="RJI7" s="735"/>
      <c r="RJJ7" s="735"/>
      <c r="RJK7" s="735"/>
      <c r="RJL7" s="735"/>
      <c r="RJM7" s="735"/>
      <c r="RJN7" s="735"/>
      <c r="RJO7" s="735"/>
      <c r="RJP7" s="735"/>
      <c r="RJQ7" s="735"/>
      <c r="RJR7" s="735"/>
      <c r="RJS7" s="735"/>
      <c r="RJT7" s="735"/>
      <c r="RJU7" s="735"/>
      <c r="RJV7" s="735"/>
      <c r="RJW7" s="735"/>
      <c r="RJX7" s="735"/>
      <c r="RJY7" s="735"/>
      <c r="RJZ7" s="735"/>
      <c r="RKA7" s="735"/>
      <c r="RKB7" s="735"/>
      <c r="RKC7" s="735"/>
      <c r="RKD7" s="735"/>
      <c r="RKE7" s="735"/>
      <c r="RKF7" s="735"/>
      <c r="RKG7" s="735"/>
      <c r="RKH7" s="735"/>
      <c r="RKI7" s="735"/>
      <c r="RKJ7" s="735"/>
      <c r="RKK7" s="735"/>
      <c r="RKL7" s="735"/>
      <c r="RKM7" s="735"/>
      <c r="RKN7" s="735"/>
      <c r="RKO7" s="735"/>
      <c r="RKP7" s="735"/>
      <c r="RKQ7" s="735"/>
      <c r="RKR7" s="735"/>
      <c r="RKS7" s="735"/>
      <c r="RKT7" s="735"/>
      <c r="RKU7" s="735"/>
      <c r="RKV7" s="735"/>
      <c r="RKW7" s="735"/>
      <c r="RKX7" s="735"/>
      <c r="RKY7" s="735"/>
      <c r="RKZ7" s="735"/>
      <c r="RLA7" s="735"/>
      <c r="RLB7" s="735"/>
      <c r="RLC7" s="735"/>
      <c r="RLD7" s="735"/>
      <c r="RLE7" s="735"/>
      <c r="RLF7" s="735"/>
      <c r="RLG7" s="735"/>
      <c r="RLH7" s="735"/>
      <c r="RLI7" s="735"/>
      <c r="RLJ7" s="735"/>
      <c r="RLK7" s="735"/>
      <c r="RLL7" s="735"/>
      <c r="RLM7" s="735"/>
      <c r="RLN7" s="735"/>
      <c r="RLO7" s="735"/>
      <c r="RLP7" s="735"/>
      <c r="RLQ7" s="735"/>
      <c r="RLR7" s="735"/>
      <c r="RLS7" s="735"/>
      <c r="RLT7" s="735"/>
      <c r="RLU7" s="735"/>
      <c r="RLV7" s="735"/>
      <c r="RLW7" s="735"/>
      <c r="RLX7" s="735"/>
      <c r="RLY7" s="735"/>
      <c r="RLZ7" s="735"/>
      <c r="RMA7" s="735"/>
      <c r="RMB7" s="735"/>
      <c r="RMC7" s="735"/>
      <c r="RMD7" s="735"/>
      <c r="RME7" s="735"/>
      <c r="RMF7" s="735"/>
      <c r="RMG7" s="735"/>
      <c r="RMH7" s="735"/>
      <c r="RMI7" s="735"/>
      <c r="RMJ7" s="735"/>
      <c r="RMK7" s="735"/>
      <c r="RML7" s="735"/>
      <c r="RMM7" s="735"/>
      <c r="RMN7" s="735"/>
      <c r="RMO7" s="735"/>
      <c r="RMP7" s="735"/>
      <c r="RMQ7" s="735"/>
      <c r="RMR7" s="735"/>
      <c r="RMS7" s="735"/>
      <c r="RMT7" s="735"/>
      <c r="RMU7" s="735"/>
      <c r="RMV7" s="735"/>
      <c r="RMW7" s="735"/>
      <c r="RMX7" s="735"/>
      <c r="RMY7" s="735"/>
      <c r="RMZ7" s="735"/>
      <c r="RNA7" s="735"/>
      <c r="RNB7" s="735"/>
      <c r="RNC7" s="735"/>
      <c r="RND7" s="735"/>
      <c r="RNE7" s="735"/>
      <c r="RNF7" s="735"/>
      <c r="RNG7" s="735"/>
      <c r="RNH7" s="735"/>
      <c r="RNI7" s="735"/>
      <c r="RNJ7" s="735"/>
      <c r="RNK7" s="735"/>
      <c r="RNL7" s="735"/>
      <c r="RNM7" s="735"/>
      <c r="RNN7" s="735"/>
      <c r="RNO7" s="735"/>
      <c r="RNP7" s="735"/>
      <c r="RNQ7" s="735"/>
      <c r="RNR7" s="735"/>
      <c r="RNS7" s="735"/>
      <c r="RNT7" s="735"/>
      <c r="RNU7" s="735"/>
      <c r="RNV7" s="735"/>
      <c r="RNW7" s="735"/>
      <c r="RNX7" s="735"/>
      <c r="RNY7" s="735"/>
      <c r="RNZ7" s="735"/>
      <c r="ROA7" s="735"/>
      <c r="ROB7" s="735"/>
      <c r="ROC7" s="735"/>
      <c r="ROD7" s="735"/>
      <c r="ROE7" s="735"/>
      <c r="ROF7" s="735"/>
      <c r="ROG7" s="735"/>
      <c r="ROH7" s="735"/>
      <c r="ROI7" s="735"/>
      <c r="ROJ7" s="735"/>
      <c r="ROK7" s="735"/>
      <c r="ROL7" s="735"/>
      <c r="ROM7" s="735"/>
      <c r="RON7" s="735"/>
      <c r="ROO7" s="735"/>
      <c r="ROP7" s="735"/>
      <c r="ROQ7" s="735"/>
      <c r="ROR7" s="735"/>
      <c r="ROS7" s="735"/>
      <c r="ROT7" s="735"/>
      <c r="ROU7" s="735"/>
      <c r="ROV7" s="735"/>
      <c r="ROW7" s="735"/>
      <c r="ROX7" s="735"/>
      <c r="ROY7" s="735"/>
      <c r="ROZ7" s="735"/>
      <c r="RPA7" s="735"/>
      <c r="RPB7" s="735"/>
      <c r="RPC7" s="735"/>
      <c r="RPD7" s="735"/>
      <c r="RPE7" s="735"/>
      <c r="RPF7" s="735"/>
      <c r="RPG7" s="735"/>
      <c r="RPH7" s="735"/>
      <c r="RPI7" s="735"/>
      <c r="RPJ7" s="735"/>
      <c r="RPK7" s="735"/>
      <c r="RPL7" s="735"/>
      <c r="RPM7" s="735"/>
      <c r="RPN7" s="735"/>
      <c r="RPO7" s="735"/>
      <c r="RPP7" s="735"/>
      <c r="RPQ7" s="735"/>
      <c r="RPR7" s="735"/>
      <c r="RPS7" s="735"/>
      <c r="RPT7" s="735"/>
      <c r="RPU7" s="735"/>
      <c r="RPV7" s="735"/>
      <c r="RPW7" s="735"/>
      <c r="RPX7" s="735"/>
      <c r="RPY7" s="735"/>
      <c r="RPZ7" s="735"/>
      <c r="RQA7" s="735"/>
      <c r="RQB7" s="735"/>
      <c r="RQC7" s="735"/>
      <c r="RQD7" s="735"/>
      <c r="RQE7" s="735"/>
      <c r="RQF7" s="735"/>
      <c r="RQG7" s="735"/>
      <c r="RQH7" s="735"/>
      <c r="RQI7" s="735"/>
      <c r="RQJ7" s="735"/>
      <c r="RQK7" s="735"/>
      <c r="RQL7" s="735"/>
      <c r="RQM7" s="735"/>
      <c r="RQN7" s="735"/>
      <c r="RQO7" s="735"/>
      <c r="RQP7" s="735"/>
      <c r="RQQ7" s="735"/>
      <c r="RQR7" s="735"/>
      <c r="RQS7" s="735"/>
      <c r="RQT7" s="735"/>
      <c r="RQU7" s="735"/>
      <c r="RQV7" s="735"/>
      <c r="RQW7" s="735"/>
      <c r="RQX7" s="735"/>
      <c r="RQY7" s="735"/>
      <c r="RQZ7" s="735"/>
      <c r="RRA7" s="735"/>
      <c r="RRB7" s="735"/>
      <c r="RRC7" s="735"/>
      <c r="RRD7" s="735"/>
      <c r="RRE7" s="735"/>
      <c r="RRF7" s="735"/>
      <c r="RRG7" s="735"/>
      <c r="RRH7" s="735"/>
      <c r="RRI7" s="735"/>
      <c r="RRJ7" s="735"/>
      <c r="RRK7" s="735"/>
      <c r="RRL7" s="735"/>
      <c r="RRM7" s="735"/>
      <c r="RRN7" s="735"/>
      <c r="RRO7" s="735"/>
      <c r="RRP7" s="735"/>
      <c r="RRQ7" s="735"/>
      <c r="RRR7" s="735"/>
      <c r="RRS7" s="735"/>
      <c r="RRT7" s="735"/>
      <c r="RRU7" s="735"/>
      <c r="RRV7" s="735"/>
      <c r="RRW7" s="735"/>
      <c r="RRX7" s="735"/>
      <c r="RRY7" s="735"/>
      <c r="RRZ7" s="735"/>
      <c r="RSA7" s="735"/>
      <c r="RSB7" s="735"/>
      <c r="RSC7" s="735"/>
      <c r="RSD7" s="735"/>
      <c r="RSE7" s="735"/>
      <c r="RSF7" s="735"/>
      <c r="RSG7" s="735"/>
      <c r="RSH7" s="735"/>
      <c r="RSI7" s="735"/>
      <c r="RSJ7" s="735"/>
      <c r="RSK7" s="735"/>
      <c r="RSL7" s="735"/>
      <c r="RSM7" s="735"/>
      <c r="RSN7" s="735"/>
      <c r="RSO7" s="735"/>
      <c r="RSP7" s="735"/>
      <c r="RSQ7" s="735"/>
      <c r="RSR7" s="735"/>
      <c r="RSS7" s="735"/>
      <c r="RST7" s="735"/>
      <c r="RSU7" s="735"/>
      <c r="RSV7" s="735"/>
      <c r="RSW7" s="735"/>
      <c r="RSX7" s="735"/>
      <c r="RSY7" s="735"/>
      <c r="RSZ7" s="735"/>
      <c r="RTA7" s="735"/>
      <c r="RTB7" s="735"/>
      <c r="RTC7" s="735"/>
      <c r="RTD7" s="735"/>
      <c r="RTE7" s="735"/>
      <c r="RTF7" s="735"/>
      <c r="RTG7" s="735"/>
      <c r="RTH7" s="735"/>
      <c r="RTI7" s="735"/>
      <c r="RTJ7" s="735"/>
      <c r="RTK7" s="735"/>
      <c r="RTL7" s="735"/>
      <c r="RTM7" s="735"/>
      <c r="RTN7" s="735"/>
      <c r="RTO7" s="735"/>
      <c r="RTP7" s="735"/>
      <c r="RTQ7" s="735"/>
      <c r="RTR7" s="735"/>
      <c r="RTS7" s="735"/>
      <c r="RTT7" s="735"/>
      <c r="RTU7" s="735"/>
      <c r="RTV7" s="735"/>
      <c r="RTW7" s="735"/>
      <c r="RTX7" s="735"/>
      <c r="RTY7" s="735"/>
      <c r="RTZ7" s="735"/>
      <c r="RUA7" s="735"/>
      <c r="RUB7" s="735"/>
      <c r="RUC7" s="735"/>
      <c r="RUD7" s="735"/>
      <c r="RUE7" s="735"/>
      <c r="RUF7" s="735"/>
      <c r="RUG7" s="735"/>
      <c r="RUH7" s="735"/>
      <c r="RUI7" s="735"/>
      <c r="RUJ7" s="735"/>
      <c r="RUK7" s="735"/>
      <c r="RUL7" s="735"/>
      <c r="RUM7" s="735"/>
      <c r="RUN7" s="735"/>
      <c r="RUO7" s="735"/>
      <c r="RUP7" s="735"/>
      <c r="RUQ7" s="735"/>
      <c r="RUR7" s="735"/>
      <c r="RUS7" s="735"/>
      <c r="RUT7" s="735"/>
      <c r="RUU7" s="735"/>
      <c r="RUV7" s="735"/>
      <c r="RUW7" s="735"/>
      <c r="RUX7" s="735"/>
      <c r="RUY7" s="735"/>
      <c r="RUZ7" s="735"/>
      <c r="RVA7" s="735"/>
      <c r="RVB7" s="735"/>
      <c r="RVC7" s="735"/>
      <c r="RVD7" s="735"/>
      <c r="RVE7" s="735"/>
      <c r="RVF7" s="735"/>
      <c r="RVG7" s="735"/>
      <c r="RVH7" s="735"/>
      <c r="RVI7" s="735"/>
      <c r="RVJ7" s="735"/>
      <c r="RVK7" s="735"/>
      <c r="RVL7" s="735"/>
      <c r="RVM7" s="735"/>
      <c r="RVN7" s="735"/>
      <c r="RVO7" s="735"/>
      <c r="RVP7" s="735"/>
      <c r="RVQ7" s="735"/>
      <c r="RVR7" s="735"/>
      <c r="RVS7" s="735"/>
      <c r="RVT7" s="735"/>
      <c r="RVU7" s="735"/>
      <c r="RVV7" s="735"/>
      <c r="RVW7" s="735"/>
      <c r="RVX7" s="735"/>
      <c r="RVY7" s="735"/>
      <c r="RVZ7" s="735"/>
      <c r="RWA7" s="735"/>
      <c r="RWB7" s="735"/>
      <c r="RWC7" s="735"/>
      <c r="RWD7" s="735"/>
      <c r="RWE7" s="735"/>
      <c r="RWF7" s="735"/>
      <c r="RWG7" s="735"/>
      <c r="RWH7" s="735"/>
      <c r="RWI7" s="735"/>
      <c r="RWJ7" s="735"/>
      <c r="RWK7" s="735"/>
      <c r="RWL7" s="735"/>
      <c r="RWM7" s="735"/>
      <c r="RWN7" s="735"/>
      <c r="RWO7" s="735"/>
      <c r="RWP7" s="735"/>
      <c r="RWQ7" s="735"/>
      <c r="RWR7" s="735"/>
      <c r="RWS7" s="735"/>
      <c r="RWT7" s="735"/>
      <c r="RWU7" s="735"/>
      <c r="RWV7" s="735"/>
      <c r="RWW7" s="735"/>
      <c r="RWX7" s="735"/>
      <c r="RWY7" s="735"/>
      <c r="RWZ7" s="735"/>
      <c r="RXA7" s="735"/>
      <c r="RXB7" s="735"/>
      <c r="RXC7" s="735"/>
      <c r="RXD7" s="735"/>
      <c r="RXE7" s="735"/>
      <c r="RXF7" s="735"/>
      <c r="RXG7" s="735"/>
      <c r="RXH7" s="735"/>
      <c r="RXI7" s="735"/>
      <c r="RXJ7" s="735"/>
      <c r="RXK7" s="735"/>
      <c r="RXL7" s="735"/>
      <c r="RXM7" s="735"/>
      <c r="RXN7" s="735"/>
      <c r="RXO7" s="735"/>
      <c r="RXP7" s="735"/>
      <c r="RXQ7" s="735"/>
      <c r="RXR7" s="735"/>
      <c r="RXS7" s="735"/>
      <c r="RXT7" s="735"/>
      <c r="RXU7" s="735"/>
      <c r="RXV7" s="735"/>
      <c r="RXW7" s="735"/>
      <c r="RXX7" s="735"/>
      <c r="RXY7" s="735"/>
      <c r="RXZ7" s="735"/>
      <c r="RYA7" s="735"/>
      <c r="RYB7" s="735"/>
      <c r="RYC7" s="735"/>
      <c r="RYD7" s="735"/>
      <c r="RYE7" s="735"/>
      <c r="RYF7" s="735"/>
      <c r="RYG7" s="735"/>
      <c r="RYH7" s="735"/>
      <c r="RYI7" s="735"/>
      <c r="RYJ7" s="735"/>
      <c r="RYK7" s="735"/>
      <c r="RYL7" s="735"/>
      <c r="RYM7" s="735"/>
      <c r="RYN7" s="735"/>
      <c r="RYO7" s="735"/>
      <c r="RYP7" s="735"/>
      <c r="RYQ7" s="735"/>
      <c r="RYR7" s="735"/>
      <c r="RYS7" s="735"/>
      <c r="RYT7" s="735"/>
      <c r="RYU7" s="735"/>
      <c r="RYV7" s="735"/>
      <c r="RYW7" s="735"/>
      <c r="RYX7" s="735"/>
      <c r="RYY7" s="735"/>
      <c r="RYZ7" s="735"/>
      <c r="RZA7" s="735"/>
      <c r="RZB7" s="735"/>
      <c r="RZC7" s="735"/>
      <c r="RZD7" s="735"/>
      <c r="RZE7" s="735"/>
      <c r="RZF7" s="735"/>
      <c r="RZG7" s="735"/>
      <c r="RZH7" s="735"/>
      <c r="RZI7" s="735"/>
      <c r="RZJ7" s="735"/>
      <c r="RZK7" s="735"/>
      <c r="RZL7" s="735"/>
      <c r="RZM7" s="735"/>
      <c r="RZN7" s="735"/>
      <c r="RZO7" s="735"/>
      <c r="RZP7" s="735"/>
      <c r="RZQ7" s="735"/>
      <c r="RZR7" s="735"/>
      <c r="RZS7" s="735"/>
      <c r="RZT7" s="735"/>
      <c r="RZU7" s="735"/>
      <c r="RZV7" s="735"/>
      <c r="RZW7" s="735"/>
      <c r="RZX7" s="735"/>
      <c r="RZY7" s="735"/>
      <c r="RZZ7" s="735"/>
      <c r="SAA7" s="735"/>
      <c r="SAB7" s="735"/>
      <c r="SAC7" s="735"/>
      <c r="SAD7" s="735"/>
      <c r="SAE7" s="735"/>
      <c r="SAF7" s="735"/>
      <c r="SAG7" s="735"/>
      <c r="SAH7" s="735"/>
      <c r="SAI7" s="735"/>
      <c r="SAJ7" s="735"/>
      <c r="SAK7" s="735"/>
      <c r="SAL7" s="735"/>
      <c r="SAM7" s="735"/>
      <c r="SAN7" s="735"/>
      <c r="SAO7" s="735"/>
      <c r="SAP7" s="735"/>
      <c r="SAQ7" s="735"/>
      <c r="SAR7" s="735"/>
      <c r="SAS7" s="735"/>
      <c r="SAT7" s="735"/>
      <c r="SAU7" s="735"/>
      <c r="SAV7" s="735"/>
      <c r="SAW7" s="735"/>
      <c r="SAX7" s="735"/>
      <c r="SAY7" s="735"/>
      <c r="SAZ7" s="735"/>
      <c r="SBA7" s="735"/>
      <c r="SBB7" s="735"/>
      <c r="SBC7" s="735"/>
      <c r="SBD7" s="735"/>
      <c r="SBE7" s="735"/>
      <c r="SBF7" s="735"/>
      <c r="SBG7" s="735"/>
      <c r="SBH7" s="735"/>
      <c r="SBI7" s="735"/>
      <c r="SBJ7" s="735"/>
      <c r="SBK7" s="735"/>
      <c r="SBL7" s="735"/>
      <c r="SBM7" s="735"/>
      <c r="SBN7" s="735"/>
      <c r="SBO7" s="735"/>
      <c r="SBP7" s="735"/>
      <c r="SBQ7" s="735"/>
      <c r="SBR7" s="735"/>
      <c r="SBS7" s="735"/>
      <c r="SBT7" s="735"/>
      <c r="SBU7" s="735"/>
      <c r="SBV7" s="735"/>
      <c r="SBW7" s="735"/>
      <c r="SBX7" s="735"/>
      <c r="SBY7" s="735"/>
      <c r="SBZ7" s="735"/>
      <c r="SCA7" s="735"/>
      <c r="SCB7" s="735"/>
      <c r="SCC7" s="735"/>
      <c r="SCD7" s="735"/>
      <c r="SCE7" s="735"/>
      <c r="SCF7" s="735"/>
      <c r="SCG7" s="735"/>
      <c r="SCH7" s="735"/>
      <c r="SCI7" s="735"/>
      <c r="SCJ7" s="735"/>
      <c r="SCK7" s="735"/>
      <c r="SCL7" s="735"/>
      <c r="SCM7" s="735"/>
      <c r="SCN7" s="735"/>
      <c r="SCO7" s="735"/>
      <c r="SCP7" s="735"/>
      <c r="SCQ7" s="735"/>
      <c r="SCR7" s="735"/>
      <c r="SCS7" s="735"/>
      <c r="SCT7" s="735"/>
      <c r="SCU7" s="735"/>
      <c r="SCV7" s="735"/>
      <c r="SCW7" s="735"/>
      <c r="SCX7" s="735"/>
      <c r="SCY7" s="735"/>
      <c r="SCZ7" s="735"/>
      <c r="SDA7" s="735"/>
      <c r="SDB7" s="735"/>
      <c r="SDC7" s="735"/>
      <c r="SDD7" s="735"/>
      <c r="SDE7" s="735"/>
      <c r="SDF7" s="735"/>
      <c r="SDG7" s="735"/>
      <c r="SDH7" s="735"/>
      <c r="SDI7" s="735"/>
      <c r="SDJ7" s="735"/>
      <c r="SDK7" s="735"/>
      <c r="SDL7" s="735"/>
      <c r="SDM7" s="735"/>
      <c r="SDN7" s="735"/>
      <c r="SDO7" s="735"/>
      <c r="SDP7" s="735"/>
      <c r="SDQ7" s="735"/>
      <c r="SDR7" s="735"/>
      <c r="SDS7" s="735"/>
      <c r="SDT7" s="735"/>
      <c r="SDU7" s="735"/>
      <c r="SDV7" s="735"/>
      <c r="SDW7" s="735"/>
      <c r="SDX7" s="735"/>
      <c r="SDY7" s="735"/>
      <c r="SDZ7" s="735"/>
      <c r="SEA7" s="735"/>
      <c r="SEB7" s="735"/>
      <c r="SEC7" s="735"/>
      <c r="SED7" s="735"/>
      <c r="SEE7" s="735"/>
      <c r="SEF7" s="735"/>
      <c r="SEG7" s="735"/>
      <c r="SEH7" s="735"/>
      <c r="SEI7" s="735"/>
      <c r="SEJ7" s="735"/>
      <c r="SEK7" s="735"/>
      <c r="SEL7" s="735"/>
      <c r="SEM7" s="735"/>
      <c r="SEN7" s="735"/>
      <c r="SEO7" s="735"/>
      <c r="SEP7" s="735"/>
      <c r="SEQ7" s="735"/>
      <c r="SER7" s="735"/>
      <c r="SES7" s="735"/>
      <c r="SET7" s="735"/>
      <c r="SEU7" s="735"/>
      <c r="SEV7" s="735"/>
      <c r="SEW7" s="735"/>
      <c r="SEX7" s="735"/>
      <c r="SEY7" s="735"/>
      <c r="SEZ7" s="735"/>
      <c r="SFA7" s="735"/>
      <c r="SFB7" s="735"/>
      <c r="SFC7" s="735"/>
      <c r="SFD7" s="735"/>
      <c r="SFE7" s="735"/>
      <c r="SFF7" s="735"/>
      <c r="SFG7" s="735"/>
      <c r="SFH7" s="735"/>
      <c r="SFI7" s="735"/>
      <c r="SFJ7" s="735"/>
      <c r="SFK7" s="735"/>
      <c r="SFL7" s="735"/>
      <c r="SFM7" s="735"/>
      <c r="SFN7" s="735"/>
      <c r="SFO7" s="735"/>
      <c r="SFP7" s="735"/>
      <c r="SFQ7" s="735"/>
      <c r="SFR7" s="735"/>
      <c r="SFS7" s="735"/>
      <c r="SFT7" s="735"/>
      <c r="SFU7" s="735"/>
      <c r="SFV7" s="735"/>
      <c r="SFW7" s="735"/>
      <c r="SFX7" s="735"/>
      <c r="SFY7" s="735"/>
      <c r="SFZ7" s="735"/>
      <c r="SGA7" s="735"/>
      <c r="SGB7" s="735"/>
      <c r="SGC7" s="735"/>
      <c r="SGD7" s="735"/>
      <c r="SGE7" s="735"/>
      <c r="SGF7" s="735"/>
      <c r="SGG7" s="735"/>
      <c r="SGH7" s="735"/>
      <c r="SGI7" s="735"/>
      <c r="SGJ7" s="735"/>
      <c r="SGK7" s="735"/>
      <c r="SGL7" s="735"/>
      <c r="SGM7" s="735"/>
      <c r="SGN7" s="735"/>
      <c r="SGO7" s="735"/>
      <c r="SGP7" s="735"/>
      <c r="SGQ7" s="735"/>
      <c r="SGR7" s="735"/>
      <c r="SGS7" s="735"/>
      <c r="SGT7" s="735"/>
      <c r="SGU7" s="735"/>
      <c r="SGV7" s="735"/>
      <c r="SGW7" s="735"/>
      <c r="SGX7" s="735"/>
      <c r="SGY7" s="735"/>
      <c r="SGZ7" s="735"/>
      <c r="SHA7" s="735"/>
      <c r="SHB7" s="735"/>
      <c r="SHC7" s="735"/>
      <c r="SHD7" s="735"/>
      <c r="SHE7" s="735"/>
      <c r="SHF7" s="735"/>
      <c r="SHG7" s="735"/>
      <c r="SHH7" s="735"/>
      <c r="SHI7" s="735"/>
      <c r="SHJ7" s="735"/>
      <c r="SHK7" s="735"/>
      <c r="SHL7" s="735"/>
      <c r="SHM7" s="735"/>
      <c r="SHN7" s="735"/>
      <c r="SHO7" s="735"/>
      <c r="SHP7" s="735"/>
      <c r="SHQ7" s="735"/>
      <c r="SHR7" s="735"/>
      <c r="SHS7" s="735"/>
      <c r="SHT7" s="735"/>
      <c r="SHU7" s="735"/>
      <c r="SHV7" s="735"/>
      <c r="SHW7" s="735"/>
      <c r="SHX7" s="735"/>
      <c r="SHY7" s="735"/>
      <c r="SHZ7" s="735"/>
      <c r="SIA7" s="735"/>
      <c r="SIB7" s="735"/>
      <c r="SIC7" s="735"/>
      <c r="SID7" s="735"/>
      <c r="SIE7" s="735"/>
      <c r="SIF7" s="735"/>
      <c r="SIG7" s="735"/>
      <c r="SIH7" s="735"/>
      <c r="SII7" s="735"/>
      <c r="SIJ7" s="735"/>
      <c r="SIK7" s="735"/>
      <c r="SIL7" s="735"/>
      <c r="SIM7" s="735"/>
      <c r="SIN7" s="735"/>
      <c r="SIO7" s="735"/>
      <c r="SIP7" s="735"/>
      <c r="SIQ7" s="735"/>
      <c r="SIR7" s="735"/>
      <c r="SIS7" s="735"/>
      <c r="SIT7" s="735"/>
      <c r="SIU7" s="735"/>
      <c r="SIV7" s="735"/>
      <c r="SIW7" s="735"/>
      <c r="SIX7" s="735"/>
      <c r="SIY7" s="735"/>
      <c r="SIZ7" s="735"/>
      <c r="SJA7" s="735"/>
      <c r="SJB7" s="735"/>
      <c r="SJC7" s="735"/>
      <c r="SJD7" s="735"/>
      <c r="SJE7" s="735"/>
      <c r="SJF7" s="735"/>
      <c r="SJG7" s="735"/>
      <c r="SJH7" s="735"/>
      <c r="SJI7" s="735"/>
      <c r="SJJ7" s="735"/>
      <c r="SJK7" s="735"/>
      <c r="SJL7" s="735"/>
      <c r="SJM7" s="735"/>
      <c r="SJN7" s="735"/>
      <c r="SJO7" s="735"/>
      <c r="SJP7" s="735"/>
      <c r="SJQ7" s="735"/>
      <c r="SJR7" s="735"/>
      <c r="SJS7" s="735"/>
      <c r="SJT7" s="735"/>
      <c r="SJU7" s="735"/>
      <c r="SJV7" s="735"/>
      <c r="SJW7" s="735"/>
      <c r="SJX7" s="735"/>
      <c r="SJY7" s="735"/>
      <c r="SJZ7" s="735"/>
      <c r="SKA7" s="735"/>
      <c r="SKB7" s="735"/>
      <c r="SKC7" s="735"/>
      <c r="SKD7" s="735"/>
      <c r="SKE7" s="735"/>
      <c r="SKF7" s="735"/>
      <c r="SKG7" s="735"/>
      <c r="SKH7" s="735"/>
      <c r="SKI7" s="735"/>
      <c r="SKJ7" s="735"/>
      <c r="SKK7" s="735"/>
      <c r="SKL7" s="735"/>
      <c r="SKM7" s="735"/>
      <c r="SKN7" s="735"/>
      <c r="SKO7" s="735"/>
      <c r="SKP7" s="735"/>
      <c r="SKQ7" s="735"/>
      <c r="SKR7" s="735"/>
      <c r="SKS7" s="735"/>
      <c r="SKT7" s="735"/>
      <c r="SKU7" s="735"/>
      <c r="SKV7" s="735"/>
      <c r="SKW7" s="735"/>
      <c r="SKX7" s="735"/>
      <c r="SKY7" s="735"/>
      <c r="SKZ7" s="735"/>
      <c r="SLA7" s="735"/>
      <c r="SLB7" s="735"/>
      <c r="SLC7" s="735"/>
      <c r="SLD7" s="735"/>
      <c r="SLE7" s="735"/>
      <c r="SLF7" s="735"/>
      <c r="SLG7" s="735"/>
      <c r="SLH7" s="735"/>
      <c r="SLI7" s="735"/>
      <c r="SLJ7" s="735"/>
      <c r="SLK7" s="735"/>
      <c r="SLL7" s="735"/>
      <c r="SLM7" s="735"/>
      <c r="SLN7" s="735"/>
      <c r="SLO7" s="735"/>
      <c r="SLP7" s="735"/>
      <c r="SLQ7" s="735"/>
      <c r="SLR7" s="735"/>
      <c r="SLS7" s="735"/>
      <c r="SLT7" s="735"/>
      <c r="SLU7" s="735"/>
      <c r="SLV7" s="735"/>
      <c r="SLW7" s="735"/>
      <c r="SLX7" s="735"/>
      <c r="SLY7" s="735"/>
      <c r="SLZ7" s="735"/>
      <c r="SMA7" s="735"/>
      <c r="SMB7" s="735"/>
      <c r="SMC7" s="735"/>
      <c r="SMD7" s="735"/>
      <c r="SME7" s="735"/>
      <c r="SMF7" s="735"/>
      <c r="SMG7" s="735"/>
      <c r="SMH7" s="735"/>
      <c r="SMI7" s="735"/>
      <c r="SMJ7" s="735"/>
      <c r="SMK7" s="735"/>
      <c r="SML7" s="735"/>
      <c r="SMM7" s="735"/>
      <c r="SMN7" s="735"/>
      <c r="SMO7" s="735"/>
      <c r="SMP7" s="735"/>
      <c r="SMQ7" s="735"/>
      <c r="SMR7" s="735"/>
      <c r="SMS7" s="735"/>
      <c r="SMT7" s="735"/>
      <c r="SMU7" s="735"/>
      <c r="SMV7" s="735"/>
      <c r="SMW7" s="735"/>
      <c r="SMX7" s="735"/>
      <c r="SMY7" s="735"/>
      <c r="SMZ7" s="735"/>
      <c r="SNA7" s="735"/>
      <c r="SNB7" s="735"/>
      <c r="SNC7" s="735"/>
      <c r="SND7" s="735"/>
      <c r="SNE7" s="735"/>
      <c r="SNF7" s="735"/>
      <c r="SNG7" s="735"/>
      <c r="SNH7" s="735"/>
      <c r="SNI7" s="735"/>
      <c r="SNJ7" s="735"/>
      <c r="SNK7" s="735"/>
      <c r="SNL7" s="735"/>
      <c r="SNM7" s="735"/>
      <c r="SNN7" s="735"/>
      <c r="SNO7" s="735"/>
      <c r="SNP7" s="735"/>
      <c r="SNQ7" s="735"/>
      <c r="SNR7" s="735"/>
      <c r="SNS7" s="735"/>
      <c r="SNT7" s="735"/>
      <c r="SNU7" s="735"/>
      <c r="SNV7" s="735"/>
      <c r="SNW7" s="735"/>
      <c r="SNX7" s="735"/>
      <c r="SNY7" s="735"/>
      <c r="SNZ7" s="735"/>
      <c r="SOA7" s="735"/>
      <c r="SOB7" s="735"/>
      <c r="SOC7" s="735"/>
      <c r="SOD7" s="735"/>
      <c r="SOE7" s="735"/>
      <c r="SOF7" s="735"/>
      <c r="SOG7" s="735"/>
      <c r="SOH7" s="735"/>
      <c r="SOI7" s="735"/>
      <c r="SOJ7" s="735"/>
      <c r="SOK7" s="735"/>
      <c r="SOL7" s="735"/>
      <c r="SOM7" s="735"/>
      <c r="SON7" s="735"/>
      <c r="SOO7" s="735"/>
      <c r="SOP7" s="735"/>
      <c r="SOQ7" s="735"/>
      <c r="SOR7" s="735"/>
      <c r="SOS7" s="735"/>
      <c r="SOT7" s="735"/>
      <c r="SOU7" s="735"/>
      <c r="SOV7" s="735"/>
      <c r="SOW7" s="735"/>
      <c r="SOX7" s="735"/>
      <c r="SOY7" s="735"/>
      <c r="SOZ7" s="735"/>
      <c r="SPA7" s="735"/>
      <c r="SPB7" s="735"/>
      <c r="SPC7" s="735"/>
      <c r="SPD7" s="735"/>
      <c r="SPE7" s="735"/>
      <c r="SPF7" s="735"/>
      <c r="SPG7" s="735"/>
      <c r="SPH7" s="735"/>
      <c r="SPI7" s="735"/>
      <c r="SPJ7" s="735"/>
      <c r="SPK7" s="735"/>
      <c r="SPL7" s="735"/>
      <c r="SPM7" s="735"/>
      <c r="SPN7" s="735"/>
      <c r="SPO7" s="735"/>
      <c r="SPP7" s="735"/>
      <c r="SPQ7" s="735"/>
      <c r="SPR7" s="735"/>
      <c r="SPS7" s="735"/>
      <c r="SPT7" s="735"/>
      <c r="SPU7" s="735"/>
      <c r="SPV7" s="735"/>
      <c r="SPW7" s="735"/>
      <c r="SPX7" s="735"/>
      <c r="SPY7" s="735"/>
      <c r="SPZ7" s="735"/>
      <c r="SQA7" s="735"/>
      <c r="SQB7" s="735"/>
      <c r="SQC7" s="735"/>
      <c r="SQD7" s="735"/>
      <c r="SQE7" s="735"/>
      <c r="SQF7" s="735"/>
      <c r="SQG7" s="735"/>
      <c r="SQH7" s="735"/>
      <c r="SQI7" s="735"/>
      <c r="SQJ7" s="735"/>
      <c r="SQK7" s="735"/>
      <c r="SQL7" s="735"/>
      <c r="SQM7" s="735"/>
      <c r="SQN7" s="735"/>
      <c r="SQO7" s="735"/>
      <c r="SQP7" s="735"/>
      <c r="SQQ7" s="735"/>
      <c r="SQR7" s="735"/>
      <c r="SQS7" s="735"/>
      <c r="SQT7" s="735"/>
      <c r="SQU7" s="735"/>
      <c r="SQV7" s="735"/>
      <c r="SQW7" s="735"/>
      <c r="SQX7" s="735"/>
      <c r="SQY7" s="735"/>
      <c r="SQZ7" s="735"/>
      <c r="SRA7" s="735"/>
      <c r="SRB7" s="735"/>
      <c r="SRC7" s="735"/>
      <c r="SRD7" s="735"/>
      <c r="SRE7" s="735"/>
      <c r="SRF7" s="735"/>
      <c r="SRG7" s="735"/>
      <c r="SRH7" s="735"/>
      <c r="SRI7" s="735"/>
      <c r="SRJ7" s="735"/>
      <c r="SRK7" s="735"/>
      <c r="SRL7" s="735"/>
      <c r="SRM7" s="735"/>
      <c r="SRN7" s="735"/>
      <c r="SRO7" s="735"/>
      <c r="SRP7" s="735"/>
      <c r="SRQ7" s="735"/>
      <c r="SRR7" s="735"/>
      <c r="SRS7" s="735"/>
      <c r="SRT7" s="735"/>
      <c r="SRU7" s="735"/>
      <c r="SRV7" s="735"/>
      <c r="SRW7" s="735"/>
      <c r="SRX7" s="735"/>
      <c r="SRY7" s="735"/>
      <c r="SRZ7" s="735"/>
      <c r="SSA7" s="735"/>
      <c r="SSB7" s="735"/>
      <c r="SSC7" s="735"/>
      <c r="SSD7" s="735"/>
      <c r="SSE7" s="735"/>
      <c r="SSF7" s="735"/>
      <c r="SSG7" s="735"/>
      <c r="SSH7" s="735"/>
      <c r="SSI7" s="735"/>
      <c r="SSJ7" s="735"/>
      <c r="SSK7" s="735"/>
      <c r="SSL7" s="735"/>
      <c r="SSM7" s="735"/>
      <c r="SSN7" s="735"/>
      <c r="SSO7" s="735"/>
      <c r="SSP7" s="735"/>
      <c r="SSQ7" s="735"/>
      <c r="SSR7" s="735"/>
      <c r="SSS7" s="735"/>
      <c r="SST7" s="735"/>
      <c r="SSU7" s="735"/>
      <c r="SSV7" s="735"/>
      <c r="SSW7" s="735"/>
      <c r="SSX7" s="735"/>
      <c r="SSY7" s="735"/>
      <c r="SSZ7" s="735"/>
      <c r="STA7" s="735"/>
      <c r="STB7" s="735"/>
      <c r="STC7" s="735"/>
      <c r="STD7" s="735"/>
      <c r="STE7" s="735"/>
      <c r="STF7" s="735"/>
      <c r="STG7" s="735"/>
      <c r="STH7" s="735"/>
      <c r="STI7" s="735"/>
      <c r="STJ7" s="735"/>
      <c r="STK7" s="735"/>
      <c r="STL7" s="735"/>
      <c r="STM7" s="735"/>
      <c r="STN7" s="735"/>
      <c r="STO7" s="735"/>
      <c r="STP7" s="735"/>
      <c r="STQ7" s="735"/>
      <c r="STR7" s="735"/>
      <c r="STS7" s="735"/>
      <c r="STT7" s="735"/>
      <c r="STU7" s="735"/>
      <c r="STV7" s="735"/>
      <c r="STW7" s="735"/>
      <c r="STX7" s="735"/>
      <c r="STY7" s="735"/>
      <c r="STZ7" s="735"/>
      <c r="SUA7" s="735"/>
      <c r="SUB7" s="735"/>
      <c r="SUC7" s="735"/>
      <c r="SUD7" s="735"/>
      <c r="SUE7" s="735"/>
      <c r="SUF7" s="735"/>
      <c r="SUG7" s="735"/>
      <c r="SUH7" s="735"/>
      <c r="SUI7" s="735"/>
      <c r="SUJ7" s="735"/>
      <c r="SUK7" s="735"/>
      <c r="SUL7" s="735"/>
      <c r="SUM7" s="735"/>
      <c r="SUN7" s="735"/>
      <c r="SUO7" s="735"/>
      <c r="SUP7" s="735"/>
      <c r="SUQ7" s="735"/>
      <c r="SUR7" s="735"/>
      <c r="SUS7" s="735"/>
      <c r="SUT7" s="735"/>
      <c r="SUU7" s="735"/>
      <c r="SUV7" s="735"/>
      <c r="SUW7" s="735"/>
      <c r="SUX7" s="735"/>
      <c r="SUY7" s="735"/>
      <c r="SUZ7" s="735"/>
      <c r="SVA7" s="735"/>
      <c r="SVB7" s="735"/>
      <c r="SVC7" s="735"/>
      <c r="SVD7" s="735"/>
      <c r="SVE7" s="735"/>
      <c r="SVF7" s="735"/>
      <c r="SVG7" s="735"/>
      <c r="SVH7" s="735"/>
      <c r="SVI7" s="735"/>
      <c r="SVJ7" s="735"/>
      <c r="SVK7" s="735"/>
      <c r="SVL7" s="735"/>
      <c r="SVM7" s="735"/>
      <c r="SVN7" s="735"/>
      <c r="SVO7" s="735"/>
      <c r="SVP7" s="735"/>
      <c r="SVQ7" s="735"/>
      <c r="SVR7" s="735"/>
      <c r="SVS7" s="735"/>
      <c r="SVT7" s="735"/>
      <c r="SVU7" s="735"/>
      <c r="SVV7" s="735"/>
      <c r="SVW7" s="735"/>
      <c r="SVX7" s="735"/>
      <c r="SVY7" s="735"/>
      <c r="SVZ7" s="735"/>
      <c r="SWA7" s="735"/>
      <c r="SWB7" s="735"/>
      <c r="SWC7" s="735"/>
      <c r="SWD7" s="735"/>
      <c r="SWE7" s="735"/>
      <c r="SWF7" s="735"/>
      <c r="SWG7" s="735"/>
      <c r="SWH7" s="735"/>
      <c r="SWI7" s="735"/>
      <c r="SWJ7" s="735"/>
      <c r="SWK7" s="735"/>
      <c r="SWL7" s="735"/>
      <c r="SWM7" s="735"/>
      <c r="SWN7" s="735"/>
      <c r="SWO7" s="735"/>
      <c r="SWP7" s="735"/>
      <c r="SWQ7" s="735"/>
      <c r="SWR7" s="735"/>
      <c r="SWS7" s="735"/>
      <c r="SWT7" s="735"/>
      <c r="SWU7" s="735"/>
      <c r="SWV7" s="735"/>
      <c r="SWW7" s="735"/>
      <c r="SWX7" s="735"/>
      <c r="SWY7" s="735"/>
      <c r="SWZ7" s="735"/>
      <c r="SXA7" s="735"/>
      <c r="SXB7" s="735"/>
      <c r="SXC7" s="735"/>
      <c r="SXD7" s="735"/>
      <c r="SXE7" s="735"/>
      <c r="SXF7" s="735"/>
      <c r="SXG7" s="735"/>
      <c r="SXH7" s="735"/>
      <c r="SXI7" s="735"/>
      <c r="SXJ7" s="735"/>
      <c r="SXK7" s="735"/>
      <c r="SXL7" s="735"/>
      <c r="SXM7" s="735"/>
      <c r="SXN7" s="735"/>
      <c r="SXO7" s="735"/>
      <c r="SXP7" s="735"/>
      <c r="SXQ7" s="735"/>
      <c r="SXR7" s="735"/>
      <c r="SXS7" s="735"/>
      <c r="SXT7" s="735"/>
      <c r="SXU7" s="735"/>
      <c r="SXV7" s="735"/>
      <c r="SXW7" s="735"/>
      <c r="SXX7" s="735"/>
      <c r="SXY7" s="735"/>
      <c r="SXZ7" s="735"/>
      <c r="SYA7" s="735"/>
      <c r="SYB7" s="735"/>
      <c r="SYC7" s="735"/>
      <c r="SYD7" s="735"/>
      <c r="SYE7" s="735"/>
      <c r="SYF7" s="735"/>
      <c r="SYG7" s="735"/>
      <c r="SYH7" s="735"/>
      <c r="SYI7" s="735"/>
      <c r="SYJ7" s="735"/>
      <c r="SYK7" s="735"/>
      <c r="SYL7" s="735"/>
      <c r="SYM7" s="735"/>
      <c r="SYN7" s="735"/>
      <c r="SYO7" s="735"/>
      <c r="SYP7" s="735"/>
      <c r="SYQ7" s="735"/>
      <c r="SYR7" s="735"/>
      <c r="SYS7" s="735"/>
      <c r="SYT7" s="735"/>
      <c r="SYU7" s="735"/>
      <c r="SYV7" s="735"/>
      <c r="SYW7" s="735"/>
      <c r="SYX7" s="735"/>
      <c r="SYY7" s="735"/>
      <c r="SYZ7" s="735"/>
      <c r="SZA7" s="735"/>
      <c r="SZB7" s="735"/>
      <c r="SZC7" s="735"/>
      <c r="SZD7" s="735"/>
      <c r="SZE7" s="735"/>
      <c r="SZF7" s="735"/>
      <c r="SZG7" s="735"/>
      <c r="SZH7" s="735"/>
      <c r="SZI7" s="735"/>
      <c r="SZJ7" s="735"/>
      <c r="SZK7" s="735"/>
      <c r="SZL7" s="735"/>
      <c r="SZM7" s="735"/>
      <c r="SZN7" s="735"/>
      <c r="SZO7" s="735"/>
      <c r="SZP7" s="735"/>
      <c r="SZQ7" s="735"/>
      <c r="SZR7" s="735"/>
      <c r="SZS7" s="735"/>
      <c r="SZT7" s="735"/>
      <c r="SZU7" s="735"/>
      <c r="SZV7" s="735"/>
      <c r="SZW7" s="735"/>
      <c r="SZX7" s="735"/>
      <c r="SZY7" s="735"/>
      <c r="SZZ7" s="735"/>
      <c r="TAA7" s="735"/>
      <c r="TAB7" s="735"/>
      <c r="TAC7" s="735"/>
      <c r="TAD7" s="735"/>
      <c r="TAE7" s="735"/>
      <c r="TAF7" s="735"/>
      <c r="TAG7" s="735"/>
      <c r="TAH7" s="735"/>
      <c r="TAI7" s="735"/>
      <c r="TAJ7" s="735"/>
      <c r="TAK7" s="735"/>
      <c r="TAL7" s="735"/>
      <c r="TAM7" s="735"/>
      <c r="TAN7" s="735"/>
      <c r="TAO7" s="735"/>
      <c r="TAP7" s="735"/>
      <c r="TAQ7" s="735"/>
      <c r="TAR7" s="735"/>
      <c r="TAS7" s="735"/>
      <c r="TAT7" s="735"/>
      <c r="TAU7" s="735"/>
      <c r="TAV7" s="735"/>
      <c r="TAW7" s="735"/>
      <c r="TAX7" s="735"/>
      <c r="TAY7" s="735"/>
      <c r="TAZ7" s="735"/>
      <c r="TBA7" s="735"/>
      <c r="TBB7" s="735"/>
      <c r="TBC7" s="735"/>
      <c r="TBD7" s="735"/>
      <c r="TBE7" s="735"/>
      <c r="TBF7" s="735"/>
      <c r="TBG7" s="735"/>
      <c r="TBH7" s="735"/>
      <c r="TBI7" s="735"/>
      <c r="TBJ7" s="735"/>
      <c r="TBK7" s="735"/>
      <c r="TBL7" s="735"/>
      <c r="TBM7" s="735"/>
      <c r="TBN7" s="735"/>
      <c r="TBO7" s="735"/>
      <c r="TBP7" s="735"/>
      <c r="TBQ7" s="735"/>
      <c r="TBR7" s="735"/>
      <c r="TBS7" s="735"/>
      <c r="TBT7" s="735"/>
      <c r="TBU7" s="735"/>
      <c r="TBV7" s="735"/>
      <c r="TBW7" s="735"/>
      <c r="TBX7" s="735"/>
      <c r="TBY7" s="735"/>
      <c r="TBZ7" s="735"/>
      <c r="TCA7" s="735"/>
      <c r="TCB7" s="735"/>
      <c r="TCC7" s="735"/>
      <c r="TCD7" s="735"/>
      <c r="TCE7" s="735"/>
      <c r="TCF7" s="735"/>
      <c r="TCG7" s="735"/>
      <c r="TCH7" s="735"/>
      <c r="TCI7" s="735"/>
      <c r="TCJ7" s="735"/>
      <c r="TCK7" s="735"/>
      <c r="TCL7" s="735"/>
      <c r="TCM7" s="735"/>
      <c r="TCN7" s="735"/>
      <c r="TCO7" s="735"/>
      <c r="TCP7" s="735"/>
      <c r="TCQ7" s="735"/>
      <c r="TCR7" s="735"/>
      <c r="TCS7" s="735"/>
      <c r="TCT7" s="735"/>
      <c r="TCU7" s="735"/>
      <c r="TCV7" s="735"/>
      <c r="TCW7" s="735"/>
      <c r="TCX7" s="735"/>
      <c r="TCY7" s="735"/>
      <c r="TCZ7" s="735"/>
      <c r="TDA7" s="735"/>
      <c r="TDB7" s="735"/>
      <c r="TDC7" s="735"/>
      <c r="TDD7" s="735"/>
      <c r="TDE7" s="735"/>
      <c r="TDF7" s="735"/>
      <c r="TDG7" s="735"/>
      <c r="TDH7" s="735"/>
      <c r="TDI7" s="735"/>
      <c r="TDJ7" s="735"/>
      <c r="TDK7" s="735"/>
      <c r="TDL7" s="735"/>
      <c r="TDM7" s="735"/>
      <c r="TDN7" s="735"/>
      <c r="TDO7" s="735"/>
      <c r="TDP7" s="735"/>
      <c r="TDQ7" s="735"/>
      <c r="TDR7" s="735"/>
      <c r="TDS7" s="735"/>
      <c r="TDT7" s="735"/>
      <c r="TDU7" s="735"/>
      <c r="TDV7" s="735"/>
      <c r="TDW7" s="735"/>
      <c r="TDX7" s="735"/>
      <c r="TDY7" s="735"/>
      <c r="TDZ7" s="735"/>
      <c r="TEA7" s="735"/>
      <c r="TEB7" s="735"/>
      <c r="TEC7" s="735"/>
      <c r="TED7" s="735"/>
      <c r="TEE7" s="735"/>
      <c r="TEF7" s="735"/>
      <c r="TEG7" s="735"/>
      <c r="TEH7" s="735"/>
      <c r="TEI7" s="735"/>
      <c r="TEJ7" s="735"/>
      <c r="TEK7" s="735"/>
      <c r="TEL7" s="735"/>
      <c r="TEM7" s="735"/>
      <c r="TEN7" s="735"/>
      <c r="TEO7" s="735"/>
      <c r="TEP7" s="735"/>
      <c r="TEQ7" s="735"/>
      <c r="TER7" s="735"/>
      <c r="TES7" s="735"/>
      <c r="TET7" s="735"/>
      <c r="TEU7" s="735"/>
      <c r="TEV7" s="735"/>
      <c r="TEW7" s="735"/>
      <c r="TEX7" s="735"/>
      <c r="TEY7" s="735"/>
      <c r="TEZ7" s="735"/>
      <c r="TFA7" s="735"/>
      <c r="TFB7" s="735"/>
      <c r="TFC7" s="735"/>
      <c r="TFD7" s="735"/>
      <c r="TFE7" s="735"/>
      <c r="TFF7" s="735"/>
      <c r="TFG7" s="735"/>
      <c r="TFH7" s="735"/>
      <c r="TFI7" s="735"/>
      <c r="TFJ7" s="735"/>
      <c r="TFK7" s="735"/>
      <c r="TFL7" s="735"/>
      <c r="TFM7" s="735"/>
      <c r="TFN7" s="735"/>
      <c r="TFO7" s="735"/>
      <c r="TFP7" s="735"/>
      <c r="TFQ7" s="735"/>
      <c r="TFR7" s="735"/>
      <c r="TFS7" s="735"/>
      <c r="TFT7" s="735"/>
      <c r="TFU7" s="735"/>
      <c r="TFV7" s="735"/>
      <c r="TFW7" s="735"/>
      <c r="TFX7" s="735"/>
      <c r="TFY7" s="735"/>
      <c r="TFZ7" s="735"/>
      <c r="TGA7" s="735"/>
      <c r="TGB7" s="735"/>
      <c r="TGC7" s="735"/>
      <c r="TGD7" s="735"/>
      <c r="TGE7" s="735"/>
      <c r="TGF7" s="735"/>
      <c r="TGG7" s="735"/>
      <c r="TGH7" s="735"/>
      <c r="TGI7" s="735"/>
      <c r="TGJ7" s="735"/>
      <c r="TGK7" s="735"/>
      <c r="TGL7" s="735"/>
      <c r="TGM7" s="735"/>
      <c r="TGN7" s="735"/>
      <c r="TGO7" s="735"/>
      <c r="TGP7" s="735"/>
      <c r="TGQ7" s="735"/>
      <c r="TGR7" s="735"/>
      <c r="TGS7" s="735"/>
      <c r="TGT7" s="735"/>
      <c r="TGU7" s="735"/>
      <c r="TGV7" s="735"/>
      <c r="TGW7" s="735"/>
      <c r="TGX7" s="735"/>
      <c r="TGY7" s="735"/>
      <c r="TGZ7" s="735"/>
      <c r="THA7" s="735"/>
      <c r="THB7" s="735"/>
      <c r="THC7" s="735"/>
      <c r="THD7" s="735"/>
      <c r="THE7" s="735"/>
      <c r="THF7" s="735"/>
      <c r="THG7" s="735"/>
      <c r="THH7" s="735"/>
      <c r="THI7" s="735"/>
      <c r="THJ7" s="735"/>
      <c r="THK7" s="735"/>
      <c r="THL7" s="735"/>
      <c r="THM7" s="735"/>
      <c r="THN7" s="735"/>
      <c r="THO7" s="735"/>
      <c r="THP7" s="735"/>
      <c r="THQ7" s="735"/>
      <c r="THR7" s="735"/>
      <c r="THS7" s="735"/>
      <c r="THT7" s="735"/>
      <c r="THU7" s="735"/>
      <c r="THV7" s="735"/>
      <c r="THW7" s="735"/>
      <c r="THX7" s="735"/>
      <c r="THY7" s="735"/>
      <c r="THZ7" s="735"/>
      <c r="TIA7" s="735"/>
      <c r="TIB7" s="735"/>
      <c r="TIC7" s="735"/>
      <c r="TID7" s="735"/>
      <c r="TIE7" s="735"/>
      <c r="TIF7" s="735"/>
      <c r="TIG7" s="735"/>
      <c r="TIH7" s="735"/>
      <c r="TII7" s="735"/>
      <c r="TIJ7" s="735"/>
      <c r="TIK7" s="735"/>
      <c r="TIL7" s="735"/>
      <c r="TIM7" s="735"/>
      <c r="TIN7" s="735"/>
      <c r="TIO7" s="735"/>
      <c r="TIP7" s="735"/>
      <c r="TIQ7" s="735"/>
      <c r="TIR7" s="735"/>
      <c r="TIS7" s="735"/>
      <c r="TIT7" s="735"/>
      <c r="TIU7" s="735"/>
      <c r="TIV7" s="735"/>
      <c r="TIW7" s="735"/>
      <c r="TIX7" s="735"/>
      <c r="TIY7" s="735"/>
      <c r="TIZ7" s="735"/>
      <c r="TJA7" s="735"/>
      <c r="TJB7" s="735"/>
      <c r="TJC7" s="735"/>
      <c r="TJD7" s="735"/>
      <c r="TJE7" s="735"/>
      <c r="TJF7" s="735"/>
      <c r="TJG7" s="735"/>
      <c r="TJH7" s="735"/>
      <c r="TJI7" s="735"/>
      <c r="TJJ7" s="735"/>
      <c r="TJK7" s="735"/>
      <c r="TJL7" s="735"/>
      <c r="TJM7" s="735"/>
      <c r="TJN7" s="735"/>
      <c r="TJO7" s="735"/>
      <c r="TJP7" s="735"/>
      <c r="TJQ7" s="735"/>
      <c r="TJR7" s="735"/>
      <c r="TJS7" s="735"/>
      <c r="TJT7" s="735"/>
      <c r="TJU7" s="735"/>
      <c r="TJV7" s="735"/>
      <c r="TJW7" s="735"/>
      <c r="TJX7" s="735"/>
      <c r="TJY7" s="735"/>
      <c r="TJZ7" s="735"/>
      <c r="TKA7" s="735"/>
      <c r="TKB7" s="735"/>
      <c r="TKC7" s="735"/>
      <c r="TKD7" s="735"/>
      <c r="TKE7" s="735"/>
      <c r="TKF7" s="735"/>
      <c r="TKG7" s="735"/>
      <c r="TKH7" s="735"/>
      <c r="TKI7" s="735"/>
      <c r="TKJ7" s="735"/>
      <c r="TKK7" s="735"/>
      <c r="TKL7" s="735"/>
      <c r="TKM7" s="735"/>
      <c r="TKN7" s="735"/>
      <c r="TKO7" s="735"/>
      <c r="TKP7" s="735"/>
      <c r="TKQ7" s="735"/>
      <c r="TKR7" s="735"/>
      <c r="TKS7" s="735"/>
      <c r="TKT7" s="735"/>
      <c r="TKU7" s="735"/>
      <c r="TKV7" s="735"/>
      <c r="TKW7" s="735"/>
      <c r="TKX7" s="735"/>
      <c r="TKY7" s="735"/>
      <c r="TKZ7" s="735"/>
      <c r="TLA7" s="735"/>
      <c r="TLB7" s="735"/>
      <c r="TLC7" s="735"/>
      <c r="TLD7" s="735"/>
      <c r="TLE7" s="735"/>
      <c r="TLF7" s="735"/>
      <c r="TLG7" s="735"/>
      <c r="TLH7" s="735"/>
      <c r="TLI7" s="735"/>
      <c r="TLJ7" s="735"/>
      <c r="TLK7" s="735"/>
      <c r="TLL7" s="735"/>
      <c r="TLM7" s="735"/>
      <c r="TLN7" s="735"/>
      <c r="TLO7" s="735"/>
      <c r="TLP7" s="735"/>
      <c r="TLQ7" s="735"/>
      <c r="TLR7" s="735"/>
      <c r="TLS7" s="735"/>
      <c r="TLT7" s="735"/>
      <c r="TLU7" s="735"/>
      <c r="TLV7" s="735"/>
      <c r="TLW7" s="735"/>
      <c r="TLX7" s="735"/>
      <c r="TLY7" s="735"/>
      <c r="TLZ7" s="735"/>
      <c r="TMA7" s="735"/>
      <c r="TMB7" s="735"/>
      <c r="TMC7" s="735"/>
      <c r="TMD7" s="735"/>
      <c r="TME7" s="735"/>
      <c r="TMF7" s="735"/>
      <c r="TMG7" s="735"/>
      <c r="TMH7" s="735"/>
      <c r="TMI7" s="735"/>
      <c r="TMJ7" s="735"/>
      <c r="TMK7" s="735"/>
      <c r="TML7" s="735"/>
      <c r="TMM7" s="735"/>
      <c r="TMN7" s="735"/>
      <c r="TMO7" s="735"/>
      <c r="TMP7" s="735"/>
      <c r="TMQ7" s="735"/>
      <c r="TMR7" s="735"/>
      <c r="TMS7" s="735"/>
      <c r="TMT7" s="735"/>
      <c r="TMU7" s="735"/>
      <c r="TMV7" s="735"/>
      <c r="TMW7" s="735"/>
      <c r="TMX7" s="735"/>
      <c r="TMY7" s="735"/>
      <c r="TMZ7" s="735"/>
      <c r="TNA7" s="735"/>
      <c r="TNB7" s="735"/>
      <c r="TNC7" s="735"/>
      <c r="TND7" s="735"/>
      <c r="TNE7" s="735"/>
      <c r="TNF7" s="735"/>
      <c r="TNG7" s="735"/>
      <c r="TNH7" s="735"/>
      <c r="TNI7" s="735"/>
      <c r="TNJ7" s="735"/>
      <c r="TNK7" s="735"/>
      <c r="TNL7" s="735"/>
      <c r="TNM7" s="735"/>
      <c r="TNN7" s="735"/>
      <c r="TNO7" s="735"/>
      <c r="TNP7" s="735"/>
      <c r="TNQ7" s="735"/>
      <c r="TNR7" s="735"/>
      <c r="TNS7" s="735"/>
      <c r="TNT7" s="735"/>
      <c r="TNU7" s="735"/>
      <c r="TNV7" s="735"/>
      <c r="TNW7" s="735"/>
      <c r="TNX7" s="735"/>
      <c r="TNY7" s="735"/>
      <c r="TNZ7" s="735"/>
      <c r="TOA7" s="735"/>
      <c r="TOB7" s="735"/>
      <c r="TOC7" s="735"/>
      <c r="TOD7" s="735"/>
      <c r="TOE7" s="735"/>
      <c r="TOF7" s="735"/>
      <c r="TOG7" s="735"/>
      <c r="TOH7" s="735"/>
      <c r="TOI7" s="735"/>
      <c r="TOJ7" s="735"/>
      <c r="TOK7" s="735"/>
      <c r="TOL7" s="735"/>
      <c r="TOM7" s="735"/>
      <c r="TON7" s="735"/>
      <c r="TOO7" s="735"/>
      <c r="TOP7" s="735"/>
      <c r="TOQ7" s="735"/>
      <c r="TOR7" s="735"/>
      <c r="TOS7" s="735"/>
      <c r="TOT7" s="735"/>
      <c r="TOU7" s="735"/>
      <c r="TOV7" s="735"/>
      <c r="TOW7" s="735"/>
      <c r="TOX7" s="735"/>
      <c r="TOY7" s="735"/>
      <c r="TOZ7" s="735"/>
      <c r="TPA7" s="735"/>
      <c r="TPB7" s="735"/>
      <c r="TPC7" s="735"/>
      <c r="TPD7" s="735"/>
      <c r="TPE7" s="735"/>
      <c r="TPF7" s="735"/>
      <c r="TPG7" s="735"/>
      <c r="TPH7" s="735"/>
      <c r="TPI7" s="735"/>
      <c r="TPJ7" s="735"/>
      <c r="TPK7" s="735"/>
      <c r="TPL7" s="735"/>
      <c r="TPM7" s="735"/>
      <c r="TPN7" s="735"/>
      <c r="TPO7" s="735"/>
      <c r="TPP7" s="735"/>
      <c r="TPQ7" s="735"/>
      <c r="TPR7" s="735"/>
      <c r="TPS7" s="735"/>
      <c r="TPT7" s="735"/>
      <c r="TPU7" s="735"/>
      <c r="TPV7" s="735"/>
      <c r="TPW7" s="735"/>
      <c r="TPX7" s="735"/>
      <c r="TPY7" s="735"/>
      <c r="TPZ7" s="735"/>
      <c r="TQA7" s="735"/>
      <c r="TQB7" s="735"/>
      <c r="TQC7" s="735"/>
      <c r="TQD7" s="735"/>
      <c r="TQE7" s="735"/>
      <c r="TQF7" s="735"/>
      <c r="TQG7" s="735"/>
      <c r="TQH7" s="735"/>
      <c r="TQI7" s="735"/>
      <c r="TQJ7" s="735"/>
      <c r="TQK7" s="735"/>
      <c r="TQL7" s="735"/>
      <c r="TQM7" s="735"/>
      <c r="TQN7" s="735"/>
      <c r="TQO7" s="735"/>
      <c r="TQP7" s="735"/>
      <c r="TQQ7" s="735"/>
      <c r="TQR7" s="735"/>
      <c r="TQS7" s="735"/>
      <c r="TQT7" s="735"/>
      <c r="TQU7" s="735"/>
      <c r="TQV7" s="735"/>
      <c r="TQW7" s="735"/>
      <c r="TQX7" s="735"/>
      <c r="TQY7" s="735"/>
      <c r="TQZ7" s="735"/>
      <c r="TRA7" s="735"/>
      <c r="TRB7" s="735"/>
      <c r="TRC7" s="735"/>
      <c r="TRD7" s="735"/>
      <c r="TRE7" s="735"/>
      <c r="TRF7" s="735"/>
      <c r="TRG7" s="735"/>
      <c r="TRH7" s="735"/>
      <c r="TRI7" s="735"/>
      <c r="TRJ7" s="735"/>
      <c r="TRK7" s="735"/>
      <c r="TRL7" s="735"/>
      <c r="TRM7" s="735"/>
      <c r="TRN7" s="735"/>
      <c r="TRO7" s="735"/>
      <c r="TRP7" s="735"/>
      <c r="TRQ7" s="735"/>
      <c r="TRR7" s="735"/>
      <c r="TRS7" s="735"/>
      <c r="TRT7" s="735"/>
      <c r="TRU7" s="735"/>
      <c r="TRV7" s="735"/>
      <c r="TRW7" s="735"/>
      <c r="TRX7" s="735"/>
      <c r="TRY7" s="735"/>
      <c r="TRZ7" s="735"/>
      <c r="TSA7" s="735"/>
      <c r="TSB7" s="735"/>
      <c r="TSC7" s="735"/>
      <c r="TSD7" s="735"/>
      <c r="TSE7" s="735"/>
      <c r="TSF7" s="735"/>
      <c r="TSG7" s="735"/>
      <c r="TSH7" s="735"/>
      <c r="TSI7" s="735"/>
      <c r="TSJ7" s="735"/>
      <c r="TSK7" s="735"/>
      <c r="TSL7" s="735"/>
      <c r="TSM7" s="735"/>
      <c r="TSN7" s="735"/>
      <c r="TSO7" s="735"/>
      <c r="TSP7" s="735"/>
      <c r="TSQ7" s="735"/>
      <c r="TSR7" s="735"/>
      <c r="TSS7" s="735"/>
      <c r="TST7" s="735"/>
      <c r="TSU7" s="735"/>
      <c r="TSV7" s="735"/>
      <c r="TSW7" s="735"/>
      <c r="TSX7" s="735"/>
      <c r="TSY7" s="735"/>
      <c r="TSZ7" s="735"/>
      <c r="TTA7" s="735"/>
      <c r="TTB7" s="735"/>
      <c r="TTC7" s="735"/>
      <c r="TTD7" s="735"/>
      <c r="TTE7" s="735"/>
      <c r="TTF7" s="735"/>
      <c r="TTG7" s="735"/>
      <c r="TTH7" s="735"/>
      <c r="TTI7" s="735"/>
      <c r="TTJ7" s="735"/>
      <c r="TTK7" s="735"/>
      <c r="TTL7" s="735"/>
      <c r="TTM7" s="735"/>
      <c r="TTN7" s="735"/>
      <c r="TTO7" s="735"/>
      <c r="TTP7" s="735"/>
      <c r="TTQ7" s="735"/>
      <c r="TTR7" s="735"/>
      <c r="TTS7" s="735"/>
      <c r="TTT7" s="735"/>
      <c r="TTU7" s="735"/>
      <c r="TTV7" s="735"/>
      <c r="TTW7" s="735"/>
      <c r="TTX7" s="735"/>
      <c r="TTY7" s="735"/>
      <c r="TTZ7" s="735"/>
      <c r="TUA7" s="735"/>
      <c r="TUB7" s="735"/>
      <c r="TUC7" s="735"/>
      <c r="TUD7" s="735"/>
      <c r="TUE7" s="735"/>
      <c r="TUF7" s="735"/>
      <c r="TUG7" s="735"/>
      <c r="TUH7" s="735"/>
      <c r="TUI7" s="735"/>
      <c r="TUJ7" s="735"/>
      <c r="TUK7" s="735"/>
      <c r="TUL7" s="735"/>
      <c r="TUM7" s="735"/>
      <c r="TUN7" s="735"/>
      <c r="TUO7" s="735"/>
      <c r="TUP7" s="735"/>
      <c r="TUQ7" s="735"/>
      <c r="TUR7" s="735"/>
      <c r="TUS7" s="735"/>
      <c r="TUT7" s="735"/>
      <c r="TUU7" s="735"/>
      <c r="TUV7" s="735"/>
      <c r="TUW7" s="735"/>
      <c r="TUX7" s="735"/>
      <c r="TUY7" s="735"/>
      <c r="TUZ7" s="735"/>
      <c r="TVA7" s="735"/>
      <c r="TVB7" s="735"/>
      <c r="TVC7" s="735"/>
      <c r="TVD7" s="735"/>
      <c r="TVE7" s="735"/>
      <c r="TVF7" s="735"/>
      <c r="TVG7" s="735"/>
      <c r="TVH7" s="735"/>
      <c r="TVI7" s="735"/>
      <c r="TVJ7" s="735"/>
      <c r="TVK7" s="735"/>
      <c r="TVL7" s="735"/>
      <c r="TVM7" s="735"/>
      <c r="TVN7" s="735"/>
      <c r="TVO7" s="735"/>
      <c r="TVP7" s="735"/>
      <c r="TVQ7" s="735"/>
      <c r="TVR7" s="735"/>
      <c r="TVS7" s="735"/>
      <c r="TVT7" s="735"/>
      <c r="TVU7" s="735"/>
      <c r="TVV7" s="735"/>
      <c r="TVW7" s="735"/>
      <c r="TVX7" s="735"/>
      <c r="TVY7" s="735"/>
      <c r="TVZ7" s="735"/>
      <c r="TWA7" s="735"/>
      <c r="TWB7" s="735"/>
      <c r="TWC7" s="735"/>
      <c r="TWD7" s="735"/>
      <c r="TWE7" s="735"/>
      <c r="TWF7" s="735"/>
      <c r="TWG7" s="735"/>
      <c r="TWH7" s="735"/>
      <c r="TWI7" s="735"/>
      <c r="TWJ7" s="735"/>
      <c r="TWK7" s="735"/>
      <c r="TWL7" s="735"/>
      <c r="TWM7" s="735"/>
      <c r="TWN7" s="735"/>
      <c r="TWO7" s="735"/>
      <c r="TWP7" s="735"/>
      <c r="TWQ7" s="735"/>
      <c r="TWR7" s="735"/>
      <c r="TWS7" s="735"/>
      <c r="TWT7" s="735"/>
      <c r="TWU7" s="735"/>
      <c r="TWV7" s="735"/>
      <c r="TWW7" s="735"/>
      <c r="TWX7" s="735"/>
      <c r="TWY7" s="735"/>
      <c r="TWZ7" s="735"/>
      <c r="TXA7" s="735"/>
      <c r="TXB7" s="735"/>
      <c r="TXC7" s="735"/>
      <c r="TXD7" s="735"/>
      <c r="TXE7" s="735"/>
      <c r="TXF7" s="735"/>
      <c r="TXG7" s="735"/>
      <c r="TXH7" s="735"/>
      <c r="TXI7" s="735"/>
      <c r="TXJ7" s="735"/>
      <c r="TXK7" s="735"/>
      <c r="TXL7" s="735"/>
      <c r="TXM7" s="735"/>
      <c r="TXN7" s="735"/>
      <c r="TXO7" s="735"/>
      <c r="TXP7" s="735"/>
      <c r="TXQ7" s="735"/>
      <c r="TXR7" s="735"/>
      <c r="TXS7" s="735"/>
      <c r="TXT7" s="735"/>
      <c r="TXU7" s="735"/>
      <c r="TXV7" s="735"/>
      <c r="TXW7" s="735"/>
      <c r="TXX7" s="735"/>
      <c r="TXY7" s="735"/>
      <c r="TXZ7" s="735"/>
      <c r="TYA7" s="735"/>
      <c r="TYB7" s="735"/>
      <c r="TYC7" s="735"/>
      <c r="TYD7" s="735"/>
      <c r="TYE7" s="735"/>
      <c r="TYF7" s="735"/>
      <c r="TYG7" s="735"/>
      <c r="TYH7" s="735"/>
      <c r="TYI7" s="735"/>
      <c r="TYJ7" s="735"/>
      <c r="TYK7" s="735"/>
      <c r="TYL7" s="735"/>
      <c r="TYM7" s="735"/>
      <c r="TYN7" s="735"/>
      <c r="TYO7" s="735"/>
      <c r="TYP7" s="735"/>
      <c r="TYQ7" s="735"/>
      <c r="TYR7" s="735"/>
      <c r="TYS7" s="735"/>
      <c r="TYT7" s="735"/>
      <c r="TYU7" s="735"/>
      <c r="TYV7" s="735"/>
      <c r="TYW7" s="735"/>
      <c r="TYX7" s="735"/>
      <c r="TYY7" s="735"/>
      <c r="TYZ7" s="735"/>
      <c r="TZA7" s="735"/>
      <c r="TZB7" s="735"/>
      <c r="TZC7" s="735"/>
      <c r="TZD7" s="735"/>
      <c r="TZE7" s="735"/>
      <c r="TZF7" s="735"/>
      <c r="TZG7" s="735"/>
      <c r="TZH7" s="735"/>
      <c r="TZI7" s="735"/>
      <c r="TZJ7" s="735"/>
      <c r="TZK7" s="735"/>
      <c r="TZL7" s="735"/>
      <c r="TZM7" s="735"/>
      <c r="TZN7" s="735"/>
      <c r="TZO7" s="735"/>
      <c r="TZP7" s="735"/>
      <c r="TZQ7" s="735"/>
      <c r="TZR7" s="735"/>
      <c r="TZS7" s="735"/>
      <c r="TZT7" s="735"/>
      <c r="TZU7" s="735"/>
      <c r="TZV7" s="735"/>
      <c r="TZW7" s="735"/>
      <c r="TZX7" s="735"/>
      <c r="TZY7" s="735"/>
      <c r="TZZ7" s="735"/>
      <c r="UAA7" s="735"/>
      <c r="UAB7" s="735"/>
      <c r="UAC7" s="735"/>
      <c r="UAD7" s="735"/>
      <c r="UAE7" s="735"/>
      <c r="UAF7" s="735"/>
      <c r="UAG7" s="735"/>
      <c r="UAH7" s="735"/>
      <c r="UAI7" s="735"/>
      <c r="UAJ7" s="735"/>
      <c r="UAK7" s="735"/>
      <c r="UAL7" s="735"/>
      <c r="UAM7" s="735"/>
      <c r="UAN7" s="735"/>
      <c r="UAO7" s="735"/>
      <c r="UAP7" s="735"/>
      <c r="UAQ7" s="735"/>
      <c r="UAR7" s="735"/>
      <c r="UAS7" s="735"/>
      <c r="UAT7" s="735"/>
      <c r="UAU7" s="735"/>
      <c r="UAV7" s="735"/>
      <c r="UAW7" s="735"/>
      <c r="UAX7" s="735"/>
      <c r="UAY7" s="735"/>
      <c r="UAZ7" s="735"/>
      <c r="UBA7" s="735"/>
      <c r="UBB7" s="735"/>
      <c r="UBC7" s="735"/>
      <c r="UBD7" s="735"/>
      <c r="UBE7" s="735"/>
      <c r="UBF7" s="735"/>
      <c r="UBG7" s="735"/>
      <c r="UBH7" s="735"/>
      <c r="UBI7" s="735"/>
      <c r="UBJ7" s="735"/>
      <c r="UBK7" s="735"/>
      <c r="UBL7" s="735"/>
      <c r="UBM7" s="735"/>
      <c r="UBN7" s="735"/>
      <c r="UBO7" s="735"/>
      <c r="UBP7" s="735"/>
      <c r="UBQ7" s="735"/>
      <c r="UBR7" s="735"/>
      <c r="UBS7" s="735"/>
      <c r="UBT7" s="735"/>
      <c r="UBU7" s="735"/>
      <c r="UBV7" s="735"/>
      <c r="UBW7" s="735"/>
      <c r="UBX7" s="735"/>
      <c r="UBY7" s="735"/>
      <c r="UBZ7" s="735"/>
      <c r="UCA7" s="735"/>
      <c r="UCB7" s="735"/>
      <c r="UCC7" s="735"/>
      <c r="UCD7" s="735"/>
      <c r="UCE7" s="735"/>
      <c r="UCF7" s="735"/>
      <c r="UCG7" s="735"/>
      <c r="UCH7" s="735"/>
      <c r="UCI7" s="735"/>
      <c r="UCJ7" s="735"/>
      <c r="UCK7" s="735"/>
      <c r="UCL7" s="735"/>
      <c r="UCM7" s="735"/>
      <c r="UCN7" s="735"/>
      <c r="UCO7" s="735"/>
      <c r="UCP7" s="735"/>
      <c r="UCQ7" s="735"/>
      <c r="UCR7" s="735"/>
      <c r="UCS7" s="735"/>
      <c r="UCT7" s="735"/>
      <c r="UCU7" s="735"/>
      <c r="UCV7" s="735"/>
      <c r="UCW7" s="735"/>
      <c r="UCX7" s="735"/>
      <c r="UCY7" s="735"/>
      <c r="UCZ7" s="735"/>
      <c r="UDA7" s="735"/>
      <c r="UDB7" s="735"/>
      <c r="UDC7" s="735"/>
      <c r="UDD7" s="735"/>
      <c r="UDE7" s="735"/>
      <c r="UDF7" s="735"/>
      <c r="UDG7" s="735"/>
      <c r="UDH7" s="735"/>
      <c r="UDI7" s="735"/>
      <c r="UDJ7" s="735"/>
      <c r="UDK7" s="735"/>
      <c r="UDL7" s="735"/>
      <c r="UDM7" s="735"/>
      <c r="UDN7" s="735"/>
      <c r="UDO7" s="735"/>
      <c r="UDP7" s="735"/>
      <c r="UDQ7" s="735"/>
      <c r="UDR7" s="735"/>
      <c r="UDS7" s="735"/>
      <c r="UDT7" s="735"/>
      <c r="UDU7" s="735"/>
      <c r="UDV7" s="735"/>
      <c r="UDW7" s="735"/>
      <c r="UDX7" s="735"/>
      <c r="UDY7" s="735"/>
      <c r="UDZ7" s="735"/>
      <c r="UEA7" s="735"/>
      <c r="UEB7" s="735"/>
      <c r="UEC7" s="735"/>
      <c r="UED7" s="735"/>
      <c r="UEE7" s="735"/>
      <c r="UEF7" s="735"/>
      <c r="UEG7" s="735"/>
      <c r="UEH7" s="735"/>
      <c r="UEI7" s="735"/>
      <c r="UEJ7" s="735"/>
      <c r="UEK7" s="735"/>
      <c r="UEL7" s="735"/>
      <c r="UEM7" s="735"/>
      <c r="UEN7" s="735"/>
      <c r="UEO7" s="735"/>
      <c r="UEP7" s="735"/>
      <c r="UEQ7" s="735"/>
      <c r="UER7" s="735"/>
      <c r="UES7" s="735"/>
      <c r="UET7" s="735"/>
      <c r="UEU7" s="735"/>
      <c r="UEV7" s="735"/>
      <c r="UEW7" s="735"/>
      <c r="UEX7" s="735"/>
      <c r="UEY7" s="735"/>
      <c r="UEZ7" s="735"/>
      <c r="UFA7" s="735"/>
      <c r="UFB7" s="735"/>
      <c r="UFC7" s="735"/>
      <c r="UFD7" s="735"/>
      <c r="UFE7" s="735"/>
      <c r="UFF7" s="735"/>
      <c r="UFG7" s="735"/>
      <c r="UFH7" s="735"/>
      <c r="UFI7" s="735"/>
      <c r="UFJ7" s="735"/>
      <c r="UFK7" s="735"/>
      <c r="UFL7" s="735"/>
      <c r="UFM7" s="735"/>
      <c r="UFN7" s="735"/>
      <c r="UFO7" s="735"/>
      <c r="UFP7" s="735"/>
      <c r="UFQ7" s="735"/>
      <c r="UFR7" s="735"/>
      <c r="UFS7" s="735"/>
      <c r="UFT7" s="735"/>
      <c r="UFU7" s="735"/>
      <c r="UFV7" s="735"/>
      <c r="UFW7" s="735"/>
      <c r="UFX7" s="735"/>
      <c r="UFY7" s="735"/>
      <c r="UFZ7" s="735"/>
      <c r="UGA7" s="735"/>
      <c r="UGB7" s="735"/>
      <c r="UGC7" s="735"/>
      <c r="UGD7" s="735"/>
      <c r="UGE7" s="735"/>
      <c r="UGF7" s="735"/>
      <c r="UGG7" s="735"/>
      <c r="UGH7" s="735"/>
      <c r="UGI7" s="735"/>
      <c r="UGJ7" s="735"/>
      <c r="UGK7" s="735"/>
      <c r="UGL7" s="735"/>
      <c r="UGM7" s="735"/>
      <c r="UGN7" s="735"/>
      <c r="UGO7" s="735"/>
      <c r="UGP7" s="735"/>
      <c r="UGQ7" s="735"/>
      <c r="UGR7" s="735"/>
      <c r="UGS7" s="735"/>
      <c r="UGT7" s="735"/>
      <c r="UGU7" s="735"/>
      <c r="UGV7" s="735"/>
      <c r="UGW7" s="735"/>
      <c r="UGX7" s="735"/>
      <c r="UGY7" s="735"/>
      <c r="UGZ7" s="735"/>
      <c r="UHA7" s="735"/>
      <c r="UHB7" s="735"/>
      <c r="UHC7" s="735"/>
      <c r="UHD7" s="735"/>
      <c r="UHE7" s="735"/>
      <c r="UHF7" s="735"/>
      <c r="UHG7" s="735"/>
      <c r="UHH7" s="735"/>
      <c r="UHI7" s="735"/>
      <c r="UHJ7" s="735"/>
      <c r="UHK7" s="735"/>
      <c r="UHL7" s="735"/>
      <c r="UHM7" s="735"/>
      <c r="UHN7" s="735"/>
      <c r="UHO7" s="735"/>
      <c r="UHP7" s="735"/>
      <c r="UHQ7" s="735"/>
      <c r="UHR7" s="735"/>
      <c r="UHS7" s="735"/>
      <c r="UHT7" s="735"/>
      <c r="UHU7" s="735"/>
      <c r="UHV7" s="735"/>
      <c r="UHW7" s="735"/>
      <c r="UHX7" s="735"/>
      <c r="UHY7" s="735"/>
      <c r="UHZ7" s="735"/>
      <c r="UIA7" s="735"/>
      <c r="UIB7" s="735"/>
      <c r="UIC7" s="735"/>
      <c r="UID7" s="735"/>
      <c r="UIE7" s="735"/>
      <c r="UIF7" s="735"/>
      <c r="UIG7" s="735"/>
      <c r="UIH7" s="735"/>
      <c r="UII7" s="735"/>
      <c r="UIJ7" s="735"/>
      <c r="UIK7" s="735"/>
      <c r="UIL7" s="735"/>
      <c r="UIM7" s="735"/>
      <c r="UIN7" s="735"/>
      <c r="UIO7" s="735"/>
      <c r="UIP7" s="735"/>
      <c r="UIQ7" s="735"/>
      <c r="UIR7" s="735"/>
      <c r="UIS7" s="735"/>
      <c r="UIT7" s="735"/>
      <c r="UIU7" s="735"/>
      <c r="UIV7" s="735"/>
      <c r="UIW7" s="735"/>
      <c r="UIX7" s="735"/>
      <c r="UIY7" s="735"/>
      <c r="UIZ7" s="735"/>
      <c r="UJA7" s="735"/>
      <c r="UJB7" s="735"/>
      <c r="UJC7" s="735"/>
      <c r="UJD7" s="735"/>
      <c r="UJE7" s="735"/>
      <c r="UJF7" s="735"/>
      <c r="UJG7" s="735"/>
      <c r="UJH7" s="735"/>
      <c r="UJI7" s="735"/>
      <c r="UJJ7" s="735"/>
      <c r="UJK7" s="735"/>
      <c r="UJL7" s="735"/>
      <c r="UJM7" s="735"/>
      <c r="UJN7" s="735"/>
      <c r="UJO7" s="735"/>
      <c r="UJP7" s="735"/>
      <c r="UJQ7" s="735"/>
      <c r="UJR7" s="735"/>
      <c r="UJS7" s="735"/>
      <c r="UJT7" s="735"/>
      <c r="UJU7" s="735"/>
      <c r="UJV7" s="735"/>
      <c r="UJW7" s="735"/>
      <c r="UJX7" s="735"/>
      <c r="UJY7" s="735"/>
      <c r="UJZ7" s="735"/>
      <c r="UKA7" s="735"/>
      <c r="UKB7" s="735"/>
      <c r="UKC7" s="735"/>
      <c r="UKD7" s="735"/>
      <c r="UKE7" s="735"/>
      <c r="UKF7" s="735"/>
      <c r="UKG7" s="735"/>
      <c r="UKH7" s="735"/>
      <c r="UKI7" s="735"/>
      <c r="UKJ7" s="735"/>
      <c r="UKK7" s="735"/>
      <c r="UKL7" s="735"/>
      <c r="UKM7" s="735"/>
      <c r="UKN7" s="735"/>
      <c r="UKO7" s="735"/>
      <c r="UKP7" s="735"/>
      <c r="UKQ7" s="735"/>
      <c r="UKR7" s="735"/>
      <c r="UKS7" s="735"/>
      <c r="UKT7" s="735"/>
      <c r="UKU7" s="735"/>
      <c r="UKV7" s="735"/>
      <c r="UKW7" s="735"/>
      <c r="UKX7" s="735"/>
      <c r="UKY7" s="735"/>
      <c r="UKZ7" s="735"/>
      <c r="ULA7" s="735"/>
      <c r="ULB7" s="735"/>
      <c r="ULC7" s="735"/>
      <c r="ULD7" s="735"/>
      <c r="ULE7" s="735"/>
      <c r="ULF7" s="735"/>
      <c r="ULG7" s="735"/>
      <c r="ULH7" s="735"/>
      <c r="ULI7" s="735"/>
      <c r="ULJ7" s="735"/>
      <c r="ULK7" s="735"/>
      <c r="ULL7" s="735"/>
      <c r="ULM7" s="735"/>
      <c r="ULN7" s="735"/>
      <c r="ULO7" s="735"/>
      <c r="ULP7" s="735"/>
      <c r="ULQ7" s="735"/>
      <c r="ULR7" s="735"/>
      <c r="ULS7" s="735"/>
      <c r="ULT7" s="735"/>
      <c r="ULU7" s="735"/>
      <c r="ULV7" s="735"/>
      <c r="ULW7" s="735"/>
      <c r="ULX7" s="735"/>
      <c r="ULY7" s="735"/>
      <c r="ULZ7" s="735"/>
      <c r="UMA7" s="735"/>
      <c r="UMB7" s="735"/>
      <c r="UMC7" s="735"/>
      <c r="UMD7" s="735"/>
      <c r="UME7" s="735"/>
      <c r="UMF7" s="735"/>
      <c r="UMG7" s="735"/>
      <c r="UMH7" s="735"/>
      <c r="UMI7" s="735"/>
      <c r="UMJ7" s="735"/>
      <c r="UMK7" s="735"/>
      <c r="UML7" s="735"/>
      <c r="UMM7" s="735"/>
      <c r="UMN7" s="735"/>
      <c r="UMO7" s="735"/>
      <c r="UMP7" s="735"/>
      <c r="UMQ7" s="735"/>
      <c r="UMR7" s="735"/>
      <c r="UMS7" s="735"/>
      <c r="UMT7" s="735"/>
      <c r="UMU7" s="735"/>
      <c r="UMV7" s="735"/>
      <c r="UMW7" s="735"/>
      <c r="UMX7" s="735"/>
      <c r="UMY7" s="735"/>
      <c r="UMZ7" s="735"/>
      <c r="UNA7" s="735"/>
      <c r="UNB7" s="735"/>
      <c r="UNC7" s="735"/>
      <c r="UND7" s="735"/>
      <c r="UNE7" s="735"/>
      <c r="UNF7" s="735"/>
      <c r="UNG7" s="735"/>
      <c r="UNH7" s="735"/>
      <c r="UNI7" s="735"/>
      <c r="UNJ7" s="735"/>
      <c r="UNK7" s="735"/>
      <c r="UNL7" s="735"/>
      <c r="UNM7" s="735"/>
      <c r="UNN7" s="735"/>
      <c r="UNO7" s="735"/>
      <c r="UNP7" s="735"/>
      <c r="UNQ7" s="735"/>
      <c r="UNR7" s="735"/>
      <c r="UNS7" s="735"/>
      <c r="UNT7" s="735"/>
      <c r="UNU7" s="735"/>
      <c r="UNV7" s="735"/>
      <c r="UNW7" s="735"/>
      <c r="UNX7" s="735"/>
      <c r="UNY7" s="735"/>
      <c r="UNZ7" s="735"/>
      <c r="UOA7" s="735"/>
      <c r="UOB7" s="735"/>
      <c r="UOC7" s="735"/>
      <c r="UOD7" s="735"/>
      <c r="UOE7" s="735"/>
      <c r="UOF7" s="735"/>
      <c r="UOG7" s="735"/>
      <c r="UOH7" s="735"/>
      <c r="UOI7" s="735"/>
      <c r="UOJ7" s="735"/>
      <c r="UOK7" s="735"/>
      <c r="UOL7" s="735"/>
      <c r="UOM7" s="735"/>
      <c r="UON7" s="735"/>
      <c r="UOO7" s="735"/>
      <c r="UOP7" s="735"/>
      <c r="UOQ7" s="735"/>
      <c r="UOR7" s="735"/>
      <c r="UOS7" s="735"/>
      <c r="UOT7" s="735"/>
      <c r="UOU7" s="735"/>
      <c r="UOV7" s="735"/>
      <c r="UOW7" s="735"/>
      <c r="UOX7" s="735"/>
      <c r="UOY7" s="735"/>
      <c r="UOZ7" s="735"/>
      <c r="UPA7" s="735"/>
      <c r="UPB7" s="735"/>
      <c r="UPC7" s="735"/>
      <c r="UPD7" s="735"/>
      <c r="UPE7" s="735"/>
      <c r="UPF7" s="735"/>
      <c r="UPG7" s="735"/>
      <c r="UPH7" s="735"/>
      <c r="UPI7" s="735"/>
      <c r="UPJ7" s="735"/>
      <c r="UPK7" s="735"/>
      <c r="UPL7" s="735"/>
      <c r="UPM7" s="735"/>
      <c r="UPN7" s="735"/>
      <c r="UPO7" s="735"/>
      <c r="UPP7" s="735"/>
      <c r="UPQ7" s="735"/>
      <c r="UPR7" s="735"/>
      <c r="UPS7" s="735"/>
      <c r="UPT7" s="735"/>
      <c r="UPU7" s="735"/>
      <c r="UPV7" s="735"/>
      <c r="UPW7" s="735"/>
      <c r="UPX7" s="735"/>
      <c r="UPY7" s="735"/>
      <c r="UPZ7" s="735"/>
      <c r="UQA7" s="735"/>
      <c r="UQB7" s="735"/>
      <c r="UQC7" s="735"/>
      <c r="UQD7" s="735"/>
      <c r="UQE7" s="735"/>
      <c r="UQF7" s="735"/>
      <c r="UQG7" s="735"/>
      <c r="UQH7" s="735"/>
      <c r="UQI7" s="735"/>
      <c r="UQJ7" s="735"/>
      <c r="UQK7" s="735"/>
      <c r="UQL7" s="735"/>
      <c r="UQM7" s="735"/>
      <c r="UQN7" s="735"/>
      <c r="UQO7" s="735"/>
      <c r="UQP7" s="735"/>
      <c r="UQQ7" s="735"/>
      <c r="UQR7" s="735"/>
      <c r="UQS7" s="735"/>
      <c r="UQT7" s="735"/>
      <c r="UQU7" s="735"/>
      <c r="UQV7" s="735"/>
      <c r="UQW7" s="735"/>
      <c r="UQX7" s="735"/>
      <c r="UQY7" s="735"/>
      <c r="UQZ7" s="735"/>
      <c r="URA7" s="735"/>
      <c r="URB7" s="735"/>
      <c r="URC7" s="735"/>
      <c r="URD7" s="735"/>
      <c r="URE7" s="735"/>
      <c r="URF7" s="735"/>
      <c r="URG7" s="735"/>
      <c r="URH7" s="735"/>
      <c r="URI7" s="735"/>
      <c r="URJ7" s="735"/>
      <c r="URK7" s="735"/>
      <c r="URL7" s="735"/>
      <c r="URM7" s="735"/>
      <c r="URN7" s="735"/>
      <c r="URO7" s="735"/>
      <c r="URP7" s="735"/>
      <c r="URQ7" s="735"/>
      <c r="URR7" s="735"/>
      <c r="URS7" s="735"/>
      <c r="URT7" s="735"/>
      <c r="URU7" s="735"/>
      <c r="URV7" s="735"/>
      <c r="URW7" s="735"/>
      <c r="URX7" s="735"/>
      <c r="URY7" s="735"/>
      <c r="URZ7" s="735"/>
      <c r="USA7" s="735"/>
      <c r="USB7" s="735"/>
      <c r="USC7" s="735"/>
      <c r="USD7" s="735"/>
      <c r="USE7" s="735"/>
      <c r="USF7" s="735"/>
      <c r="USG7" s="735"/>
      <c r="USH7" s="735"/>
      <c r="USI7" s="735"/>
      <c r="USJ7" s="735"/>
      <c r="USK7" s="735"/>
      <c r="USL7" s="735"/>
      <c r="USM7" s="735"/>
      <c r="USN7" s="735"/>
      <c r="USO7" s="735"/>
      <c r="USP7" s="735"/>
      <c r="USQ7" s="735"/>
      <c r="USR7" s="735"/>
      <c r="USS7" s="735"/>
      <c r="UST7" s="735"/>
      <c r="USU7" s="735"/>
      <c r="USV7" s="735"/>
      <c r="USW7" s="735"/>
      <c r="USX7" s="735"/>
      <c r="USY7" s="735"/>
      <c r="USZ7" s="735"/>
      <c r="UTA7" s="735"/>
      <c r="UTB7" s="735"/>
      <c r="UTC7" s="735"/>
      <c r="UTD7" s="735"/>
      <c r="UTE7" s="735"/>
      <c r="UTF7" s="735"/>
      <c r="UTG7" s="735"/>
      <c r="UTH7" s="735"/>
      <c r="UTI7" s="735"/>
      <c r="UTJ7" s="735"/>
      <c r="UTK7" s="735"/>
      <c r="UTL7" s="735"/>
      <c r="UTM7" s="735"/>
      <c r="UTN7" s="735"/>
      <c r="UTO7" s="735"/>
      <c r="UTP7" s="735"/>
      <c r="UTQ7" s="735"/>
      <c r="UTR7" s="735"/>
      <c r="UTS7" s="735"/>
      <c r="UTT7" s="735"/>
      <c r="UTU7" s="735"/>
      <c r="UTV7" s="735"/>
      <c r="UTW7" s="735"/>
      <c r="UTX7" s="735"/>
      <c r="UTY7" s="735"/>
      <c r="UTZ7" s="735"/>
      <c r="UUA7" s="735"/>
      <c r="UUB7" s="735"/>
      <c r="UUC7" s="735"/>
      <c r="UUD7" s="735"/>
      <c r="UUE7" s="735"/>
      <c r="UUF7" s="735"/>
      <c r="UUG7" s="735"/>
      <c r="UUH7" s="735"/>
      <c r="UUI7" s="735"/>
      <c r="UUJ7" s="735"/>
      <c r="UUK7" s="735"/>
      <c r="UUL7" s="735"/>
      <c r="UUM7" s="735"/>
      <c r="UUN7" s="735"/>
      <c r="UUO7" s="735"/>
      <c r="UUP7" s="735"/>
      <c r="UUQ7" s="735"/>
      <c r="UUR7" s="735"/>
      <c r="UUS7" s="735"/>
      <c r="UUT7" s="735"/>
      <c r="UUU7" s="735"/>
      <c r="UUV7" s="735"/>
      <c r="UUW7" s="735"/>
      <c r="UUX7" s="735"/>
      <c r="UUY7" s="735"/>
      <c r="UUZ7" s="735"/>
      <c r="UVA7" s="735"/>
      <c r="UVB7" s="735"/>
      <c r="UVC7" s="735"/>
      <c r="UVD7" s="735"/>
      <c r="UVE7" s="735"/>
      <c r="UVF7" s="735"/>
      <c r="UVG7" s="735"/>
      <c r="UVH7" s="735"/>
      <c r="UVI7" s="735"/>
      <c r="UVJ7" s="735"/>
      <c r="UVK7" s="735"/>
      <c r="UVL7" s="735"/>
      <c r="UVM7" s="735"/>
      <c r="UVN7" s="735"/>
      <c r="UVO7" s="735"/>
      <c r="UVP7" s="735"/>
      <c r="UVQ7" s="735"/>
      <c r="UVR7" s="735"/>
      <c r="UVS7" s="735"/>
      <c r="UVT7" s="735"/>
      <c r="UVU7" s="735"/>
      <c r="UVV7" s="735"/>
      <c r="UVW7" s="735"/>
      <c r="UVX7" s="735"/>
      <c r="UVY7" s="735"/>
      <c r="UVZ7" s="735"/>
      <c r="UWA7" s="735"/>
      <c r="UWB7" s="735"/>
      <c r="UWC7" s="735"/>
      <c r="UWD7" s="735"/>
      <c r="UWE7" s="735"/>
      <c r="UWF7" s="735"/>
      <c r="UWG7" s="735"/>
      <c r="UWH7" s="735"/>
      <c r="UWI7" s="735"/>
      <c r="UWJ7" s="735"/>
      <c r="UWK7" s="735"/>
      <c r="UWL7" s="735"/>
      <c r="UWM7" s="735"/>
      <c r="UWN7" s="735"/>
      <c r="UWO7" s="735"/>
      <c r="UWP7" s="735"/>
      <c r="UWQ7" s="735"/>
      <c r="UWR7" s="735"/>
      <c r="UWS7" s="735"/>
      <c r="UWT7" s="735"/>
      <c r="UWU7" s="735"/>
      <c r="UWV7" s="735"/>
      <c r="UWW7" s="735"/>
      <c r="UWX7" s="735"/>
      <c r="UWY7" s="735"/>
      <c r="UWZ7" s="735"/>
      <c r="UXA7" s="735"/>
      <c r="UXB7" s="735"/>
      <c r="UXC7" s="735"/>
      <c r="UXD7" s="735"/>
      <c r="UXE7" s="735"/>
      <c r="UXF7" s="735"/>
      <c r="UXG7" s="735"/>
      <c r="UXH7" s="735"/>
      <c r="UXI7" s="735"/>
      <c r="UXJ7" s="735"/>
      <c r="UXK7" s="735"/>
      <c r="UXL7" s="735"/>
      <c r="UXM7" s="735"/>
      <c r="UXN7" s="735"/>
      <c r="UXO7" s="735"/>
      <c r="UXP7" s="735"/>
      <c r="UXQ7" s="735"/>
      <c r="UXR7" s="735"/>
      <c r="UXS7" s="735"/>
      <c r="UXT7" s="735"/>
      <c r="UXU7" s="735"/>
      <c r="UXV7" s="735"/>
      <c r="UXW7" s="735"/>
      <c r="UXX7" s="735"/>
      <c r="UXY7" s="735"/>
      <c r="UXZ7" s="735"/>
      <c r="UYA7" s="735"/>
      <c r="UYB7" s="735"/>
      <c r="UYC7" s="735"/>
      <c r="UYD7" s="735"/>
      <c r="UYE7" s="735"/>
      <c r="UYF7" s="735"/>
      <c r="UYG7" s="735"/>
      <c r="UYH7" s="735"/>
      <c r="UYI7" s="735"/>
      <c r="UYJ7" s="735"/>
      <c r="UYK7" s="735"/>
      <c r="UYL7" s="735"/>
      <c r="UYM7" s="735"/>
      <c r="UYN7" s="735"/>
      <c r="UYO7" s="735"/>
      <c r="UYP7" s="735"/>
      <c r="UYQ7" s="735"/>
      <c r="UYR7" s="735"/>
      <c r="UYS7" s="735"/>
      <c r="UYT7" s="735"/>
      <c r="UYU7" s="735"/>
      <c r="UYV7" s="735"/>
      <c r="UYW7" s="735"/>
      <c r="UYX7" s="735"/>
      <c r="UYY7" s="735"/>
      <c r="UYZ7" s="735"/>
      <c r="UZA7" s="735"/>
      <c r="UZB7" s="735"/>
      <c r="UZC7" s="735"/>
      <c r="UZD7" s="735"/>
      <c r="UZE7" s="735"/>
      <c r="UZF7" s="735"/>
      <c r="UZG7" s="735"/>
      <c r="UZH7" s="735"/>
      <c r="UZI7" s="735"/>
      <c r="UZJ7" s="735"/>
      <c r="UZK7" s="735"/>
      <c r="UZL7" s="735"/>
      <c r="UZM7" s="735"/>
      <c r="UZN7" s="735"/>
      <c r="UZO7" s="735"/>
      <c r="UZP7" s="735"/>
      <c r="UZQ7" s="735"/>
      <c r="UZR7" s="735"/>
      <c r="UZS7" s="735"/>
      <c r="UZT7" s="735"/>
      <c r="UZU7" s="735"/>
      <c r="UZV7" s="735"/>
      <c r="UZW7" s="735"/>
      <c r="UZX7" s="735"/>
      <c r="UZY7" s="735"/>
      <c r="UZZ7" s="735"/>
      <c r="VAA7" s="735"/>
      <c r="VAB7" s="735"/>
      <c r="VAC7" s="735"/>
      <c r="VAD7" s="735"/>
      <c r="VAE7" s="735"/>
      <c r="VAF7" s="735"/>
      <c r="VAG7" s="735"/>
      <c r="VAH7" s="735"/>
      <c r="VAI7" s="735"/>
      <c r="VAJ7" s="735"/>
      <c r="VAK7" s="735"/>
      <c r="VAL7" s="735"/>
      <c r="VAM7" s="735"/>
      <c r="VAN7" s="735"/>
      <c r="VAO7" s="735"/>
      <c r="VAP7" s="735"/>
      <c r="VAQ7" s="735"/>
      <c r="VAR7" s="735"/>
      <c r="VAS7" s="735"/>
      <c r="VAT7" s="735"/>
      <c r="VAU7" s="735"/>
      <c r="VAV7" s="735"/>
      <c r="VAW7" s="735"/>
      <c r="VAX7" s="735"/>
      <c r="VAY7" s="735"/>
      <c r="VAZ7" s="735"/>
      <c r="VBA7" s="735"/>
      <c r="VBB7" s="735"/>
      <c r="VBC7" s="735"/>
      <c r="VBD7" s="735"/>
      <c r="VBE7" s="735"/>
      <c r="VBF7" s="735"/>
      <c r="VBG7" s="735"/>
      <c r="VBH7" s="735"/>
      <c r="VBI7" s="735"/>
      <c r="VBJ7" s="735"/>
      <c r="VBK7" s="735"/>
      <c r="VBL7" s="735"/>
      <c r="VBM7" s="735"/>
      <c r="VBN7" s="735"/>
      <c r="VBO7" s="735"/>
      <c r="VBP7" s="735"/>
      <c r="VBQ7" s="735"/>
      <c r="VBR7" s="735"/>
      <c r="VBS7" s="735"/>
      <c r="VBT7" s="735"/>
      <c r="VBU7" s="735"/>
      <c r="VBV7" s="735"/>
      <c r="VBW7" s="735"/>
      <c r="VBX7" s="735"/>
      <c r="VBY7" s="735"/>
      <c r="VBZ7" s="735"/>
      <c r="VCA7" s="735"/>
      <c r="VCB7" s="735"/>
      <c r="VCC7" s="735"/>
      <c r="VCD7" s="735"/>
      <c r="VCE7" s="735"/>
      <c r="VCF7" s="735"/>
      <c r="VCG7" s="735"/>
      <c r="VCH7" s="735"/>
      <c r="VCI7" s="735"/>
      <c r="VCJ7" s="735"/>
      <c r="VCK7" s="735"/>
      <c r="VCL7" s="735"/>
      <c r="VCM7" s="735"/>
      <c r="VCN7" s="735"/>
      <c r="VCO7" s="735"/>
      <c r="VCP7" s="735"/>
      <c r="VCQ7" s="735"/>
      <c r="VCR7" s="735"/>
      <c r="VCS7" s="735"/>
      <c r="VCT7" s="735"/>
      <c r="VCU7" s="735"/>
      <c r="VCV7" s="735"/>
      <c r="VCW7" s="735"/>
      <c r="VCX7" s="735"/>
      <c r="VCY7" s="735"/>
      <c r="VCZ7" s="735"/>
      <c r="VDA7" s="735"/>
      <c r="VDB7" s="735"/>
      <c r="VDC7" s="735"/>
      <c r="VDD7" s="735"/>
      <c r="VDE7" s="735"/>
      <c r="VDF7" s="735"/>
      <c r="VDG7" s="735"/>
      <c r="VDH7" s="735"/>
      <c r="VDI7" s="735"/>
      <c r="VDJ7" s="735"/>
      <c r="VDK7" s="735"/>
      <c r="VDL7" s="735"/>
      <c r="VDM7" s="735"/>
      <c r="VDN7" s="735"/>
      <c r="VDO7" s="735"/>
      <c r="VDP7" s="735"/>
      <c r="VDQ7" s="735"/>
      <c r="VDR7" s="735"/>
      <c r="VDS7" s="735"/>
      <c r="VDT7" s="735"/>
      <c r="VDU7" s="735"/>
      <c r="VDV7" s="735"/>
      <c r="VDW7" s="735"/>
      <c r="VDX7" s="735"/>
      <c r="VDY7" s="735"/>
      <c r="VDZ7" s="735"/>
      <c r="VEA7" s="735"/>
      <c r="VEB7" s="735"/>
      <c r="VEC7" s="735"/>
      <c r="VED7" s="735"/>
      <c r="VEE7" s="735"/>
      <c r="VEF7" s="735"/>
      <c r="VEG7" s="735"/>
      <c r="VEH7" s="735"/>
      <c r="VEI7" s="735"/>
      <c r="VEJ7" s="735"/>
      <c r="VEK7" s="735"/>
      <c r="VEL7" s="735"/>
      <c r="VEM7" s="735"/>
      <c r="VEN7" s="735"/>
      <c r="VEO7" s="735"/>
      <c r="VEP7" s="735"/>
      <c r="VEQ7" s="735"/>
      <c r="VER7" s="735"/>
      <c r="VES7" s="735"/>
      <c r="VET7" s="735"/>
      <c r="VEU7" s="735"/>
      <c r="VEV7" s="735"/>
      <c r="VEW7" s="735"/>
      <c r="VEX7" s="735"/>
      <c r="VEY7" s="735"/>
      <c r="VEZ7" s="735"/>
      <c r="VFA7" s="735"/>
      <c r="VFB7" s="735"/>
      <c r="VFC7" s="735"/>
      <c r="VFD7" s="735"/>
      <c r="VFE7" s="735"/>
      <c r="VFF7" s="735"/>
      <c r="VFG7" s="735"/>
      <c r="VFH7" s="735"/>
      <c r="VFI7" s="735"/>
      <c r="VFJ7" s="735"/>
      <c r="VFK7" s="735"/>
      <c r="VFL7" s="735"/>
      <c r="VFM7" s="735"/>
      <c r="VFN7" s="735"/>
      <c r="VFO7" s="735"/>
      <c r="VFP7" s="735"/>
      <c r="VFQ7" s="735"/>
      <c r="VFR7" s="735"/>
      <c r="VFS7" s="735"/>
      <c r="VFT7" s="735"/>
      <c r="VFU7" s="735"/>
      <c r="VFV7" s="735"/>
      <c r="VFW7" s="735"/>
      <c r="VFX7" s="735"/>
      <c r="VFY7" s="735"/>
      <c r="VFZ7" s="735"/>
      <c r="VGA7" s="735"/>
      <c r="VGB7" s="735"/>
      <c r="VGC7" s="735"/>
      <c r="VGD7" s="735"/>
      <c r="VGE7" s="735"/>
      <c r="VGF7" s="735"/>
      <c r="VGG7" s="735"/>
      <c r="VGH7" s="735"/>
      <c r="VGI7" s="735"/>
      <c r="VGJ7" s="735"/>
      <c r="VGK7" s="735"/>
      <c r="VGL7" s="735"/>
      <c r="VGM7" s="735"/>
      <c r="VGN7" s="735"/>
      <c r="VGO7" s="735"/>
      <c r="VGP7" s="735"/>
      <c r="VGQ7" s="735"/>
      <c r="VGR7" s="735"/>
      <c r="VGS7" s="735"/>
      <c r="VGT7" s="735"/>
      <c r="VGU7" s="735"/>
      <c r="VGV7" s="735"/>
      <c r="VGW7" s="735"/>
      <c r="VGX7" s="735"/>
      <c r="VGY7" s="735"/>
      <c r="VGZ7" s="735"/>
      <c r="VHA7" s="735"/>
      <c r="VHB7" s="735"/>
      <c r="VHC7" s="735"/>
      <c r="VHD7" s="735"/>
      <c r="VHE7" s="735"/>
      <c r="VHF7" s="735"/>
      <c r="VHG7" s="735"/>
      <c r="VHH7" s="735"/>
      <c r="VHI7" s="735"/>
      <c r="VHJ7" s="735"/>
      <c r="VHK7" s="735"/>
      <c r="VHL7" s="735"/>
      <c r="VHM7" s="735"/>
      <c r="VHN7" s="735"/>
      <c r="VHO7" s="735"/>
      <c r="VHP7" s="735"/>
      <c r="VHQ7" s="735"/>
      <c r="VHR7" s="735"/>
      <c r="VHS7" s="735"/>
      <c r="VHT7" s="735"/>
      <c r="VHU7" s="735"/>
      <c r="VHV7" s="735"/>
      <c r="VHW7" s="735"/>
      <c r="VHX7" s="735"/>
      <c r="VHY7" s="735"/>
      <c r="VHZ7" s="735"/>
      <c r="VIA7" s="735"/>
      <c r="VIB7" s="735"/>
      <c r="VIC7" s="735"/>
      <c r="VID7" s="735"/>
      <c r="VIE7" s="735"/>
      <c r="VIF7" s="735"/>
      <c r="VIG7" s="735"/>
      <c r="VIH7" s="735"/>
      <c r="VII7" s="735"/>
      <c r="VIJ7" s="735"/>
      <c r="VIK7" s="735"/>
      <c r="VIL7" s="735"/>
      <c r="VIM7" s="735"/>
      <c r="VIN7" s="735"/>
      <c r="VIO7" s="735"/>
      <c r="VIP7" s="735"/>
      <c r="VIQ7" s="735"/>
      <c r="VIR7" s="735"/>
      <c r="VIS7" s="735"/>
      <c r="VIT7" s="735"/>
      <c r="VIU7" s="735"/>
      <c r="VIV7" s="735"/>
      <c r="VIW7" s="735"/>
      <c r="VIX7" s="735"/>
      <c r="VIY7" s="735"/>
      <c r="VIZ7" s="735"/>
      <c r="VJA7" s="735"/>
      <c r="VJB7" s="735"/>
      <c r="VJC7" s="735"/>
      <c r="VJD7" s="735"/>
      <c r="VJE7" s="735"/>
      <c r="VJF7" s="735"/>
      <c r="VJG7" s="735"/>
      <c r="VJH7" s="735"/>
      <c r="VJI7" s="735"/>
      <c r="VJJ7" s="735"/>
      <c r="VJK7" s="735"/>
      <c r="VJL7" s="735"/>
      <c r="VJM7" s="735"/>
      <c r="VJN7" s="735"/>
      <c r="VJO7" s="735"/>
      <c r="VJP7" s="735"/>
      <c r="VJQ7" s="735"/>
      <c r="VJR7" s="735"/>
      <c r="VJS7" s="735"/>
      <c r="VJT7" s="735"/>
      <c r="VJU7" s="735"/>
      <c r="VJV7" s="735"/>
      <c r="VJW7" s="735"/>
      <c r="VJX7" s="735"/>
      <c r="VJY7" s="735"/>
      <c r="VJZ7" s="735"/>
      <c r="VKA7" s="735"/>
      <c r="VKB7" s="735"/>
      <c r="VKC7" s="735"/>
      <c r="VKD7" s="735"/>
      <c r="VKE7" s="735"/>
      <c r="VKF7" s="735"/>
      <c r="VKG7" s="735"/>
      <c r="VKH7" s="735"/>
      <c r="VKI7" s="735"/>
      <c r="VKJ7" s="735"/>
      <c r="VKK7" s="735"/>
      <c r="VKL7" s="735"/>
      <c r="VKM7" s="735"/>
      <c r="VKN7" s="735"/>
      <c r="VKO7" s="735"/>
      <c r="VKP7" s="735"/>
      <c r="VKQ7" s="735"/>
      <c r="VKR7" s="735"/>
      <c r="VKS7" s="735"/>
      <c r="VKT7" s="735"/>
      <c r="VKU7" s="735"/>
      <c r="VKV7" s="735"/>
      <c r="VKW7" s="735"/>
      <c r="VKX7" s="735"/>
      <c r="VKY7" s="735"/>
      <c r="VKZ7" s="735"/>
      <c r="VLA7" s="735"/>
      <c r="VLB7" s="735"/>
      <c r="VLC7" s="735"/>
      <c r="VLD7" s="735"/>
      <c r="VLE7" s="735"/>
      <c r="VLF7" s="735"/>
      <c r="VLG7" s="735"/>
      <c r="VLH7" s="735"/>
      <c r="VLI7" s="735"/>
      <c r="VLJ7" s="735"/>
      <c r="VLK7" s="735"/>
      <c r="VLL7" s="735"/>
      <c r="VLM7" s="735"/>
      <c r="VLN7" s="735"/>
      <c r="VLO7" s="735"/>
      <c r="VLP7" s="735"/>
      <c r="VLQ7" s="735"/>
      <c r="VLR7" s="735"/>
      <c r="VLS7" s="735"/>
      <c r="VLT7" s="735"/>
      <c r="VLU7" s="735"/>
      <c r="VLV7" s="735"/>
      <c r="VLW7" s="735"/>
      <c r="VLX7" s="735"/>
      <c r="VLY7" s="735"/>
      <c r="VLZ7" s="735"/>
      <c r="VMA7" s="735"/>
      <c r="VMB7" s="735"/>
      <c r="VMC7" s="735"/>
      <c r="VMD7" s="735"/>
      <c r="VME7" s="735"/>
      <c r="VMF7" s="735"/>
      <c r="VMG7" s="735"/>
      <c r="VMH7" s="735"/>
      <c r="VMI7" s="735"/>
      <c r="VMJ7" s="735"/>
      <c r="VMK7" s="735"/>
      <c r="VML7" s="735"/>
      <c r="VMM7" s="735"/>
      <c r="VMN7" s="735"/>
      <c r="VMO7" s="735"/>
      <c r="VMP7" s="735"/>
      <c r="VMQ7" s="735"/>
      <c r="VMR7" s="735"/>
      <c r="VMS7" s="735"/>
      <c r="VMT7" s="735"/>
      <c r="VMU7" s="735"/>
      <c r="VMV7" s="735"/>
      <c r="VMW7" s="735"/>
      <c r="VMX7" s="735"/>
      <c r="VMY7" s="735"/>
      <c r="VMZ7" s="735"/>
      <c r="VNA7" s="735"/>
      <c r="VNB7" s="735"/>
      <c r="VNC7" s="735"/>
      <c r="VND7" s="735"/>
      <c r="VNE7" s="735"/>
      <c r="VNF7" s="735"/>
      <c r="VNG7" s="735"/>
      <c r="VNH7" s="735"/>
      <c r="VNI7" s="735"/>
      <c r="VNJ7" s="735"/>
      <c r="VNK7" s="735"/>
      <c r="VNL7" s="735"/>
      <c r="VNM7" s="735"/>
      <c r="VNN7" s="735"/>
      <c r="VNO7" s="735"/>
      <c r="VNP7" s="735"/>
      <c r="VNQ7" s="735"/>
      <c r="VNR7" s="735"/>
      <c r="VNS7" s="735"/>
      <c r="VNT7" s="735"/>
      <c r="VNU7" s="735"/>
      <c r="VNV7" s="735"/>
      <c r="VNW7" s="735"/>
      <c r="VNX7" s="735"/>
      <c r="VNY7" s="735"/>
      <c r="VNZ7" s="735"/>
      <c r="VOA7" s="735"/>
      <c r="VOB7" s="735"/>
      <c r="VOC7" s="735"/>
      <c r="VOD7" s="735"/>
      <c r="VOE7" s="735"/>
      <c r="VOF7" s="735"/>
      <c r="VOG7" s="735"/>
      <c r="VOH7" s="735"/>
      <c r="VOI7" s="735"/>
      <c r="VOJ7" s="735"/>
      <c r="VOK7" s="735"/>
      <c r="VOL7" s="735"/>
      <c r="VOM7" s="735"/>
      <c r="VON7" s="735"/>
      <c r="VOO7" s="735"/>
      <c r="VOP7" s="735"/>
      <c r="VOQ7" s="735"/>
      <c r="VOR7" s="735"/>
      <c r="VOS7" s="735"/>
      <c r="VOT7" s="735"/>
      <c r="VOU7" s="735"/>
      <c r="VOV7" s="735"/>
      <c r="VOW7" s="735"/>
      <c r="VOX7" s="735"/>
      <c r="VOY7" s="735"/>
      <c r="VOZ7" s="735"/>
      <c r="VPA7" s="735"/>
      <c r="VPB7" s="735"/>
      <c r="VPC7" s="735"/>
      <c r="VPD7" s="735"/>
      <c r="VPE7" s="735"/>
      <c r="VPF7" s="735"/>
      <c r="VPG7" s="735"/>
      <c r="VPH7" s="735"/>
      <c r="VPI7" s="735"/>
      <c r="VPJ7" s="735"/>
      <c r="VPK7" s="735"/>
      <c r="VPL7" s="735"/>
      <c r="VPM7" s="735"/>
      <c r="VPN7" s="735"/>
      <c r="VPO7" s="735"/>
      <c r="VPP7" s="735"/>
      <c r="VPQ7" s="735"/>
      <c r="VPR7" s="735"/>
      <c r="VPS7" s="735"/>
      <c r="VPT7" s="735"/>
      <c r="VPU7" s="735"/>
      <c r="VPV7" s="735"/>
      <c r="VPW7" s="735"/>
      <c r="VPX7" s="735"/>
      <c r="VPY7" s="735"/>
      <c r="VPZ7" s="735"/>
      <c r="VQA7" s="735"/>
      <c r="VQB7" s="735"/>
      <c r="VQC7" s="735"/>
      <c r="VQD7" s="735"/>
      <c r="VQE7" s="735"/>
      <c r="VQF7" s="735"/>
      <c r="VQG7" s="735"/>
      <c r="VQH7" s="735"/>
      <c r="VQI7" s="735"/>
      <c r="VQJ7" s="735"/>
      <c r="VQK7" s="735"/>
      <c r="VQL7" s="735"/>
      <c r="VQM7" s="735"/>
      <c r="VQN7" s="735"/>
      <c r="VQO7" s="735"/>
      <c r="VQP7" s="735"/>
      <c r="VQQ7" s="735"/>
      <c r="VQR7" s="735"/>
      <c r="VQS7" s="735"/>
      <c r="VQT7" s="735"/>
      <c r="VQU7" s="735"/>
      <c r="VQV7" s="735"/>
      <c r="VQW7" s="735"/>
      <c r="VQX7" s="735"/>
      <c r="VQY7" s="735"/>
      <c r="VQZ7" s="735"/>
      <c r="VRA7" s="735"/>
      <c r="VRB7" s="735"/>
      <c r="VRC7" s="735"/>
      <c r="VRD7" s="735"/>
      <c r="VRE7" s="735"/>
      <c r="VRF7" s="735"/>
      <c r="VRG7" s="735"/>
      <c r="VRH7" s="735"/>
      <c r="VRI7" s="735"/>
      <c r="VRJ7" s="735"/>
      <c r="VRK7" s="735"/>
      <c r="VRL7" s="735"/>
      <c r="VRM7" s="735"/>
      <c r="VRN7" s="735"/>
      <c r="VRO7" s="735"/>
      <c r="VRP7" s="735"/>
      <c r="VRQ7" s="735"/>
      <c r="VRR7" s="735"/>
      <c r="VRS7" s="735"/>
      <c r="VRT7" s="735"/>
      <c r="VRU7" s="735"/>
      <c r="VRV7" s="735"/>
      <c r="VRW7" s="735"/>
      <c r="VRX7" s="735"/>
      <c r="VRY7" s="735"/>
      <c r="VRZ7" s="735"/>
      <c r="VSA7" s="735"/>
      <c r="VSB7" s="735"/>
      <c r="VSC7" s="735"/>
      <c r="VSD7" s="735"/>
      <c r="VSE7" s="735"/>
      <c r="VSF7" s="735"/>
      <c r="VSG7" s="735"/>
      <c r="VSH7" s="735"/>
      <c r="VSI7" s="735"/>
      <c r="VSJ7" s="735"/>
      <c r="VSK7" s="735"/>
      <c r="VSL7" s="735"/>
      <c r="VSM7" s="735"/>
      <c r="VSN7" s="735"/>
      <c r="VSO7" s="735"/>
      <c r="VSP7" s="735"/>
      <c r="VSQ7" s="735"/>
      <c r="VSR7" s="735"/>
      <c r="VSS7" s="735"/>
      <c r="VST7" s="735"/>
      <c r="VSU7" s="735"/>
      <c r="VSV7" s="735"/>
      <c r="VSW7" s="735"/>
      <c r="VSX7" s="735"/>
      <c r="VSY7" s="735"/>
      <c r="VSZ7" s="735"/>
      <c r="VTA7" s="735"/>
      <c r="VTB7" s="735"/>
      <c r="VTC7" s="735"/>
      <c r="VTD7" s="735"/>
      <c r="VTE7" s="735"/>
      <c r="VTF7" s="735"/>
      <c r="VTG7" s="735"/>
      <c r="VTH7" s="735"/>
      <c r="VTI7" s="735"/>
      <c r="VTJ7" s="735"/>
      <c r="VTK7" s="735"/>
      <c r="VTL7" s="735"/>
      <c r="VTM7" s="735"/>
      <c r="VTN7" s="735"/>
      <c r="VTO7" s="735"/>
      <c r="VTP7" s="735"/>
      <c r="VTQ7" s="735"/>
      <c r="VTR7" s="735"/>
      <c r="VTS7" s="735"/>
      <c r="VTT7" s="735"/>
      <c r="VTU7" s="735"/>
      <c r="VTV7" s="735"/>
      <c r="VTW7" s="735"/>
      <c r="VTX7" s="735"/>
      <c r="VTY7" s="735"/>
      <c r="VTZ7" s="735"/>
      <c r="VUA7" s="735"/>
      <c r="VUB7" s="735"/>
      <c r="VUC7" s="735"/>
      <c r="VUD7" s="735"/>
      <c r="VUE7" s="735"/>
      <c r="VUF7" s="735"/>
      <c r="VUG7" s="735"/>
      <c r="VUH7" s="735"/>
      <c r="VUI7" s="735"/>
      <c r="VUJ7" s="735"/>
      <c r="VUK7" s="735"/>
      <c r="VUL7" s="735"/>
      <c r="VUM7" s="735"/>
      <c r="VUN7" s="735"/>
      <c r="VUO7" s="735"/>
      <c r="VUP7" s="735"/>
      <c r="VUQ7" s="735"/>
      <c r="VUR7" s="735"/>
      <c r="VUS7" s="735"/>
      <c r="VUT7" s="735"/>
      <c r="VUU7" s="735"/>
      <c r="VUV7" s="735"/>
      <c r="VUW7" s="735"/>
      <c r="VUX7" s="735"/>
      <c r="VUY7" s="735"/>
      <c r="VUZ7" s="735"/>
      <c r="VVA7" s="735"/>
      <c r="VVB7" s="735"/>
      <c r="VVC7" s="735"/>
      <c r="VVD7" s="735"/>
      <c r="VVE7" s="735"/>
      <c r="VVF7" s="735"/>
      <c r="VVG7" s="735"/>
      <c r="VVH7" s="735"/>
      <c r="VVI7" s="735"/>
      <c r="VVJ7" s="735"/>
      <c r="VVK7" s="735"/>
      <c r="VVL7" s="735"/>
      <c r="VVM7" s="735"/>
      <c r="VVN7" s="735"/>
      <c r="VVO7" s="735"/>
      <c r="VVP7" s="735"/>
      <c r="VVQ7" s="735"/>
      <c r="VVR7" s="735"/>
      <c r="VVS7" s="735"/>
      <c r="VVT7" s="735"/>
      <c r="VVU7" s="735"/>
      <c r="VVV7" s="735"/>
      <c r="VVW7" s="735"/>
      <c r="VVX7" s="735"/>
      <c r="VVY7" s="735"/>
      <c r="VVZ7" s="735"/>
      <c r="VWA7" s="735"/>
      <c r="VWB7" s="735"/>
      <c r="VWC7" s="735"/>
      <c r="VWD7" s="735"/>
      <c r="VWE7" s="735"/>
      <c r="VWF7" s="735"/>
      <c r="VWG7" s="735"/>
      <c r="VWH7" s="735"/>
      <c r="VWI7" s="735"/>
      <c r="VWJ7" s="735"/>
      <c r="VWK7" s="735"/>
      <c r="VWL7" s="735"/>
      <c r="VWM7" s="735"/>
      <c r="VWN7" s="735"/>
      <c r="VWO7" s="735"/>
      <c r="VWP7" s="735"/>
      <c r="VWQ7" s="735"/>
      <c r="VWR7" s="735"/>
      <c r="VWS7" s="735"/>
      <c r="VWT7" s="735"/>
      <c r="VWU7" s="735"/>
      <c r="VWV7" s="735"/>
      <c r="VWW7" s="735"/>
      <c r="VWX7" s="735"/>
      <c r="VWY7" s="735"/>
      <c r="VWZ7" s="735"/>
      <c r="VXA7" s="735"/>
      <c r="VXB7" s="735"/>
      <c r="VXC7" s="735"/>
      <c r="VXD7" s="735"/>
      <c r="VXE7" s="735"/>
      <c r="VXF7" s="735"/>
      <c r="VXG7" s="735"/>
      <c r="VXH7" s="735"/>
      <c r="VXI7" s="735"/>
      <c r="VXJ7" s="735"/>
      <c r="VXK7" s="735"/>
      <c r="VXL7" s="735"/>
      <c r="VXM7" s="735"/>
      <c r="VXN7" s="735"/>
      <c r="VXO7" s="735"/>
      <c r="VXP7" s="735"/>
      <c r="VXQ7" s="735"/>
      <c r="VXR7" s="735"/>
      <c r="VXS7" s="735"/>
      <c r="VXT7" s="735"/>
      <c r="VXU7" s="735"/>
      <c r="VXV7" s="735"/>
      <c r="VXW7" s="735"/>
      <c r="VXX7" s="735"/>
      <c r="VXY7" s="735"/>
      <c r="VXZ7" s="735"/>
      <c r="VYA7" s="735"/>
      <c r="VYB7" s="735"/>
      <c r="VYC7" s="735"/>
      <c r="VYD7" s="735"/>
      <c r="VYE7" s="735"/>
      <c r="VYF7" s="735"/>
      <c r="VYG7" s="735"/>
      <c r="VYH7" s="735"/>
      <c r="VYI7" s="735"/>
      <c r="VYJ7" s="735"/>
      <c r="VYK7" s="735"/>
      <c r="VYL7" s="735"/>
      <c r="VYM7" s="735"/>
      <c r="VYN7" s="735"/>
      <c r="VYO7" s="735"/>
      <c r="VYP7" s="735"/>
      <c r="VYQ7" s="735"/>
      <c r="VYR7" s="735"/>
      <c r="VYS7" s="735"/>
      <c r="VYT7" s="735"/>
      <c r="VYU7" s="735"/>
      <c r="VYV7" s="735"/>
      <c r="VYW7" s="735"/>
      <c r="VYX7" s="735"/>
      <c r="VYY7" s="735"/>
      <c r="VYZ7" s="735"/>
      <c r="VZA7" s="735"/>
      <c r="VZB7" s="735"/>
      <c r="VZC7" s="735"/>
      <c r="VZD7" s="735"/>
      <c r="VZE7" s="735"/>
      <c r="VZF7" s="735"/>
      <c r="VZG7" s="735"/>
      <c r="VZH7" s="735"/>
      <c r="VZI7" s="735"/>
      <c r="VZJ7" s="735"/>
      <c r="VZK7" s="735"/>
      <c r="VZL7" s="735"/>
      <c r="VZM7" s="735"/>
      <c r="VZN7" s="735"/>
      <c r="VZO7" s="735"/>
      <c r="VZP7" s="735"/>
      <c r="VZQ7" s="735"/>
      <c r="VZR7" s="735"/>
      <c r="VZS7" s="735"/>
      <c r="VZT7" s="735"/>
      <c r="VZU7" s="735"/>
      <c r="VZV7" s="735"/>
      <c r="VZW7" s="735"/>
      <c r="VZX7" s="735"/>
      <c r="VZY7" s="735"/>
      <c r="VZZ7" s="735"/>
      <c r="WAA7" s="735"/>
      <c r="WAB7" s="735"/>
      <c r="WAC7" s="735"/>
      <c r="WAD7" s="735"/>
      <c r="WAE7" s="735"/>
      <c r="WAF7" s="735"/>
      <c r="WAG7" s="735"/>
      <c r="WAH7" s="735"/>
      <c r="WAI7" s="735"/>
      <c r="WAJ7" s="735"/>
      <c r="WAK7" s="735"/>
      <c r="WAL7" s="735"/>
      <c r="WAM7" s="735"/>
      <c r="WAN7" s="735"/>
      <c r="WAO7" s="735"/>
      <c r="WAP7" s="735"/>
      <c r="WAQ7" s="735"/>
      <c r="WAR7" s="735"/>
      <c r="WAS7" s="735"/>
      <c r="WAT7" s="735"/>
      <c r="WAU7" s="735"/>
      <c r="WAV7" s="735"/>
      <c r="WAW7" s="735"/>
      <c r="WAX7" s="735"/>
      <c r="WAY7" s="735"/>
      <c r="WAZ7" s="735"/>
      <c r="WBA7" s="735"/>
      <c r="WBB7" s="735"/>
      <c r="WBC7" s="735"/>
      <c r="WBD7" s="735"/>
      <c r="WBE7" s="735"/>
      <c r="WBF7" s="735"/>
      <c r="WBG7" s="735"/>
      <c r="WBH7" s="735"/>
      <c r="WBI7" s="735"/>
      <c r="WBJ7" s="735"/>
      <c r="WBK7" s="735"/>
      <c r="WBL7" s="735"/>
      <c r="WBM7" s="735"/>
      <c r="WBN7" s="735"/>
      <c r="WBO7" s="735"/>
      <c r="WBP7" s="735"/>
      <c r="WBQ7" s="735"/>
      <c r="WBR7" s="735"/>
      <c r="WBS7" s="735"/>
      <c r="WBT7" s="735"/>
      <c r="WBU7" s="735"/>
      <c r="WBV7" s="735"/>
      <c r="WBW7" s="735"/>
      <c r="WBX7" s="735"/>
      <c r="WBY7" s="735"/>
      <c r="WBZ7" s="735"/>
      <c r="WCA7" s="735"/>
      <c r="WCB7" s="735"/>
      <c r="WCC7" s="735"/>
      <c r="WCD7" s="735"/>
      <c r="WCE7" s="735"/>
      <c r="WCF7" s="735"/>
      <c r="WCG7" s="735"/>
      <c r="WCH7" s="735"/>
      <c r="WCI7" s="735"/>
      <c r="WCJ7" s="735"/>
      <c r="WCK7" s="735"/>
      <c r="WCL7" s="735"/>
      <c r="WCM7" s="735"/>
      <c r="WCN7" s="735"/>
      <c r="WCO7" s="735"/>
      <c r="WCP7" s="735"/>
      <c r="WCQ7" s="735"/>
      <c r="WCR7" s="735"/>
      <c r="WCS7" s="735"/>
      <c r="WCT7" s="735"/>
      <c r="WCU7" s="735"/>
      <c r="WCV7" s="735"/>
      <c r="WCW7" s="735"/>
      <c r="WCX7" s="735"/>
      <c r="WCY7" s="735"/>
      <c r="WCZ7" s="735"/>
      <c r="WDA7" s="735"/>
      <c r="WDB7" s="735"/>
      <c r="WDC7" s="735"/>
      <c r="WDD7" s="735"/>
      <c r="WDE7" s="735"/>
      <c r="WDF7" s="735"/>
      <c r="WDG7" s="735"/>
      <c r="WDH7" s="735"/>
      <c r="WDI7" s="735"/>
      <c r="WDJ7" s="735"/>
      <c r="WDK7" s="735"/>
      <c r="WDL7" s="735"/>
      <c r="WDM7" s="735"/>
      <c r="WDN7" s="735"/>
      <c r="WDO7" s="735"/>
      <c r="WDP7" s="735"/>
      <c r="WDQ7" s="735"/>
      <c r="WDR7" s="735"/>
      <c r="WDS7" s="735"/>
      <c r="WDT7" s="735"/>
      <c r="WDU7" s="735"/>
      <c r="WDV7" s="735"/>
      <c r="WDW7" s="735"/>
      <c r="WDX7" s="735"/>
      <c r="WDY7" s="735"/>
      <c r="WDZ7" s="735"/>
      <c r="WEA7" s="735"/>
      <c r="WEB7" s="735"/>
      <c r="WEC7" s="735"/>
      <c r="WED7" s="735"/>
      <c r="WEE7" s="735"/>
      <c r="WEF7" s="735"/>
      <c r="WEG7" s="735"/>
      <c r="WEH7" s="735"/>
      <c r="WEI7" s="735"/>
      <c r="WEJ7" s="735"/>
      <c r="WEK7" s="735"/>
      <c r="WEL7" s="735"/>
      <c r="WEM7" s="735"/>
      <c r="WEN7" s="735"/>
      <c r="WEO7" s="735"/>
      <c r="WEP7" s="735"/>
      <c r="WEQ7" s="735"/>
      <c r="WER7" s="735"/>
      <c r="WES7" s="735"/>
      <c r="WET7" s="735"/>
      <c r="WEU7" s="735"/>
      <c r="WEV7" s="735"/>
      <c r="WEW7" s="735"/>
      <c r="WEX7" s="735"/>
      <c r="WEY7" s="735"/>
      <c r="WEZ7" s="735"/>
      <c r="WFA7" s="735"/>
      <c r="WFB7" s="735"/>
      <c r="WFC7" s="735"/>
      <c r="WFD7" s="735"/>
      <c r="WFE7" s="735"/>
      <c r="WFF7" s="735"/>
      <c r="WFG7" s="735"/>
      <c r="WFH7" s="735"/>
      <c r="WFI7" s="735"/>
      <c r="WFJ7" s="735"/>
      <c r="WFK7" s="735"/>
      <c r="WFL7" s="735"/>
      <c r="WFM7" s="735"/>
      <c r="WFN7" s="735"/>
      <c r="WFO7" s="735"/>
      <c r="WFP7" s="735"/>
      <c r="WFQ7" s="735"/>
      <c r="WFR7" s="735"/>
      <c r="WFS7" s="735"/>
      <c r="WFT7" s="735"/>
      <c r="WFU7" s="735"/>
      <c r="WFV7" s="735"/>
      <c r="WFW7" s="735"/>
      <c r="WFX7" s="735"/>
      <c r="WFY7" s="735"/>
      <c r="WFZ7" s="735"/>
      <c r="WGA7" s="735"/>
      <c r="WGB7" s="735"/>
      <c r="WGC7" s="735"/>
      <c r="WGD7" s="735"/>
      <c r="WGE7" s="735"/>
      <c r="WGF7" s="735"/>
      <c r="WGG7" s="735"/>
      <c r="WGH7" s="735"/>
      <c r="WGI7" s="735"/>
      <c r="WGJ7" s="735"/>
      <c r="WGK7" s="735"/>
      <c r="WGL7" s="735"/>
      <c r="WGM7" s="735"/>
      <c r="WGN7" s="735"/>
      <c r="WGO7" s="735"/>
      <c r="WGP7" s="735"/>
      <c r="WGQ7" s="735"/>
      <c r="WGR7" s="735"/>
      <c r="WGS7" s="735"/>
      <c r="WGT7" s="735"/>
      <c r="WGU7" s="735"/>
      <c r="WGV7" s="735"/>
      <c r="WGW7" s="735"/>
      <c r="WGX7" s="735"/>
      <c r="WGY7" s="735"/>
      <c r="WGZ7" s="735"/>
      <c r="WHA7" s="735"/>
      <c r="WHB7" s="735"/>
      <c r="WHC7" s="735"/>
      <c r="WHD7" s="735"/>
      <c r="WHE7" s="735"/>
      <c r="WHF7" s="735"/>
      <c r="WHG7" s="735"/>
      <c r="WHH7" s="735"/>
      <c r="WHI7" s="735"/>
      <c r="WHJ7" s="735"/>
      <c r="WHK7" s="735"/>
      <c r="WHL7" s="735"/>
      <c r="WHM7" s="735"/>
      <c r="WHN7" s="735"/>
      <c r="WHO7" s="735"/>
      <c r="WHP7" s="735"/>
      <c r="WHQ7" s="735"/>
      <c r="WHR7" s="735"/>
      <c r="WHS7" s="735"/>
      <c r="WHT7" s="735"/>
      <c r="WHU7" s="735"/>
      <c r="WHV7" s="735"/>
      <c r="WHW7" s="735"/>
      <c r="WHX7" s="735"/>
      <c r="WHY7" s="735"/>
      <c r="WHZ7" s="735"/>
      <c r="WIA7" s="735"/>
      <c r="WIB7" s="735"/>
      <c r="WIC7" s="735"/>
      <c r="WID7" s="735"/>
      <c r="WIE7" s="735"/>
      <c r="WIF7" s="735"/>
      <c r="WIG7" s="735"/>
      <c r="WIH7" s="735"/>
      <c r="WII7" s="735"/>
      <c r="WIJ7" s="735"/>
      <c r="WIK7" s="735"/>
      <c r="WIL7" s="735"/>
      <c r="WIM7" s="735"/>
      <c r="WIN7" s="735"/>
      <c r="WIO7" s="735"/>
      <c r="WIP7" s="735"/>
      <c r="WIQ7" s="735"/>
      <c r="WIR7" s="735"/>
      <c r="WIS7" s="735"/>
      <c r="WIT7" s="735"/>
      <c r="WIU7" s="735"/>
      <c r="WIV7" s="735"/>
      <c r="WIW7" s="735"/>
      <c r="WIX7" s="735"/>
      <c r="WIY7" s="735"/>
      <c r="WIZ7" s="735"/>
      <c r="WJA7" s="735"/>
      <c r="WJB7" s="735"/>
      <c r="WJC7" s="735"/>
      <c r="WJD7" s="735"/>
      <c r="WJE7" s="735"/>
      <c r="WJF7" s="735"/>
      <c r="WJG7" s="735"/>
      <c r="WJH7" s="735"/>
      <c r="WJI7" s="735"/>
      <c r="WJJ7" s="735"/>
      <c r="WJK7" s="735"/>
      <c r="WJL7" s="735"/>
      <c r="WJM7" s="735"/>
      <c r="WJN7" s="735"/>
      <c r="WJO7" s="735"/>
      <c r="WJP7" s="735"/>
      <c r="WJQ7" s="735"/>
      <c r="WJR7" s="735"/>
      <c r="WJS7" s="735"/>
      <c r="WJT7" s="735"/>
      <c r="WJU7" s="735"/>
      <c r="WJV7" s="735"/>
      <c r="WJW7" s="735"/>
      <c r="WJX7" s="735"/>
      <c r="WJY7" s="735"/>
      <c r="WJZ7" s="735"/>
      <c r="WKA7" s="735"/>
      <c r="WKB7" s="735"/>
      <c r="WKC7" s="735"/>
      <c r="WKD7" s="735"/>
      <c r="WKE7" s="735"/>
      <c r="WKF7" s="735"/>
      <c r="WKG7" s="735"/>
      <c r="WKH7" s="735"/>
      <c r="WKI7" s="735"/>
      <c r="WKJ7" s="735"/>
      <c r="WKK7" s="735"/>
      <c r="WKL7" s="735"/>
      <c r="WKM7" s="735"/>
      <c r="WKN7" s="735"/>
      <c r="WKO7" s="735"/>
      <c r="WKP7" s="735"/>
      <c r="WKQ7" s="735"/>
      <c r="WKR7" s="735"/>
      <c r="WKS7" s="735"/>
      <c r="WKT7" s="735"/>
      <c r="WKU7" s="735"/>
      <c r="WKV7" s="735"/>
      <c r="WKW7" s="735"/>
      <c r="WKX7" s="735"/>
      <c r="WKY7" s="735"/>
      <c r="WKZ7" s="735"/>
      <c r="WLA7" s="735"/>
      <c r="WLB7" s="735"/>
      <c r="WLC7" s="735"/>
      <c r="WLD7" s="735"/>
      <c r="WLE7" s="735"/>
      <c r="WLF7" s="735"/>
      <c r="WLG7" s="735"/>
      <c r="WLH7" s="735"/>
      <c r="WLI7" s="735"/>
      <c r="WLJ7" s="735"/>
      <c r="WLK7" s="735"/>
      <c r="WLL7" s="735"/>
      <c r="WLM7" s="735"/>
      <c r="WLN7" s="735"/>
      <c r="WLO7" s="735"/>
      <c r="WLP7" s="735"/>
      <c r="WLQ7" s="735"/>
      <c r="WLR7" s="735"/>
      <c r="WLS7" s="735"/>
      <c r="WLT7" s="735"/>
      <c r="WLU7" s="735"/>
      <c r="WLV7" s="735"/>
      <c r="WLW7" s="735"/>
      <c r="WLX7" s="735"/>
      <c r="WLY7" s="735"/>
      <c r="WLZ7" s="735"/>
      <c r="WMA7" s="735"/>
      <c r="WMB7" s="735"/>
      <c r="WMC7" s="735"/>
      <c r="WMD7" s="735"/>
      <c r="WME7" s="735"/>
      <c r="WMF7" s="735"/>
      <c r="WMG7" s="735"/>
      <c r="WMH7" s="735"/>
      <c r="WMI7" s="735"/>
      <c r="WMJ7" s="735"/>
      <c r="WMK7" s="735"/>
      <c r="WML7" s="735"/>
      <c r="WMM7" s="735"/>
      <c r="WMN7" s="735"/>
      <c r="WMO7" s="735"/>
      <c r="WMP7" s="735"/>
      <c r="WMQ7" s="735"/>
      <c r="WMR7" s="735"/>
      <c r="WMS7" s="735"/>
      <c r="WMT7" s="735"/>
      <c r="WMU7" s="735"/>
      <c r="WMV7" s="735"/>
      <c r="WMW7" s="735"/>
      <c r="WMX7" s="735"/>
      <c r="WMY7" s="735"/>
      <c r="WMZ7" s="735"/>
      <c r="WNA7" s="735"/>
      <c r="WNB7" s="735"/>
      <c r="WNC7" s="735"/>
      <c r="WND7" s="735"/>
      <c r="WNE7" s="735"/>
      <c r="WNF7" s="735"/>
      <c r="WNG7" s="735"/>
      <c r="WNH7" s="735"/>
      <c r="WNI7" s="735"/>
      <c r="WNJ7" s="735"/>
      <c r="WNK7" s="735"/>
      <c r="WNL7" s="735"/>
      <c r="WNM7" s="735"/>
      <c r="WNN7" s="735"/>
      <c r="WNO7" s="735"/>
      <c r="WNP7" s="735"/>
      <c r="WNQ7" s="735"/>
      <c r="WNR7" s="735"/>
      <c r="WNS7" s="735"/>
      <c r="WNT7" s="735"/>
      <c r="WNU7" s="735"/>
      <c r="WNV7" s="735"/>
      <c r="WNW7" s="735"/>
      <c r="WNX7" s="735"/>
      <c r="WNY7" s="735"/>
      <c r="WNZ7" s="735"/>
      <c r="WOA7" s="735"/>
      <c r="WOB7" s="735"/>
      <c r="WOC7" s="735"/>
      <c r="WOD7" s="735"/>
      <c r="WOE7" s="735"/>
      <c r="WOF7" s="735"/>
      <c r="WOG7" s="735"/>
      <c r="WOH7" s="735"/>
      <c r="WOI7" s="735"/>
      <c r="WOJ7" s="735"/>
      <c r="WOK7" s="735"/>
      <c r="WOL7" s="735"/>
      <c r="WOM7" s="735"/>
      <c r="WON7" s="735"/>
      <c r="WOO7" s="735"/>
      <c r="WOP7" s="735"/>
      <c r="WOQ7" s="735"/>
      <c r="WOR7" s="735"/>
      <c r="WOS7" s="735"/>
      <c r="WOT7" s="735"/>
      <c r="WOU7" s="735"/>
      <c r="WOV7" s="735"/>
      <c r="WOW7" s="735"/>
      <c r="WOX7" s="735"/>
      <c r="WOY7" s="735"/>
      <c r="WOZ7" s="735"/>
      <c r="WPA7" s="735"/>
      <c r="WPB7" s="735"/>
      <c r="WPC7" s="735"/>
      <c r="WPD7" s="735"/>
      <c r="WPE7" s="735"/>
      <c r="WPF7" s="735"/>
      <c r="WPG7" s="735"/>
      <c r="WPH7" s="735"/>
      <c r="WPI7" s="735"/>
      <c r="WPJ7" s="735"/>
      <c r="WPK7" s="735"/>
      <c r="WPL7" s="735"/>
      <c r="WPM7" s="735"/>
      <c r="WPN7" s="735"/>
      <c r="WPO7" s="735"/>
      <c r="WPP7" s="735"/>
      <c r="WPQ7" s="735"/>
      <c r="WPR7" s="735"/>
      <c r="WPS7" s="735"/>
      <c r="WPT7" s="735"/>
      <c r="WPU7" s="735"/>
      <c r="WPV7" s="735"/>
      <c r="WPW7" s="735"/>
      <c r="WPX7" s="735"/>
      <c r="WPY7" s="735"/>
      <c r="WPZ7" s="735"/>
      <c r="WQA7" s="735"/>
      <c r="WQB7" s="735"/>
      <c r="WQC7" s="735"/>
      <c r="WQD7" s="735"/>
      <c r="WQE7" s="735"/>
      <c r="WQF7" s="735"/>
      <c r="WQG7" s="735"/>
      <c r="WQH7" s="735"/>
      <c r="WQI7" s="735"/>
      <c r="WQJ7" s="735"/>
      <c r="WQK7" s="735"/>
      <c r="WQL7" s="735"/>
      <c r="WQM7" s="735"/>
      <c r="WQN7" s="735"/>
      <c r="WQO7" s="735"/>
      <c r="WQP7" s="735"/>
      <c r="WQQ7" s="735"/>
      <c r="WQR7" s="735"/>
      <c r="WQS7" s="735"/>
      <c r="WQT7" s="735"/>
      <c r="WQU7" s="735"/>
      <c r="WQV7" s="735"/>
      <c r="WQW7" s="735"/>
      <c r="WQX7" s="735"/>
      <c r="WQY7" s="735"/>
      <c r="WQZ7" s="735"/>
      <c r="WRA7" s="735"/>
      <c r="WRB7" s="735"/>
      <c r="WRC7" s="735"/>
      <c r="WRD7" s="735"/>
      <c r="WRE7" s="735"/>
      <c r="WRF7" s="735"/>
      <c r="WRG7" s="735"/>
      <c r="WRH7" s="735"/>
      <c r="WRI7" s="735"/>
      <c r="WRJ7" s="735"/>
      <c r="WRK7" s="735"/>
      <c r="WRL7" s="735"/>
      <c r="WRM7" s="735"/>
      <c r="WRN7" s="735"/>
      <c r="WRO7" s="735"/>
      <c r="WRP7" s="735"/>
      <c r="WRQ7" s="735"/>
      <c r="WRR7" s="735"/>
      <c r="WRS7" s="735"/>
      <c r="WRT7" s="735"/>
      <c r="WRU7" s="735"/>
      <c r="WRV7" s="735"/>
      <c r="WRW7" s="735"/>
      <c r="WRX7" s="735"/>
      <c r="WRY7" s="735"/>
      <c r="WRZ7" s="735"/>
      <c r="WSA7" s="735"/>
      <c r="WSB7" s="735"/>
      <c r="WSC7" s="735"/>
      <c r="WSD7" s="735"/>
      <c r="WSE7" s="735"/>
      <c r="WSF7" s="735"/>
      <c r="WSG7" s="735"/>
      <c r="WSH7" s="735"/>
      <c r="WSI7" s="735"/>
      <c r="WSJ7" s="735"/>
      <c r="WSK7" s="735"/>
      <c r="WSL7" s="735"/>
      <c r="WSM7" s="735"/>
      <c r="WSN7" s="735"/>
      <c r="WSO7" s="735"/>
      <c r="WSP7" s="735"/>
      <c r="WSQ7" s="735"/>
      <c r="WSR7" s="735"/>
      <c r="WSS7" s="735"/>
      <c r="WST7" s="735"/>
      <c r="WSU7" s="735"/>
      <c r="WSV7" s="735"/>
      <c r="WSW7" s="735"/>
      <c r="WSX7" s="735"/>
      <c r="WSY7" s="735"/>
      <c r="WSZ7" s="735"/>
      <c r="WTA7" s="735"/>
      <c r="WTB7" s="735"/>
      <c r="WTC7" s="735"/>
      <c r="WTD7" s="735"/>
      <c r="WTE7" s="735"/>
      <c r="WTF7" s="735"/>
      <c r="WTG7" s="735"/>
      <c r="WTH7" s="735"/>
      <c r="WTI7" s="735"/>
      <c r="WTJ7" s="735"/>
      <c r="WTK7" s="735"/>
      <c r="WTL7" s="735"/>
      <c r="WTM7" s="735"/>
      <c r="WTN7" s="735"/>
      <c r="WTO7" s="735"/>
      <c r="WTP7" s="735"/>
      <c r="WTQ7" s="735"/>
      <c r="WTR7" s="735"/>
      <c r="WTS7" s="735"/>
      <c r="WTT7" s="735"/>
      <c r="WTU7" s="735"/>
      <c r="WTV7" s="735"/>
      <c r="WTW7" s="735"/>
      <c r="WTX7" s="735"/>
      <c r="WTY7" s="735"/>
      <c r="WTZ7" s="735"/>
      <c r="WUA7" s="735"/>
      <c r="WUB7" s="735"/>
      <c r="WUC7" s="735"/>
      <c r="WUD7" s="735"/>
      <c r="WUE7" s="735"/>
      <c r="WUF7" s="735"/>
      <c r="WUG7" s="735"/>
      <c r="WUH7" s="735"/>
      <c r="WUI7" s="735"/>
      <c r="WUJ7" s="735"/>
      <c r="WUK7" s="735"/>
      <c r="WUL7" s="735"/>
      <c r="WUM7" s="735"/>
      <c r="WUN7" s="735"/>
      <c r="WUO7" s="735"/>
      <c r="WUP7" s="735"/>
      <c r="WUQ7" s="735"/>
      <c r="WUR7" s="735"/>
      <c r="WUS7" s="735"/>
      <c r="WUT7" s="735"/>
      <c r="WUU7" s="735"/>
      <c r="WUV7" s="735"/>
      <c r="WUW7" s="735"/>
      <c r="WUX7" s="735"/>
      <c r="WUY7" s="735"/>
      <c r="WUZ7" s="735"/>
      <c r="WVA7" s="735"/>
      <c r="WVB7" s="735"/>
      <c r="WVC7" s="735"/>
      <c r="WVD7" s="735"/>
      <c r="WVE7" s="735"/>
      <c r="WVF7" s="735"/>
      <c r="WVG7" s="735"/>
      <c r="WVH7" s="735"/>
      <c r="WVI7" s="735"/>
      <c r="WVJ7" s="735"/>
      <c r="WVK7" s="735"/>
      <c r="WVL7" s="735"/>
      <c r="WVM7" s="735"/>
      <c r="WVN7" s="735"/>
      <c r="WVO7" s="735"/>
      <c r="WVP7" s="735"/>
      <c r="WVQ7" s="735"/>
      <c r="WVR7" s="735"/>
      <c r="WVS7" s="735"/>
      <c r="WVT7" s="735"/>
      <c r="WVU7" s="735"/>
      <c r="WVV7" s="735"/>
      <c r="WVW7" s="735"/>
      <c r="WVX7" s="735"/>
      <c r="WVY7" s="735"/>
      <c r="WVZ7" s="735"/>
      <c r="WWA7" s="735"/>
      <c r="WWB7" s="735"/>
      <c r="WWC7" s="735"/>
      <c r="WWD7" s="735"/>
      <c r="WWE7" s="735"/>
      <c r="WWF7" s="735"/>
      <c r="WWG7" s="735"/>
      <c r="WWH7" s="735"/>
      <c r="WWI7" s="735"/>
      <c r="WWJ7" s="735"/>
      <c r="WWK7" s="735"/>
      <c r="WWL7" s="735"/>
      <c r="WWM7" s="735"/>
      <c r="WWN7" s="735"/>
      <c r="WWO7" s="735"/>
      <c r="WWP7" s="735"/>
      <c r="WWQ7" s="735"/>
      <c r="WWR7" s="735"/>
      <c r="WWS7" s="735"/>
      <c r="WWT7" s="735"/>
      <c r="WWU7" s="735"/>
      <c r="WWV7" s="735"/>
      <c r="WWW7" s="735"/>
      <c r="WWX7" s="735"/>
      <c r="WWY7" s="735"/>
      <c r="WWZ7" s="735"/>
      <c r="WXA7" s="735"/>
      <c r="WXB7" s="735"/>
      <c r="WXC7" s="735"/>
      <c r="WXD7" s="735"/>
      <c r="WXE7" s="735"/>
      <c r="WXF7" s="735"/>
      <c r="WXG7" s="735"/>
      <c r="WXH7" s="735"/>
      <c r="WXI7" s="735"/>
      <c r="WXJ7" s="735"/>
      <c r="WXK7" s="735"/>
      <c r="WXL7" s="735"/>
      <c r="WXM7" s="735"/>
      <c r="WXN7" s="735"/>
      <c r="WXO7" s="735"/>
      <c r="WXP7" s="735"/>
      <c r="WXQ7" s="735"/>
      <c r="WXR7" s="735"/>
      <c r="WXS7" s="735"/>
      <c r="WXT7" s="735"/>
      <c r="WXU7" s="735"/>
      <c r="WXV7" s="735"/>
      <c r="WXW7" s="735"/>
      <c r="WXX7" s="735"/>
      <c r="WXY7" s="735"/>
      <c r="WXZ7" s="735"/>
      <c r="WYA7" s="735"/>
      <c r="WYB7" s="735"/>
      <c r="WYC7" s="735"/>
      <c r="WYD7" s="735"/>
      <c r="WYE7" s="735"/>
      <c r="WYF7" s="735"/>
      <c r="WYG7" s="735"/>
      <c r="WYH7" s="735"/>
      <c r="WYI7" s="735"/>
      <c r="WYJ7" s="735"/>
      <c r="WYK7" s="735"/>
      <c r="WYL7" s="735"/>
      <c r="WYM7" s="735"/>
      <c r="WYN7" s="735"/>
      <c r="WYO7" s="735"/>
      <c r="WYP7" s="735"/>
      <c r="WYQ7" s="735"/>
      <c r="WYR7" s="735"/>
      <c r="WYS7" s="735"/>
      <c r="WYT7" s="735"/>
      <c r="WYU7" s="735"/>
      <c r="WYV7" s="735"/>
      <c r="WYW7" s="735"/>
      <c r="WYX7" s="735"/>
      <c r="WYY7" s="735"/>
      <c r="WYZ7" s="735"/>
      <c r="WZA7" s="735"/>
      <c r="WZB7" s="735"/>
      <c r="WZC7" s="735"/>
      <c r="WZD7" s="735"/>
      <c r="WZE7" s="735"/>
      <c r="WZF7" s="735"/>
      <c r="WZG7" s="735"/>
      <c r="WZH7" s="735"/>
      <c r="WZI7" s="735"/>
      <c r="WZJ7" s="735"/>
      <c r="WZK7" s="735"/>
      <c r="WZL7" s="735"/>
      <c r="WZM7" s="735"/>
      <c r="WZN7" s="735"/>
      <c r="WZO7" s="735"/>
      <c r="WZP7" s="735"/>
      <c r="WZQ7" s="735"/>
      <c r="WZR7" s="735"/>
      <c r="WZS7" s="735"/>
      <c r="WZT7" s="735"/>
      <c r="WZU7" s="735"/>
      <c r="WZV7" s="735"/>
      <c r="WZW7" s="735"/>
      <c r="WZX7" s="735"/>
      <c r="WZY7" s="735"/>
      <c r="WZZ7" s="735"/>
      <c r="XAA7" s="735"/>
      <c r="XAB7" s="735"/>
      <c r="XAC7" s="735"/>
      <c r="XAD7" s="735"/>
      <c r="XAE7" s="735"/>
      <c r="XAF7" s="735"/>
      <c r="XAG7" s="735"/>
      <c r="XAH7" s="735"/>
      <c r="XAI7" s="735"/>
      <c r="XAJ7" s="735"/>
      <c r="XAK7" s="735"/>
      <c r="XAL7" s="735"/>
      <c r="XAM7" s="735"/>
      <c r="XAN7" s="735"/>
      <c r="XAO7" s="735"/>
      <c r="XAP7" s="735"/>
      <c r="XAQ7" s="735"/>
      <c r="XAR7" s="735"/>
      <c r="XAS7" s="735"/>
      <c r="XAT7" s="735"/>
      <c r="XAU7" s="735"/>
      <c r="XAV7" s="735"/>
      <c r="XAW7" s="735"/>
      <c r="XAX7" s="735"/>
      <c r="XAY7" s="735"/>
      <c r="XAZ7" s="735"/>
      <c r="XBA7" s="735"/>
      <c r="XBB7" s="735"/>
      <c r="XBC7" s="735"/>
      <c r="XBD7" s="735"/>
      <c r="XBE7" s="735"/>
      <c r="XBF7" s="735"/>
      <c r="XBG7" s="735"/>
      <c r="XBH7" s="735"/>
      <c r="XBI7" s="735"/>
      <c r="XBJ7" s="735"/>
      <c r="XBK7" s="735"/>
      <c r="XBL7" s="735"/>
      <c r="XBM7" s="735"/>
      <c r="XBN7" s="735"/>
      <c r="XBO7" s="735"/>
      <c r="XBP7" s="735"/>
      <c r="XBQ7" s="735"/>
      <c r="XBR7" s="735"/>
      <c r="XBS7" s="735"/>
      <c r="XBT7" s="735"/>
      <c r="XBU7" s="735"/>
      <c r="XBV7" s="735"/>
      <c r="XBW7" s="735"/>
      <c r="XBX7" s="735"/>
      <c r="XBY7" s="735"/>
      <c r="XBZ7" s="735"/>
      <c r="XCA7" s="735"/>
      <c r="XCB7" s="735"/>
      <c r="XCC7" s="735"/>
      <c r="XCD7" s="735"/>
      <c r="XCE7" s="735"/>
      <c r="XCF7" s="735"/>
      <c r="XCG7" s="735"/>
      <c r="XCH7" s="735"/>
      <c r="XCI7" s="735"/>
      <c r="XCJ7" s="735"/>
      <c r="XCK7" s="735"/>
      <c r="XCL7" s="735"/>
      <c r="XCM7" s="735"/>
      <c r="XCN7" s="735"/>
      <c r="XCO7" s="735"/>
      <c r="XCP7" s="735"/>
      <c r="XCQ7" s="735"/>
      <c r="XCR7" s="735"/>
      <c r="XCS7" s="735"/>
      <c r="XCT7" s="735"/>
      <c r="XCU7" s="735"/>
      <c r="XCV7" s="735"/>
      <c r="XCW7" s="735"/>
      <c r="XCX7" s="735"/>
      <c r="XCY7" s="735"/>
      <c r="XCZ7" s="735"/>
      <c r="XDA7" s="735"/>
      <c r="XDB7" s="735"/>
      <c r="XDC7" s="735"/>
      <c r="XDD7" s="735"/>
      <c r="XDE7" s="735"/>
      <c r="XDF7" s="735"/>
      <c r="XDG7" s="735"/>
      <c r="XDH7" s="735"/>
      <c r="XDI7" s="735"/>
      <c r="XDJ7" s="735"/>
      <c r="XDK7" s="735"/>
      <c r="XDL7" s="735"/>
      <c r="XDM7" s="735"/>
      <c r="XDN7" s="735"/>
      <c r="XDO7" s="735"/>
      <c r="XDP7" s="735"/>
      <c r="XDQ7" s="735"/>
      <c r="XDR7" s="735"/>
      <c r="XDS7" s="735"/>
      <c r="XDT7" s="735"/>
      <c r="XDU7" s="735"/>
      <c r="XDV7" s="735"/>
      <c r="XDW7" s="735"/>
      <c r="XDX7" s="735"/>
      <c r="XDY7" s="735"/>
      <c r="XDZ7" s="735"/>
      <c r="XEA7" s="735"/>
      <c r="XEB7" s="735"/>
      <c r="XEC7" s="735"/>
      <c r="XED7" s="735"/>
      <c r="XEE7" s="735"/>
      <c r="XEF7" s="735"/>
      <c r="XEG7" s="735"/>
      <c r="XEH7" s="735"/>
      <c r="XEI7" s="735"/>
      <c r="XEJ7" s="735"/>
      <c r="XEK7" s="735"/>
      <c r="XEL7" s="735"/>
      <c r="XEM7" s="735"/>
      <c r="XEN7" s="735"/>
      <c r="XEO7" s="735"/>
      <c r="XEP7" s="735"/>
      <c r="XEQ7" s="735"/>
      <c r="XER7" s="735"/>
      <c r="XES7" s="735"/>
      <c r="XET7" s="735"/>
      <c r="XEU7" s="735"/>
      <c r="XEV7" s="735"/>
      <c r="XEW7" s="735"/>
      <c r="XEX7" s="735"/>
      <c r="XEY7" s="735"/>
      <c r="XEZ7" s="735"/>
      <c r="XFA7" s="735"/>
      <c r="XFB7" s="735"/>
    </row>
    <row r="8" s="734" customFormat="1" ht="30" customHeight="1" spans="1:5">
      <c r="A8" s="740" t="str">
        <f t="shared" si="0"/>
        <v>表六、2025年丽江市政府性基金预算收入执行情况表...........................23</v>
      </c>
      <c r="B8" s="741" t="s">
        <v>17</v>
      </c>
      <c r="C8" s="742" t="s">
        <v>18</v>
      </c>
      <c r="D8" s="741">
        <f t="shared" si="1"/>
        <v>22</v>
      </c>
      <c r="E8" s="744">
        <v>23</v>
      </c>
    </row>
    <row r="9" s="734" customFormat="1" ht="30" customHeight="1" spans="1:5">
      <c r="A9" s="740" t="str">
        <f t="shared" si="0"/>
        <v>表七、2025年丽江市政府性基金预算支出执行情况表...........................24</v>
      </c>
      <c r="B9" s="741" t="s">
        <v>19</v>
      </c>
      <c r="C9" s="742" t="s">
        <v>20</v>
      </c>
      <c r="D9" s="741">
        <f t="shared" si="1"/>
        <v>22</v>
      </c>
      <c r="E9" s="744">
        <v>24</v>
      </c>
    </row>
    <row r="10" s="734" customFormat="1" ht="30" customHeight="1" spans="1:5">
      <c r="A10" s="740" t="str">
        <f t="shared" si="0"/>
        <v>表八、2025年市本级政府性基金预算收入执行情况表...........................25</v>
      </c>
      <c r="B10" s="741" t="s">
        <v>21</v>
      </c>
      <c r="C10" s="742" t="s">
        <v>22</v>
      </c>
      <c r="D10" s="741">
        <f t="shared" si="1"/>
        <v>22</v>
      </c>
      <c r="E10" s="744">
        <v>25</v>
      </c>
    </row>
    <row r="11" s="734" customFormat="1" ht="30" customHeight="1" spans="1:5">
      <c r="A11" s="740" t="str">
        <f t="shared" si="0"/>
        <v>表九、2025年市本级政府性基金预算支出执行情况表...........................26</v>
      </c>
      <c r="B11" s="741" t="s">
        <v>23</v>
      </c>
      <c r="C11" s="742" t="s">
        <v>24</v>
      </c>
      <c r="D11" s="741">
        <f t="shared" si="1"/>
        <v>22</v>
      </c>
      <c r="E11" s="744">
        <v>26</v>
      </c>
    </row>
    <row r="12" s="734" customFormat="1" ht="30" customHeight="1" spans="1:5">
      <c r="A12" s="740" t="str">
        <f t="shared" si="0"/>
        <v>表十、2025年丽江市国有资本经营预算收入执行情况表.........................28</v>
      </c>
      <c r="B12" s="741" t="s">
        <v>25</v>
      </c>
      <c r="C12" s="742" t="s">
        <v>26</v>
      </c>
      <c r="D12" s="741">
        <f t="shared" si="1"/>
        <v>23</v>
      </c>
      <c r="E12" s="744">
        <v>28</v>
      </c>
    </row>
    <row r="13" s="734" customFormat="1" ht="30" customHeight="1" spans="1:5">
      <c r="A13" s="740" t="str">
        <f t="shared" si="0"/>
        <v>表十一、2025年丽江市国有资本经营预算支出执行情况表.......................29</v>
      </c>
      <c r="B13" s="741" t="s">
        <v>27</v>
      </c>
      <c r="C13" s="742" t="s">
        <v>28</v>
      </c>
      <c r="D13" s="741">
        <f t="shared" si="1"/>
        <v>23</v>
      </c>
      <c r="E13" s="744">
        <v>29</v>
      </c>
    </row>
    <row r="14" s="734" customFormat="1" ht="30" customHeight="1" spans="1:5">
      <c r="A14" s="740" t="str">
        <f t="shared" si="0"/>
        <v>表十二、2025年市本级国有资本经营预算收入执行情况表.......................30</v>
      </c>
      <c r="B14" s="743" t="s">
        <v>29</v>
      </c>
      <c r="C14" s="742" t="s">
        <v>30</v>
      </c>
      <c r="D14" s="741">
        <f t="shared" si="1"/>
        <v>23</v>
      </c>
      <c r="E14" s="744">
        <v>30</v>
      </c>
    </row>
    <row r="15" s="734" customFormat="1" ht="30" customHeight="1" spans="1:5">
      <c r="A15" s="740" t="str">
        <f t="shared" si="0"/>
        <v>表十三、2025年市本级国有资本经营预算支出执行情况表.......................31</v>
      </c>
      <c r="B15" s="741" t="s">
        <v>31</v>
      </c>
      <c r="C15" s="742" t="s">
        <v>32</v>
      </c>
      <c r="D15" s="741">
        <f t="shared" si="1"/>
        <v>23</v>
      </c>
      <c r="E15" s="744">
        <v>31</v>
      </c>
    </row>
    <row r="16" s="734" customFormat="1" ht="30" customHeight="1" spans="1:5">
      <c r="A16" s="740" t="str">
        <f t="shared" si="0"/>
        <v>表十四、2025年丽江市社会保险基金预算收入执行情况表.......................32</v>
      </c>
      <c r="B16" s="741" t="s">
        <v>33</v>
      </c>
      <c r="C16" s="742" t="s">
        <v>34</v>
      </c>
      <c r="D16" s="741">
        <f t="shared" si="1"/>
        <v>23</v>
      </c>
      <c r="E16" s="744">
        <v>32</v>
      </c>
    </row>
    <row r="17" s="734" customFormat="1" ht="30" customHeight="1" spans="1:5">
      <c r="A17" s="740" t="str">
        <f t="shared" si="0"/>
        <v>表十五、2025年丽江市社会保险基金预算支出执行情况表.......................33</v>
      </c>
      <c r="B17" s="741" t="s">
        <v>35</v>
      </c>
      <c r="C17" s="742" t="s">
        <v>36</v>
      </c>
      <c r="D17" s="741">
        <f t="shared" si="1"/>
        <v>23</v>
      </c>
      <c r="E17" s="744">
        <v>33</v>
      </c>
    </row>
    <row r="18" s="734" customFormat="1" ht="30" customHeight="1" spans="1:5">
      <c r="A18" s="740" t="str">
        <f t="shared" si="0"/>
        <v>表十六、2025年丽江市社会保险基金预算结余执行情况表.......................34</v>
      </c>
      <c r="B18" s="741" t="s">
        <v>37</v>
      </c>
      <c r="C18" s="742" t="s">
        <v>38</v>
      </c>
      <c r="D18" s="741">
        <f t="shared" si="1"/>
        <v>23</v>
      </c>
      <c r="E18" s="744">
        <v>34</v>
      </c>
    </row>
    <row r="19" s="734" customFormat="1" ht="30" customHeight="1" spans="1:5">
      <c r="A19" s="740" t="str">
        <f t="shared" si="0"/>
        <v>表十七、2025年市本级社会保险基金预算收入执行情况表.......................35</v>
      </c>
      <c r="B19" s="741" t="s">
        <v>39</v>
      </c>
      <c r="C19" s="742" t="s">
        <v>40</v>
      </c>
      <c r="D19" s="741">
        <f t="shared" si="1"/>
        <v>23</v>
      </c>
      <c r="E19" s="744">
        <v>35</v>
      </c>
    </row>
    <row r="20" s="734" customFormat="1" ht="30" customHeight="1" spans="1:5">
      <c r="A20" s="740" t="str">
        <f t="shared" si="0"/>
        <v>表十八、2025年市本级社会保险基金预算支出执行情况表.......................36</v>
      </c>
      <c r="B20" s="741" t="s">
        <v>41</v>
      </c>
      <c r="C20" s="742" t="s">
        <v>42</v>
      </c>
      <c r="D20" s="741">
        <f t="shared" si="1"/>
        <v>23</v>
      </c>
      <c r="E20" s="744">
        <v>36</v>
      </c>
    </row>
    <row r="21" s="734" customFormat="1" ht="30" customHeight="1" spans="1:5">
      <c r="A21" s="740" t="str">
        <f>B21&amp;"  "&amp;C21&amp;REPT(".",75-LENB(B21&amp;"、"&amp;C21&amp;E21))&amp;E21</f>
        <v>表十九  2025年市本级社会保险基金预算结余执行情况表.......................37</v>
      </c>
      <c r="B21" s="741" t="s">
        <v>43</v>
      </c>
      <c r="C21" s="742" t="s">
        <v>44</v>
      </c>
      <c r="D21" s="741">
        <f t="shared" si="1"/>
        <v>23</v>
      </c>
      <c r="E21" s="744">
        <v>37</v>
      </c>
    </row>
    <row r="22" s="734" customFormat="1" ht="30" customHeight="1" spans="1:5">
      <c r="A22" s="740" t="str">
        <f t="shared" ref="A22:A50" si="2">B22&amp;"、"&amp;C22&amp;REPT(".",75-LENB(B22&amp;"、"&amp;C22&amp;E22))&amp;E22</f>
        <v>表二十、2026年丽江市一般公共预算收支情况表...............................38</v>
      </c>
      <c r="B22" s="741" t="s">
        <v>45</v>
      </c>
      <c r="C22" s="742" t="s">
        <v>46</v>
      </c>
      <c r="D22" s="741">
        <f t="shared" si="1"/>
        <v>19</v>
      </c>
      <c r="E22" s="744">
        <v>38</v>
      </c>
    </row>
    <row r="23" s="734" customFormat="1" ht="30" customHeight="1" spans="1:5">
      <c r="A23" s="740" t="str">
        <f t="shared" si="2"/>
        <v>表二十一、2026年丽江市一般公共预算支出情况表.............................40</v>
      </c>
      <c r="B23" s="741" t="s">
        <v>47</v>
      </c>
      <c r="C23" s="742" t="s">
        <v>48</v>
      </c>
      <c r="D23" s="741">
        <f t="shared" si="1"/>
        <v>19</v>
      </c>
      <c r="E23" s="744">
        <v>40</v>
      </c>
    </row>
    <row r="24" s="734" customFormat="1" ht="30" customHeight="1" spans="1:5">
      <c r="A24" s="740" t="str">
        <f t="shared" si="2"/>
        <v>表二十二、2026年市本级一般公共预算收支情况表.............................45</v>
      </c>
      <c r="B24" s="741" t="s">
        <v>49</v>
      </c>
      <c r="C24" s="742" t="s">
        <v>50</v>
      </c>
      <c r="D24" s="741">
        <f t="shared" si="1"/>
        <v>19</v>
      </c>
      <c r="E24" s="744">
        <v>45</v>
      </c>
    </row>
    <row r="25" s="734" customFormat="1" ht="30" customHeight="1" spans="1:5">
      <c r="A25" s="740" t="str">
        <f t="shared" si="2"/>
        <v>表二十三、2026年市本级一般公共预算支出情况表.............................47</v>
      </c>
      <c r="B25" s="741" t="s">
        <v>51</v>
      </c>
      <c r="C25" s="742" t="s">
        <v>52</v>
      </c>
      <c r="D25" s="741">
        <f t="shared" si="1"/>
        <v>19</v>
      </c>
      <c r="E25" s="744">
        <v>47</v>
      </c>
    </row>
    <row r="26" s="734" customFormat="1" ht="30" customHeight="1" spans="1:5">
      <c r="A26" s="740" t="str">
        <f t="shared" si="2"/>
        <v>表二十四、2026年丽江市市本级一般公共预算支出表(市对下转移支付项目).......61</v>
      </c>
      <c r="B26" s="741" t="s">
        <v>53</v>
      </c>
      <c r="C26" s="742" t="s">
        <v>54</v>
      </c>
      <c r="D26" s="741">
        <f t="shared" si="1"/>
        <v>31</v>
      </c>
      <c r="E26" s="744">
        <v>61</v>
      </c>
    </row>
    <row r="27" s="734" customFormat="1" ht="30" customHeight="1" spans="1:5">
      <c r="A27" s="740" t="str">
        <f t="shared" si="2"/>
        <v>表二十五、2026年丽江市分地区税收返还和转移支付预算表.....................64</v>
      </c>
      <c r="B27" s="741" t="s">
        <v>55</v>
      </c>
      <c r="C27" s="742" t="s">
        <v>56</v>
      </c>
      <c r="D27" s="741">
        <f t="shared" si="1"/>
        <v>23</v>
      </c>
      <c r="E27" s="744">
        <v>64</v>
      </c>
    </row>
    <row r="28" s="734" customFormat="1" ht="30" customHeight="1" spans="1:5">
      <c r="A28" s="740" t="str">
        <f t="shared" si="2"/>
        <v>表二十六、2026年丽江市市本级一般公共预算政府预算经济分类表(基本支出).....65</v>
      </c>
      <c r="B28" s="741" t="s">
        <v>57</v>
      </c>
      <c r="C28" s="742" t="s">
        <v>58</v>
      </c>
      <c r="D28" s="741">
        <f t="shared" si="1"/>
        <v>32</v>
      </c>
      <c r="E28" s="744">
        <v>65</v>
      </c>
    </row>
    <row r="29" s="734" customFormat="1" ht="30" customHeight="1" spans="1:5">
      <c r="A29" s="740" t="str">
        <f t="shared" si="2"/>
        <v>表二十七、2026年丽江市市本级一般公共预算重点项目情况表...................66</v>
      </c>
      <c r="B29" s="741" t="s">
        <v>59</v>
      </c>
      <c r="C29" s="742" t="s">
        <v>60</v>
      </c>
      <c r="D29" s="741">
        <f t="shared" si="1"/>
        <v>24</v>
      </c>
      <c r="E29" s="744">
        <v>66</v>
      </c>
    </row>
    <row r="30" s="734" customFormat="1" ht="30" customHeight="1" spans="1:5">
      <c r="A30" s="740" t="str">
        <f t="shared" si="2"/>
        <v>表二十八、2026年丽江市政府性基金预算收入情况表...........................67</v>
      </c>
      <c r="B30" s="741" t="s">
        <v>61</v>
      </c>
      <c r="C30" s="742" t="s">
        <v>62</v>
      </c>
      <c r="D30" s="741">
        <f t="shared" si="1"/>
        <v>20</v>
      </c>
      <c r="E30" s="744">
        <v>67</v>
      </c>
    </row>
    <row r="31" s="734" customFormat="1" ht="30" customHeight="1" spans="1:5">
      <c r="A31" s="740" t="str">
        <f t="shared" si="2"/>
        <v>表二十九、2026年丽江市政府性基金预算支出情况表...........................68</v>
      </c>
      <c r="B31" s="741" t="s">
        <v>63</v>
      </c>
      <c r="C31" s="742" t="s">
        <v>64</v>
      </c>
      <c r="D31" s="741">
        <f t="shared" si="1"/>
        <v>20</v>
      </c>
      <c r="E31" s="744">
        <v>68</v>
      </c>
    </row>
    <row r="32" s="734" customFormat="1" ht="30" customHeight="1" spans="1:5">
      <c r="A32" s="740" t="str">
        <f t="shared" si="2"/>
        <v>表三十、2026年市本级政府性基金预算收入情况表.............................69</v>
      </c>
      <c r="B32" s="741" t="s">
        <v>65</v>
      </c>
      <c r="C32" s="742" t="s">
        <v>66</v>
      </c>
      <c r="D32" s="741">
        <f t="shared" si="1"/>
        <v>20</v>
      </c>
      <c r="E32" s="744">
        <v>69</v>
      </c>
    </row>
    <row r="33" s="734" customFormat="1" ht="30" customHeight="1" spans="1:5">
      <c r="A33" s="740" t="str">
        <f t="shared" si="2"/>
        <v>表三十一、2026年市本级政府性基金预算支出情况表...........................70</v>
      </c>
      <c r="B33" s="741" t="s">
        <v>67</v>
      </c>
      <c r="C33" s="742" t="s">
        <v>68</v>
      </c>
      <c r="D33" s="741">
        <f t="shared" si="1"/>
        <v>20</v>
      </c>
      <c r="E33" s="744">
        <v>70</v>
      </c>
    </row>
    <row r="34" s="734" customFormat="1" ht="30" customHeight="1" spans="1:5">
      <c r="A34" s="740" t="str">
        <f t="shared" si="2"/>
        <v>表三十二、2026年丽江市市本级政府性基金支出表(市对下转移支付).............72</v>
      </c>
      <c r="B34" s="741" t="s">
        <v>69</v>
      </c>
      <c r="C34" s="742" t="s">
        <v>70</v>
      </c>
      <c r="D34" s="741">
        <f t="shared" si="1"/>
        <v>28</v>
      </c>
      <c r="E34" s="744">
        <v>72</v>
      </c>
    </row>
    <row r="35" s="734" customFormat="1" ht="30" customHeight="1" spans="1:5">
      <c r="A35" s="740" t="str">
        <f t="shared" si="2"/>
        <v>表三十三、2026年丽江市国有资本经营预算收入情况表.........................73</v>
      </c>
      <c r="B35" s="741" t="s">
        <v>71</v>
      </c>
      <c r="C35" s="742" t="s">
        <v>72</v>
      </c>
      <c r="D35" s="741">
        <f t="shared" si="1"/>
        <v>21</v>
      </c>
      <c r="E35" s="744">
        <v>73</v>
      </c>
    </row>
    <row r="36" s="734" customFormat="1" ht="30" customHeight="1" spans="1:5">
      <c r="A36" s="740" t="str">
        <f t="shared" si="2"/>
        <v>表三十四、2026年丽江市国有资本经营预算支出情况表.........................74</v>
      </c>
      <c r="B36" s="741" t="s">
        <v>73</v>
      </c>
      <c r="C36" s="742" t="s">
        <v>74</v>
      </c>
      <c r="D36" s="741">
        <f t="shared" si="1"/>
        <v>21</v>
      </c>
      <c r="E36" s="744">
        <v>74</v>
      </c>
    </row>
    <row r="37" s="734" customFormat="1" ht="30" customHeight="1" spans="1:5">
      <c r="A37" s="740" t="str">
        <f t="shared" si="2"/>
        <v>表三十五、2026年市本级国有资本经营预算收入情况表.........................75</v>
      </c>
      <c r="B37" s="741" t="s">
        <v>75</v>
      </c>
      <c r="C37" s="742" t="s">
        <v>76</v>
      </c>
      <c r="D37" s="741">
        <f t="shared" si="1"/>
        <v>21</v>
      </c>
      <c r="E37" s="744">
        <v>75</v>
      </c>
    </row>
    <row r="38" s="734" customFormat="1" ht="30" customHeight="1" spans="1:5">
      <c r="A38" s="740" t="str">
        <f t="shared" si="2"/>
        <v>表三十六、2026年市本级国有资本经营预算支出情况表.........................76</v>
      </c>
      <c r="B38" s="741" t="s">
        <v>77</v>
      </c>
      <c r="C38" s="742" t="s">
        <v>78</v>
      </c>
      <c r="D38" s="741">
        <f t="shared" si="1"/>
        <v>21</v>
      </c>
      <c r="E38" s="744">
        <v>76</v>
      </c>
    </row>
    <row r="39" s="734" customFormat="1" ht="30" customHeight="1" spans="1:5">
      <c r="A39" s="740" t="str">
        <f t="shared" si="2"/>
        <v>表三十七、2026年市本级国有资本经营预算支出明细表.........................77</v>
      </c>
      <c r="B39" s="741" t="s">
        <v>79</v>
      </c>
      <c r="C39" s="742" t="s">
        <v>80</v>
      </c>
      <c r="D39" s="741">
        <f t="shared" si="1"/>
        <v>21</v>
      </c>
      <c r="E39" s="744">
        <v>77</v>
      </c>
    </row>
    <row r="40" s="734" customFormat="1" ht="30" customHeight="1" spans="1:5">
      <c r="A40" s="740" t="str">
        <f t="shared" si="2"/>
        <v>表三十八、2026年丽江市社会保险基金预算收入情况表.........................78</v>
      </c>
      <c r="B40" s="741" t="s">
        <v>81</v>
      </c>
      <c r="C40" s="742" t="s">
        <v>82</v>
      </c>
      <c r="D40" s="741">
        <f t="shared" si="1"/>
        <v>21</v>
      </c>
      <c r="E40" s="744">
        <v>78</v>
      </c>
    </row>
    <row r="41" s="734" customFormat="1" ht="30" customHeight="1" spans="1:5">
      <c r="A41" s="740" t="str">
        <f t="shared" si="2"/>
        <v>表三十九、2026年丽江市社会保险基金预算支出情况表.........................79</v>
      </c>
      <c r="B41" s="741" t="s">
        <v>83</v>
      </c>
      <c r="C41" s="742" t="s">
        <v>84</v>
      </c>
      <c r="D41" s="741">
        <f t="shared" si="1"/>
        <v>21</v>
      </c>
      <c r="E41" s="744">
        <v>79</v>
      </c>
    </row>
    <row r="42" ht="30" customHeight="1" spans="1:5">
      <c r="A42" s="740" t="str">
        <f t="shared" si="2"/>
        <v>表四十、2026年丽江市社会保险基金预算结余情况表...........................80</v>
      </c>
      <c r="B42" s="741" t="s">
        <v>85</v>
      </c>
      <c r="C42" s="742" t="s">
        <v>86</v>
      </c>
      <c r="D42" s="741">
        <f t="shared" si="1"/>
        <v>21</v>
      </c>
      <c r="E42" s="744">
        <v>80</v>
      </c>
    </row>
    <row r="43" ht="30" customHeight="1" spans="1:5">
      <c r="A43" s="740" t="str">
        <f t="shared" si="2"/>
        <v>表四十一、2026年市本级社会保险基金预算收入情况表.........................81</v>
      </c>
      <c r="B43" s="741" t="s">
        <v>87</v>
      </c>
      <c r="C43" s="742" t="s">
        <v>88</v>
      </c>
      <c r="D43" s="741">
        <f t="shared" si="1"/>
        <v>21</v>
      </c>
      <c r="E43" s="744">
        <v>81</v>
      </c>
    </row>
    <row r="44" ht="30" customHeight="1" spans="1:5">
      <c r="A44" s="740" t="str">
        <f t="shared" si="2"/>
        <v>表四十二、2026年市本级社会保险基金预算支出情况表.........................82</v>
      </c>
      <c r="B44" s="741" t="s">
        <v>89</v>
      </c>
      <c r="C44" s="742" t="s">
        <v>90</v>
      </c>
      <c r="D44" s="741">
        <f t="shared" si="1"/>
        <v>21</v>
      </c>
      <c r="E44" s="744">
        <v>82</v>
      </c>
    </row>
    <row r="45" ht="30" customHeight="1" spans="1:5">
      <c r="A45" s="740" t="str">
        <f t="shared" si="2"/>
        <v>表四十三、2026年市本级社会保险基金预算结余情况表.........................83</v>
      </c>
      <c r="B45" s="741" t="s">
        <v>91</v>
      </c>
      <c r="C45" s="742" t="s">
        <v>92</v>
      </c>
      <c r="D45" s="741">
        <f t="shared" si="1"/>
        <v>21</v>
      </c>
      <c r="E45" s="744">
        <v>83</v>
      </c>
    </row>
    <row r="46" ht="30" customHeight="1" spans="1:5">
      <c r="A46" s="740" t="str">
        <f t="shared" si="2"/>
        <v>表四十四、2025年丽江市政府债务限额和余额情况表...........................84</v>
      </c>
      <c r="B46" s="741" t="s">
        <v>93</v>
      </c>
      <c r="C46" s="742" t="s">
        <v>94</v>
      </c>
      <c r="D46" s="741">
        <f t="shared" si="1"/>
        <v>20</v>
      </c>
      <c r="E46" s="744">
        <v>84</v>
      </c>
    </row>
    <row r="47" ht="30" customHeight="1" spans="1:5">
      <c r="A47" s="740" t="str">
        <f t="shared" si="2"/>
        <v>表四十五、2025年丽江市地方政府债务投向情况表.............................86</v>
      </c>
      <c r="B47" s="741" t="s">
        <v>95</v>
      </c>
      <c r="C47" s="742" t="s">
        <v>96</v>
      </c>
      <c r="D47" s="741">
        <f t="shared" si="1"/>
        <v>19</v>
      </c>
      <c r="E47" s="744">
        <v>86</v>
      </c>
    </row>
    <row r="48" ht="30" customHeight="1" spans="1:5">
      <c r="A48" s="740" t="str">
        <f t="shared" si="2"/>
        <v>表四十六、2025年市本级地方政府债务投向情况表.............................89</v>
      </c>
      <c r="B48" s="741" t="s">
        <v>97</v>
      </c>
      <c r="C48" s="742" t="s">
        <v>98</v>
      </c>
      <c r="D48" s="741">
        <f t="shared" si="1"/>
        <v>19</v>
      </c>
      <c r="E48" s="744">
        <v>89</v>
      </c>
    </row>
    <row r="49" ht="30" customHeight="1" spans="1:5">
      <c r="A49" s="740" t="str">
        <f t="shared" si="2"/>
        <v>表四十七、2026年丽江市政府债务限额和余额情况表...........................92</v>
      </c>
      <c r="B49" s="741" t="s">
        <v>99</v>
      </c>
      <c r="C49" s="742" t="s">
        <v>100</v>
      </c>
      <c r="D49" s="741">
        <f t="shared" si="1"/>
        <v>20</v>
      </c>
      <c r="E49" s="744">
        <v>92</v>
      </c>
    </row>
    <row r="50" ht="30" customHeight="1" spans="1:5">
      <c r="A50" s="740" t="str">
        <f t="shared" si="2"/>
        <v>表四十八、丽江市2025年地方政府债务限额分地区情况表.......................94</v>
      </c>
      <c r="B50" s="741" t="s">
        <v>101</v>
      </c>
      <c r="C50" s="742" t="s">
        <v>102</v>
      </c>
      <c r="D50" s="741">
        <f t="shared" si="1"/>
        <v>22</v>
      </c>
      <c r="E50" s="744">
        <v>94</v>
      </c>
    </row>
  </sheetData>
  <mergeCells count="1">
    <mergeCell ref="B1:E1"/>
  </mergeCells>
  <printOptions horizontalCentered="1"/>
  <pageMargins left="0.47244094488189" right="0.393700787401575" top="1.18110236220472" bottom="0.748031496062992" header="0.31496062992126" footer="0.31496062992126"/>
  <pageSetup paperSize="9" scale="75" firstPageNumber="0"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F0"/>
    <pageSetUpPr fitToPage="1"/>
  </sheetPr>
  <dimension ref="A1:I54"/>
  <sheetViews>
    <sheetView showGridLines="0" showZeros="0" zoomScale="90" zoomScaleNormal="90" zoomScaleSheetLayoutView="70" workbookViewId="0">
      <pane ySplit="4" topLeftCell="A5" activePane="bottomLeft" state="frozen"/>
      <selection/>
      <selection pane="bottomLeft" activeCell="G38" sqref="G38"/>
    </sheetView>
  </sheetViews>
  <sheetFormatPr defaultColWidth="9" defaultRowHeight="14.25"/>
  <cols>
    <col min="1" max="1" width="12.1416666666667" style="444" hidden="1" customWidth="1"/>
    <col min="2" max="2" width="50.75" style="444" customWidth="1"/>
    <col min="3" max="4" width="17.85" style="444" customWidth="1"/>
    <col min="5" max="5" width="17.85" style="444" hidden="1" customWidth="1"/>
    <col min="6" max="6" width="17.85" style="444" customWidth="1"/>
    <col min="7" max="7" width="16.9583333333333" style="444" customWidth="1"/>
    <col min="8" max="8" width="16.9583333333333" style="645" customWidth="1"/>
    <col min="9" max="16384" width="9" style="646"/>
  </cols>
  <sheetData>
    <row r="1" ht="45" customHeight="1" spans="1:8">
      <c r="A1" s="647"/>
      <c r="B1" s="316" t="s">
        <v>8</v>
      </c>
      <c r="C1" s="730"/>
      <c r="D1" s="316"/>
      <c r="E1" s="316"/>
      <c r="F1" s="316"/>
      <c r="G1" s="316"/>
      <c r="H1" s="316"/>
    </row>
    <row r="2" ht="18.95" customHeight="1" spans="1:8">
      <c r="A2" s="313"/>
      <c r="B2" s="648" t="s">
        <v>7</v>
      </c>
      <c r="C2" s="313"/>
      <c r="D2" s="313"/>
      <c r="E2" s="313"/>
      <c r="F2" s="313"/>
      <c r="G2" s="313"/>
      <c r="H2" s="445" t="s">
        <v>103</v>
      </c>
    </row>
    <row r="3" customFormat="1" ht="18.95" customHeight="1" spans="1:9">
      <c r="A3" s="657" t="s">
        <v>104</v>
      </c>
      <c r="B3" s="446" t="s">
        <v>105</v>
      </c>
      <c r="C3" s="421" t="s">
        <v>106</v>
      </c>
      <c r="D3" s="421" t="s">
        <v>107</v>
      </c>
      <c r="E3" s="421"/>
      <c r="F3" s="421"/>
      <c r="G3" s="446" t="s">
        <v>108</v>
      </c>
      <c r="H3" s="446"/>
      <c r="I3" s="646"/>
    </row>
    <row r="4" s="642" customFormat="1" ht="37.5" spans="1:9">
      <c r="A4" s="731"/>
      <c r="B4" s="446"/>
      <c r="C4" s="421"/>
      <c r="D4" s="421" t="s">
        <v>109</v>
      </c>
      <c r="E4" s="421">
        <v>3</v>
      </c>
      <c r="F4" s="421" t="s">
        <v>110</v>
      </c>
      <c r="G4" s="446" t="s">
        <v>111</v>
      </c>
      <c r="H4" s="446" t="s">
        <v>112</v>
      </c>
      <c r="I4" s="657" t="s">
        <v>113</v>
      </c>
    </row>
    <row r="5" ht="24" customHeight="1" spans="1:9">
      <c r="A5" s="592" t="s">
        <v>114</v>
      </c>
      <c r="B5" s="593" t="s">
        <v>115</v>
      </c>
      <c r="C5" s="649">
        <f>SUM(C6:C20)</f>
        <v>250422</v>
      </c>
      <c r="D5" s="649">
        <f>SUM(D6:D20)</f>
        <v>292946</v>
      </c>
      <c r="E5" s="649">
        <v>8</v>
      </c>
      <c r="F5" s="649">
        <f>SUM(F6:F20)</f>
        <v>288755</v>
      </c>
      <c r="G5" s="732">
        <f>IFERROR((F5-C5)/C5,"")</f>
        <v>0.153073611743377</v>
      </c>
      <c r="H5" s="582">
        <f>IFERROR(F5/D5,"")</f>
        <v>0.985693609061056</v>
      </c>
      <c r="I5" s="609" t="str">
        <f>IF(LEN(A5)=3,"是",IF(B5&lt;&gt;"",IF(SUM(C5:F5)&lt;&gt;0,"是","否"),"是"))</f>
        <v>是</v>
      </c>
    </row>
    <row r="6" ht="24" customHeight="1" spans="1:9">
      <c r="A6" s="594" t="s">
        <v>116</v>
      </c>
      <c r="B6" s="362" t="s">
        <v>117</v>
      </c>
      <c r="C6" s="595">
        <v>114306</v>
      </c>
      <c r="D6" s="595">
        <v>126500</v>
      </c>
      <c r="E6" s="595">
        <v>10</v>
      </c>
      <c r="F6" s="595">
        <v>118670</v>
      </c>
      <c r="G6" s="733">
        <f t="shared" ref="G6:G41" si="0">IFERROR((F6-C6)/C6,"")</f>
        <v>0.0381782233653526</v>
      </c>
      <c r="H6" s="581">
        <f t="shared" ref="H6:H41" si="1">IFERROR(F6/D6,"")</f>
        <v>0.938102766798419</v>
      </c>
      <c r="I6" s="609" t="str">
        <f t="shared" ref="I6:I41" si="2">IF(LEN(A6)=3,"是",IF(B6&lt;&gt;"",IF(SUM(C6:F6)&lt;&gt;0,"是","否"),"是"))</f>
        <v>是</v>
      </c>
    </row>
    <row r="7" ht="24" customHeight="1" spans="1:9">
      <c r="A7" s="594" t="s">
        <v>118</v>
      </c>
      <c r="B7" s="362" t="s">
        <v>119</v>
      </c>
      <c r="C7" s="595">
        <v>12462</v>
      </c>
      <c r="D7" s="595">
        <v>11520</v>
      </c>
      <c r="E7" s="595">
        <v>22</v>
      </c>
      <c r="F7" s="595">
        <v>11823</v>
      </c>
      <c r="G7" s="733">
        <f t="shared" si="0"/>
        <v>-0.0512758786711603</v>
      </c>
      <c r="H7" s="581">
        <f t="shared" si="1"/>
        <v>1.02630208333333</v>
      </c>
      <c r="I7" s="609" t="str">
        <f t="shared" si="2"/>
        <v>是</v>
      </c>
    </row>
    <row r="8" ht="24" customHeight="1" spans="1:9">
      <c r="A8" s="594" t="s">
        <v>120</v>
      </c>
      <c r="B8" s="362" t="s">
        <v>121</v>
      </c>
      <c r="C8" s="595">
        <v>4161</v>
      </c>
      <c r="D8" s="595">
        <v>3840</v>
      </c>
      <c r="E8" s="595">
        <v>23</v>
      </c>
      <c r="F8" s="595">
        <v>4342</v>
      </c>
      <c r="G8" s="733">
        <f t="shared" si="0"/>
        <v>0.0434991588560442</v>
      </c>
      <c r="H8" s="581">
        <f t="shared" si="1"/>
        <v>1.13072916666667</v>
      </c>
      <c r="I8" s="609" t="str">
        <f t="shared" si="2"/>
        <v>是</v>
      </c>
    </row>
    <row r="9" ht="24" customHeight="1" spans="1:9">
      <c r="A9" s="594" t="s">
        <v>122</v>
      </c>
      <c r="B9" s="362" t="s">
        <v>123</v>
      </c>
      <c r="C9" s="595">
        <v>2752</v>
      </c>
      <c r="D9" s="595">
        <v>33246</v>
      </c>
      <c r="E9" s="595">
        <v>24</v>
      </c>
      <c r="F9" s="595">
        <v>28214</v>
      </c>
      <c r="G9" s="733">
        <f t="shared" si="0"/>
        <v>9.25218023255814</v>
      </c>
      <c r="H9" s="581">
        <f t="shared" si="1"/>
        <v>0.848643445828069</v>
      </c>
      <c r="I9" s="609" t="str">
        <f t="shared" si="2"/>
        <v>是</v>
      </c>
    </row>
    <row r="10" ht="24" customHeight="1" spans="1:9">
      <c r="A10" s="594" t="s">
        <v>124</v>
      </c>
      <c r="B10" s="362" t="s">
        <v>125</v>
      </c>
      <c r="C10" s="595">
        <v>14498</v>
      </c>
      <c r="D10" s="595">
        <v>15000</v>
      </c>
      <c r="E10" s="595">
        <v>25</v>
      </c>
      <c r="F10" s="595">
        <v>14184</v>
      </c>
      <c r="G10" s="733">
        <f t="shared" si="0"/>
        <v>-0.0216581597461719</v>
      </c>
      <c r="H10" s="581">
        <f t="shared" si="1"/>
        <v>0.9456</v>
      </c>
      <c r="I10" s="609" t="str">
        <f t="shared" si="2"/>
        <v>是</v>
      </c>
    </row>
    <row r="11" ht="24" customHeight="1" spans="1:9">
      <c r="A11" s="594" t="s">
        <v>126</v>
      </c>
      <c r="B11" s="362" t="s">
        <v>127</v>
      </c>
      <c r="C11" s="595">
        <v>14253</v>
      </c>
      <c r="D11" s="595">
        <v>14500</v>
      </c>
      <c r="E11" s="595">
        <v>26</v>
      </c>
      <c r="F11" s="595">
        <v>13926</v>
      </c>
      <c r="G11" s="733">
        <f t="shared" si="0"/>
        <v>-0.0229425384129657</v>
      </c>
      <c r="H11" s="581">
        <f t="shared" si="1"/>
        <v>0.960413793103448</v>
      </c>
      <c r="I11" s="609" t="str">
        <f t="shared" si="2"/>
        <v>是</v>
      </c>
    </row>
    <row r="12" ht="24" customHeight="1" spans="1:9">
      <c r="A12" s="594" t="s">
        <v>128</v>
      </c>
      <c r="B12" s="362" t="s">
        <v>129</v>
      </c>
      <c r="C12" s="595">
        <v>2994</v>
      </c>
      <c r="D12" s="595">
        <v>3200</v>
      </c>
      <c r="E12" s="595">
        <v>28</v>
      </c>
      <c r="F12" s="595">
        <v>2757</v>
      </c>
      <c r="G12" s="733">
        <f t="shared" si="0"/>
        <v>-0.0791583166332665</v>
      </c>
      <c r="H12" s="581">
        <f t="shared" si="1"/>
        <v>0.8615625</v>
      </c>
      <c r="I12" s="609" t="str">
        <f t="shared" si="2"/>
        <v>是</v>
      </c>
    </row>
    <row r="13" ht="24" customHeight="1" spans="1:9">
      <c r="A13" s="594" t="s">
        <v>130</v>
      </c>
      <c r="B13" s="362" t="s">
        <v>131</v>
      </c>
      <c r="C13" s="595">
        <v>9799</v>
      </c>
      <c r="D13" s="595">
        <v>9800</v>
      </c>
      <c r="E13" s="595">
        <v>29</v>
      </c>
      <c r="F13" s="595">
        <v>10454</v>
      </c>
      <c r="G13" s="733">
        <f t="shared" si="0"/>
        <v>0.0668435554648434</v>
      </c>
      <c r="H13" s="581">
        <f t="shared" si="1"/>
        <v>1.06673469387755</v>
      </c>
      <c r="I13" s="609" t="str">
        <f t="shared" si="2"/>
        <v>是</v>
      </c>
    </row>
    <row r="14" ht="24" customHeight="1" spans="1:9">
      <c r="A14" s="594" t="s">
        <v>132</v>
      </c>
      <c r="B14" s="362" t="s">
        <v>133</v>
      </c>
      <c r="C14" s="595">
        <v>13119</v>
      </c>
      <c r="D14" s="595">
        <v>13000</v>
      </c>
      <c r="E14" s="595">
        <v>30</v>
      </c>
      <c r="F14" s="595">
        <v>10748</v>
      </c>
      <c r="G14" s="733">
        <f t="shared" si="0"/>
        <v>-0.180730238585258</v>
      </c>
      <c r="H14" s="581">
        <f t="shared" si="1"/>
        <v>0.826769230769231</v>
      </c>
      <c r="I14" s="609" t="str">
        <f t="shared" si="2"/>
        <v>是</v>
      </c>
    </row>
    <row r="15" ht="24" customHeight="1" spans="1:9">
      <c r="A15" s="594" t="s">
        <v>134</v>
      </c>
      <c r="B15" s="362" t="s">
        <v>135</v>
      </c>
      <c r="C15" s="595">
        <v>8014</v>
      </c>
      <c r="D15" s="595">
        <v>8000</v>
      </c>
      <c r="E15" s="595">
        <v>31</v>
      </c>
      <c r="F15" s="595">
        <v>8371</v>
      </c>
      <c r="G15" s="733">
        <f t="shared" si="0"/>
        <v>0.0445470426753182</v>
      </c>
      <c r="H15" s="581">
        <f t="shared" si="1"/>
        <v>1.046375</v>
      </c>
      <c r="I15" s="609" t="str">
        <f t="shared" si="2"/>
        <v>是</v>
      </c>
    </row>
    <row r="16" ht="24" customHeight="1" spans="1:9">
      <c r="A16" s="594" t="s">
        <v>136</v>
      </c>
      <c r="B16" s="362" t="s">
        <v>137</v>
      </c>
      <c r="C16" s="595">
        <v>14219</v>
      </c>
      <c r="D16" s="595">
        <v>14000</v>
      </c>
      <c r="E16" s="595">
        <v>32</v>
      </c>
      <c r="F16" s="595">
        <v>21925</v>
      </c>
      <c r="G16" s="733">
        <f t="shared" si="0"/>
        <v>0.541950910753218</v>
      </c>
      <c r="H16" s="581">
        <f t="shared" si="1"/>
        <v>1.56607142857143</v>
      </c>
      <c r="I16" s="609" t="str">
        <f t="shared" si="2"/>
        <v>是</v>
      </c>
    </row>
    <row r="17" ht="24" customHeight="1" spans="1:9">
      <c r="A17" s="594" t="s">
        <v>138</v>
      </c>
      <c r="B17" s="362" t="s">
        <v>139</v>
      </c>
      <c r="C17" s="595">
        <v>17992</v>
      </c>
      <c r="D17" s="595">
        <v>18340</v>
      </c>
      <c r="E17" s="595">
        <v>33</v>
      </c>
      <c r="F17" s="595">
        <v>21104</v>
      </c>
      <c r="G17" s="733">
        <f t="shared" si="0"/>
        <v>0.172965762561138</v>
      </c>
      <c r="H17" s="581">
        <f t="shared" si="1"/>
        <v>1.15070883315158</v>
      </c>
      <c r="I17" s="609" t="str">
        <f t="shared" si="2"/>
        <v>是</v>
      </c>
    </row>
    <row r="18" ht="24" customHeight="1" spans="1:9">
      <c r="A18" s="594" t="s">
        <v>140</v>
      </c>
      <c r="B18" s="362" t="s">
        <v>141</v>
      </c>
      <c r="C18" s="595">
        <v>20729</v>
      </c>
      <c r="D18" s="595">
        <v>21000</v>
      </c>
      <c r="E18" s="595">
        <v>34</v>
      </c>
      <c r="F18" s="595">
        <v>20809</v>
      </c>
      <c r="G18" s="733">
        <f t="shared" si="0"/>
        <v>0.003859327512181</v>
      </c>
      <c r="H18" s="581">
        <f t="shared" si="1"/>
        <v>0.990904761904762</v>
      </c>
      <c r="I18" s="609" t="str">
        <f t="shared" si="2"/>
        <v>是</v>
      </c>
    </row>
    <row r="19" ht="24" customHeight="1" spans="1:9">
      <c r="A19" s="594" t="s">
        <v>142</v>
      </c>
      <c r="B19" s="362" t="s">
        <v>143</v>
      </c>
      <c r="C19" s="595">
        <v>1084</v>
      </c>
      <c r="D19" s="595">
        <v>1000</v>
      </c>
      <c r="E19" s="595">
        <v>35</v>
      </c>
      <c r="F19" s="595">
        <v>1259</v>
      </c>
      <c r="G19" s="733">
        <f t="shared" si="0"/>
        <v>0.161439114391144</v>
      </c>
      <c r="H19" s="581">
        <f t="shared" si="1"/>
        <v>1.259</v>
      </c>
      <c r="I19" s="609" t="str">
        <f t="shared" si="2"/>
        <v>是</v>
      </c>
    </row>
    <row r="20" ht="24" customHeight="1" spans="1:9">
      <c r="A20" s="757" t="s">
        <v>144</v>
      </c>
      <c r="B20" s="362" t="s">
        <v>145</v>
      </c>
      <c r="C20" s="595">
        <v>40</v>
      </c>
      <c r="D20" s="595"/>
      <c r="E20" s="595">
        <v>36</v>
      </c>
      <c r="F20" s="595">
        <v>169</v>
      </c>
      <c r="G20" s="733">
        <f t="shared" si="0"/>
        <v>3.225</v>
      </c>
      <c r="H20" s="581" t="str">
        <f t="shared" si="1"/>
        <v/>
      </c>
      <c r="I20" s="609" t="str">
        <f t="shared" si="2"/>
        <v>是</v>
      </c>
    </row>
    <row r="21" ht="24" customHeight="1" spans="1:9">
      <c r="A21" s="650" t="s">
        <v>146</v>
      </c>
      <c r="B21" s="593" t="s">
        <v>147</v>
      </c>
      <c r="C21" s="649">
        <f>SUM(C22:C29)</f>
        <v>316281</v>
      </c>
      <c r="D21" s="649">
        <f>SUM(D22:D29)</f>
        <v>302091</v>
      </c>
      <c r="E21" s="649">
        <v>37</v>
      </c>
      <c r="F21" s="649">
        <f>SUM(F22:F29)</f>
        <v>279000</v>
      </c>
      <c r="G21" s="732">
        <f t="shared" si="0"/>
        <v>-0.117873030627828</v>
      </c>
      <c r="H21" s="582">
        <f t="shared" si="1"/>
        <v>0.923562767510452</v>
      </c>
      <c r="I21" s="609" t="str">
        <f t="shared" si="2"/>
        <v>是</v>
      </c>
    </row>
    <row r="22" ht="24" customHeight="1" spans="1:9">
      <c r="A22" s="651" t="s">
        <v>148</v>
      </c>
      <c r="B22" s="362" t="s">
        <v>149</v>
      </c>
      <c r="C22" s="595">
        <v>17795</v>
      </c>
      <c r="D22" s="595">
        <v>25653</v>
      </c>
      <c r="E22" s="595">
        <v>38</v>
      </c>
      <c r="F22" s="595">
        <v>14801</v>
      </c>
      <c r="G22" s="733">
        <f t="shared" si="0"/>
        <v>-0.168249508288845</v>
      </c>
      <c r="H22" s="581">
        <f t="shared" si="1"/>
        <v>0.576969555217713</v>
      </c>
      <c r="I22" s="609" t="str">
        <f t="shared" si="2"/>
        <v>是</v>
      </c>
    </row>
    <row r="23" ht="24" customHeight="1" spans="1:9">
      <c r="A23" s="594" t="s">
        <v>150</v>
      </c>
      <c r="B23" s="652" t="s">
        <v>151</v>
      </c>
      <c r="C23" s="595">
        <v>46437</v>
      </c>
      <c r="D23" s="595">
        <v>43265</v>
      </c>
      <c r="E23" s="595">
        <v>40</v>
      </c>
      <c r="F23" s="595">
        <v>41771</v>
      </c>
      <c r="G23" s="733">
        <f t="shared" si="0"/>
        <v>-0.100480220513814</v>
      </c>
      <c r="H23" s="581">
        <f t="shared" si="1"/>
        <v>0.965468623598752</v>
      </c>
      <c r="I23" s="609" t="str">
        <f t="shared" si="2"/>
        <v>是</v>
      </c>
    </row>
    <row r="24" ht="24" customHeight="1" spans="1:9">
      <c r="A24" s="594" t="s">
        <v>152</v>
      </c>
      <c r="B24" s="362" t="s">
        <v>153</v>
      </c>
      <c r="C24" s="595">
        <v>29964</v>
      </c>
      <c r="D24" s="595">
        <v>26859</v>
      </c>
      <c r="E24" s="595">
        <v>45</v>
      </c>
      <c r="F24" s="595">
        <v>19234</v>
      </c>
      <c r="G24" s="733">
        <f t="shared" si="0"/>
        <v>-0.358096382325457</v>
      </c>
      <c r="H24" s="581">
        <f t="shared" si="1"/>
        <v>0.716110056219517</v>
      </c>
      <c r="I24" s="609" t="str">
        <f t="shared" si="2"/>
        <v>是</v>
      </c>
    </row>
    <row r="25" ht="24" customHeight="1" spans="1:9">
      <c r="A25" s="594" t="s">
        <v>154</v>
      </c>
      <c r="B25" s="362" t="s">
        <v>155</v>
      </c>
      <c r="C25" s="595">
        <v>0</v>
      </c>
      <c r="D25" s="595"/>
      <c r="E25" s="595">
        <v>47</v>
      </c>
      <c r="F25" s="595"/>
      <c r="G25" s="733" t="str">
        <f t="shared" si="0"/>
        <v/>
      </c>
      <c r="H25" s="581" t="str">
        <f t="shared" si="1"/>
        <v/>
      </c>
      <c r="I25" s="609" t="str">
        <f t="shared" si="2"/>
        <v>是</v>
      </c>
    </row>
    <row r="26" ht="24" customHeight="1" spans="1:9">
      <c r="A26" s="594" t="s">
        <v>156</v>
      </c>
      <c r="B26" s="362" t="s">
        <v>157</v>
      </c>
      <c r="C26" s="595">
        <v>214227</v>
      </c>
      <c r="D26" s="595">
        <v>198693</v>
      </c>
      <c r="E26" s="595">
        <v>61</v>
      </c>
      <c r="F26" s="595">
        <v>194578</v>
      </c>
      <c r="G26" s="733">
        <f t="shared" si="0"/>
        <v>-0.0917204647406723</v>
      </c>
      <c r="H26" s="581">
        <f t="shared" si="1"/>
        <v>0.979289657914471</v>
      </c>
      <c r="I26" s="609" t="str">
        <f t="shared" si="2"/>
        <v>是</v>
      </c>
    </row>
    <row r="27" ht="24" customHeight="1" spans="1:9">
      <c r="A27" s="594" t="s">
        <v>158</v>
      </c>
      <c r="B27" s="362" t="s">
        <v>159</v>
      </c>
      <c r="C27" s="595">
        <v>0</v>
      </c>
      <c r="D27" s="595"/>
      <c r="E27" s="595">
        <v>64</v>
      </c>
      <c r="F27" s="595">
        <v>6</v>
      </c>
      <c r="G27" s="733" t="str">
        <f t="shared" si="0"/>
        <v/>
      </c>
      <c r="H27" s="581" t="str">
        <f t="shared" si="1"/>
        <v/>
      </c>
      <c r="I27" s="609" t="str">
        <f t="shared" si="2"/>
        <v>是</v>
      </c>
    </row>
    <row r="28" ht="24" customHeight="1" spans="1:9">
      <c r="A28" s="594" t="s">
        <v>160</v>
      </c>
      <c r="B28" s="362" t="s">
        <v>161</v>
      </c>
      <c r="C28" s="595">
        <v>7847</v>
      </c>
      <c r="D28" s="595">
        <v>7621</v>
      </c>
      <c r="E28" s="595">
        <v>65</v>
      </c>
      <c r="F28" s="595">
        <v>8601</v>
      </c>
      <c r="G28" s="733">
        <f t="shared" si="0"/>
        <v>0.0960876768191666</v>
      </c>
      <c r="H28" s="581">
        <f t="shared" si="1"/>
        <v>1.12859204828763</v>
      </c>
      <c r="I28" s="609" t="str">
        <f t="shared" si="2"/>
        <v>是</v>
      </c>
    </row>
    <row r="29" ht="24" customHeight="1" spans="1:9">
      <c r="A29" s="594" t="s">
        <v>162</v>
      </c>
      <c r="B29" s="362" t="s">
        <v>163</v>
      </c>
      <c r="C29" s="595">
        <v>11</v>
      </c>
      <c r="D29" s="595"/>
      <c r="E29" s="595">
        <v>66</v>
      </c>
      <c r="F29" s="595">
        <v>9</v>
      </c>
      <c r="G29" s="733">
        <f t="shared" si="0"/>
        <v>-0.181818181818182</v>
      </c>
      <c r="H29" s="581" t="str">
        <f t="shared" si="1"/>
        <v/>
      </c>
      <c r="I29" s="609" t="str">
        <f t="shared" si="2"/>
        <v>是</v>
      </c>
    </row>
    <row r="30" ht="24" customHeight="1" spans="1:9">
      <c r="A30" s="594"/>
      <c r="B30" s="362"/>
      <c r="C30" s="595"/>
      <c r="D30" s="595"/>
      <c r="E30" s="595">
        <v>67</v>
      </c>
      <c r="F30" s="595"/>
      <c r="G30" s="733" t="str">
        <f t="shared" si="0"/>
        <v/>
      </c>
      <c r="H30" s="581" t="str">
        <f t="shared" si="1"/>
        <v/>
      </c>
      <c r="I30" s="609" t="str">
        <f t="shared" si="2"/>
        <v>是</v>
      </c>
    </row>
    <row r="31" s="643" customFormat="1" ht="24" customHeight="1" spans="1:9">
      <c r="A31" s="653"/>
      <c r="B31" s="562" t="s">
        <v>164</v>
      </c>
      <c r="C31" s="649">
        <f>SUM(C21,C5)</f>
        <v>566703</v>
      </c>
      <c r="D31" s="649">
        <f>SUM(D21,D5)</f>
        <v>595037</v>
      </c>
      <c r="E31" s="649">
        <v>68</v>
      </c>
      <c r="F31" s="649">
        <f>SUM(F21,F5)</f>
        <v>567755</v>
      </c>
      <c r="G31" s="732">
        <f t="shared" si="0"/>
        <v>0.00185635156334094</v>
      </c>
      <c r="H31" s="582">
        <f t="shared" si="1"/>
        <v>0.954150750289478</v>
      </c>
      <c r="I31" s="609" t="str">
        <f t="shared" si="2"/>
        <v>是</v>
      </c>
    </row>
    <row r="32" ht="24" customHeight="1" spans="1:9">
      <c r="A32" s="650">
        <v>105</v>
      </c>
      <c r="B32" s="361" t="s">
        <v>165</v>
      </c>
      <c r="C32" s="649">
        <v>180780</v>
      </c>
      <c r="D32" s="649">
        <v>192645</v>
      </c>
      <c r="E32" s="649">
        <v>69</v>
      </c>
      <c r="F32" s="649">
        <v>237945</v>
      </c>
      <c r="G32" s="732">
        <f t="shared" si="0"/>
        <v>0.316213076667773</v>
      </c>
      <c r="H32" s="582">
        <f t="shared" si="1"/>
        <v>1.2351475511952</v>
      </c>
      <c r="I32" s="609" t="str">
        <f t="shared" si="2"/>
        <v>是</v>
      </c>
    </row>
    <row r="33" ht="24" customHeight="1" spans="1:9">
      <c r="A33" s="592">
        <v>110</v>
      </c>
      <c r="B33" s="593" t="s">
        <v>166</v>
      </c>
      <c r="C33" s="649">
        <f>SUM(C34:C40)</f>
        <v>1326634</v>
      </c>
      <c r="D33" s="649">
        <f>SUM(D34:D40)</f>
        <v>1316167</v>
      </c>
      <c r="E33" s="649">
        <v>70</v>
      </c>
      <c r="F33" s="649">
        <f>SUM(F34:F40)</f>
        <v>1275374</v>
      </c>
      <c r="G33" s="732">
        <f t="shared" si="0"/>
        <v>-0.0386391423708423</v>
      </c>
      <c r="H33" s="582">
        <f t="shared" si="1"/>
        <v>0.969006212737441</v>
      </c>
      <c r="I33" s="609" t="str">
        <f t="shared" si="2"/>
        <v>是</v>
      </c>
    </row>
    <row r="34" ht="24" customHeight="1" spans="1:9">
      <c r="A34" s="594">
        <v>11001</v>
      </c>
      <c r="B34" s="362" t="s">
        <v>167</v>
      </c>
      <c r="C34" s="595">
        <v>41410</v>
      </c>
      <c r="D34" s="595">
        <v>40300</v>
      </c>
      <c r="E34" s="595">
        <v>72</v>
      </c>
      <c r="F34" s="595">
        <v>44029</v>
      </c>
      <c r="G34" s="733">
        <f t="shared" si="0"/>
        <v>0.0632455928519681</v>
      </c>
      <c r="H34" s="581">
        <f t="shared" si="1"/>
        <v>1.09253101736973</v>
      </c>
      <c r="I34" s="609" t="str">
        <f t="shared" si="2"/>
        <v>是</v>
      </c>
    </row>
    <row r="35" ht="24" customHeight="1" spans="1:9">
      <c r="A35" s="594"/>
      <c r="B35" s="362" t="s">
        <v>168</v>
      </c>
      <c r="C35" s="595">
        <v>917106</v>
      </c>
      <c r="D35" s="595">
        <v>912417</v>
      </c>
      <c r="E35" s="595">
        <v>73</v>
      </c>
      <c r="F35" s="595">
        <v>997380</v>
      </c>
      <c r="G35" s="733">
        <f t="shared" si="0"/>
        <v>0.0875296857724189</v>
      </c>
      <c r="H35" s="581">
        <f t="shared" si="1"/>
        <v>1.09311860695274</v>
      </c>
      <c r="I35" s="609" t="str">
        <f t="shared" si="2"/>
        <v>是</v>
      </c>
    </row>
    <row r="36" ht="24" customHeight="1" spans="1:9">
      <c r="A36" s="594"/>
      <c r="B36" s="362" t="s">
        <v>169</v>
      </c>
      <c r="C36" s="595">
        <v>264430</v>
      </c>
      <c r="D36" s="595">
        <v>264427</v>
      </c>
      <c r="E36" s="595">
        <v>74</v>
      </c>
      <c r="F36" s="595">
        <v>144850</v>
      </c>
      <c r="G36" s="733">
        <f t="shared" si="0"/>
        <v>-0.452217978292932</v>
      </c>
      <c r="H36" s="581">
        <f t="shared" si="1"/>
        <v>0.547788236450892</v>
      </c>
      <c r="I36" s="609" t="str">
        <f t="shared" si="2"/>
        <v>是</v>
      </c>
    </row>
    <row r="37" ht="24" customHeight="1" spans="1:9">
      <c r="A37" s="594">
        <v>11008</v>
      </c>
      <c r="B37" s="362" t="s">
        <v>170</v>
      </c>
      <c r="C37" s="595">
        <v>49215</v>
      </c>
      <c r="D37" s="595">
        <v>48090</v>
      </c>
      <c r="E37" s="595">
        <v>75</v>
      </c>
      <c r="F37" s="595">
        <v>48541</v>
      </c>
      <c r="G37" s="733">
        <f t="shared" si="0"/>
        <v>-0.0136950116834298</v>
      </c>
      <c r="H37" s="581">
        <f t="shared" si="1"/>
        <v>1.00937824911624</v>
      </c>
      <c r="I37" s="609" t="str">
        <f t="shared" si="2"/>
        <v>是</v>
      </c>
    </row>
    <row r="38" ht="24" customHeight="1" spans="1:9">
      <c r="A38" s="594">
        <v>11009</v>
      </c>
      <c r="B38" s="362" t="s">
        <v>171</v>
      </c>
      <c r="C38" s="595">
        <v>51974</v>
      </c>
      <c r="D38" s="595">
        <v>50933</v>
      </c>
      <c r="E38" s="595">
        <v>76</v>
      </c>
      <c r="F38" s="595">
        <v>34108</v>
      </c>
      <c r="G38" s="733">
        <f t="shared" si="0"/>
        <v>-0.343748797475661</v>
      </c>
      <c r="H38" s="581">
        <f t="shared" si="1"/>
        <v>0.669664068482124</v>
      </c>
      <c r="I38" s="609" t="str">
        <f t="shared" si="2"/>
        <v>是</v>
      </c>
    </row>
    <row r="39" s="644" customFormat="1" ht="24" customHeight="1" spans="1:9">
      <c r="A39" s="596">
        <v>11015</v>
      </c>
      <c r="B39" s="365" t="s">
        <v>172</v>
      </c>
      <c r="C39" s="595">
        <v>2499</v>
      </c>
      <c r="D39" s="595"/>
      <c r="E39" s="595">
        <v>77</v>
      </c>
      <c r="F39" s="595">
        <v>6330</v>
      </c>
      <c r="G39" s="733">
        <f t="shared" si="0"/>
        <v>1.53301320528211</v>
      </c>
      <c r="H39" s="581" t="str">
        <f t="shared" si="1"/>
        <v/>
      </c>
      <c r="I39" s="609" t="str">
        <f t="shared" si="2"/>
        <v>是</v>
      </c>
    </row>
    <row r="40" s="644" customFormat="1" ht="24" customHeight="1" spans="1:9">
      <c r="A40" s="596">
        <v>11021</v>
      </c>
      <c r="B40" s="365" t="s">
        <v>173</v>
      </c>
      <c r="C40" s="595"/>
      <c r="D40" s="595"/>
      <c r="E40" s="595">
        <v>78</v>
      </c>
      <c r="F40" s="595">
        <v>136</v>
      </c>
      <c r="G40" s="733" t="str">
        <f t="shared" si="0"/>
        <v/>
      </c>
      <c r="H40" s="581" t="str">
        <f t="shared" si="1"/>
        <v/>
      </c>
      <c r="I40" s="609" t="str">
        <f t="shared" si="2"/>
        <v>是</v>
      </c>
    </row>
    <row r="41" ht="24" customHeight="1" spans="1:9">
      <c r="A41" s="654"/>
      <c r="B41" s="655" t="s">
        <v>174</v>
      </c>
      <c r="C41" s="649">
        <f>SUM(C31:C32,C33)</f>
        <v>2074117</v>
      </c>
      <c r="D41" s="649">
        <f>SUM(D31:D32,D33)</f>
        <v>2103849</v>
      </c>
      <c r="E41" s="649">
        <v>79</v>
      </c>
      <c r="F41" s="649">
        <f>SUM(F31:F32,F33)</f>
        <v>2081074</v>
      </c>
      <c r="G41" s="732">
        <f t="shared" si="0"/>
        <v>0.00335419843721449</v>
      </c>
      <c r="H41" s="582">
        <f t="shared" si="1"/>
        <v>0.989174603310409</v>
      </c>
      <c r="I41" s="609" t="str">
        <f t="shared" si="2"/>
        <v>是</v>
      </c>
    </row>
    <row r="42" spans="3:7">
      <c r="C42" s="656"/>
      <c r="D42" s="656"/>
      <c r="E42" s="656">
        <v>80</v>
      </c>
      <c r="F42" s="656"/>
      <c r="G42" s="656"/>
    </row>
    <row r="43" spans="3:7">
      <c r="C43" s="656"/>
      <c r="D43" s="656"/>
      <c r="E43" s="656">
        <v>81</v>
      </c>
      <c r="F43" s="656"/>
      <c r="G43" s="656"/>
    </row>
    <row r="44" spans="3:7">
      <c r="C44" s="656"/>
      <c r="D44" s="656"/>
      <c r="E44" s="656">
        <v>82</v>
      </c>
      <c r="F44" s="656"/>
      <c r="G44" s="656"/>
    </row>
    <row r="45" spans="3:7">
      <c r="C45" s="656"/>
      <c r="D45" s="656"/>
      <c r="E45" s="656">
        <v>83</v>
      </c>
      <c r="F45" s="656"/>
      <c r="G45" s="656"/>
    </row>
    <row r="46" spans="3:7">
      <c r="C46" s="656"/>
      <c r="D46" s="656"/>
      <c r="E46" s="656">
        <v>84</v>
      </c>
      <c r="F46" s="656"/>
      <c r="G46" s="656"/>
    </row>
    <row r="47" spans="3:7">
      <c r="C47" s="656"/>
      <c r="D47" s="656"/>
      <c r="E47" s="656">
        <v>86</v>
      </c>
      <c r="F47" s="656"/>
      <c r="G47" s="656"/>
    </row>
    <row r="48" spans="3:7">
      <c r="C48" s="656"/>
      <c r="D48" s="656"/>
      <c r="E48" s="656">
        <v>89</v>
      </c>
      <c r="F48" s="656"/>
      <c r="G48" s="656"/>
    </row>
    <row r="49" spans="3:7">
      <c r="C49" s="656"/>
      <c r="D49" s="656"/>
      <c r="E49" s="656">
        <v>92</v>
      </c>
      <c r="F49" s="656"/>
      <c r="G49" s="656"/>
    </row>
    <row r="50" spans="3:7">
      <c r="C50" s="656"/>
      <c r="D50" s="656"/>
      <c r="E50" s="656">
        <v>94</v>
      </c>
      <c r="F50" s="656"/>
      <c r="G50" s="656"/>
    </row>
    <row r="51" spans="3:7">
      <c r="C51" s="656"/>
      <c r="D51" s="656"/>
      <c r="E51" s="656"/>
      <c r="F51" s="656"/>
      <c r="G51" s="656"/>
    </row>
    <row r="52" spans="3:7">
      <c r="C52" s="656"/>
      <c r="D52" s="656"/>
      <c r="E52" s="656"/>
      <c r="F52" s="656"/>
      <c r="G52" s="656"/>
    </row>
    <row r="53" spans="3:7">
      <c r="C53" s="656"/>
      <c r="D53" s="656"/>
      <c r="E53" s="656"/>
      <c r="F53" s="656"/>
      <c r="G53" s="656"/>
    </row>
    <row r="54" spans="3:7">
      <c r="C54" s="656"/>
      <c r="D54" s="656"/>
      <c r="E54" s="656"/>
      <c r="F54" s="656"/>
      <c r="G54" s="656"/>
    </row>
  </sheetData>
  <autoFilter ref="A4:I50">
    <extLst/>
  </autoFilter>
  <mergeCells count="6">
    <mergeCell ref="B1:H1"/>
    <mergeCell ref="D3:F3"/>
    <mergeCell ref="G3:H3"/>
    <mergeCell ref="A3:A4"/>
    <mergeCell ref="B3:B4"/>
    <mergeCell ref="C3:C4"/>
  </mergeCells>
  <conditionalFormatting sqref="A32:B32">
    <cfRule type="expression" dxfId="0" priority="33" stopIfTrue="1">
      <formula>"len($A:$A)=3"</formula>
    </cfRule>
  </conditionalFormatting>
  <conditionalFormatting sqref="C32:F32">
    <cfRule type="expression" dxfId="0" priority="21" stopIfTrue="1">
      <formula>"len($A:$A)=3"</formula>
    </cfRule>
  </conditionalFormatting>
  <conditionalFormatting sqref="C33:F33">
    <cfRule type="expression" dxfId="0" priority="11" stopIfTrue="1">
      <formula>"len($A:$A)=3"</formula>
    </cfRule>
    <cfRule type="expression" dxfId="0" priority="12" stopIfTrue="1">
      <formula>"len($A:$A)=3"</formula>
    </cfRule>
  </conditionalFormatting>
  <conditionalFormatting sqref="E37">
    <cfRule type="expression" dxfId="0" priority="9" stopIfTrue="1">
      <formula>"len($A:$A)=3"</formula>
    </cfRule>
  </conditionalFormatting>
  <conditionalFormatting sqref="B39">
    <cfRule type="expression" dxfId="0" priority="1" stopIfTrue="1">
      <formula>"len($A:$A)=3"</formula>
    </cfRule>
  </conditionalFormatting>
  <conditionalFormatting sqref="E40">
    <cfRule type="expression" dxfId="0" priority="4" stopIfTrue="1">
      <formula>"len($A:$A)=3"</formula>
    </cfRule>
  </conditionalFormatting>
  <conditionalFormatting sqref="C41:F41">
    <cfRule type="expression" dxfId="0" priority="28" stopIfTrue="1">
      <formula>"len($A:$A)=3"</formula>
    </cfRule>
    <cfRule type="expression" dxfId="0" priority="30" stopIfTrue="1">
      <formula>"len($A:$A)=3"</formula>
    </cfRule>
  </conditionalFormatting>
  <conditionalFormatting sqref="B8:B9">
    <cfRule type="expression" dxfId="0" priority="35" stopIfTrue="1">
      <formula>"len($A:$A)=3"</formula>
    </cfRule>
  </conditionalFormatting>
  <conditionalFormatting sqref="B33:B36">
    <cfRule type="expression" dxfId="0" priority="18" stopIfTrue="1">
      <formula>"len($A:$A)=3"</formula>
    </cfRule>
  </conditionalFormatting>
  <conditionalFormatting sqref="B39:B41">
    <cfRule type="expression" dxfId="0" priority="13" stopIfTrue="1">
      <formula>"len($A:$A)=3"</formula>
    </cfRule>
    <cfRule type="expression" dxfId="0" priority="14" stopIfTrue="1">
      <formula>"len($A:$A)=3"</formula>
    </cfRule>
  </conditionalFormatting>
  <conditionalFormatting sqref="E37:E38">
    <cfRule type="expression" dxfId="0" priority="2" stopIfTrue="1">
      <formula>"len($A:$A)=3"</formula>
    </cfRule>
  </conditionalFormatting>
  <conditionalFormatting sqref="E39:E40">
    <cfRule type="expression" dxfId="0" priority="6" stopIfTrue="1">
      <formula>"len($A:$A)=3"</formula>
    </cfRule>
  </conditionalFormatting>
  <conditionalFormatting sqref="I5:I41">
    <cfRule type="cellIs" dxfId="1" priority="31" stopIfTrue="1" operator="lessThan">
      <formula>0</formula>
    </cfRule>
    <cfRule type="cellIs" dxfId="1" priority="32" stopIfTrue="1" operator="lessThan">
      <formula>0</formula>
    </cfRule>
  </conditionalFormatting>
  <conditionalFormatting sqref="A5:B30">
    <cfRule type="expression" dxfId="0" priority="34" stopIfTrue="1">
      <formula>"len($A:$A)=3"</formula>
    </cfRule>
  </conditionalFormatting>
  <conditionalFormatting sqref="B5:B7 B41 B32">
    <cfRule type="expression" dxfId="0" priority="37" stopIfTrue="1">
      <formula>"len($A:$A)=3"</formula>
    </cfRule>
  </conditionalFormatting>
  <conditionalFormatting sqref="C5:G5 C6:F30 G6:G41">
    <cfRule type="expression" dxfId="0" priority="22" stopIfTrue="1">
      <formula>"len($A:$A)=3"</formula>
    </cfRule>
  </conditionalFormatting>
  <conditionalFormatting sqref="C5:G5 C6:C20 G6:G41">
    <cfRule type="expression" dxfId="0" priority="24" stopIfTrue="1">
      <formula>"len($A:$A)=3"</formula>
    </cfRule>
  </conditionalFormatting>
  <conditionalFormatting sqref="D6:F20">
    <cfRule type="expression" dxfId="0" priority="10" stopIfTrue="1">
      <formula>"len($A:$A)=3"</formula>
    </cfRule>
  </conditionalFormatting>
  <conditionalFormatting sqref="C34:D34 F34:F36 C35:C40 C32:F32 D35:D36">
    <cfRule type="expression" dxfId="0" priority="25" stopIfTrue="1">
      <formula>"len($A:$A)=3"</formula>
    </cfRule>
  </conditionalFormatting>
  <conditionalFormatting sqref="A33:B36 B40:B41">
    <cfRule type="expression" dxfId="0" priority="17" stopIfTrue="1">
      <formula>"len($A:$A)=3"</formula>
    </cfRule>
  </conditionalFormatting>
  <conditionalFormatting sqref="A34:B36">
    <cfRule type="expression" dxfId="0" priority="16" stopIfTrue="1">
      <formula>"len($A:$A)=3"</formula>
    </cfRule>
  </conditionalFormatting>
  <conditionalFormatting sqref="C34:D34 F34:F36 C35:C40 D35:D36">
    <cfRule type="expression" dxfId="0" priority="20" stopIfTrue="1">
      <formula>"len($A:$A)=3"</formula>
    </cfRule>
    <cfRule type="expression" dxfId="0" priority="27" stopIfTrue="1">
      <formula>"len($A:$A)=3"</formula>
    </cfRule>
    <cfRule type="expression" dxfId="0" priority="29" stopIfTrue="1">
      <formula>"len($A:$A)=3"</formula>
    </cfRule>
  </conditionalFormatting>
  <conditionalFormatting sqref="E34 E35:E36">
    <cfRule type="expression" dxfId="0" priority="8" stopIfTrue="1">
      <formula>"len($A:$A)=3"</formula>
    </cfRule>
    <cfRule type="expression" dxfId="0" priority="7" stopIfTrue="1">
      <formula>"len($A:$A)=3"</formula>
    </cfRule>
    <cfRule type="expression" dxfId="0" priority="5" stopIfTrue="1">
      <formula>"len($A:$A)=3"</formula>
    </cfRule>
    <cfRule type="expression" dxfId="0" priority="3" stopIfTrue="1">
      <formula>"len($A:$A)=3"</formula>
    </cfRule>
  </conditionalFormatting>
  <conditionalFormatting sqref="A37:B38">
    <cfRule type="expression" dxfId="0" priority="15" stopIfTrue="1">
      <formula>"len($A:$A)=3"</formula>
    </cfRule>
  </conditionalFormatting>
  <conditionalFormatting sqref="B41 D37 F37 A37:B37">
    <cfRule type="expression" dxfId="0" priority="36" stopIfTrue="1">
      <formula>"len($A:$A)=3"</formula>
    </cfRule>
  </conditionalFormatting>
  <conditionalFormatting sqref="D37:D38 F37:F38">
    <cfRule type="expression" dxfId="0" priority="19" stopIfTrue="1">
      <formula>"len($A:$A)=3"</formula>
    </cfRule>
  </conditionalFormatting>
  <conditionalFormatting sqref="D39:D40 F39:F40 C41:F41">
    <cfRule type="expression" dxfId="0" priority="26" stopIfTrue="1">
      <formula>"len($A:$A)=3"</formula>
    </cfRule>
  </conditionalFormatting>
  <conditionalFormatting sqref="D40 F40 C41:F41">
    <cfRule type="expression" dxfId="0" priority="23" stopIfTrue="1">
      <formula>"len($A:$A)=3"</formula>
    </cfRule>
  </conditionalFormatting>
  <printOptions horizontalCentered="1"/>
  <pageMargins left="0.472222222222222" right="0.393055555555556" top="0.550694444444444" bottom="0.550694444444444" header="0.314583333333333" footer="0.314583333333333"/>
  <pageSetup paperSize="9" scale="64" orientation="portrait" useFirstPageNumber="1" horizontalDpi="600"/>
  <headerFooter alignWithMargins="0">
    <oddFooter>&amp;C&amp;16- &amp;P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tabColor rgb="FF00B0F0"/>
    <pageSetUpPr fitToPage="1"/>
  </sheetPr>
  <dimension ref="A1:I53"/>
  <sheetViews>
    <sheetView showGridLines="0" showZeros="0" tabSelected="1" view="pageBreakPreview" zoomScale="70" zoomScaleNormal="90" workbookViewId="0">
      <pane ySplit="4" topLeftCell="A19" activePane="bottomLeft" state="frozen"/>
      <selection/>
      <selection pane="bottomLeft" activeCell="P28" sqref="P28"/>
    </sheetView>
  </sheetViews>
  <sheetFormatPr defaultColWidth="9" defaultRowHeight="14.25"/>
  <cols>
    <col min="1" max="1" width="10.375" style="553" hidden="1" customWidth="1"/>
    <col min="2" max="2" width="43.6333333333333" style="553" customWidth="1"/>
    <col min="3" max="4" width="16.425" style="553" customWidth="1"/>
    <col min="5" max="5" width="16.425" style="553" hidden="1" customWidth="1"/>
    <col min="6" max="6" width="16.425" style="553" customWidth="1"/>
    <col min="7" max="8" width="14.4583333333333" style="553" customWidth="1"/>
    <col min="9" max="9" width="9.13333333333333" style="553" customWidth="1"/>
    <col min="10" max="16384" width="9" style="553"/>
  </cols>
  <sheetData>
    <row r="1" ht="45" customHeight="1" spans="2:8">
      <c r="B1" s="618" t="s">
        <v>8</v>
      </c>
      <c r="C1" s="727"/>
      <c r="D1" s="618"/>
      <c r="E1" s="618"/>
      <c r="F1" s="618"/>
      <c r="G1" s="618"/>
      <c r="H1" s="618"/>
    </row>
    <row r="2" ht="18.95" customHeight="1" spans="1:8">
      <c r="A2" s="619"/>
      <c r="B2" s="620" t="s">
        <v>7</v>
      </c>
      <c r="C2" s="621"/>
      <c r="D2" s="622"/>
      <c r="E2" s="622"/>
      <c r="F2" s="622"/>
      <c r="G2" s="622"/>
      <c r="H2" s="637" t="s">
        <v>103</v>
      </c>
    </row>
    <row r="3" customFormat="1" ht="18.95" customHeight="1" spans="1:9">
      <c r="A3" s="657" t="s">
        <v>104</v>
      </c>
      <c r="B3" s="446" t="s">
        <v>105</v>
      </c>
      <c r="C3" s="321" t="s">
        <v>106</v>
      </c>
      <c r="D3" s="321" t="s">
        <v>107</v>
      </c>
      <c r="E3" s="321"/>
      <c r="F3" s="321"/>
      <c r="G3" s="521" t="s">
        <v>108</v>
      </c>
      <c r="H3" s="521"/>
      <c r="I3" s="553"/>
    </row>
    <row r="4" s="550" customFormat="1" ht="37.5" spans="1:9">
      <c r="A4" s="657"/>
      <c r="B4" s="446"/>
      <c r="C4" s="321"/>
      <c r="D4" s="321" t="s">
        <v>109</v>
      </c>
      <c r="E4" s="321">
        <v>3</v>
      </c>
      <c r="F4" s="321" t="s">
        <v>110</v>
      </c>
      <c r="G4" s="321" t="s">
        <v>111</v>
      </c>
      <c r="H4" s="321" t="s">
        <v>112</v>
      </c>
      <c r="I4" s="638" t="s">
        <v>113</v>
      </c>
    </row>
    <row r="5" ht="24" customHeight="1" spans="1:9">
      <c r="A5" s="624">
        <v>201</v>
      </c>
      <c r="B5" s="625" t="s">
        <v>175</v>
      </c>
      <c r="C5" s="137">
        <v>132245</v>
      </c>
      <c r="D5" s="137">
        <v>138494</v>
      </c>
      <c r="E5" s="137">
        <v>8</v>
      </c>
      <c r="F5" s="137">
        <f>'02'!E5</f>
        <v>149662</v>
      </c>
      <c r="G5" s="728">
        <f>IFERROR((F5-C5)/C5,"")</f>
        <v>0.131702521834474</v>
      </c>
      <c r="H5" s="639">
        <f>IFERROR(F5/D5,"")</f>
        <v>1.08063887244213</v>
      </c>
      <c r="I5" s="640" t="str">
        <f>IF(LEN(A5)=3,"是",IF(B5&lt;&gt;"",IF(SUM(C5:F5)&lt;&gt;0,"是","否"),"是"))</f>
        <v>是</v>
      </c>
    </row>
    <row r="6" ht="24" customHeight="1" spans="1:9">
      <c r="A6" s="624">
        <v>202</v>
      </c>
      <c r="B6" s="626" t="s">
        <v>176</v>
      </c>
      <c r="C6" s="137">
        <v>0</v>
      </c>
      <c r="D6" s="137"/>
      <c r="E6" s="137">
        <v>10</v>
      </c>
      <c r="F6" s="137">
        <f>'02'!E253</f>
        <v>0</v>
      </c>
      <c r="G6" s="728" t="str">
        <f t="shared" ref="G6:G40" si="0">IFERROR((F6-C6)/C6,"")</f>
        <v/>
      </c>
      <c r="H6" s="639" t="str">
        <f t="shared" ref="H6:H40" si="1">IFERROR(F6/D6,"")</f>
        <v/>
      </c>
      <c r="I6" s="640" t="str">
        <f t="shared" ref="I6:I40" si="2">IF(LEN(A6)=3,"是",IF(B6&lt;&gt;"",IF(SUM(C6:F6)&lt;&gt;0,"是","否"),"是"))</f>
        <v>是</v>
      </c>
    </row>
    <row r="7" ht="24" customHeight="1" spans="1:9">
      <c r="A7" s="624">
        <v>203</v>
      </c>
      <c r="B7" s="626" t="s">
        <v>177</v>
      </c>
      <c r="C7" s="137">
        <v>2090</v>
      </c>
      <c r="D7" s="137">
        <v>2103</v>
      </c>
      <c r="E7" s="137">
        <v>22</v>
      </c>
      <c r="F7" s="137">
        <f>'02'!E293</f>
        <v>2580</v>
      </c>
      <c r="G7" s="728">
        <f t="shared" si="0"/>
        <v>0.23444976076555</v>
      </c>
      <c r="H7" s="639">
        <f t="shared" si="1"/>
        <v>1.22681883024251</v>
      </c>
      <c r="I7" s="640" t="str">
        <f t="shared" si="2"/>
        <v>是</v>
      </c>
    </row>
    <row r="8" ht="24" customHeight="1" spans="1:9">
      <c r="A8" s="588">
        <v>204</v>
      </c>
      <c r="B8" s="626" t="s">
        <v>178</v>
      </c>
      <c r="C8" s="137">
        <v>71463</v>
      </c>
      <c r="D8" s="137">
        <v>72985</v>
      </c>
      <c r="E8" s="137">
        <v>23</v>
      </c>
      <c r="F8" s="137">
        <f>'02'!E312</f>
        <v>75378</v>
      </c>
      <c r="G8" s="728">
        <f t="shared" si="0"/>
        <v>0.0547835943075438</v>
      </c>
      <c r="H8" s="639">
        <f t="shared" si="1"/>
        <v>1.03278755908748</v>
      </c>
      <c r="I8" s="640" t="str">
        <f t="shared" si="2"/>
        <v>是</v>
      </c>
    </row>
    <row r="9" ht="24" customHeight="1" spans="1:9">
      <c r="A9" s="624">
        <v>205</v>
      </c>
      <c r="B9" s="626" t="s">
        <v>179</v>
      </c>
      <c r="C9" s="137">
        <v>255457</v>
      </c>
      <c r="D9" s="137">
        <v>270715</v>
      </c>
      <c r="E9" s="137">
        <v>24</v>
      </c>
      <c r="F9" s="137">
        <f>'02'!E402</f>
        <v>272444</v>
      </c>
      <c r="G9" s="728">
        <f t="shared" si="0"/>
        <v>0.066496514090434</v>
      </c>
      <c r="H9" s="639">
        <f t="shared" si="1"/>
        <v>1.00638679053617</v>
      </c>
      <c r="I9" s="640" t="str">
        <f t="shared" si="2"/>
        <v>是</v>
      </c>
    </row>
    <row r="10" ht="24" customHeight="1" spans="1:9">
      <c r="A10" s="624">
        <v>206</v>
      </c>
      <c r="B10" s="626" t="s">
        <v>180</v>
      </c>
      <c r="C10" s="137">
        <v>4318</v>
      </c>
      <c r="D10" s="137">
        <v>4613</v>
      </c>
      <c r="E10" s="137">
        <v>25</v>
      </c>
      <c r="F10" s="137">
        <f>'02'!E454</f>
        <v>6843</v>
      </c>
      <c r="G10" s="728">
        <f t="shared" si="0"/>
        <v>0.584761463640574</v>
      </c>
      <c r="H10" s="639">
        <f t="shared" si="1"/>
        <v>1.48341643182311</v>
      </c>
      <c r="I10" s="640" t="str">
        <f t="shared" si="2"/>
        <v>是</v>
      </c>
    </row>
    <row r="11" ht="24" customHeight="1" spans="1:9">
      <c r="A11" s="624">
        <v>207</v>
      </c>
      <c r="B11" s="626" t="s">
        <v>181</v>
      </c>
      <c r="C11" s="137">
        <v>24616</v>
      </c>
      <c r="D11" s="137">
        <v>25013</v>
      </c>
      <c r="E11" s="137">
        <v>26</v>
      </c>
      <c r="F11" s="137">
        <f>'02'!E510</f>
        <v>22563</v>
      </c>
      <c r="G11" s="728">
        <f t="shared" si="0"/>
        <v>-0.0834010399740007</v>
      </c>
      <c r="H11" s="639">
        <f t="shared" si="1"/>
        <v>0.902050933514572</v>
      </c>
      <c r="I11" s="640" t="str">
        <f t="shared" si="2"/>
        <v>是</v>
      </c>
    </row>
    <row r="12" ht="24" customHeight="1" spans="1:9">
      <c r="A12" s="624">
        <v>208</v>
      </c>
      <c r="B12" s="626" t="s">
        <v>182</v>
      </c>
      <c r="C12" s="137">
        <v>290336</v>
      </c>
      <c r="D12" s="137">
        <v>295265</v>
      </c>
      <c r="E12" s="137">
        <v>28</v>
      </c>
      <c r="F12" s="137">
        <f>'02'!E567</f>
        <v>292685</v>
      </c>
      <c r="G12" s="728">
        <f t="shared" si="0"/>
        <v>0.00809062603328557</v>
      </c>
      <c r="H12" s="639">
        <f t="shared" si="1"/>
        <v>0.991262086600173</v>
      </c>
      <c r="I12" s="640" t="str">
        <f t="shared" si="2"/>
        <v>是</v>
      </c>
    </row>
    <row r="13" ht="24" customHeight="1" spans="1:9">
      <c r="A13" s="624">
        <v>210</v>
      </c>
      <c r="B13" s="626" t="s">
        <v>183</v>
      </c>
      <c r="C13" s="137">
        <v>196852</v>
      </c>
      <c r="D13" s="137">
        <v>201368</v>
      </c>
      <c r="E13" s="137">
        <v>29</v>
      </c>
      <c r="F13" s="137">
        <f>'02'!E697</f>
        <v>214985</v>
      </c>
      <c r="G13" s="728">
        <f t="shared" si="0"/>
        <v>0.0921148883425111</v>
      </c>
      <c r="H13" s="639">
        <f t="shared" si="1"/>
        <v>1.06762246235747</v>
      </c>
      <c r="I13" s="640" t="str">
        <f t="shared" si="2"/>
        <v>是</v>
      </c>
    </row>
    <row r="14" ht="24" customHeight="1" spans="1:9">
      <c r="A14" s="624">
        <v>211</v>
      </c>
      <c r="B14" s="626" t="s">
        <v>184</v>
      </c>
      <c r="C14" s="137">
        <v>90624</v>
      </c>
      <c r="D14" s="137">
        <v>93216</v>
      </c>
      <c r="E14" s="137">
        <v>30</v>
      </c>
      <c r="F14" s="137">
        <f>'02'!E782</f>
        <v>109450</v>
      </c>
      <c r="G14" s="728">
        <f t="shared" si="0"/>
        <v>0.207737464689266</v>
      </c>
      <c r="H14" s="639">
        <f t="shared" si="1"/>
        <v>1.17415465156196</v>
      </c>
      <c r="I14" s="640" t="str">
        <f t="shared" si="2"/>
        <v>是</v>
      </c>
    </row>
    <row r="15" ht="24" customHeight="1" spans="1:9">
      <c r="A15" s="624">
        <v>212</v>
      </c>
      <c r="B15" s="626" t="s">
        <v>185</v>
      </c>
      <c r="C15" s="137">
        <v>70334</v>
      </c>
      <c r="D15" s="137">
        <v>68458</v>
      </c>
      <c r="E15" s="137">
        <v>31</v>
      </c>
      <c r="F15" s="137">
        <f>'02'!E854</f>
        <v>73971</v>
      </c>
      <c r="G15" s="728">
        <f t="shared" si="0"/>
        <v>0.0517104103278642</v>
      </c>
      <c r="H15" s="639">
        <f t="shared" si="1"/>
        <v>1.08053112857518</v>
      </c>
      <c r="I15" s="640" t="str">
        <f t="shared" si="2"/>
        <v>是</v>
      </c>
    </row>
    <row r="16" ht="24" customHeight="1" spans="1:9">
      <c r="A16" s="624">
        <v>213</v>
      </c>
      <c r="B16" s="626" t="s">
        <v>186</v>
      </c>
      <c r="C16" s="137">
        <v>377451</v>
      </c>
      <c r="D16" s="137">
        <v>359895</v>
      </c>
      <c r="E16" s="137">
        <v>32</v>
      </c>
      <c r="F16" s="137">
        <f>'02'!E877</f>
        <v>239253</v>
      </c>
      <c r="G16" s="728">
        <f t="shared" si="0"/>
        <v>-0.366134942018964</v>
      </c>
      <c r="H16" s="639">
        <f t="shared" si="1"/>
        <v>0.664785562455716</v>
      </c>
      <c r="I16" s="640" t="str">
        <f t="shared" si="2"/>
        <v>是</v>
      </c>
    </row>
    <row r="17" ht="24" customHeight="1" spans="1:9">
      <c r="A17" s="624">
        <v>214</v>
      </c>
      <c r="B17" s="626" t="s">
        <v>187</v>
      </c>
      <c r="C17" s="137">
        <v>51669</v>
      </c>
      <c r="D17" s="137">
        <v>52184</v>
      </c>
      <c r="E17" s="137">
        <v>33</v>
      </c>
      <c r="F17" s="137">
        <f>'02'!E984</f>
        <v>66230</v>
      </c>
      <c r="G17" s="728">
        <f t="shared" si="0"/>
        <v>0.281813079409317</v>
      </c>
      <c r="H17" s="639">
        <f t="shared" si="1"/>
        <v>1.26916296182738</v>
      </c>
      <c r="I17" s="640" t="str">
        <f t="shared" si="2"/>
        <v>是</v>
      </c>
    </row>
    <row r="18" ht="24" customHeight="1" spans="1:9">
      <c r="A18" s="624">
        <v>215</v>
      </c>
      <c r="B18" s="626" t="s">
        <v>188</v>
      </c>
      <c r="C18" s="137">
        <v>75263</v>
      </c>
      <c r="D18" s="137">
        <v>69853</v>
      </c>
      <c r="E18" s="137">
        <v>34</v>
      </c>
      <c r="F18" s="137">
        <f>'02'!E1036</f>
        <v>76311</v>
      </c>
      <c r="G18" s="728">
        <f t="shared" si="0"/>
        <v>0.0139245047367232</v>
      </c>
      <c r="H18" s="639">
        <f t="shared" si="1"/>
        <v>1.09245129056733</v>
      </c>
      <c r="I18" s="640" t="str">
        <f t="shared" si="2"/>
        <v>是</v>
      </c>
    </row>
    <row r="19" ht="24" customHeight="1" spans="1:9">
      <c r="A19" s="624">
        <v>216</v>
      </c>
      <c r="B19" s="626" t="s">
        <v>189</v>
      </c>
      <c r="C19" s="137">
        <v>1873</v>
      </c>
      <c r="D19" s="137">
        <v>1912</v>
      </c>
      <c r="E19" s="137">
        <v>35</v>
      </c>
      <c r="F19" s="137">
        <f>'02'!E1100</f>
        <v>2905</v>
      </c>
      <c r="G19" s="728">
        <f t="shared" si="0"/>
        <v>0.550987720234917</v>
      </c>
      <c r="H19" s="639">
        <f t="shared" si="1"/>
        <v>1.51935146443515</v>
      </c>
      <c r="I19" s="640" t="str">
        <f t="shared" si="2"/>
        <v>是</v>
      </c>
    </row>
    <row r="20" ht="24" customHeight="1" spans="1:9">
      <c r="A20" s="624">
        <v>217</v>
      </c>
      <c r="B20" s="626" t="s">
        <v>190</v>
      </c>
      <c r="C20" s="137">
        <v>644</v>
      </c>
      <c r="D20" s="137">
        <v>625</v>
      </c>
      <c r="E20" s="137">
        <v>36</v>
      </c>
      <c r="F20" s="137">
        <f>'02'!E1120</f>
        <v>1711</v>
      </c>
      <c r="G20" s="728">
        <f t="shared" si="0"/>
        <v>1.65683229813665</v>
      </c>
      <c r="H20" s="639">
        <f t="shared" si="1"/>
        <v>2.7376</v>
      </c>
      <c r="I20" s="640" t="str">
        <f t="shared" si="2"/>
        <v>是</v>
      </c>
    </row>
    <row r="21" ht="24" customHeight="1" spans="1:9">
      <c r="A21" s="624">
        <v>219</v>
      </c>
      <c r="B21" s="626" t="s">
        <v>191</v>
      </c>
      <c r="C21" s="137">
        <v>0</v>
      </c>
      <c r="D21" s="137"/>
      <c r="E21" s="137">
        <v>37</v>
      </c>
      <c r="F21" s="137">
        <f>'02'!E1150</f>
        <v>0</v>
      </c>
      <c r="G21" s="728" t="str">
        <f t="shared" si="0"/>
        <v/>
      </c>
      <c r="H21" s="639" t="str">
        <f t="shared" si="1"/>
        <v/>
      </c>
      <c r="I21" s="640" t="str">
        <f t="shared" si="2"/>
        <v>是</v>
      </c>
    </row>
    <row r="22" ht="24" customHeight="1" spans="1:9">
      <c r="A22" s="624">
        <v>220</v>
      </c>
      <c r="B22" s="626" t="s">
        <v>192</v>
      </c>
      <c r="C22" s="137">
        <v>19061</v>
      </c>
      <c r="D22" s="137">
        <v>19853</v>
      </c>
      <c r="E22" s="137">
        <v>38</v>
      </c>
      <c r="F22" s="137">
        <f>'02'!E1160</f>
        <v>21460</v>
      </c>
      <c r="G22" s="728">
        <f t="shared" si="0"/>
        <v>0.125859083993495</v>
      </c>
      <c r="H22" s="639">
        <f t="shared" si="1"/>
        <v>1.08094494534831</v>
      </c>
      <c r="I22" s="640" t="str">
        <f t="shared" si="2"/>
        <v>是</v>
      </c>
    </row>
    <row r="23" ht="24" customHeight="1" spans="1:9">
      <c r="A23" s="624">
        <v>221</v>
      </c>
      <c r="B23" s="626" t="s">
        <v>193</v>
      </c>
      <c r="C23" s="137">
        <v>65723</v>
      </c>
      <c r="D23" s="137">
        <v>67253</v>
      </c>
      <c r="E23" s="137">
        <v>40</v>
      </c>
      <c r="F23" s="137">
        <f>'02'!E1205</f>
        <v>61136</v>
      </c>
      <c r="G23" s="728">
        <f t="shared" si="0"/>
        <v>-0.0697929187651203</v>
      </c>
      <c r="H23" s="639">
        <f t="shared" si="1"/>
        <v>0.909044949667673</v>
      </c>
      <c r="I23" s="640" t="str">
        <f t="shared" si="2"/>
        <v>是</v>
      </c>
    </row>
    <row r="24" ht="24" customHeight="1" spans="1:9">
      <c r="A24" s="624">
        <v>222</v>
      </c>
      <c r="B24" s="626" t="s">
        <v>194</v>
      </c>
      <c r="C24" s="137">
        <v>2311</v>
      </c>
      <c r="D24" s="137">
        <v>2295</v>
      </c>
      <c r="E24" s="137">
        <v>45</v>
      </c>
      <c r="F24" s="137">
        <f>'02'!E1227</f>
        <v>2085</v>
      </c>
      <c r="G24" s="728">
        <f t="shared" si="0"/>
        <v>-0.0977931631328429</v>
      </c>
      <c r="H24" s="639">
        <f t="shared" si="1"/>
        <v>0.908496732026144</v>
      </c>
      <c r="I24" s="640" t="str">
        <f t="shared" si="2"/>
        <v>是</v>
      </c>
    </row>
    <row r="25" ht="24" customHeight="1" spans="1:9">
      <c r="A25" s="624">
        <v>224</v>
      </c>
      <c r="B25" s="626" t="s">
        <v>195</v>
      </c>
      <c r="C25" s="137">
        <v>27427</v>
      </c>
      <c r="D25" s="137">
        <v>26693</v>
      </c>
      <c r="E25" s="137">
        <v>47</v>
      </c>
      <c r="F25" s="137">
        <f>'02'!E1272</f>
        <v>21135</v>
      </c>
      <c r="G25" s="728">
        <f t="shared" si="0"/>
        <v>-0.229408976555949</v>
      </c>
      <c r="H25" s="639">
        <f t="shared" si="1"/>
        <v>0.791780616641067</v>
      </c>
      <c r="I25" s="640" t="str">
        <f t="shared" si="2"/>
        <v>是</v>
      </c>
    </row>
    <row r="26" ht="24" customHeight="1" spans="1:9">
      <c r="A26" s="624">
        <v>227</v>
      </c>
      <c r="B26" s="626" t="s">
        <v>196</v>
      </c>
      <c r="C26" s="137">
        <v>0</v>
      </c>
      <c r="D26" s="137">
        <v>18500</v>
      </c>
      <c r="E26" s="137">
        <v>61</v>
      </c>
      <c r="F26" s="137">
        <f>'02'!E1322</f>
        <v>0</v>
      </c>
      <c r="G26" s="728" t="str">
        <f t="shared" si="0"/>
        <v/>
      </c>
      <c r="H26" s="639">
        <f t="shared" si="1"/>
        <v>0</v>
      </c>
      <c r="I26" s="640" t="str">
        <f t="shared" si="2"/>
        <v>是</v>
      </c>
    </row>
    <row r="27" ht="24" customHeight="1" spans="1:9">
      <c r="A27" s="624">
        <v>232</v>
      </c>
      <c r="B27" s="626" t="s">
        <v>197</v>
      </c>
      <c r="C27" s="137">
        <v>48249</v>
      </c>
      <c r="D27" s="137">
        <v>45794</v>
      </c>
      <c r="E27" s="137">
        <v>64</v>
      </c>
      <c r="F27" s="137">
        <f>'02'!E1323</f>
        <v>46367</v>
      </c>
      <c r="G27" s="728">
        <f t="shared" si="0"/>
        <v>-0.0390059897614458</v>
      </c>
      <c r="H27" s="639">
        <f t="shared" si="1"/>
        <v>1.01251255623007</v>
      </c>
      <c r="I27" s="640" t="str">
        <f t="shared" si="2"/>
        <v>是</v>
      </c>
    </row>
    <row r="28" s="202" customFormat="1" ht="24" customHeight="1" spans="1:9">
      <c r="A28" s="624">
        <v>233</v>
      </c>
      <c r="B28" s="626" t="s">
        <v>198</v>
      </c>
      <c r="C28" s="137">
        <v>187</v>
      </c>
      <c r="D28" s="137">
        <v>140</v>
      </c>
      <c r="E28" s="137">
        <v>65</v>
      </c>
      <c r="F28" s="137">
        <f>'02'!E1329</f>
        <v>238</v>
      </c>
      <c r="G28" s="728">
        <f t="shared" si="0"/>
        <v>0.272727272727273</v>
      </c>
      <c r="H28" s="639">
        <f t="shared" si="1"/>
        <v>1.7</v>
      </c>
      <c r="I28" s="640" t="str">
        <f t="shared" si="2"/>
        <v>是</v>
      </c>
    </row>
    <row r="29" s="551" customFormat="1" ht="24" customHeight="1" spans="1:9">
      <c r="A29" s="624">
        <v>229</v>
      </c>
      <c r="B29" s="626" t="s">
        <v>199</v>
      </c>
      <c r="C29" s="137">
        <v>1883</v>
      </c>
      <c r="D29" s="137"/>
      <c r="E29" s="137">
        <v>66</v>
      </c>
      <c r="F29" s="137">
        <f>'02'!E1331</f>
        <v>3839</v>
      </c>
      <c r="G29" s="728">
        <f t="shared" si="0"/>
        <v>1.03876792352629</v>
      </c>
      <c r="H29" s="639" t="str">
        <f t="shared" si="1"/>
        <v/>
      </c>
      <c r="I29" s="640" t="str">
        <f t="shared" si="2"/>
        <v>是</v>
      </c>
    </row>
    <row r="30" s="551" customFormat="1" ht="24" customHeight="1" spans="1:9">
      <c r="A30" s="588"/>
      <c r="B30" s="626"/>
      <c r="C30" s="137"/>
      <c r="D30" s="137"/>
      <c r="E30" s="137">
        <v>67</v>
      </c>
      <c r="F30" s="137"/>
      <c r="G30" s="728" t="str">
        <f t="shared" si="0"/>
        <v/>
      </c>
      <c r="H30" s="639" t="str">
        <f t="shared" si="1"/>
        <v/>
      </c>
      <c r="I30" s="640" t="str">
        <f t="shared" si="2"/>
        <v>是</v>
      </c>
    </row>
    <row r="31" ht="24" customHeight="1" spans="1:9">
      <c r="A31" s="627"/>
      <c r="B31" s="628" t="s">
        <v>200</v>
      </c>
      <c r="C31" s="629">
        <f>SUM(C5:C29)</f>
        <v>1810076</v>
      </c>
      <c r="D31" s="629">
        <f>SUM(D5:D29)</f>
        <v>1837227</v>
      </c>
      <c r="E31" s="629">
        <v>68</v>
      </c>
      <c r="F31" s="629">
        <f>SUM(F5:F29)</f>
        <v>1763231</v>
      </c>
      <c r="G31" s="729">
        <f t="shared" si="0"/>
        <v>-0.0258801287901723</v>
      </c>
      <c r="H31" s="641">
        <f t="shared" si="1"/>
        <v>0.95972408417686</v>
      </c>
      <c r="I31" s="640" t="str">
        <f t="shared" si="2"/>
        <v>是</v>
      </c>
    </row>
    <row r="32" ht="24" customHeight="1" spans="1:9">
      <c r="A32" s="574">
        <v>230</v>
      </c>
      <c r="B32" s="630" t="s">
        <v>201</v>
      </c>
      <c r="C32" s="631">
        <f>SUM(C33:C36)</f>
        <v>40294</v>
      </c>
      <c r="D32" s="631">
        <f>SUM(D33:D36)</f>
        <v>33869</v>
      </c>
      <c r="E32" s="631">
        <v>69</v>
      </c>
      <c r="F32" s="631">
        <f>SUM(F33:F36)</f>
        <v>37977</v>
      </c>
      <c r="G32" s="729">
        <f t="shared" si="0"/>
        <v>-0.0575023576711173</v>
      </c>
      <c r="H32" s="641">
        <f t="shared" si="1"/>
        <v>1.12129085594496</v>
      </c>
      <c r="I32" s="640" t="str">
        <f t="shared" si="2"/>
        <v>是</v>
      </c>
    </row>
    <row r="33" ht="24" customHeight="1" spans="1:9">
      <c r="A33" s="624">
        <v>23006</v>
      </c>
      <c r="B33" s="569" t="s">
        <v>202</v>
      </c>
      <c r="C33" s="570">
        <v>33648</v>
      </c>
      <c r="D33" s="570">
        <v>33869</v>
      </c>
      <c r="E33" s="570">
        <v>70</v>
      </c>
      <c r="F33" s="570">
        <v>35218</v>
      </c>
      <c r="G33" s="728">
        <f t="shared" si="0"/>
        <v>0.046659533999049</v>
      </c>
      <c r="H33" s="639">
        <f t="shared" si="1"/>
        <v>1.03982993297706</v>
      </c>
      <c r="I33" s="640" t="str">
        <f t="shared" si="2"/>
        <v>是</v>
      </c>
    </row>
    <row r="34" ht="24" customHeight="1" spans="1:9">
      <c r="A34" s="588">
        <v>23008</v>
      </c>
      <c r="B34" s="569" t="s">
        <v>203</v>
      </c>
      <c r="C34" s="570">
        <v>3948</v>
      </c>
      <c r="D34" s="570"/>
      <c r="E34" s="570">
        <v>72</v>
      </c>
      <c r="F34" s="570"/>
      <c r="G34" s="728">
        <f t="shared" si="0"/>
        <v>-1</v>
      </c>
      <c r="H34" s="639" t="str">
        <f t="shared" si="1"/>
        <v/>
      </c>
      <c r="I34" s="640" t="str">
        <f t="shared" si="2"/>
        <v>是</v>
      </c>
    </row>
    <row r="35" ht="24" customHeight="1" spans="1:9">
      <c r="A35" s="632">
        <v>23015</v>
      </c>
      <c r="B35" s="572" t="s">
        <v>204</v>
      </c>
      <c r="C35" s="570">
        <v>2698</v>
      </c>
      <c r="D35" s="570"/>
      <c r="E35" s="570">
        <v>73</v>
      </c>
      <c r="F35" s="570">
        <v>2759</v>
      </c>
      <c r="G35" s="728">
        <f t="shared" si="0"/>
        <v>0.0226093402520385</v>
      </c>
      <c r="H35" s="639" t="str">
        <f t="shared" si="1"/>
        <v/>
      </c>
      <c r="I35" s="640" t="str">
        <f t="shared" si="2"/>
        <v>是</v>
      </c>
    </row>
    <row r="36" ht="24" hidden="1" customHeight="1" spans="1:9">
      <c r="A36" s="632">
        <v>23016</v>
      </c>
      <c r="B36" s="572" t="s">
        <v>205</v>
      </c>
      <c r="C36" s="570">
        <v>0</v>
      </c>
      <c r="D36" s="633"/>
      <c r="E36" s="633">
        <v>74</v>
      </c>
      <c r="F36" s="633"/>
      <c r="G36" s="728" t="str">
        <f t="shared" si="0"/>
        <v/>
      </c>
      <c r="H36" s="639" t="str">
        <f t="shared" si="1"/>
        <v/>
      </c>
      <c r="I36" s="640" t="str">
        <f t="shared" si="2"/>
        <v>是</v>
      </c>
    </row>
    <row r="37" ht="24" customHeight="1" spans="1:9">
      <c r="A37" s="574">
        <v>231</v>
      </c>
      <c r="B37" s="236" t="s">
        <v>206</v>
      </c>
      <c r="C37" s="576">
        <v>175206</v>
      </c>
      <c r="D37" s="576">
        <v>214260</v>
      </c>
      <c r="E37" s="576">
        <v>75</v>
      </c>
      <c r="F37" s="576">
        <v>234021</v>
      </c>
      <c r="G37" s="729">
        <f t="shared" si="0"/>
        <v>0.335690558542516</v>
      </c>
      <c r="H37" s="641">
        <f t="shared" si="1"/>
        <v>1.0922290674881</v>
      </c>
      <c r="I37" s="640" t="str">
        <f t="shared" si="2"/>
        <v>是</v>
      </c>
    </row>
    <row r="38" ht="24" customHeight="1" spans="1:9">
      <c r="A38" s="574">
        <v>23021</v>
      </c>
      <c r="B38" s="236" t="s">
        <v>207</v>
      </c>
      <c r="C38" s="576"/>
      <c r="D38" s="576"/>
      <c r="E38" s="576">
        <v>76</v>
      </c>
      <c r="F38" s="576">
        <v>38</v>
      </c>
      <c r="G38" s="729" t="str">
        <f t="shared" si="0"/>
        <v/>
      </c>
      <c r="H38" s="641" t="str">
        <f t="shared" si="1"/>
        <v/>
      </c>
      <c r="I38" s="640" t="str">
        <f t="shared" si="2"/>
        <v>是</v>
      </c>
    </row>
    <row r="39" ht="24" customHeight="1" spans="1:9">
      <c r="A39" s="574">
        <v>23009</v>
      </c>
      <c r="B39" s="575" t="s">
        <v>208</v>
      </c>
      <c r="C39" s="576">
        <v>48541</v>
      </c>
      <c r="D39" s="576">
        <v>18493</v>
      </c>
      <c r="E39" s="576">
        <v>77</v>
      </c>
      <c r="F39" s="576">
        <v>45807</v>
      </c>
      <c r="G39" s="729">
        <f t="shared" si="0"/>
        <v>-0.0563235203230259</v>
      </c>
      <c r="H39" s="641">
        <f t="shared" si="1"/>
        <v>2.47699129400314</v>
      </c>
      <c r="I39" s="640" t="str">
        <f t="shared" si="2"/>
        <v>是</v>
      </c>
    </row>
    <row r="40" ht="24" customHeight="1" spans="1:9">
      <c r="A40" s="627"/>
      <c r="B40" s="634" t="s">
        <v>209</v>
      </c>
      <c r="C40" s="635">
        <f>SUM(C31:C32,C37:C39)</f>
        <v>2074117</v>
      </c>
      <c r="D40" s="635">
        <f>SUM(D31:D32,D37:D39)</f>
        <v>2103849</v>
      </c>
      <c r="E40" s="635">
        <v>78</v>
      </c>
      <c r="F40" s="635">
        <f>SUM(F31:F32,F37:F39)</f>
        <v>2081074</v>
      </c>
      <c r="G40" s="729">
        <f t="shared" si="0"/>
        <v>0.00335419843721449</v>
      </c>
      <c r="H40" s="641">
        <f t="shared" si="1"/>
        <v>0.989174603310409</v>
      </c>
      <c r="I40" s="640" t="str">
        <f t="shared" si="2"/>
        <v>是</v>
      </c>
    </row>
    <row r="41" spans="3:7">
      <c r="C41" s="636"/>
      <c r="D41" s="636"/>
      <c r="E41" s="636">
        <v>79</v>
      </c>
      <c r="F41" s="636"/>
      <c r="G41" s="636"/>
    </row>
    <row r="42" spans="5:5">
      <c r="E42" s="553">
        <v>80</v>
      </c>
    </row>
    <row r="43" spans="3:7">
      <c r="C43" s="636"/>
      <c r="D43" s="636"/>
      <c r="E43" s="636">
        <v>81</v>
      </c>
      <c r="F43" s="636"/>
      <c r="G43" s="636"/>
    </row>
    <row r="44" spans="5:5">
      <c r="E44" s="553">
        <v>82</v>
      </c>
    </row>
    <row r="45" spans="3:7">
      <c r="C45" s="636"/>
      <c r="D45" s="636"/>
      <c r="E45" s="636">
        <v>83</v>
      </c>
      <c r="F45" s="636"/>
      <c r="G45" s="636"/>
    </row>
    <row r="46" spans="3:7">
      <c r="C46" s="636"/>
      <c r="D46" s="636"/>
      <c r="E46" s="636">
        <v>84</v>
      </c>
      <c r="F46" s="636"/>
      <c r="G46" s="636"/>
    </row>
    <row r="47" spans="5:5">
      <c r="E47" s="553">
        <v>86</v>
      </c>
    </row>
    <row r="48" spans="3:7">
      <c r="C48" s="636"/>
      <c r="D48" s="636"/>
      <c r="E48" s="636">
        <v>89</v>
      </c>
      <c r="F48" s="636"/>
      <c r="G48" s="636"/>
    </row>
    <row r="49" spans="3:7">
      <c r="C49" s="636"/>
      <c r="D49" s="636"/>
      <c r="E49" s="636">
        <v>92</v>
      </c>
      <c r="F49" s="636"/>
      <c r="G49" s="636"/>
    </row>
    <row r="50" spans="3:7">
      <c r="C50" s="636"/>
      <c r="D50" s="636"/>
      <c r="E50" s="636">
        <v>94</v>
      </c>
      <c r="F50" s="636"/>
      <c r="G50" s="636"/>
    </row>
    <row r="51" spans="3:7">
      <c r="C51" s="636"/>
      <c r="D51" s="636"/>
      <c r="E51" s="636"/>
      <c r="F51" s="636"/>
      <c r="G51" s="636"/>
    </row>
    <row r="53" spans="3:7">
      <c r="C53" s="636"/>
      <c r="D53" s="636"/>
      <c r="E53" s="636"/>
      <c r="F53" s="636"/>
      <c r="G53" s="636"/>
    </row>
  </sheetData>
  <autoFilter ref="A4:I50">
    <filterColumn colId="8">
      <customFilters>
        <customFilter operator="equal" val="是"/>
      </customFilters>
    </filterColumn>
    <extLst/>
  </autoFilter>
  <mergeCells count="6">
    <mergeCell ref="B1:H1"/>
    <mergeCell ref="D3:F3"/>
    <mergeCell ref="G3:H3"/>
    <mergeCell ref="A3:A4"/>
    <mergeCell ref="B3:B4"/>
    <mergeCell ref="C3:C4"/>
  </mergeCells>
  <conditionalFormatting sqref="E33">
    <cfRule type="cellIs" dxfId="2" priority="2" stopIfTrue="1" operator="lessThanOrEqual">
      <formula>-1</formula>
    </cfRule>
  </conditionalFormatting>
  <conditionalFormatting sqref="E39">
    <cfRule type="cellIs" dxfId="2" priority="1" stopIfTrue="1" operator="lessThanOrEqual">
      <formula>-1</formula>
    </cfRule>
  </conditionalFormatting>
  <conditionalFormatting sqref="E34:E35">
    <cfRule type="cellIs" dxfId="2" priority="3" stopIfTrue="1" operator="lessThanOrEqual">
      <formula>-1</formula>
    </cfRule>
  </conditionalFormatting>
  <conditionalFormatting sqref="C33:D33 F33 C34:C39">
    <cfRule type="cellIs" dxfId="2" priority="5" stopIfTrue="1" operator="lessThanOrEqual">
      <formula>-1</formula>
    </cfRule>
  </conditionalFormatting>
  <conditionalFormatting sqref="D34:D35 F34:F35">
    <cfRule type="cellIs" dxfId="2" priority="7" stopIfTrue="1" operator="lessThanOrEqual">
      <formula>-1</formula>
    </cfRule>
  </conditionalFormatting>
  <conditionalFormatting sqref="A35:B36 A40:B40">
    <cfRule type="expression" dxfId="0" priority="6" stopIfTrue="1">
      <formula>"len($A:$A)=3"</formula>
    </cfRule>
  </conditionalFormatting>
  <conditionalFormatting sqref="D39 F39">
    <cfRule type="cellIs" dxfId="2" priority="4" stopIfTrue="1" operator="lessThanOrEqual">
      <formula>-1</formula>
    </cfRule>
  </conditionalFormatting>
  <printOptions horizontalCentered="1"/>
  <pageMargins left="0.472222222222222" right="0.393055555555556" top="0.472222222222222" bottom="0.472222222222222" header="0.314583333333333" footer="0.314583333333333"/>
  <pageSetup paperSize="9" scale="69" orientation="portrait" horizontalDpi="600"/>
  <headerFooter alignWithMargins="0">
    <oddFooter>&amp;C&amp;16- &amp;P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5">
    <tabColor rgb="FF00B0F0"/>
    <pageSetUpPr fitToPage="1"/>
  </sheetPr>
  <dimension ref="A1:J1399"/>
  <sheetViews>
    <sheetView showZeros="0" view="pageBreakPreview" zoomScale="70" zoomScaleNormal="100" workbookViewId="0">
      <pane ySplit="4" topLeftCell="A1038" activePane="bottomLeft" state="frozen"/>
      <selection/>
      <selection pane="bottomLeft" activeCell="K1327" sqref="K1327"/>
    </sheetView>
  </sheetViews>
  <sheetFormatPr defaultColWidth="9" defaultRowHeight="14.25"/>
  <cols>
    <col min="1" max="1" width="16.775" style="312" hidden="1" customWidth="1"/>
    <col min="2" max="2" width="52.25" style="312" customWidth="1"/>
    <col min="3" max="3" width="17.4916666666667" style="417" customWidth="1"/>
    <col min="4" max="5" width="17.4916666666667" style="508" customWidth="1"/>
    <col min="6" max="6" width="14.4583333333333" style="508" customWidth="1"/>
    <col min="7" max="7" width="14.4583333333333" style="312" customWidth="1"/>
    <col min="8" max="8" width="4.38333333333333" style="312" customWidth="1"/>
    <col min="9" max="9" width="9" style="312" customWidth="1"/>
    <col min="10" max="16384" width="9" style="312"/>
  </cols>
  <sheetData>
    <row r="1" s="504" customFormat="1" ht="45" customHeight="1" spans="2:7">
      <c r="B1" s="509" t="s">
        <v>10</v>
      </c>
      <c r="C1" s="509"/>
      <c r="D1" s="518"/>
      <c r="E1" s="518"/>
      <c r="F1" s="518"/>
      <c r="G1" s="509"/>
    </row>
    <row r="2" s="504" customFormat="1" ht="20.1" customHeight="1" spans="1:7">
      <c r="A2" s="511"/>
      <c r="B2" s="512" t="s">
        <v>9</v>
      </c>
      <c r="C2" s="520"/>
      <c r="D2" s="519"/>
      <c r="E2" s="519"/>
      <c r="F2" s="519"/>
      <c r="G2" s="520" t="s">
        <v>103</v>
      </c>
    </row>
    <row r="3" s="504" customFormat="1" ht="20.1" customHeight="1" spans="1:7">
      <c r="A3" s="511"/>
      <c r="B3" s="446" t="s">
        <v>105</v>
      </c>
      <c r="C3" s="672" t="s">
        <v>106</v>
      </c>
      <c r="D3" s="672" t="s">
        <v>107</v>
      </c>
      <c r="E3" s="672"/>
      <c r="F3" s="674" t="s">
        <v>108</v>
      </c>
      <c r="G3" s="672"/>
    </row>
    <row r="4" s="505" customFormat="1" ht="39" customHeight="1" spans="1:9">
      <c r="A4" s="599" t="s">
        <v>104</v>
      </c>
      <c r="B4" s="446"/>
      <c r="C4" s="672"/>
      <c r="D4" s="672" t="s">
        <v>109</v>
      </c>
      <c r="E4" s="672" t="s">
        <v>110</v>
      </c>
      <c r="F4" s="674" t="s">
        <v>111</v>
      </c>
      <c r="G4" s="398" t="s">
        <v>112</v>
      </c>
      <c r="H4" s="522" t="s">
        <v>113</v>
      </c>
      <c r="I4" s="505" t="s">
        <v>210</v>
      </c>
    </row>
    <row r="5" ht="24" customHeight="1" spans="1:9">
      <c r="A5" s="329">
        <v>201</v>
      </c>
      <c r="B5" s="377" t="s">
        <v>175</v>
      </c>
      <c r="C5" s="601">
        <f>C6+C18+C27+C37+C48+C59+C70+C78+C87+C100+C109+C120+C132+C139+C147+C153+C160+C167+C174+C181+C188+C196+C202+C208+C215+C230+C237+C250</f>
        <v>132245</v>
      </c>
      <c r="D5" s="712">
        <f>D6+D18+D27+D37+D48+D59+D70+D78+D87+D100+D109+D120+D132+D139+D147+D153+D160+D167+D174+D181+D188+D196+D202+D208+D215+D230+D237+D250</f>
        <v>138494</v>
      </c>
      <c r="E5" s="712">
        <f>E6+E18+E27+E37+E48+E59+E70+E78+E87+E100+E109+E120+E132+E139+E147+E153+E160+E167+E174+E181+E188+E196+E202+E208+E215+E230+E237+E250</f>
        <v>149662</v>
      </c>
      <c r="F5" s="715">
        <f t="shared" ref="F5:F68" si="0">IFERROR((E5-C5)/C5,"")</f>
        <v>0.131702521834474</v>
      </c>
      <c r="G5" s="467">
        <f t="shared" ref="G5:G68" si="1">IFERROR(E5/D5,"")</f>
        <v>1.08063887244213</v>
      </c>
      <c r="H5" s="524" t="str">
        <f>IF(LEN(A5)=3,"是",IF(B5&lt;&gt;"",IF(SUM(C5:E5)&lt;&gt;0,"是","否"),"是"))</f>
        <v>是</v>
      </c>
      <c r="I5" s="312" t="str">
        <f t="shared" ref="I5:I68" si="2">IF(LEN(A5)=3,"类",IF(LEN(A5)=5,"款","项"))</f>
        <v>类</v>
      </c>
    </row>
    <row r="6" ht="24" customHeight="1" spans="1:9">
      <c r="A6" s="330">
        <v>20101</v>
      </c>
      <c r="B6" s="379" t="s">
        <v>211</v>
      </c>
      <c r="C6" s="602">
        <f>SUM(C7:C17)</f>
        <v>3063</v>
      </c>
      <c r="D6" s="713">
        <f>SUM(D7:D17)</f>
        <v>3107</v>
      </c>
      <c r="E6" s="713">
        <f>SUM(E7:E17)</f>
        <v>5903</v>
      </c>
      <c r="F6" s="716">
        <f t="shared" si="0"/>
        <v>0.927195559908586</v>
      </c>
      <c r="G6" s="470">
        <f t="shared" si="1"/>
        <v>1.8999034438365</v>
      </c>
      <c r="H6" s="524" t="str">
        <f t="shared" ref="H6:H69" si="3">IF(LEN(A6)=3,"是",IF(B6&lt;&gt;"",IF(SUM(C6:E6)&lt;&gt;0,"是","否"),"是"))</f>
        <v>是</v>
      </c>
      <c r="I6" s="312" t="str">
        <f t="shared" si="2"/>
        <v>款</v>
      </c>
    </row>
    <row r="7" s="372" customFormat="1" ht="24" hidden="1" customHeight="1" spans="1:9">
      <c r="A7" s="330">
        <v>2010101</v>
      </c>
      <c r="B7" s="379" t="s">
        <v>212</v>
      </c>
      <c r="C7" s="602">
        <f>'[2]2'!E7</f>
        <v>2225</v>
      </c>
      <c r="D7" s="714">
        <v>2256</v>
      </c>
      <c r="E7" s="713">
        <v>4990</v>
      </c>
      <c r="F7" s="716">
        <f t="shared" si="0"/>
        <v>1.24269662921348</v>
      </c>
      <c r="G7" s="470">
        <f t="shared" si="1"/>
        <v>2.21187943262411</v>
      </c>
      <c r="H7" s="524" t="str">
        <f t="shared" si="3"/>
        <v>是</v>
      </c>
      <c r="I7" s="312" t="str">
        <f t="shared" si="2"/>
        <v>项</v>
      </c>
    </row>
    <row r="8" s="372" customFormat="1" ht="24" hidden="1" customHeight="1" spans="1:9">
      <c r="A8" s="330">
        <v>2010102</v>
      </c>
      <c r="B8" s="379" t="s">
        <v>213</v>
      </c>
      <c r="C8" s="602">
        <f>'[2]2'!E8</f>
        <v>173</v>
      </c>
      <c r="D8" s="714">
        <v>182</v>
      </c>
      <c r="E8" s="713">
        <v>175</v>
      </c>
      <c r="F8" s="716">
        <f t="shared" si="0"/>
        <v>0.0115606936416185</v>
      </c>
      <c r="G8" s="470">
        <f t="shared" si="1"/>
        <v>0.961538461538462</v>
      </c>
      <c r="H8" s="524" t="str">
        <f t="shared" si="3"/>
        <v>是</v>
      </c>
      <c r="I8" s="312" t="str">
        <f t="shared" si="2"/>
        <v>项</v>
      </c>
    </row>
    <row r="9" s="372" customFormat="1" ht="24" hidden="1" customHeight="1" spans="1:9">
      <c r="A9" s="330">
        <v>2010103</v>
      </c>
      <c r="B9" s="379" t="s">
        <v>214</v>
      </c>
      <c r="C9" s="602">
        <f>'[2]2'!E9</f>
        <v>57</v>
      </c>
      <c r="D9" s="714">
        <v>60</v>
      </c>
      <c r="E9" s="713">
        <v>54</v>
      </c>
      <c r="F9" s="716">
        <f t="shared" si="0"/>
        <v>-0.0526315789473684</v>
      </c>
      <c r="G9" s="470">
        <f t="shared" si="1"/>
        <v>0.9</v>
      </c>
      <c r="H9" s="524" t="str">
        <f t="shared" si="3"/>
        <v>是</v>
      </c>
      <c r="I9" s="312" t="str">
        <f t="shared" si="2"/>
        <v>项</v>
      </c>
    </row>
    <row r="10" s="372" customFormat="1" ht="24" hidden="1" customHeight="1" spans="1:9">
      <c r="A10" s="330">
        <v>2010104</v>
      </c>
      <c r="B10" s="379" t="s">
        <v>215</v>
      </c>
      <c r="C10" s="602">
        <f>'[2]2'!E10</f>
        <v>280</v>
      </c>
      <c r="D10" s="714">
        <v>285</v>
      </c>
      <c r="E10" s="713">
        <v>312</v>
      </c>
      <c r="F10" s="716">
        <f t="shared" si="0"/>
        <v>0.114285714285714</v>
      </c>
      <c r="G10" s="470">
        <f t="shared" si="1"/>
        <v>1.09473684210526</v>
      </c>
      <c r="H10" s="524" t="str">
        <f t="shared" si="3"/>
        <v>是</v>
      </c>
      <c r="I10" s="312" t="str">
        <f t="shared" si="2"/>
        <v>项</v>
      </c>
    </row>
    <row r="11" s="372" customFormat="1" ht="24" hidden="1" customHeight="1" spans="1:9">
      <c r="A11" s="330">
        <v>2010105</v>
      </c>
      <c r="B11" s="379" t="s">
        <v>216</v>
      </c>
      <c r="C11" s="602">
        <f>'[2]2'!E11</f>
        <v>1</v>
      </c>
      <c r="D11" s="714">
        <v>1</v>
      </c>
      <c r="E11" s="713">
        <v>4</v>
      </c>
      <c r="F11" s="716">
        <f t="shared" si="0"/>
        <v>3</v>
      </c>
      <c r="G11" s="470">
        <f t="shared" si="1"/>
        <v>4</v>
      </c>
      <c r="H11" s="524" t="str">
        <f t="shared" si="3"/>
        <v>是</v>
      </c>
      <c r="I11" s="312" t="str">
        <f t="shared" si="2"/>
        <v>项</v>
      </c>
    </row>
    <row r="12" s="372" customFormat="1" ht="24" hidden="1" customHeight="1" spans="1:9">
      <c r="A12" s="330">
        <v>2010106</v>
      </c>
      <c r="B12" s="379" t="s">
        <v>217</v>
      </c>
      <c r="C12" s="602">
        <f>'[2]2'!E12</f>
        <v>16</v>
      </c>
      <c r="D12" s="714">
        <v>17</v>
      </c>
      <c r="E12" s="713">
        <v>20</v>
      </c>
      <c r="F12" s="716">
        <f t="shared" si="0"/>
        <v>0.25</v>
      </c>
      <c r="G12" s="470">
        <f t="shared" si="1"/>
        <v>1.17647058823529</v>
      </c>
      <c r="H12" s="524" t="str">
        <f t="shared" si="3"/>
        <v>是</v>
      </c>
      <c r="I12" s="312" t="str">
        <f t="shared" si="2"/>
        <v>项</v>
      </c>
    </row>
    <row r="13" s="372" customFormat="1" ht="24" hidden="1" customHeight="1" spans="1:9">
      <c r="A13" s="330">
        <v>2010107</v>
      </c>
      <c r="B13" s="379" t="s">
        <v>218</v>
      </c>
      <c r="C13" s="602">
        <f>'[2]2'!E13</f>
        <v>112</v>
      </c>
      <c r="D13" s="714">
        <v>115</v>
      </c>
      <c r="E13" s="713">
        <v>94</v>
      </c>
      <c r="F13" s="716">
        <f t="shared" si="0"/>
        <v>-0.160714285714286</v>
      </c>
      <c r="G13" s="470">
        <f t="shared" si="1"/>
        <v>0.817391304347826</v>
      </c>
      <c r="H13" s="524" t="str">
        <f t="shared" si="3"/>
        <v>是</v>
      </c>
      <c r="I13" s="312" t="str">
        <f t="shared" si="2"/>
        <v>项</v>
      </c>
    </row>
    <row r="14" s="372" customFormat="1" ht="24" hidden="1" customHeight="1" spans="1:9">
      <c r="A14" s="330">
        <v>2010108</v>
      </c>
      <c r="B14" s="379" t="s">
        <v>219</v>
      </c>
      <c r="C14" s="602">
        <f>'[2]2'!E14</f>
        <v>52</v>
      </c>
      <c r="D14" s="714">
        <v>55</v>
      </c>
      <c r="E14" s="713">
        <v>84</v>
      </c>
      <c r="F14" s="716">
        <f t="shared" si="0"/>
        <v>0.615384615384615</v>
      </c>
      <c r="G14" s="470">
        <f t="shared" si="1"/>
        <v>1.52727272727273</v>
      </c>
      <c r="H14" s="524" t="str">
        <f t="shared" si="3"/>
        <v>是</v>
      </c>
      <c r="I14" s="312" t="str">
        <f t="shared" si="2"/>
        <v>项</v>
      </c>
    </row>
    <row r="15" s="372" customFormat="1" ht="24" hidden="1" customHeight="1" spans="1:9">
      <c r="A15" s="330">
        <v>2010109</v>
      </c>
      <c r="B15" s="379" t="s">
        <v>220</v>
      </c>
      <c r="C15" s="602">
        <f>'[2]2'!E15</f>
        <v>0</v>
      </c>
      <c r="D15" s="714"/>
      <c r="E15" s="713">
        <v>0</v>
      </c>
      <c r="F15" s="716" t="str">
        <f t="shared" si="0"/>
        <v/>
      </c>
      <c r="G15" s="470" t="str">
        <f t="shared" si="1"/>
        <v/>
      </c>
      <c r="H15" s="524" t="str">
        <f t="shared" si="3"/>
        <v>否</v>
      </c>
      <c r="I15" s="312" t="str">
        <f t="shared" si="2"/>
        <v>项</v>
      </c>
    </row>
    <row r="16" s="372" customFormat="1" ht="24" hidden="1" customHeight="1" spans="1:9">
      <c r="A16" s="330">
        <v>2010150</v>
      </c>
      <c r="B16" s="379" t="s">
        <v>221</v>
      </c>
      <c r="C16" s="602">
        <f>'[2]2'!E16</f>
        <v>34</v>
      </c>
      <c r="D16" s="714">
        <v>35</v>
      </c>
      <c r="E16" s="713">
        <v>0</v>
      </c>
      <c r="F16" s="716">
        <f t="shared" si="0"/>
        <v>-1</v>
      </c>
      <c r="G16" s="470">
        <f t="shared" si="1"/>
        <v>0</v>
      </c>
      <c r="H16" s="524" t="str">
        <f t="shared" si="3"/>
        <v>是</v>
      </c>
      <c r="I16" s="312" t="str">
        <f t="shared" si="2"/>
        <v>项</v>
      </c>
    </row>
    <row r="17" s="372" customFormat="1" ht="24" hidden="1" customHeight="1" spans="1:9">
      <c r="A17" s="330">
        <v>2010199</v>
      </c>
      <c r="B17" s="379" t="s">
        <v>222</v>
      </c>
      <c r="C17" s="602">
        <f>'[2]2'!E17</f>
        <v>113</v>
      </c>
      <c r="D17" s="714">
        <v>101</v>
      </c>
      <c r="E17" s="713">
        <v>170</v>
      </c>
      <c r="F17" s="716">
        <f t="shared" si="0"/>
        <v>0.504424778761062</v>
      </c>
      <c r="G17" s="470">
        <f t="shared" si="1"/>
        <v>1.68316831683168</v>
      </c>
      <c r="H17" s="524" t="str">
        <f t="shared" si="3"/>
        <v>是</v>
      </c>
      <c r="I17" s="312" t="str">
        <f t="shared" si="2"/>
        <v>项</v>
      </c>
    </row>
    <row r="18" ht="24" customHeight="1" spans="1:9">
      <c r="A18" s="330">
        <v>20102</v>
      </c>
      <c r="B18" s="379" t="s">
        <v>223</v>
      </c>
      <c r="C18" s="602">
        <f>SUM(C19:C26)</f>
        <v>4957</v>
      </c>
      <c r="D18" s="713">
        <f>SUM(D19:D26)</f>
        <v>4983</v>
      </c>
      <c r="E18" s="713">
        <f>SUM(E19:E26)</f>
        <v>5289</v>
      </c>
      <c r="F18" s="716">
        <f t="shared" si="0"/>
        <v>0.0669759935444826</v>
      </c>
      <c r="G18" s="470">
        <f t="shared" si="1"/>
        <v>1.06140878988561</v>
      </c>
      <c r="H18" s="524" t="str">
        <f t="shared" si="3"/>
        <v>是</v>
      </c>
      <c r="I18" s="312" t="str">
        <f t="shared" si="2"/>
        <v>款</v>
      </c>
    </row>
    <row r="19" s="372" customFormat="1" ht="24" hidden="1" customHeight="1" spans="1:9">
      <c r="A19" s="330">
        <v>2010201</v>
      </c>
      <c r="B19" s="379" t="s">
        <v>212</v>
      </c>
      <c r="C19" s="602">
        <f>'[2]2'!E19</f>
        <v>4464</v>
      </c>
      <c r="D19" s="714">
        <v>4485</v>
      </c>
      <c r="E19" s="713">
        <v>4791</v>
      </c>
      <c r="F19" s="716">
        <f t="shared" si="0"/>
        <v>0.073252688172043</v>
      </c>
      <c r="G19" s="470">
        <f t="shared" si="1"/>
        <v>1.06822742474916</v>
      </c>
      <c r="H19" s="524" t="str">
        <f t="shared" si="3"/>
        <v>是</v>
      </c>
      <c r="I19" s="312" t="str">
        <f t="shared" si="2"/>
        <v>项</v>
      </c>
    </row>
    <row r="20" s="372" customFormat="1" ht="24" hidden="1" customHeight="1" spans="1:9">
      <c r="A20" s="330">
        <v>2010202</v>
      </c>
      <c r="B20" s="379" t="s">
        <v>213</v>
      </c>
      <c r="C20" s="602">
        <f>'[2]2'!E20</f>
        <v>159</v>
      </c>
      <c r="D20" s="714">
        <v>162</v>
      </c>
      <c r="E20" s="713">
        <v>110</v>
      </c>
      <c r="F20" s="716">
        <f t="shared" si="0"/>
        <v>-0.308176100628931</v>
      </c>
      <c r="G20" s="470">
        <f t="shared" si="1"/>
        <v>0.679012345679012</v>
      </c>
      <c r="H20" s="524" t="str">
        <f t="shared" si="3"/>
        <v>是</v>
      </c>
      <c r="I20" s="312" t="str">
        <f t="shared" si="2"/>
        <v>项</v>
      </c>
    </row>
    <row r="21" s="372" customFormat="1" ht="24" hidden="1" customHeight="1" spans="1:9">
      <c r="A21" s="330">
        <v>2010203</v>
      </c>
      <c r="B21" s="379" t="s">
        <v>214</v>
      </c>
      <c r="C21" s="602">
        <f>'[2]2'!E21</f>
        <v>0</v>
      </c>
      <c r="D21" s="714"/>
      <c r="E21" s="713">
        <v>0</v>
      </c>
      <c r="F21" s="716" t="str">
        <f t="shared" si="0"/>
        <v/>
      </c>
      <c r="G21" s="470" t="str">
        <f t="shared" si="1"/>
        <v/>
      </c>
      <c r="H21" s="524" t="str">
        <f t="shared" si="3"/>
        <v>否</v>
      </c>
      <c r="I21" s="312" t="str">
        <f t="shared" si="2"/>
        <v>项</v>
      </c>
    </row>
    <row r="22" s="372" customFormat="1" ht="24" hidden="1" customHeight="1" spans="1:9">
      <c r="A22" s="330">
        <v>2010204</v>
      </c>
      <c r="B22" s="379" t="s">
        <v>224</v>
      </c>
      <c r="C22" s="602">
        <f>'[2]2'!E22</f>
        <v>172</v>
      </c>
      <c r="D22" s="714">
        <v>179</v>
      </c>
      <c r="E22" s="713">
        <v>137</v>
      </c>
      <c r="F22" s="716">
        <f t="shared" si="0"/>
        <v>-0.203488372093023</v>
      </c>
      <c r="G22" s="470">
        <f t="shared" si="1"/>
        <v>0.76536312849162</v>
      </c>
      <c r="H22" s="524" t="str">
        <f t="shared" si="3"/>
        <v>是</v>
      </c>
      <c r="I22" s="312" t="str">
        <f t="shared" si="2"/>
        <v>项</v>
      </c>
    </row>
    <row r="23" s="372" customFormat="1" ht="24" hidden="1" customHeight="1" spans="1:9">
      <c r="A23" s="330">
        <v>2010205</v>
      </c>
      <c r="B23" s="379" t="s">
        <v>225</v>
      </c>
      <c r="C23" s="602">
        <f>'[2]2'!E23</f>
        <v>23</v>
      </c>
      <c r="D23" s="714">
        <v>25</v>
      </c>
      <c r="E23" s="713">
        <v>12</v>
      </c>
      <c r="F23" s="716">
        <f t="shared" si="0"/>
        <v>-0.478260869565217</v>
      </c>
      <c r="G23" s="470">
        <f t="shared" si="1"/>
        <v>0.48</v>
      </c>
      <c r="H23" s="524" t="str">
        <f t="shared" si="3"/>
        <v>是</v>
      </c>
      <c r="I23" s="312" t="str">
        <f t="shared" si="2"/>
        <v>项</v>
      </c>
    </row>
    <row r="24" s="372" customFormat="1" ht="24" hidden="1" customHeight="1" spans="1:9">
      <c r="A24" s="330">
        <v>2010206</v>
      </c>
      <c r="B24" s="379" t="s">
        <v>226</v>
      </c>
      <c r="C24" s="602">
        <f>'[2]2'!E24</f>
        <v>19</v>
      </c>
      <c r="D24" s="714">
        <v>21</v>
      </c>
      <c r="E24" s="713">
        <v>14</v>
      </c>
      <c r="F24" s="716">
        <f t="shared" si="0"/>
        <v>-0.263157894736842</v>
      </c>
      <c r="G24" s="470">
        <f t="shared" si="1"/>
        <v>0.666666666666667</v>
      </c>
      <c r="H24" s="524" t="str">
        <f t="shared" si="3"/>
        <v>是</v>
      </c>
      <c r="I24" s="312" t="str">
        <f t="shared" si="2"/>
        <v>项</v>
      </c>
    </row>
    <row r="25" s="372" customFormat="1" ht="24" hidden="1" customHeight="1" spans="1:9">
      <c r="A25" s="330">
        <v>2010250</v>
      </c>
      <c r="B25" s="379" t="s">
        <v>221</v>
      </c>
      <c r="C25" s="602">
        <f>'[2]2'!E25</f>
        <v>0</v>
      </c>
      <c r="D25" s="714"/>
      <c r="E25" s="713">
        <v>0</v>
      </c>
      <c r="F25" s="716" t="str">
        <f t="shared" si="0"/>
        <v/>
      </c>
      <c r="G25" s="470" t="str">
        <f t="shared" si="1"/>
        <v/>
      </c>
      <c r="H25" s="524" t="str">
        <f t="shared" si="3"/>
        <v>否</v>
      </c>
      <c r="I25" s="312" t="str">
        <f t="shared" si="2"/>
        <v>项</v>
      </c>
    </row>
    <row r="26" s="372" customFormat="1" ht="24" hidden="1" customHeight="1" spans="1:9">
      <c r="A26" s="330">
        <v>2010299</v>
      </c>
      <c r="B26" s="379" t="s">
        <v>227</v>
      </c>
      <c r="C26" s="602">
        <f>'[2]2'!E26</f>
        <v>120</v>
      </c>
      <c r="D26" s="714">
        <v>111</v>
      </c>
      <c r="E26" s="713">
        <v>225</v>
      </c>
      <c r="F26" s="716">
        <f t="shared" si="0"/>
        <v>0.875</v>
      </c>
      <c r="G26" s="470">
        <f t="shared" si="1"/>
        <v>2.02702702702703</v>
      </c>
      <c r="H26" s="524" t="str">
        <f t="shared" si="3"/>
        <v>是</v>
      </c>
      <c r="I26" s="312" t="str">
        <f t="shared" si="2"/>
        <v>项</v>
      </c>
    </row>
    <row r="27" ht="24" customHeight="1" spans="1:9">
      <c r="A27" s="330">
        <v>20103</v>
      </c>
      <c r="B27" s="379" t="s">
        <v>228</v>
      </c>
      <c r="C27" s="602">
        <f>SUM(C28:C36)</f>
        <v>47212</v>
      </c>
      <c r="D27" s="713">
        <f>SUM(D28:D36)</f>
        <v>46455</v>
      </c>
      <c r="E27" s="713">
        <f>SUM(E28:E36)</f>
        <v>53527</v>
      </c>
      <c r="F27" s="716">
        <f t="shared" si="0"/>
        <v>0.133758366516987</v>
      </c>
      <c r="G27" s="470">
        <f t="shared" si="1"/>
        <v>1.15223334409644</v>
      </c>
      <c r="H27" s="524" t="str">
        <f t="shared" si="3"/>
        <v>是</v>
      </c>
      <c r="I27" s="312" t="str">
        <f t="shared" si="2"/>
        <v>款</v>
      </c>
    </row>
    <row r="28" s="372" customFormat="1" ht="24" hidden="1" customHeight="1" spans="1:9">
      <c r="A28" s="330">
        <v>2010301</v>
      </c>
      <c r="B28" s="379" t="s">
        <v>212</v>
      </c>
      <c r="C28" s="602">
        <f>'[2]2'!E28</f>
        <v>30603</v>
      </c>
      <c r="D28" s="714">
        <v>30859</v>
      </c>
      <c r="E28" s="713">
        <v>32143</v>
      </c>
      <c r="F28" s="716">
        <f t="shared" si="0"/>
        <v>0.0503218638695553</v>
      </c>
      <c r="G28" s="470">
        <f t="shared" si="1"/>
        <v>1.0416086068894</v>
      </c>
      <c r="H28" s="524" t="str">
        <f t="shared" si="3"/>
        <v>是</v>
      </c>
      <c r="I28" s="312" t="str">
        <f t="shared" si="2"/>
        <v>项</v>
      </c>
    </row>
    <row r="29" s="372" customFormat="1" ht="24" hidden="1" customHeight="1" spans="1:9">
      <c r="A29" s="330">
        <v>2010302</v>
      </c>
      <c r="B29" s="379" t="s">
        <v>213</v>
      </c>
      <c r="C29" s="602">
        <f>'[2]2'!E29</f>
        <v>1499</v>
      </c>
      <c r="D29" s="714">
        <v>1523</v>
      </c>
      <c r="E29" s="713">
        <v>1854</v>
      </c>
      <c r="F29" s="716">
        <f t="shared" si="0"/>
        <v>0.2368245496998</v>
      </c>
      <c r="G29" s="470">
        <f t="shared" si="1"/>
        <v>1.21733420879842</v>
      </c>
      <c r="H29" s="524" t="str">
        <f t="shared" si="3"/>
        <v>是</v>
      </c>
      <c r="I29" s="312" t="str">
        <f t="shared" si="2"/>
        <v>项</v>
      </c>
    </row>
    <row r="30" s="372" customFormat="1" ht="24" hidden="1" customHeight="1" spans="1:9">
      <c r="A30" s="330">
        <v>2010303</v>
      </c>
      <c r="B30" s="379" t="s">
        <v>214</v>
      </c>
      <c r="C30" s="602">
        <f>'[2]2'!E30</f>
        <v>825</v>
      </c>
      <c r="D30" s="714">
        <v>832</v>
      </c>
      <c r="E30" s="713">
        <v>730</v>
      </c>
      <c r="F30" s="716">
        <f t="shared" si="0"/>
        <v>-0.115151515151515</v>
      </c>
      <c r="G30" s="470">
        <f t="shared" si="1"/>
        <v>0.877403846153846</v>
      </c>
      <c r="H30" s="524" t="str">
        <f t="shared" si="3"/>
        <v>是</v>
      </c>
      <c r="I30" s="312" t="str">
        <f t="shared" si="2"/>
        <v>项</v>
      </c>
    </row>
    <row r="31" s="372" customFormat="1" ht="24" hidden="1" customHeight="1" spans="1:9">
      <c r="A31" s="330">
        <v>2010304</v>
      </c>
      <c r="B31" s="379" t="s">
        <v>229</v>
      </c>
      <c r="C31" s="602">
        <f>'[2]2'!E31</f>
        <v>2</v>
      </c>
      <c r="D31" s="714">
        <v>0</v>
      </c>
      <c r="E31" s="713">
        <v>2</v>
      </c>
      <c r="F31" s="716">
        <f t="shared" si="0"/>
        <v>0</v>
      </c>
      <c r="G31" s="470" t="str">
        <f t="shared" si="1"/>
        <v/>
      </c>
      <c r="H31" s="524" t="str">
        <f t="shared" si="3"/>
        <v>是</v>
      </c>
      <c r="I31" s="312" t="str">
        <f t="shared" si="2"/>
        <v>项</v>
      </c>
    </row>
    <row r="32" s="372" customFormat="1" ht="24" hidden="1" customHeight="1" spans="1:9">
      <c r="A32" s="330">
        <v>2010305</v>
      </c>
      <c r="B32" s="379" t="s">
        <v>230</v>
      </c>
      <c r="C32" s="602">
        <f>'[2]2'!E32</f>
        <v>18</v>
      </c>
      <c r="D32" s="714">
        <v>19</v>
      </c>
      <c r="E32" s="713">
        <v>9</v>
      </c>
      <c r="F32" s="716">
        <f t="shared" si="0"/>
        <v>-0.5</v>
      </c>
      <c r="G32" s="470">
        <f t="shared" si="1"/>
        <v>0.473684210526316</v>
      </c>
      <c r="H32" s="524" t="str">
        <f t="shared" si="3"/>
        <v>是</v>
      </c>
      <c r="I32" s="312" t="str">
        <f t="shared" si="2"/>
        <v>项</v>
      </c>
    </row>
    <row r="33" s="372" customFormat="1" ht="24" hidden="1" customHeight="1" spans="1:9">
      <c r="A33" s="330">
        <v>2010306</v>
      </c>
      <c r="B33" s="379" t="s">
        <v>231</v>
      </c>
      <c r="C33" s="602">
        <f>'[2]2'!E33</f>
        <v>0</v>
      </c>
      <c r="D33" s="714"/>
      <c r="E33" s="713">
        <v>0</v>
      </c>
      <c r="F33" s="716" t="str">
        <f t="shared" si="0"/>
        <v/>
      </c>
      <c r="G33" s="470" t="str">
        <f t="shared" si="1"/>
        <v/>
      </c>
      <c r="H33" s="524" t="str">
        <f t="shared" si="3"/>
        <v>否</v>
      </c>
      <c r="I33" s="312" t="str">
        <f t="shared" si="2"/>
        <v>项</v>
      </c>
    </row>
    <row r="34" s="372" customFormat="1" ht="24" hidden="1" customHeight="1" spans="1:9">
      <c r="A34" s="330">
        <v>2010309</v>
      </c>
      <c r="B34" s="379" t="s">
        <v>232</v>
      </c>
      <c r="C34" s="602">
        <f>'[2]2'!E34</f>
        <v>15</v>
      </c>
      <c r="D34" s="714">
        <v>16</v>
      </c>
      <c r="E34" s="713">
        <v>9</v>
      </c>
      <c r="F34" s="716">
        <f t="shared" si="0"/>
        <v>-0.4</v>
      </c>
      <c r="G34" s="470">
        <f t="shared" si="1"/>
        <v>0.5625</v>
      </c>
      <c r="H34" s="524" t="str">
        <f t="shared" si="3"/>
        <v>是</v>
      </c>
      <c r="I34" s="312" t="str">
        <f t="shared" si="2"/>
        <v>项</v>
      </c>
    </row>
    <row r="35" s="372" customFormat="1" ht="24" hidden="1" customHeight="1" spans="1:9">
      <c r="A35" s="330">
        <v>2010350</v>
      </c>
      <c r="B35" s="379" t="s">
        <v>221</v>
      </c>
      <c r="C35" s="602">
        <f>'[2]2'!E35</f>
        <v>8879</v>
      </c>
      <c r="D35" s="714">
        <v>8921</v>
      </c>
      <c r="E35" s="713">
        <v>17719</v>
      </c>
      <c r="F35" s="716">
        <f t="shared" si="0"/>
        <v>0.995607613469985</v>
      </c>
      <c r="G35" s="470">
        <f t="shared" si="1"/>
        <v>1.98621230803722</v>
      </c>
      <c r="H35" s="524" t="str">
        <f t="shared" si="3"/>
        <v>是</v>
      </c>
      <c r="I35" s="312" t="str">
        <f t="shared" si="2"/>
        <v>项</v>
      </c>
    </row>
    <row r="36" s="372" customFormat="1" ht="24" hidden="1" customHeight="1" spans="1:9">
      <c r="A36" s="517">
        <v>2010399</v>
      </c>
      <c r="B36" s="379" t="s">
        <v>233</v>
      </c>
      <c r="C36" s="602">
        <f>'[2]2'!E36</f>
        <v>5371</v>
      </c>
      <c r="D36" s="714">
        <v>4285</v>
      </c>
      <c r="E36" s="713">
        <v>1061</v>
      </c>
      <c r="F36" s="716">
        <f t="shared" si="0"/>
        <v>-0.80245764289704</v>
      </c>
      <c r="G36" s="470">
        <f t="shared" si="1"/>
        <v>0.247607934655776</v>
      </c>
      <c r="H36" s="524" t="str">
        <f t="shared" si="3"/>
        <v>是</v>
      </c>
      <c r="I36" s="312" t="str">
        <f t="shared" si="2"/>
        <v>项</v>
      </c>
    </row>
    <row r="37" ht="24" customHeight="1" spans="1:9">
      <c r="A37" s="330">
        <v>20104</v>
      </c>
      <c r="B37" s="379" t="s">
        <v>234</v>
      </c>
      <c r="C37" s="602">
        <f>SUM(C38:C47)</f>
        <v>5400</v>
      </c>
      <c r="D37" s="713">
        <f>SUM(D38:D47)</f>
        <v>5395</v>
      </c>
      <c r="E37" s="713">
        <f>SUM(E38:E47)</f>
        <v>7745</v>
      </c>
      <c r="F37" s="716">
        <f t="shared" si="0"/>
        <v>0.434259259259259</v>
      </c>
      <c r="G37" s="470">
        <f t="shared" si="1"/>
        <v>1.43558850787766</v>
      </c>
      <c r="H37" s="524" t="str">
        <f t="shared" si="3"/>
        <v>是</v>
      </c>
      <c r="I37" s="312" t="str">
        <f t="shared" si="2"/>
        <v>款</v>
      </c>
    </row>
    <row r="38" s="372" customFormat="1" ht="24" hidden="1" customHeight="1" spans="1:9">
      <c r="A38" s="330">
        <v>2010401</v>
      </c>
      <c r="B38" s="379" t="s">
        <v>212</v>
      </c>
      <c r="C38" s="602">
        <f>'[2]2'!E38</f>
        <v>3174</v>
      </c>
      <c r="D38" s="714">
        <v>3195</v>
      </c>
      <c r="E38" s="713">
        <v>3194</v>
      </c>
      <c r="F38" s="716">
        <f t="shared" si="0"/>
        <v>0.00630119722747322</v>
      </c>
      <c r="G38" s="470">
        <f t="shared" si="1"/>
        <v>0.999687010954617</v>
      </c>
      <c r="H38" s="524" t="str">
        <f t="shared" si="3"/>
        <v>是</v>
      </c>
      <c r="I38" s="312" t="str">
        <f t="shared" si="2"/>
        <v>项</v>
      </c>
    </row>
    <row r="39" s="372" customFormat="1" ht="24" hidden="1" customHeight="1" spans="1:9">
      <c r="A39" s="330">
        <v>2010402</v>
      </c>
      <c r="B39" s="379" t="s">
        <v>213</v>
      </c>
      <c r="C39" s="602">
        <f>'[2]2'!E39</f>
        <v>4</v>
      </c>
      <c r="D39" s="714">
        <v>5</v>
      </c>
      <c r="E39" s="713">
        <v>117</v>
      </c>
      <c r="F39" s="716">
        <f t="shared" si="0"/>
        <v>28.25</v>
      </c>
      <c r="G39" s="470">
        <f t="shared" si="1"/>
        <v>23.4</v>
      </c>
      <c r="H39" s="524" t="str">
        <f t="shared" si="3"/>
        <v>是</v>
      </c>
      <c r="I39" s="312" t="str">
        <f t="shared" si="2"/>
        <v>项</v>
      </c>
    </row>
    <row r="40" s="372" customFormat="1" ht="24" hidden="1" customHeight="1" spans="1:9">
      <c r="A40" s="330">
        <v>2010403</v>
      </c>
      <c r="B40" s="379" t="s">
        <v>214</v>
      </c>
      <c r="C40" s="602">
        <f>'[2]2'!E40</f>
        <v>0</v>
      </c>
      <c r="D40" s="714"/>
      <c r="E40" s="713">
        <v>0</v>
      </c>
      <c r="F40" s="716" t="str">
        <f t="shared" si="0"/>
        <v/>
      </c>
      <c r="G40" s="470" t="str">
        <f t="shared" si="1"/>
        <v/>
      </c>
      <c r="H40" s="524" t="str">
        <f t="shared" si="3"/>
        <v>否</v>
      </c>
      <c r="I40" s="312" t="str">
        <f t="shared" si="2"/>
        <v>项</v>
      </c>
    </row>
    <row r="41" s="372" customFormat="1" ht="24" hidden="1" customHeight="1" spans="1:9">
      <c r="A41" s="330">
        <v>2010404</v>
      </c>
      <c r="B41" s="379" t="s">
        <v>235</v>
      </c>
      <c r="C41" s="602">
        <f>'[2]2'!E41</f>
        <v>225</v>
      </c>
      <c r="D41" s="714">
        <v>227</v>
      </c>
      <c r="E41" s="713">
        <v>634</v>
      </c>
      <c r="F41" s="716">
        <f t="shared" si="0"/>
        <v>1.81777777777778</v>
      </c>
      <c r="G41" s="470">
        <f t="shared" si="1"/>
        <v>2.79295154185022</v>
      </c>
      <c r="H41" s="524" t="str">
        <f t="shared" si="3"/>
        <v>是</v>
      </c>
      <c r="I41" s="312" t="str">
        <f t="shared" si="2"/>
        <v>项</v>
      </c>
    </row>
    <row r="42" s="372" customFormat="1" ht="24" hidden="1" customHeight="1" spans="1:9">
      <c r="A42" s="330">
        <v>2010405</v>
      </c>
      <c r="B42" s="379" t="s">
        <v>236</v>
      </c>
      <c r="C42" s="602">
        <f>'[2]2'!E42</f>
        <v>0</v>
      </c>
      <c r="D42" s="714"/>
      <c r="E42" s="713">
        <v>0</v>
      </c>
      <c r="F42" s="716" t="str">
        <f t="shared" si="0"/>
        <v/>
      </c>
      <c r="G42" s="470" t="str">
        <f t="shared" si="1"/>
        <v/>
      </c>
      <c r="H42" s="524" t="str">
        <f t="shared" si="3"/>
        <v>否</v>
      </c>
      <c r="I42" s="312" t="str">
        <f t="shared" si="2"/>
        <v>项</v>
      </c>
    </row>
    <row r="43" s="372" customFormat="1" ht="24" hidden="1" customHeight="1" spans="1:9">
      <c r="A43" s="330">
        <v>2010406</v>
      </c>
      <c r="B43" s="379" t="s">
        <v>237</v>
      </c>
      <c r="C43" s="602">
        <f>'[2]2'!E43</f>
        <v>678</v>
      </c>
      <c r="D43" s="714">
        <v>685</v>
      </c>
      <c r="E43" s="713">
        <v>218</v>
      </c>
      <c r="F43" s="716">
        <f t="shared" si="0"/>
        <v>-0.678466076696165</v>
      </c>
      <c r="G43" s="470">
        <f t="shared" si="1"/>
        <v>0.318248175182482</v>
      </c>
      <c r="H43" s="524" t="str">
        <f t="shared" si="3"/>
        <v>是</v>
      </c>
      <c r="I43" s="312" t="str">
        <f t="shared" si="2"/>
        <v>项</v>
      </c>
    </row>
    <row r="44" s="372" customFormat="1" ht="24" hidden="1" customHeight="1" spans="1:9">
      <c r="A44" s="330">
        <v>2010407</v>
      </c>
      <c r="B44" s="379" t="s">
        <v>238</v>
      </c>
      <c r="C44" s="602">
        <f>'[2]2'!E44</f>
        <v>0</v>
      </c>
      <c r="D44" s="714"/>
      <c r="E44" s="713">
        <v>0</v>
      </c>
      <c r="F44" s="716" t="str">
        <f t="shared" si="0"/>
        <v/>
      </c>
      <c r="G44" s="470" t="str">
        <f t="shared" si="1"/>
        <v/>
      </c>
      <c r="H44" s="524" t="str">
        <f t="shared" si="3"/>
        <v>否</v>
      </c>
      <c r="I44" s="312" t="str">
        <f t="shared" si="2"/>
        <v>项</v>
      </c>
    </row>
    <row r="45" s="372" customFormat="1" ht="24" hidden="1" customHeight="1" spans="1:9">
      <c r="A45" s="330">
        <v>2010408</v>
      </c>
      <c r="B45" s="379" t="s">
        <v>239</v>
      </c>
      <c r="C45" s="602">
        <f>'[2]2'!E45</f>
        <v>8</v>
      </c>
      <c r="D45" s="714">
        <v>5</v>
      </c>
      <c r="E45" s="713">
        <v>7</v>
      </c>
      <c r="F45" s="716">
        <f t="shared" si="0"/>
        <v>-0.125</v>
      </c>
      <c r="G45" s="470">
        <f t="shared" si="1"/>
        <v>1.4</v>
      </c>
      <c r="H45" s="524" t="str">
        <f t="shared" si="3"/>
        <v>是</v>
      </c>
      <c r="I45" s="312" t="str">
        <f t="shared" si="2"/>
        <v>项</v>
      </c>
    </row>
    <row r="46" s="372" customFormat="1" ht="24" hidden="1" customHeight="1" spans="1:9">
      <c r="A46" s="330">
        <v>2010450</v>
      </c>
      <c r="B46" s="379" t="s">
        <v>221</v>
      </c>
      <c r="C46" s="602">
        <f>'[2]2'!E46</f>
        <v>714</v>
      </c>
      <c r="D46" s="714">
        <v>716</v>
      </c>
      <c r="E46" s="713">
        <v>937</v>
      </c>
      <c r="F46" s="716">
        <f t="shared" si="0"/>
        <v>0.312324929971989</v>
      </c>
      <c r="G46" s="470">
        <f t="shared" si="1"/>
        <v>1.3086592178771</v>
      </c>
      <c r="H46" s="524" t="str">
        <f t="shared" si="3"/>
        <v>是</v>
      </c>
      <c r="I46" s="312" t="str">
        <f t="shared" si="2"/>
        <v>项</v>
      </c>
    </row>
    <row r="47" s="372" customFormat="1" ht="24" hidden="1" customHeight="1" spans="1:9">
      <c r="A47" s="330">
        <v>2010499</v>
      </c>
      <c r="B47" s="379" t="s">
        <v>240</v>
      </c>
      <c r="C47" s="602">
        <f>'[2]2'!E47</f>
        <v>597</v>
      </c>
      <c r="D47" s="714">
        <v>562</v>
      </c>
      <c r="E47" s="713">
        <v>2638</v>
      </c>
      <c r="F47" s="716">
        <f t="shared" si="0"/>
        <v>3.41876046901173</v>
      </c>
      <c r="G47" s="470">
        <f t="shared" si="1"/>
        <v>4.69395017793594</v>
      </c>
      <c r="H47" s="524" t="str">
        <f t="shared" si="3"/>
        <v>是</v>
      </c>
      <c r="I47" s="312" t="str">
        <f t="shared" si="2"/>
        <v>项</v>
      </c>
    </row>
    <row r="48" ht="24" customHeight="1" spans="1:9">
      <c r="A48" s="330">
        <v>20105</v>
      </c>
      <c r="B48" s="379" t="s">
        <v>241</v>
      </c>
      <c r="C48" s="602">
        <f>SUM(C49:C58)</f>
        <v>2668</v>
      </c>
      <c r="D48" s="713">
        <f>SUM(D49:D58)</f>
        <v>2672</v>
      </c>
      <c r="E48" s="713">
        <f>SUM(E49:E58)</f>
        <v>2427</v>
      </c>
      <c r="F48" s="716">
        <f t="shared" si="0"/>
        <v>-0.0903298350824588</v>
      </c>
      <c r="G48" s="470">
        <f t="shared" si="1"/>
        <v>0.908308383233533</v>
      </c>
      <c r="H48" s="524" t="str">
        <f t="shared" si="3"/>
        <v>是</v>
      </c>
      <c r="I48" s="312" t="str">
        <f t="shared" si="2"/>
        <v>款</v>
      </c>
    </row>
    <row r="49" s="372" customFormat="1" ht="24" hidden="1" customHeight="1" spans="1:9">
      <c r="A49" s="330">
        <v>2010501</v>
      </c>
      <c r="B49" s="379" t="s">
        <v>212</v>
      </c>
      <c r="C49" s="602">
        <f>'[2]2'!E49</f>
        <v>1096</v>
      </c>
      <c r="D49" s="714">
        <v>1105</v>
      </c>
      <c r="E49" s="713">
        <v>1144</v>
      </c>
      <c r="F49" s="716">
        <f t="shared" si="0"/>
        <v>0.0437956204379562</v>
      </c>
      <c r="G49" s="470">
        <f t="shared" si="1"/>
        <v>1.03529411764706</v>
      </c>
      <c r="H49" s="524" t="str">
        <f t="shared" si="3"/>
        <v>是</v>
      </c>
      <c r="I49" s="312" t="str">
        <f t="shared" si="2"/>
        <v>项</v>
      </c>
    </row>
    <row r="50" s="372" customFormat="1" ht="24" hidden="1" customHeight="1" spans="1:9">
      <c r="A50" s="330">
        <v>2010502</v>
      </c>
      <c r="B50" s="379" t="s">
        <v>213</v>
      </c>
      <c r="C50" s="602">
        <f>'[2]2'!E50</f>
        <v>16</v>
      </c>
      <c r="D50" s="714">
        <v>18</v>
      </c>
      <c r="E50" s="713">
        <v>40</v>
      </c>
      <c r="F50" s="716">
        <f t="shared" si="0"/>
        <v>1.5</v>
      </c>
      <c r="G50" s="470">
        <f t="shared" si="1"/>
        <v>2.22222222222222</v>
      </c>
      <c r="H50" s="524" t="str">
        <f t="shared" si="3"/>
        <v>是</v>
      </c>
      <c r="I50" s="312" t="str">
        <f t="shared" si="2"/>
        <v>项</v>
      </c>
    </row>
    <row r="51" s="372" customFormat="1" ht="24" hidden="1" customHeight="1" spans="1:9">
      <c r="A51" s="330">
        <v>2010503</v>
      </c>
      <c r="B51" s="379" t="s">
        <v>214</v>
      </c>
      <c r="C51" s="602">
        <f>'[2]2'!E51</f>
        <v>0</v>
      </c>
      <c r="D51" s="714"/>
      <c r="E51" s="713">
        <v>0</v>
      </c>
      <c r="F51" s="716" t="str">
        <f t="shared" si="0"/>
        <v/>
      </c>
      <c r="G51" s="470" t="str">
        <f t="shared" si="1"/>
        <v/>
      </c>
      <c r="H51" s="524" t="str">
        <f t="shared" si="3"/>
        <v>否</v>
      </c>
      <c r="I51" s="312" t="str">
        <f t="shared" si="2"/>
        <v>项</v>
      </c>
    </row>
    <row r="52" s="372" customFormat="1" ht="24" hidden="1" customHeight="1" spans="1:9">
      <c r="A52" s="330">
        <v>2010504</v>
      </c>
      <c r="B52" s="379" t="s">
        <v>242</v>
      </c>
      <c r="C52" s="602">
        <f>'[2]2'!E52</f>
        <v>0</v>
      </c>
      <c r="D52" s="714"/>
      <c r="E52" s="713">
        <v>0</v>
      </c>
      <c r="F52" s="716" t="str">
        <f t="shared" si="0"/>
        <v/>
      </c>
      <c r="G52" s="470" t="str">
        <f t="shared" si="1"/>
        <v/>
      </c>
      <c r="H52" s="524" t="str">
        <f t="shared" si="3"/>
        <v>否</v>
      </c>
      <c r="I52" s="312" t="str">
        <f t="shared" si="2"/>
        <v>项</v>
      </c>
    </row>
    <row r="53" s="372" customFormat="1" ht="24" hidden="1" customHeight="1" spans="1:9">
      <c r="A53" s="330">
        <v>2010505</v>
      </c>
      <c r="B53" s="379" t="s">
        <v>243</v>
      </c>
      <c r="C53" s="602">
        <f>'[2]2'!E53</f>
        <v>280</v>
      </c>
      <c r="D53" s="714">
        <v>275</v>
      </c>
      <c r="E53" s="713">
        <v>198</v>
      </c>
      <c r="F53" s="716">
        <f t="shared" si="0"/>
        <v>-0.292857142857143</v>
      </c>
      <c r="G53" s="470">
        <f t="shared" si="1"/>
        <v>0.72</v>
      </c>
      <c r="H53" s="524" t="str">
        <f t="shared" si="3"/>
        <v>是</v>
      </c>
      <c r="I53" s="312" t="str">
        <f t="shared" si="2"/>
        <v>项</v>
      </c>
    </row>
    <row r="54" s="372" customFormat="1" ht="24" hidden="1" customHeight="1" spans="1:9">
      <c r="A54" s="330">
        <v>2010506</v>
      </c>
      <c r="B54" s="379" t="s">
        <v>244</v>
      </c>
      <c r="C54" s="602">
        <f>'[2]2'!E54</f>
        <v>8</v>
      </c>
      <c r="D54" s="714">
        <v>9</v>
      </c>
      <c r="E54" s="713">
        <v>11</v>
      </c>
      <c r="F54" s="716">
        <f t="shared" si="0"/>
        <v>0.375</v>
      </c>
      <c r="G54" s="470">
        <f t="shared" si="1"/>
        <v>1.22222222222222</v>
      </c>
      <c r="H54" s="524" t="str">
        <f t="shared" si="3"/>
        <v>是</v>
      </c>
      <c r="I54" s="312" t="str">
        <f t="shared" si="2"/>
        <v>项</v>
      </c>
    </row>
    <row r="55" s="372" customFormat="1" ht="24" hidden="1" customHeight="1" spans="1:9">
      <c r="A55" s="330">
        <v>2010507</v>
      </c>
      <c r="B55" s="379" t="s">
        <v>245</v>
      </c>
      <c r="C55" s="602">
        <f>'[2]2'!E55</f>
        <v>390</v>
      </c>
      <c r="D55" s="714">
        <v>402</v>
      </c>
      <c r="E55" s="713">
        <v>164</v>
      </c>
      <c r="F55" s="716">
        <f t="shared" si="0"/>
        <v>-0.57948717948718</v>
      </c>
      <c r="G55" s="470">
        <f t="shared" si="1"/>
        <v>0.407960199004975</v>
      </c>
      <c r="H55" s="524" t="str">
        <f t="shared" si="3"/>
        <v>是</v>
      </c>
      <c r="I55" s="312" t="str">
        <f t="shared" si="2"/>
        <v>项</v>
      </c>
    </row>
    <row r="56" s="372" customFormat="1" ht="24" hidden="1" customHeight="1" spans="1:9">
      <c r="A56" s="330">
        <v>2010508</v>
      </c>
      <c r="B56" s="379" t="s">
        <v>246</v>
      </c>
      <c r="C56" s="602">
        <f>'[2]2'!E56</f>
        <v>235</v>
      </c>
      <c r="D56" s="714">
        <v>221</v>
      </c>
      <c r="E56" s="713">
        <v>86</v>
      </c>
      <c r="F56" s="716">
        <f t="shared" si="0"/>
        <v>-0.634042553191489</v>
      </c>
      <c r="G56" s="470">
        <f t="shared" si="1"/>
        <v>0.389140271493213</v>
      </c>
      <c r="H56" s="524" t="str">
        <f t="shared" si="3"/>
        <v>是</v>
      </c>
      <c r="I56" s="312" t="str">
        <f t="shared" si="2"/>
        <v>项</v>
      </c>
    </row>
    <row r="57" s="372" customFormat="1" ht="24" hidden="1" customHeight="1" spans="1:9">
      <c r="A57" s="330">
        <v>2010550</v>
      </c>
      <c r="B57" s="379" t="s">
        <v>221</v>
      </c>
      <c r="C57" s="602">
        <f>'[2]2'!E57</f>
        <v>618</v>
      </c>
      <c r="D57" s="714">
        <v>621</v>
      </c>
      <c r="E57" s="713">
        <v>784</v>
      </c>
      <c r="F57" s="716">
        <f t="shared" si="0"/>
        <v>0.268608414239482</v>
      </c>
      <c r="G57" s="470">
        <f t="shared" si="1"/>
        <v>1.26247987117552</v>
      </c>
      <c r="H57" s="524" t="str">
        <f t="shared" si="3"/>
        <v>是</v>
      </c>
      <c r="I57" s="312" t="str">
        <f t="shared" si="2"/>
        <v>项</v>
      </c>
    </row>
    <row r="58" s="372" customFormat="1" ht="24" hidden="1" customHeight="1" spans="1:9">
      <c r="A58" s="330">
        <v>2010599</v>
      </c>
      <c r="B58" s="379" t="s">
        <v>247</v>
      </c>
      <c r="C58" s="602">
        <f>'[2]2'!E58</f>
        <v>25</v>
      </c>
      <c r="D58" s="714">
        <v>21</v>
      </c>
      <c r="E58" s="713">
        <v>0</v>
      </c>
      <c r="F58" s="716">
        <f t="shared" si="0"/>
        <v>-1</v>
      </c>
      <c r="G58" s="470">
        <f t="shared" si="1"/>
        <v>0</v>
      </c>
      <c r="H58" s="524" t="str">
        <f t="shared" si="3"/>
        <v>是</v>
      </c>
      <c r="I58" s="312" t="str">
        <f t="shared" si="2"/>
        <v>项</v>
      </c>
    </row>
    <row r="59" ht="24" customHeight="1" spans="1:9">
      <c r="A59" s="330">
        <v>20106</v>
      </c>
      <c r="B59" s="379" t="s">
        <v>248</v>
      </c>
      <c r="C59" s="602">
        <f>SUM(C60:C69)</f>
        <v>8284</v>
      </c>
      <c r="D59" s="713">
        <f>SUM(D60:D69)</f>
        <v>8303</v>
      </c>
      <c r="E59" s="713">
        <f>SUM(E60:E69)</f>
        <v>8353</v>
      </c>
      <c r="F59" s="716">
        <f t="shared" si="0"/>
        <v>0.00832930951231289</v>
      </c>
      <c r="G59" s="470">
        <f t="shared" si="1"/>
        <v>1.00602191978803</v>
      </c>
      <c r="H59" s="524" t="str">
        <f t="shared" si="3"/>
        <v>是</v>
      </c>
      <c r="I59" s="312" t="str">
        <f t="shared" si="2"/>
        <v>款</v>
      </c>
    </row>
    <row r="60" s="372" customFormat="1" ht="24" hidden="1" customHeight="1" spans="1:9">
      <c r="A60" s="330">
        <v>2010601</v>
      </c>
      <c r="B60" s="379" t="s">
        <v>212</v>
      </c>
      <c r="C60" s="602">
        <f>'[2]2'!E60</f>
        <v>4914</v>
      </c>
      <c r="D60" s="714">
        <v>4921</v>
      </c>
      <c r="E60" s="713">
        <v>4703</v>
      </c>
      <c r="F60" s="716">
        <f t="shared" si="0"/>
        <v>-0.0429385429385429</v>
      </c>
      <c r="G60" s="470">
        <f t="shared" si="1"/>
        <v>0.955700060963219</v>
      </c>
      <c r="H60" s="524" t="str">
        <f t="shared" si="3"/>
        <v>是</v>
      </c>
      <c r="I60" s="312" t="str">
        <f t="shared" si="2"/>
        <v>项</v>
      </c>
    </row>
    <row r="61" s="372" customFormat="1" ht="24" hidden="1" customHeight="1" spans="1:9">
      <c r="A61" s="330">
        <v>2010602</v>
      </c>
      <c r="B61" s="379" t="s">
        <v>213</v>
      </c>
      <c r="C61" s="602">
        <f>'[2]2'!E61</f>
        <v>299</v>
      </c>
      <c r="D61" s="714">
        <v>303</v>
      </c>
      <c r="E61" s="713">
        <v>53</v>
      </c>
      <c r="F61" s="716">
        <f t="shared" si="0"/>
        <v>-0.822742474916388</v>
      </c>
      <c r="G61" s="470">
        <f t="shared" si="1"/>
        <v>0.174917491749175</v>
      </c>
      <c r="H61" s="524" t="str">
        <f t="shared" si="3"/>
        <v>是</v>
      </c>
      <c r="I61" s="312" t="str">
        <f t="shared" si="2"/>
        <v>项</v>
      </c>
    </row>
    <row r="62" s="372" customFormat="1" ht="24" hidden="1" customHeight="1" spans="1:9">
      <c r="A62" s="330">
        <v>2010603</v>
      </c>
      <c r="B62" s="379" t="s">
        <v>214</v>
      </c>
      <c r="C62" s="602">
        <f>'[2]2'!E62</f>
        <v>0</v>
      </c>
      <c r="D62" s="714"/>
      <c r="E62" s="713">
        <v>0</v>
      </c>
      <c r="F62" s="716" t="str">
        <f t="shared" si="0"/>
        <v/>
      </c>
      <c r="G62" s="470" t="str">
        <f t="shared" si="1"/>
        <v/>
      </c>
      <c r="H62" s="524" t="str">
        <f t="shared" si="3"/>
        <v>否</v>
      </c>
      <c r="I62" s="312" t="str">
        <f t="shared" si="2"/>
        <v>项</v>
      </c>
    </row>
    <row r="63" s="372" customFormat="1" ht="24" hidden="1" customHeight="1" spans="1:9">
      <c r="A63" s="330">
        <v>2010604</v>
      </c>
      <c r="B63" s="379" t="s">
        <v>249</v>
      </c>
      <c r="C63" s="602">
        <f>'[2]2'!E63</f>
        <v>70</v>
      </c>
      <c r="D63" s="714">
        <v>75</v>
      </c>
      <c r="E63" s="713">
        <v>79</v>
      </c>
      <c r="F63" s="716">
        <f t="shared" si="0"/>
        <v>0.128571428571429</v>
      </c>
      <c r="G63" s="470">
        <f t="shared" si="1"/>
        <v>1.05333333333333</v>
      </c>
      <c r="H63" s="524" t="str">
        <f t="shared" si="3"/>
        <v>是</v>
      </c>
      <c r="I63" s="312" t="str">
        <f t="shared" si="2"/>
        <v>项</v>
      </c>
    </row>
    <row r="64" s="372" customFormat="1" ht="24" hidden="1" customHeight="1" spans="1:9">
      <c r="A64" s="330">
        <v>2010605</v>
      </c>
      <c r="B64" s="379" t="s">
        <v>250</v>
      </c>
      <c r="C64" s="602">
        <f>'[2]2'!E64</f>
        <v>32</v>
      </c>
      <c r="D64" s="714">
        <v>34</v>
      </c>
      <c r="E64" s="713">
        <v>4</v>
      </c>
      <c r="F64" s="716">
        <f t="shared" si="0"/>
        <v>-0.875</v>
      </c>
      <c r="G64" s="470">
        <f t="shared" si="1"/>
        <v>0.117647058823529</v>
      </c>
      <c r="H64" s="524" t="str">
        <f t="shared" si="3"/>
        <v>是</v>
      </c>
      <c r="I64" s="312" t="str">
        <f t="shared" si="2"/>
        <v>项</v>
      </c>
    </row>
    <row r="65" s="372" customFormat="1" ht="24" hidden="1" customHeight="1" spans="1:9">
      <c r="A65" s="330">
        <v>2010606</v>
      </c>
      <c r="B65" s="379" t="s">
        <v>251</v>
      </c>
      <c r="C65" s="602">
        <f>'[2]2'!E65</f>
        <v>0</v>
      </c>
      <c r="D65" s="714"/>
      <c r="E65" s="713">
        <v>0</v>
      </c>
      <c r="F65" s="716" t="str">
        <f t="shared" si="0"/>
        <v/>
      </c>
      <c r="G65" s="470" t="str">
        <f t="shared" si="1"/>
        <v/>
      </c>
      <c r="H65" s="524" t="str">
        <f t="shared" si="3"/>
        <v>否</v>
      </c>
      <c r="I65" s="312" t="str">
        <f t="shared" si="2"/>
        <v>项</v>
      </c>
    </row>
    <row r="66" s="372" customFormat="1" ht="24" hidden="1" customHeight="1" spans="1:9">
      <c r="A66" s="330">
        <v>2010607</v>
      </c>
      <c r="B66" s="379" t="s">
        <v>252</v>
      </c>
      <c r="C66" s="602">
        <f>'[2]2'!E66</f>
        <v>186</v>
      </c>
      <c r="D66" s="714">
        <v>189</v>
      </c>
      <c r="E66" s="713">
        <v>428</v>
      </c>
      <c r="F66" s="716">
        <f t="shared" si="0"/>
        <v>1.3010752688172</v>
      </c>
      <c r="G66" s="470">
        <f t="shared" si="1"/>
        <v>2.26455026455026</v>
      </c>
      <c r="H66" s="524" t="str">
        <f t="shared" si="3"/>
        <v>是</v>
      </c>
      <c r="I66" s="312" t="str">
        <f t="shared" si="2"/>
        <v>项</v>
      </c>
    </row>
    <row r="67" s="372" customFormat="1" ht="24" hidden="1" customHeight="1" spans="1:9">
      <c r="A67" s="330">
        <v>2010608</v>
      </c>
      <c r="B67" s="379" t="s">
        <v>253</v>
      </c>
      <c r="C67" s="602">
        <f>'[2]2'!E67</f>
        <v>486</v>
      </c>
      <c r="D67" s="714">
        <v>489</v>
      </c>
      <c r="E67" s="713">
        <v>285</v>
      </c>
      <c r="F67" s="716">
        <f t="shared" si="0"/>
        <v>-0.41358024691358</v>
      </c>
      <c r="G67" s="470">
        <f t="shared" si="1"/>
        <v>0.582822085889571</v>
      </c>
      <c r="H67" s="524" t="str">
        <f t="shared" si="3"/>
        <v>是</v>
      </c>
      <c r="I67" s="312" t="str">
        <f t="shared" si="2"/>
        <v>项</v>
      </c>
    </row>
    <row r="68" s="372" customFormat="1" ht="24" hidden="1" customHeight="1" spans="1:9">
      <c r="A68" s="330">
        <v>2010650</v>
      </c>
      <c r="B68" s="379" t="s">
        <v>221</v>
      </c>
      <c r="C68" s="602">
        <f>'[2]2'!E68</f>
        <v>1717</v>
      </c>
      <c r="D68" s="714">
        <v>1721</v>
      </c>
      <c r="E68" s="713">
        <v>1433</v>
      </c>
      <c r="F68" s="716">
        <f t="shared" si="0"/>
        <v>-0.165404775771695</v>
      </c>
      <c r="G68" s="470">
        <f t="shared" si="1"/>
        <v>0.832655432887856</v>
      </c>
      <c r="H68" s="524" t="str">
        <f t="shared" si="3"/>
        <v>是</v>
      </c>
      <c r="I68" s="312" t="str">
        <f t="shared" si="2"/>
        <v>项</v>
      </c>
    </row>
    <row r="69" s="372" customFormat="1" ht="24" hidden="1" customHeight="1" spans="1:9">
      <c r="A69" s="330">
        <v>2010699</v>
      </c>
      <c r="B69" s="379" t="s">
        <v>254</v>
      </c>
      <c r="C69" s="602">
        <f>'[2]2'!E69</f>
        <v>580</v>
      </c>
      <c r="D69" s="714">
        <v>571</v>
      </c>
      <c r="E69" s="713">
        <v>1368</v>
      </c>
      <c r="F69" s="716">
        <f t="shared" ref="F69:F132" si="4">IFERROR((E69-C69)/C69,"")</f>
        <v>1.35862068965517</v>
      </c>
      <c r="G69" s="470">
        <f t="shared" ref="G69:G132" si="5">IFERROR(E69/D69,"")</f>
        <v>2.39579684763573</v>
      </c>
      <c r="H69" s="524" t="str">
        <f t="shared" si="3"/>
        <v>是</v>
      </c>
      <c r="I69" s="312" t="str">
        <f t="shared" ref="I69:I132" si="6">IF(LEN(A69)=3,"类",IF(LEN(A69)=5,"款","项"))</f>
        <v>项</v>
      </c>
    </row>
    <row r="70" ht="24" customHeight="1" spans="1:9">
      <c r="A70" s="330">
        <v>20107</v>
      </c>
      <c r="B70" s="379" t="s">
        <v>255</v>
      </c>
      <c r="C70" s="602">
        <f>SUM(C71:C77)</f>
        <v>827</v>
      </c>
      <c r="D70" s="713">
        <f>SUM(D71:D77)</f>
        <v>822</v>
      </c>
      <c r="E70" s="713">
        <f>SUM(E71:E77)</f>
        <v>765</v>
      </c>
      <c r="F70" s="716">
        <f t="shared" si="4"/>
        <v>-0.0749697702539299</v>
      </c>
      <c r="G70" s="470">
        <f t="shared" si="5"/>
        <v>0.930656934306569</v>
      </c>
      <c r="H70" s="524" t="str">
        <f t="shared" ref="H70:H133" si="7">IF(LEN(A70)=3,"是",IF(B70&lt;&gt;"",IF(SUM(C70:E70)&lt;&gt;0,"是","否"),"是"))</f>
        <v>是</v>
      </c>
      <c r="I70" s="312" t="str">
        <f t="shared" si="6"/>
        <v>款</v>
      </c>
    </row>
    <row r="71" s="372" customFormat="1" ht="24" hidden="1" customHeight="1" spans="1:9">
      <c r="A71" s="330">
        <v>2010701</v>
      </c>
      <c r="B71" s="379" t="s">
        <v>212</v>
      </c>
      <c r="C71" s="602">
        <f>'[2]2'!E71</f>
        <v>478</v>
      </c>
      <c r="D71" s="714">
        <v>481</v>
      </c>
      <c r="E71" s="713">
        <v>395</v>
      </c>
      <c r="F71" s="716">
        <f t="shared" si="4"/>
        <v>-0.173640167364017</v>
      </c>
      <c r="G71" s="470">
        <f t="shared" si="5"/>
        <v>0.821205821205821</v>
      </c>
      <c r="H71" s="524" t="str">
        <f t="shared" si="7"/>
        <v>是</v>
      </c>
      <c r="I71" s="312" t="str">
        <f t="shared" si="6"/>
        <v>项</v>
      </c>
    </row>
    <row r="72" s="372" customFormat="1" ht="24" hidden="1" customHeight="1" spans="1:9">
      <c r="A72" s="330">
        <v>2010702</v>
      </c>
      <c r="B72" s="379" t="s">
        <v>213</v>
      </c>
      <c r="C72" s="602">
        <f>'[2]2'!E72</f>
        <v>114</v>
      </c>
      <c r="D72" s="714">
        <v>116</v>
      </c>
      <c r="E72" s="713">
        <v>106</v>
      </c>
      <c r="F72" s="716">
        <f t="shared" si="4"/>
        <v>-0.0701754385964912</v>
      </c>
      <c r="G72" s="470">
        <f t="shared" si="5"/>
        <v>0.913793103448276</v>
      </c>
      <c r="H72" s="524" t="str">
        <f t="shared" si="7"/>
        <v>是</v>
      </c>
      <c r="I72" s="312" t="str">
        <f t="shared" si="6"/>
        <v>项</v>
      </c>
    </row>
    <row r="73" s="372" customFormat="1" ht="24" hidden="1" customHeight="1" spans="1:9">
      <c r="A73" s="330">
        <v>2010703</v>
      </c>
      <c r="B73" s="379" t="s">
        <v>214</v>
      </c>
      <c r="C73" s="602">
        <f>'[2]2'!E73</f>
        <v>0</v>
      </c>
      <c r="D73" s="714"/>
      <c r="E73" s="713">
        <v>0</v>
      </c>
      <c r="F73" s="716" t="str">
        <f t="shared" si="4"/>
        <v/>
      </c>
      <c r="G73" s="470" t="str">
        <f t="shared" si="5"/>
        <v/>
      </c>
      <c r="H73" s="524" t="str">
        <f t="shared" si="7"/>
        <v>否</v>
      </c>
      <c r="I73" s="312" t="str">
        <f t="shared" si="6"/>
        <v>项</v>
      </c>
    </row>
    <row r="74" s="372" customFormat="1" ht="24" hidden="1" customHeight="1" spans="1:9">
      <c r="A74" s="330">
        <v>2010709</v>
      </c>
      <c r="B74" s="379" t="s">
        <v>252</v>
      </c>
      <c r="C74" s="602">
        <f>'[2]2'!E74</f>
        <v>0</v>
      </c>
      <c r="D74" s="714"/>
      <c r="E74" s="713">
        <v>0</v>
      </c>
      <c r="F74" s="716" t="str">
        <f t="shared" si="4"/>
        <v/>
      </c>
      <c r="G74" s="470" t="str">
        <f t="shared" si="5"/>
        <v/>
      </c>
      <c r="H74" s="524" t="str">
        <f t="shared" si="7"/>
        <v>否</v>
      </c>
      <c r="I74" s="312" t="str">
        <f t="shared" si="6"/>
        <v>项</v>
      </c>
    </row>
    <row r="75" s="372" customFormat="1" ht="24" hidden="1" customHeight="1" spans="1:9">
      <c r="A75" s="717">
        <v>2010710</v>
      </c>
      <c r="B75" s="379" t="s">
        <v>256</v>
      </c>
      <c r="C75" s="602">
        <f>'[2]2'!E75</f>
        <v>50</v>
      </c>
      <c r="D75" s="714">
        <v>50</v>
      </c>
      <c r="E75" s="713">
        <v>6</v>
      </c>
      <c r="F75" s="716">
        <f t="shared" si="4"/>
        <v>-0.88</v>
      </c>
      <c r="G75" s="470">
        <f t="shared" si="5"/>
        <v>0.12</v>
      </c>
      <c r="H75" s="524" t="str">
        <f t="shared" si="7"/>
        <v>是</v>
      </c>
      <c r="I75" s="312" t="str">
        <f t="shared" si="6"/>
        <v>项</v>
      </c>
    </row>
    <row r="76" s="372" customFormat="1" ht="24" hidden="1" customHeight="1" spans="1:9">
      <c r="A76" s="330">
        <v>2010750</v>
      </c>
      <c r="B76" s="379" t="s">
        <v>221</v>
      </c>
      <c r="C76" s="602">
        <f>'[2]2'!E76</f>
        <v>0</v>
      </c>
      <c r="D76" s="714"/>
      <c r="E76" s="713">
        <v>0</v>
      </c>
      <c r="F76" s="716" t="str">
        <f t="shared" si="4"/>
        <v/>
      </c>
      <c r="G76" s="470" t="str">
        <f t="shared" si="5"/>
        <v/>
      </c>
      <c r="H76" s="524" t="str">
        <f t="shared" si="7"/>
        <v>否</v>
      </c>
      <c r="I76" s="312" t="str">
        <f t="shared" si="6"/>
        <v>项</v>
      </c>
    </row>
    <row r="77" s="372" customFormat="1" ht="24" hidden="1" customHeight="1" spans="1:9">
      <c r="A77" s="330">
        <v>2010799</v>
      </c>
      <c r="B77" s="379" t="s">
        <v>257</v>
      </c>
      <c r="C77" s="602">
        <f>'[2]2'!E77</f>
        <v>185</v>
      </c>
      <c r="D77" s="714">
        <v>175</v>
      </c>
      <c r="E77" s="713">
        <v>258</v>
      </c>
      <c r="F77" s="716">
        <f t="shared" si="4"/>
        <v>0.394594594594595</v>
      </c>
      <c r="G77" s="470">
        <f t="shared" si="5"/>
        <v>1.47428571428571</v>
      </c>
      <c r="H77" s="524" t="str">
        <f t="shared" si="7"/>
        <v>是</v>
      </c>
      <c r="I77" s="312" t="str">
        <f t="shared" si="6"/>
        <v>项</v>
      </c>
    </row>
    <row r="78" s="372" customFormat="1" ht="24" customHeight="1" spans="1:9">
      <c r="A78" s="330">
        <v>20108</v>
      </c>
      <c r="B78" s="379" t="s">
        <v>258</v>
      </c>
      <c r="C78" s="602">
        <f>SUM(C79:C86)</f>
        <v>694</v>
      </c>
      <c r="D78" s="713">
        <f>SUM(D79:D86)</f>
        <v>696</v>
      </c>
      <c r="E78" s="713">
        <f>SUM(E79:E86)</f>
        <v>382</v>
      </c>
      <c r="F78" s="716">
        <f t="shared" si="4"/>
        <v>-0.449567723342939</v>
      </c>
      <c r="G78" s="470">
        <f t="shared" si="5"/>
        <v>0.548850574712644</v>
      </c>
      <c r="H78" s="524" t="str">
        <f t="shared" si="7"/>
        <v>是</v>
      </c>
      <c r="I78" s="312" t="str">
        <f t="shared" si="6"/>
        <v>款</v>
      </c>
    </row>
    <row r="79" s="372" customFormat="1" ht="24" hidden="1" customHeight="1" spans="1:9">
      <c r="A79" s="330">
        <v>2010801</v>
      </c>
      <c r="B79" s="379" t="s">
        <v>212</v>
      </c>
      <c r="C79" s="602">
        <f>'[2]2'!E79</f>
        <v>1</v>
      </c>
      <c r="D79" s="714">
        <v>1</v>
      </c>
      <c r="E79" s="713">
        <v>0</v>
      </c>
      <c r="F79" s="716">
        <f t="shared" si="4"/>
        <v>-1</v>
      </c>
      <c r="G79" s="470">
        <f t="shared" si="5"/>
        <v>0</v>
      </c>
      <c r="H79" s="524" t="str">
        <f t="shared" si="7"/>
        <v>是</v>
      </c>
      <c r="I79" s="312" t="str">
        <f t="shared" si="6"/>
        <v>项</v>
      </c>
    </row>
    <row r="80" s="372" customFormat="1" ht="24" hidden="1" customHeight="1" spans="1:9">
      <c r="A80" s="330">
        <v>2010802</v>
      </c>
      <c r="B80" s="379" t="s">
        <v>213</v>
      </c>
      <c r="C80" s="602">
        <f>'[2]2'!E80</f>
        <v>0</v>
      </c>
      <c r="D80" s="714"/>
      <c r="E80" s="713">
        <v>0</v>
      </c>
      <c r="F80" s="716" t="str">
        <f t="shared" si="4"/>
        <v/>
      </c>
      <c r="G80" s="470" t="str">
        <f t="shared" si="5"/>
        <v/>
      </c>
      <c r="H80" s="524" t="str">
        <f t="shared" si="7"/>
        <v>否</v>
      </c>
      <c r="I80" s="312" t="str">
        <f t="shared" si="6"/>
        <v>项</v>
      </c>
    </row>
    <row r="81" s="372" customFormat="1" ht="24" hidden="1" customHeight="1" spans="1:9">
      <c r="A81" s="330">
        <v>2010803</v>
      </c>
      <c r="B81" s="379" t="s">
        <v>214</v>
      </c>
      <c r="C81" s="602">
        <f>'[2]2'!E81</f>
        <v>0</v>
      </c>
      <c r="D81" s="714"/>
      <c r="E81" s="713">
        <v>0</v>
      </c>
      <c r="F81" s="716" t="str">
        <f t="shared" si="4"/>
        <v/>
      </c>
      <c r="G81" s="470" t="str">
        <f t="shared" si="5"/>
        <v/>
      </c>
      <c r="H81" s="524" t="str">
        <f t="shared" si="7"/>
        <v>否</v>
      </c>
      <c r="I81" s="312" t="str">
        <f t="shared" si="6"/>
        <v>项</v>
      </c>
    </row>
    <row r="82" s="372" customFormat="1" ht="24" hidden="1" customHeight="1" spans="1:9">
      <c r="A82" s="330">
        <v>2010804</v>
      </c>
      <c r="B82" s="379" t="s">
        <v>259</v>
      </c>
      <c r="C82" s="602">
        <f>'[2]2'!E82</f>
        <v>670</v>
      </c>
      <c r="D82" s="714">
        <v>672</v>
      </c>
      <c r="E82" s="713">
        <v>366</v>
      </c>
      <c r="F82" s="716">
        <f t="shared" si="4"/>
        <v>-0.453731343283582</v>
      </c>
      <c r="G82" s="470">
        <f t="shared" si="5"/>
        <v>0.544642857142857</v>
      </c>
      <c r="H82" s="524" t="str">
        <f t="shared" si="7"/>
        <v>是</v>
      </c>
      <c r="I82" s="312" t="str">
        <f t="shared" si="6"/>
        <v>项</v>
      </c>
    </row>
    <row r="83" ht="24" hidden="1" customHeight="1" spans="1:9">
      <c r="A83" s="330">
        <v>2010805</v>
      </c>
      <c r="B83" s="379" t="s">
        <v>260</v>
      </c>
      <c r="C83" s="602">
        <f>'[2]2'!E83</f>
        <v>0</v>
      </c>
      <c r="D83" s="714"/>
      <c r="E83" s="713">
        <v>0</v>
      </c>
      <c r="F83" s="716" t="str">
        <f t="shared" si="4"/>
        <v/>
      </c>
      <c r="G83" s="470" t="str">
        <f t="shared" si="5"/>
        <v/>
      </c>
      <c r="H83" s="524" t="str">
        <f t="shared" si="7"/>
        <v>否</v>
      </c>
      <c r="I83" s="312" t="str">
        <f t="shared" si="6"/>
        <v>项</v>
      </c>
    </row>
    <row r="84" s="372" customFormat="1" ht="24" hidden="1" customHeight="1" spans="1:9">
      <c r="A84" s="330">
        <v>2010806</v>
      </c>
      <c r="B84" s="379" t="s">
        <v>252</v>
      </c>
      <c r="C84" s="602">
        <f>'[2]2'!E84</f>
        <v>0</v>
      </c>
      <c r="D84" s="714"/>
      <c r="E84" s="713">
        <v>0</v>
      </c>
      <c r="F84" s="716" t="str">
        <f t="shared" si="4"/>
        <v/>
      </c>
      <c r="G84" s="470" t="str">
        <f t="shared" si="5"/>
        <v/>
      </c>
      <c r="H84" s="524" t="str">
        <f t="shared" si="7"/>
        <v>否</v>
      </c>
      <c r="I84" s="312" t="str">
        <f t="shared" si="6"/>
        <v>项</v>
      </c>
    </row>
    <row r="85" s="372" customFormat="1" ht="24" hidden="1" customHeight="1" spans="1:9">
      <c r="A85" s="330">
        <v>2010850</v>
      </c>
      <c r="B85" s="379" t="s">
        <v>221</v>
      </c>
      <c r="C85" s="602">
        <f>'[2]2'!E85</f>
        <v>23</v>
      </c>
      <c r="D85" s="714">
        <v>23</v>
      </c>
      <c r="E85" s="713">
        <v>16</v>
      </c>
      <c r="F85" s="716">
        <f t="shared" si="4"/>
        <v>-0.304347826086957</v>
      </c>
      <c r="G85" s="470">
        <f t="shared" si="5"/>
        <v>0.695652173913043</v>
      </c>
      <c r="H85" s="524" t="str">
        <f t="shared" si="7"/>
        <v>是</v>
      </c>
      <c r="I85" s="312" t="str">
        <f t="shared" si="6"/>
        <v>项</v>
      </c>
    </row>
    <row r="86" s="372" customFormat="1" ht="24" hidden="1" customHeight="1" spans="1:9">
      <c r="A86" s="330">
        <v>2010899</v>
      </c>
      <c r="B86" s="379" t="s">
        <v>261</v>
      </c>
      <c r="C86" s="602">
        <f>'[2]2'!E86</f>
        <v>0</v>
      </c>
      <c r="D86" s="714"/>
      <c r="E86" s="713">
        <v>0</v>
      </c>
      <c r="F86" s="716" t="str">
        <f t="shared" si="4"/>
        <v/>
      </c>
      <c r="G86" s="470" t="str">
        <f t="shared" si="5"/>
        <v/>
      </c>
      <c r="H86" s="524" t="str">
        <f t="shared" si="7"/>
        <v>否</v>
      </c>
      <c r="I86" s="312" t="str">
        <f t="shared" si="6"/>
        <v>项</v>
      </c>
    </row>
    <row r="87" s="372" customFormat="1" ht="24" customHeight="1" spans="1:9">
      <c r="A87" s="330">
        <v>20109</v>
      </c>
      <c r="B87" s="379" t="s">
        <v>262</v>
      </c>
      <c r="C87" s="602">
        <f>SUM(C88:C99)</f>
        <v>98</v>
      </c>
      <c r="D87" s="713">
        <f>SUM(D88:D99)</f>
        <v>95</v>
      </c>
      <c r="E87" s="713">
        <f>SUM(E88:E99)</f>
        <v>97</v>
      </c>
      <c r="F87" s="716">
        <f t="shared" si="4"/>
        <v>-0.0102040816326531</v>
      </c>
      <c r="G87" s="470">
        <f t="shared" si="5"/>
        <v>1.02105263157895</v>
      </c>
      <c r="H87" s="524" t="str">
        <f t="shared" si="7"/>
        <v>是</v>
      </c>
      <c r="I87" s="312" t="str">
        <f t="shared" si="6"/>
        <v>款</v>
      </c>
    </row>
    <row r="88" s="372" customFormat="1" ht="24" hidden="1" customHeight="1" spans="1:9">
      <c r="A88" s="330">
        <v>2010901</v>
      </c>
      <c r="B88" s="379" t="s">
        <v>212</v>
      </c>
      <c r="C88" s="602">
        <f>'[2]2'!E88</f>
        <v>0</v>
      </c>
      <c r="D88" s="714"/>
      <c r="E88" s="713">
        <v>2</v>
      </c>
      <c r="F88" s="716" t="str">
        <f t="shared" si="4"/>
        <v/>
      </c>
      <c r="G88" s="470" t="str">
        <f t="shared" si="5"/>
        <v/>
      </c>
      <c r="H88" s="524" t="str">
        <f t="shared" si="7"/>
        <v>是</v>
      </c>
      <c r="I88" s="312" t="str">
        <f t="shared" si="6"/>
        <v>项</v>
      </c>
    </row>
    <row r="89" s="372" customFormat="1" ht="24" hidden="1" customHeight="1" spans="1:9">
      <c r="A89" s="330">
        <v>2010902</v>
      </c>
      <c r="B89" s="379" t="s">
        <v>213</v>
      </c>
      <c r="C89" s="602">
        <f>'[2]2'!E89</f>
        <v>98</v>
      </c>
      <c r="D89" s="714">
        <v>95</v>
      </c>
      <c r="E89" s="713">
        <v>95</v>
      </c>
      <c r="F89" s="716">
        <f t="shared" si="4"/>
        <v>-0.0306122448979592</v>
      </c>
      <c r="G89" s="470">
        <f t="shared" si="5"/>
        <v>1</v>
      </c>
      <c r="H89" s="524" t="str">
        <f t="shared" si="7"/>
        <v>是</v>
      </c>
      <c r="I89" s="312" t="str">
        <f t="shared" si="6"/>
        <v>项</v>
      </c>
    </row>
    <row r="90" s="372" customFormat="1" ht="24" hidden="1" customHeight="1" spans="1:9">
      <c r="A90" s="330">
        <v>2010903</v>
      </c>
      <c r="B90" s="379" t="s">
        <v>214</v>
      </c>
      <c r="C90" s="602">
        <f>'[2]2'!E90</f>
        <v>0</v>
      </c>
      <c r="D90" s="714"/>
      <c r="E90" s="713">
        <v>0</v>
      </c>
      <c r="F90" s="716" t="str">
        <f t="shared" si="4"/>
        <v/>
      </c>
      <c r="G90" s="470" t="str">
        <f t="shared" si="5"/>
        <v/>
      </c>
      <c r="H90" s="524" t="str">
        <f t="shared" si="7"/>
        <v>否</v>
      </c>
      <c r="I90" s="312" t="str">
        <f t="shared" si="6"/>
        <v>项</v>
      </c>
    </row>
    <row r="91" s="372" customFormat="1" ht="24" hidden="1" customHeight="1" spans="1:9">
      <c r="A91" s="330">
        <v>2010905</v>
      </c>
      <c r="B91" s="379" t="s">
        <v>263</v>
      </c>
      <c r="C91" s="602">
        <f>'[2]2'!E91</f>
        <v>0</v>
      </c>
      <c r="D91" s="714"/>
      <c r="E91" s="713">
        <v>0</v>
      </c>
      <c r="F91" s="716" t="str">
        <f t="shared" si="4"/>
        <v/>
      </c>
      <c r="G91" s="470" t="str">
        <f t="shared" si="5"/>
        <v/>
      </c>
      <c r="H91" s="524" t="str">
        <f t="shared" si="7"/>
        <v>否</v>
      </c>
      <c r="I91" s="312" t="str">
        <f t="shared" si="6"/>
        <v>项</v>
      </c>
    </row>
    <row r="92" ht="24" hidden="1" customHeight="1" spans="1:9">
      <c r="A92" s="330">
        <v>2010907</v>
      </c>
      <c r="B92" s="379" t="s">
        <v>264</v>
      </c>
      <c r="C92" s="602">
        <f>'[2]2'!E92</f>
        <v>0</v>
      </c>
      <c r="D92" s="714"/>
      <c r="E92" s="713">
        <v>0</v>
      </c>
      <c r="F92" s="716" t="str">
        <f t="shared" si="4"/>
        <v/>
      </c>
      <c r="G92" s="470" t="str">
        <f t="shared" si="5"/>
        <v/>
      </c>
      <c r="H92" s="524" t="str">
        <f t="shared" si="7"/>
        <v>否</v>
      </c>
      <c r="I92" s="312" t="str">
        <f t="shared" si="6"/>
        <v>项</v>
      </c>
    </row>
    <row r="93" s="372" customFormat="1" ht="24" hidden="1" customHeight="1" spans="1:9">
      <c r="A93" s="330">
        <v>2010908</v>
      </c>
      <c r="B93" s="379" t="s">
        <v>252</v>
      </c>
      <c r="C93" s="602">
        <f>'[2]2'!E93</f>
        <v>0</v>
      </c>
      <c r="D93" s="714"/>
      <c r="E93" s="713">
        <v>0</v>
      </c>
      <c r="F93" s="716" t="str">
        <f t="shared" si="4"/>
        <v/>
      </c>
      <c r="G93" s="470" t="str">
        <f t="shared" si="5"/>
        <v/>
      </c>
      <c r="H93" s="524" t="str">
        <f t="shared" si="7"/>
        <v>否</v>
      </c>
      <c r="I93" s="312" t="str">
        <f t="shared" si="6"/>
        <v>项</v>
      </c>
    </row>
    <row r="94" s="372" customFormat="1" ht="24" hidden="1" customHeight="1" spans="1:9">
      <c r="A94" s="330">
        <v>2010909</v>
      </c>
      <c r="B94" s="379" t="s">
        <v>265</v>
      </c>
      <c r="C94" s="602">
        <f>'[2]2'!E94</f>
        <v>0</v>
      </c>
      <c r="D94" s="714"/>
      <c r="E94" s="713">
        <v>0</v>
      </c>
      <c r="F94" s="716" t="str">
        <f t="shared" si="4"/>
        <v/>
      </c>
      <c r="G94" s="470" t="str">
        <f t="shared" si="5"/>
        <v/>
      </c>
      <c r="H94" s="524" t="str">
        <f t="shared" si="7"/>
        <v>否</v>
      </c>
      <c r="I94" s="312" t="str">
        <f t="shared" si="6"/>
        <v>项</v>
      </c>
    </row>
    <row r="95" s="372" customFormat="1" ht="24" hidden="1" customHeight="1" spans="1:9">
      <c r="A95" s="330">
        <v>2010910</v>
      </c>
      <c r="B95" s="379" t="s">
        <v>266</v>
      </c>
      <c r="C95" s="602">
        <f>'[2]2'!E95</f>
        <v>0</v>
      </c>
      <c r="D95" s="714"/>
      <c r="E95" s="713">
        <v>0</v>
      </c>
      <c r="F95" s="716" t="str">
        <f t="shared" si="4"/>
        <v/>
      </c>
      <c r="G95" s="470" t="str">
        <f t="shared" si="5"/>
        <v/>
      </c>
      <c r="H95" s="524" t="str">
        <f t="shared" si="7"/>
        <v>否</v>
      </c>
      <c r="I95" s="312" t="str">
        <f t="shared" si="6"/>
        <v>项</v>
      </c>
    </row>
    <row r="96" s="372" customFormat="1" ht="24" hidden="1" customHeight="1" spans="1:9">
      <c r="A96" s="330">
        <v>2010911</v>
      </c>
      <c r="B96" s="379" t="s">
        <v>267</v>
      </c>
      <c r="C96" s="602">
        <f>'[2]2'!E96</f>
        <v>0</v>
      </c>
      <c r="D96" s="714"/>
      <c r="E96" s="713">
        <v>0</v>
      </c>
      <c r="F96" s="716" t="str">
        <f t="shared" si="4"/>
        <v/>
      </c>
      <c r="G96" s="470" t="str">
        <f t="shared" si="5"/>
        <v/>
      </c>
      <c r="H96" s="524" t="str">
        <f t="shared" si="7"/>
        <v>否</v>
      </c>
      <c r="I96" s="312" t="str">
        <f t="shared" si="6"/>
        <v>项</v>
      </c>
    </row>
    <row r="97" s="372" customFormat="1" ht="24" hidden="1" customHeight="1" spans="1:9">
      <c r="A97" s="330">
        <v>2010912</v>
      </c>
      <c r="B97" s="379" t="s">
        <v>268</v>
      </c>
      <c r="C97" s="602">
        <f>'[2]2'!E97</f>
        <v>0</v>
      </c>
      <c r="D97" s="714"/>
      <c r="E97" s="713">
        <v>0</v>
      </c>
      <c r="F97" s="716" t="str">
        <f t="shared" si="4"/>
        <v/>
      </c>
      <c r="G97" s="470" t="str">
        <f t="shared" si="5"/>
        <v/>
      </c>
      <c r="H97" s="524" t="str">
        <f t="shared" si="7"/>
        <v>否</v>
      </c>
      <c r="I97" s="312" t="str">
        <f t="shared" si="6"/>
        <v>项</v>
      </c>
    </row>
    <row r="98" s="372" customFormat="1" ht="24" hidden="1" customHeight="1" spans="1:9">
      <c r="A98" s="330">
        <v>2010950</v>
      </c>
      <c r="B98" s="379" t="s">
        <v>221</v>
      </c>
      <c r="C98" s="602">
        <f>'[2]2'!E98</f>
        <v>0</v>
      </c>
      <c r="D98" s="714"/>
      <c r="E98" s="713">
        <v>0</v>
      </c>
      <c r="F98" s="716" t="str">
        <f t="shared" si="4"/>
        <v/>
      </c>
      <c r="G98" s="470" t="str">
        <f t="shared" si="5"/>
        <v/>
      </c>
      <c r="H98" s="524" t="str">
        <f t="shared" si="7"/>
        <v>否</v>
      </c>
      <c r="I98" s="312" t="str">
        <f t="shared" si="6"/>
        <v>项</v>
      </c>
    </row>
    <row r="99" s="372" customFormat="1" ht="24" hidden="1" customHeight="1" spans="1:9">
      <c r="A99" s="330">
        <v>2010999</v>
      </c>
      <c r="B99" s="379" t="s">
        <v>269</v>
      </c>
      <c r="C99" s="602">
        <f>'[2]2'!E99</f>
        <v>0</v>
      </c>
      <c r="D99" s="714"/>
      <c r="E99" s="713">
        <v>0</v>
      </c>
      <c r="F99" s="716" t="str">
        <f t="shared" si="4"/>
        <v/>
      </c>
      <c r="G99" s="470" t="str">
        <f t="shared" si="5"/>
        <v/>
      </c>
      <c r="H99" s="524" t="str">
        <f t="shared" si="7"/>
        <v>否</v>
      </c>
      <c r="I99" s="312" t="str">
        <f t="shared" si="6"/>
        <v>项</v>
      </c>
    </row>
    <row r="100" s="372" customFormat="1" ht="24" customHeight="1" spans="1:9">
      <c r="A100" s="330">
        <v>20111</v>
      </c>
      <c r="B100" s="379" t="s">
        <v>270</v>
      </c>
      <c r="C100" s="602">
        <f>SUM(C101:C108)</f>
        <v>15231</v>
      </c>
      <c r="D100" s="713">
        <f>SUM(D101:D108)</f>
        <v>15160</v>
      </c>
      <c r="E100" s="713">
        <f>SUM(E101:E108)</f>
        <v>13479</v>
      </c>
      <c r="F100" s="716">
        <f t="shared" si="4"/>
        <v>-0.115028560173331</v>
      </c>
      <c r="G100" s="470">
        <f t="shared" si="5"/>
        <v>0.889116094986807</v>
      </c>
      <c r="H100" s="524" t="str">
        <f t="shared" si="7"/>
        <v>是</v>
      </c>
      <c r="I100" s="312" t="str">
        <f t="shared" si="6"/>
        <v>款</v>
      </c>
    </row>
    <row r="101" s="372" customFormat="1" ht="24" hidden="1" customHeight="1" spans="1:9">
      <c r="A101" s="330">
        <v>2011101</v>
      </c>
      <c r="B101" s="379" t="s">
        <v>212</v>
      </c>
      <c r="C101" s="602">
        <f>'[2]2'!E101</f>
        <v>9907</v>
      </c>
      <c r="D101" s="714">
        <v>9926</v>
      </c>
      <c r="E101" s="713">
        <v>10723</v>
      </c>
      <c r="F101" s="716">
        <f t="shared" si="4"/>
        <v>0.0823660038356717</v>
      </c>
      <c r="G101" s="470">
        <f t="shared" si="5"/>
        <v>1.08029417690913</v>
      </c>
      <c r="H101" s="524" t="str">
        <f t="shared" si="7"/>
        <v>是</v>
      </c>
      <c r="I101" s="312" t="str">
        <f t="shared" si="6"/>
        <v>项</v>
      </c>
    </row>
    <row r="102" s="372" customFormat="1" ht="24" hidden="1" customHeight="1" spans="1:9">
      <c r="A102" s="330">
        <v>2011102</v>
      </c>
      <c r="B102" s="379" t="s">
        <v>213</v>
      </c>
      <c r="C102" s="602">
        <f>'[2]2'!E102</f>
        <v>1044</v>
      </c>
      <c r="D102" s="714">
        <v>1059</v>
      </c>
      <c r="E102" s="713">
        <v>1756</v>
      </c>
      <c r="F102" s="716">
        <f t="shared" si="4"/>
        <v>0.681992337164751</v>
      </c>
      <c r="G102" s="470">
        <f t="shared" si="5"/>
        <v>1.65816808309726</v>
      </c>
      <c r="H102" s="524" t="str">
        <f t="shared" si="7"/>
        <v>是</v>
      </c>
      <c r="I102" s="312" t="str">
        <f t="shared" si="6"/>
        <v>项</v>
      </c>
    </row>
    <row r="103" s="372" customFormat="1" ht="24" hidden="1" customHeight="1" spans="1:9">
      <c r="A103" s="330">
        <v>2011103</v>
      </c>
      <c r="B103" s="379" t="s">
        <v>214</v>
      </c>
      <c r="C103" s="602">
        <f>'[2]2'!E103</f>
        <v>0</v>
      </c>
      <c r="D103" s="714"/>
      <c r="E103" s="713">
        <v>0</v>
      </c>
      <c r="F103" s="716" t="str">
        <f t="shared" si="4"/>
        <v/>
      </c>
      <c r="G103" s="470" t="str">
        <f t="shared" si="5"/>
        <v/>
      </c>
      <c r="H103" s="524" t="str">
        <f t="shared" si="7"/>
        <v>否</v>
      </c>
      <c r="I103" s="312" t="str">
        <f t="shared" si="6"/>
        <v>项</v>
      </c>
    </row>
    <row r="104" s="372" customFormat="1" ht="24" hidden="1" customHeight="1" spans="1:9">
      <c r="A104" s="330">
        <v>2011104</v>
      </c>
      <c r="B104" s="379" t="s">
        <v>271</v>
      </c>
      <c r="C104" s="602">
        <f>'[2]2'!E104</f>
        <v>696</v>
      </c>
      <c r="D104" s="714">
        <v>706</v>
      </c>
      <c r="E104" s="713">
        <v>1002</v>
      </c>
      <c r="F104" s="716">
        <f t="shared" si="4"/>
        <v>0.439655172413793</v>
      </c>
      <c r="G104" s="470">
        <f t="shared" si="5"/>
        <v>1.41926345609065</v>
      </c>
      <c r="H104" s="524" t="str">
        <f t="shared" si="7"/>
        <v>是</v>
      </c>
      <c r="I104" s="312" t="str">
        <f t="shared" si="6"/>
        <v>项</v>
      </c>
    </row>
    <row r="105" s="372" customFormat="1" ht="24" hidden="1" customHeight="1" spans="1:9">
      <c r="A105" s="330">
        <v>2011105</v>
      </c>
      <c r="B105" s="379" t="s">
        <v>272</v>
      </c>
      <c r="C105" s="602">
        <f>'[2]2'!E105</f>
        <v>31</v>
      </c>
      <c r="D105" s="714">
        <v>33</v>
      </c>
      <c r="E105" s="713">
        <v>77</v>
      </c>
      <c r="F105" s="716">
        <f t="shared" si="4"/>
        <v>1.48387096774194</v>
      </c>
      <c r="G105" s="470">
        <f t="shared" si="5"/>
        <v>2.33333333333333</v>
      </c>
      <c r="H105" s="524" t="str">
        <f t="shared" si="7"/>
        <v>是</v>
      </c>
      <c r="I105" s="312" t="str">
        <f t="shared" si="6"/>
        <v>项</v>
      </c>
    </row>
    <row r="106" s="372" customFormat="1" ht="24" hidden="1" customHeight="1" spans="1:9">
      <c r="A106" s="330">
        <v>2011106</v>
      </c>
      <c r="B106" s="379" t="s">
        <v>273</v>
      </c>
      <c r="C106" s="602">
        <f>'[2]2'!E106</f>
        <v>0</v>
      </c>
      <c r="D106" s="714"/>
      <c r="E106" s="713">
        <v>0</v>
      </c>
      <c r="F106" s="716" t="str">
        <f t="shared" si="4"/>
        <v/>
      </c>
      <c r="G106" s="470" t="str">
        <f t="shared" si="5"/>
        <v/>
      </c>
      <c r="H106" s="524" t="str">
        <f t="shared" si="7"/>
        <v>否</v>
      </c>
      <c r="I106" s="312" t="str">
        <f t="shared" si="6"/>
        <v>项</v>
      </c>
    </row>
    <row r="107" s="372" customFormat="1" ht="24" hidden="1" customHeight="1" spans="1:9">
      <c r="A107" s="330">
        <v>2011150</v>
      </c>
      <c r="B107" s="379" t="s">
        <v>221</v>
      </c>
      <c r="C107" s="602">
        <f>'[2]2'!E107</f>
        <v>213</v>
      </c>
      <c r="D107" s="714">
        <v>221</v>
      </c>
      <c r="E107" s="713">
        <v>332</v>
      </c>
      <c r="F107" s="716">
        <f t="shared" si="4"/>
        <v>0.55868544600939</v>
      </c>
      <c r="G107" s="470">
        <f t="shared" si="5"/>
        <v>1.50226244343891</v>
      </c>
      <c r="H107" s="524" t="str">
        <f t="shared" si="7"/>
        <v>是</v>
      </c>
      <c r="I107" s="312" t="str">
        <f t="shared" si="6"/>
        <v>项</v>
      </c>
    </row>
    <row r="108" s="372" customFormat="1" ht="24" hidden="1" customHeight="1" spans="1:9">
      <c r="A108" s="330">
        <v>2011199</v>
      </c>
      <c r="B108" s="379" t="s">
        <v>274</v>
      </c>
      <c r="C108" s="602">
        <f>'[2]2'!E108</f>
        <v>3340</v>
      </c>
      <c r="D108" s="714">
        <v>3215</v>
      </c>
      <c r="E108" s="713">
        <v>-411</v>
      </c>
      <c r="F108" s="716">
        <f t="shared" si="4"/>
        <v>-1.12305389221557</v>
      </c>
      <c r="G108" s="470">
        <f t="shared" si="5"/>
        <v>-0.127838258164852</v>
      </c>
      <c r="H108" s="524" t="str">
        <f t="shared" si="7"/>
        <v>是</v>
      </c>
      <c r="I108" s="312" t="str">
        <f t="shared" si="6"/>
        <v>项</v>
      </c>
    </row>
    <row r="109" s="372" customFormat="1" ht="24" customHeight="1" spans="1:9">
      <c r="A109" s="330">
        <v>20113</v>
      </c>
      <c r="B109" s="379" t="s">
        <v>275</v>
      </c>
      <c r="C109" s="602">
        <f>SUM(C110:C119)</f>
        <v>3798</v>
      </c>
      <c r="D109" s="713">
        <f>SUM(D110:D119)</f>
        <v>3817</v>
      </c>
      <c r="E109" s="713">
        <f>SUM(E110:E119)</f>
        <v>2899</v>
      </c>
      <c r="F109" s="716">
        <f t="shared" si="4"/>
        <v>-0.236703528172722</v>
      </c>
      <c r="G109" s="470">
        <f t="shared" si="5"/>
        <v>0.759496987162693</v>
      </c>
      <c r="H109" s="524" t="str">
        <f t="shared" si="7"/>
        <v>是</v>
      </c>
      <c r="I109" s="312" t="str">
        <f t="shared" si="6"/>
        <v>款</v>
      </c>
    </row>
    <row r="110" s="372" customFormat="1" ht="24" hidden="1" customHeight="1" spans="1:9">
      <c r="A110" s="330">
        <v>2011301</v>
      </c>
      <c r="B110" s="379" t="s">
        <v>212</v>
      </c>
      <c r="C110" s="602">
        <f>'[2]2'!E110</f>
        <v>1629</v>
      </c>
      <c r="D110" s="714">
        <v>1631</v>
      </c>
      <c r="E110" s="713">
        <v>1649</v>
      </c>
      <c r="F110" s="716">
        <f t="shared" si="4"/>
        <v>0.0122774708410068</v>
      </c>
      <c r="G110" s="470">
        <f t="shared" si="5"/>
        <v>1.0110361741263</v>
      </c>
      <c r="H110" s="524" t="str">
        <f t="shared" si="7"/>
        <v>是</v>
      </c>
      <c r="I110" s="312" t="str">
        <f t="shared" si="6"/>
        <v>项</v>
      </c>
    </row>
    <row r="111" s="372" customFormat="1" ht="24" hidden="1" customHeight="1" spans="1:9">
      <c r="A111" s="330">
        <v>2011302</v>
      </c>
      <c r="B111" s="379" t="s">
        <v>213</v>
      </c>
      <c r="C111" s="602">
        <f>'[2]2'!E111</f>
        <v>121</v>
      </c>
      <c r="D111" s="714">
        <v>125</v>
      </c>
      <c r="E111" s="713">
        <v>156</v>
      </c>
      <c r="F111" s="716">
        <f t="shared" si="4"/>
        <v>0.289256198347107</v>
      </c>
      <c r="G111" s="470">
        <f t="shared" si="5"/>
        <v>1.248</v>
      </c>
      <c r="H111" s="524" t="str">
        <f t="shared" si="7"/>
        <v>是</v>
      </c>
      <c r="I111" s="312" t="str">
        <f t="shared" si="6"/>
        <v>项</v>
      </c>
    </row>
    <row r="112" s="372" customFormat="1" ht="24" hidden="1" customHeight="1" spans="1:9">
      <c r="A112" s="330">
        <v>2011303</v>
      </c>
      <c r="B112" s="379" t="s">
        <v>214</v>
      </c>
      <c r="C112" s="602">
        <f>'[2]2'!E112</f>
        <v>0</v>
      </c>
      <c r="D112" s="714"/>
      <c r="E112" s="713">
        <v>0</v>
      </c>
      <c r="F112" s="716" t="str">
        <f t="shared" si="4"/>
        <v/>
      </c>
      <c r="G112" s="470" t="str">
        <f t="shared" si="5"/>
        <v/>
      </c>
      <c r="H112" s="524" t="str">
        <f t="shared" si="7"/>
        <v>否</v>
      </c>
      <c r="I112" s="312" t="str">
        <f t="shared" si="6"/>
        <v>项</v>
      </c>
    </row>
    <row r="113" s="372" customFormat="1" ht="24" hidden="1" customHeight="1" spans="1:9">
      <c r="A113" s="330">
        <v>2011304</v>
      </c>
      <c r="B113" s="379" t="s">
        <v>276</v>
      </c>
      <c r="C113" s="602">
        <f>'[2]2'!E113</f>
        <v>-1</v>
      </c>
      <c r="D113" s="714"/>
      <c r="E113" s="713">
        <v>15</v>
      </c>
      <c r="F113" s="716">
        <f>-IFERROR((E113-C113)/C113,"")</f>
        <v>16</v>
      </c>
      <c r="G113" s="470" t="str">
        <f t="shared" si="5"/>
        <v/>
      </c>
      <c r="H113" s="524" t="str">
        <f t="shared" si="7"/>
        <v>是</v>
      </c>
      <c r="I113" s="312" t="str">
        <f t="shared" si="6"/>
        <v>项</v>
      </c>
    </row>
    <row r="114" s="372" customFormat="1" ht="24" hidden="1" customHeight="1" spans="1:9">
      <c r="A114" s="330">
        <v>2011305</v>
      </c>
      <c r="B114" s="379" t="s">
        <v>277</v>
      </c>
      <c r="C114" s="602">
        <f>'[2]2'!E114</f>
        <v>0</v>
      </c>
      <c r="D114" s="714"/>
      <c r="E114" s="713">
        <v>0</v>
      </c>
      <c r="F114" s="716" t="str">
        <f t="shared" si="4"/>
        <v/>
      </c>
      <c r="G114" s="470" t="str">
        <f t="shared" si="5"/>
        <v/>
      </c>
      <c r="H114" s="524" t="str">
        <f t="shared" si="7"/>
        <v>否</v>
      </c>
      <c r="I114" s="312" t="str">
        <f t="shared" si="6"/>
        <v>项</v>
      </c>
    </row>
    <row r="115" ht="24" hidden="1" customHeight="1" spans="1:9">
      <c r="A115" s="330">
        <v>2011306</v>
      </c>
      <c r="B115" s="379" t="s">
        <v>278</v>
      </c>
      <c r="C115" s="602">
        <f>'[2]2'!E115</f>
        <v>0</v>
      </c>
      <c r="D115" s="714"/>
      <c r="E115" s="713">
        <v>0</v>
      </c>
      <c r="F115" s="716" t="str">
        <f t="shared" si="4"/>
        <v/>
      </c>
      <c r="G115" s="470" t="str">
        <f t="shared" si="5"/>
        <v/>
      </c>
      <c r="H115" s="524" t="str">
        <f t="shared" si="7"/>
        <v>否</v>
      </c>
      <c r="I115" s="312" t="str">
        <f t="shared" si="6"/>
        <v>项</v>
      </c>
    </row>
    <row r="116" s="372" customFormat="1" ht="24" hidden="1" customHeight="1" spans="1:9">
      <c r="A116" s="330">
        <v>2011307</v>
      </c>
      <c r="B116" s="379" t="s">
        <v>279</v>
      </c>
      <c r="C116" s="602">
        <f>'[2]2'!E116</f>
        <v>0</v>
      </c>
      <c r="D116" s="714"/>
      <c r="E116" s="713">
        <v>0</v>
      </c>
      <c r="F116" s="716" t="str">
        <f t="shared" si="4"/>
        <v/>
      </c>
      <c r="G116" s="470" t="str">
        <f t="shared" si="5"/>
        <v/>
      </c>
      <c r="H116" s="524" t="str">
        <f t="shared" si="7"/>
        <v>否</v>
      </c>
      <c r="I116" s="312" t="str">
        <f t="shared" si="6"/>
        <v>项</v>
      </c>
    </row>
    <row r="117" s="372" customFormat="1" ht="24" hidden="1" customHeight="1" spans="1:9">
      <c r="A117" s="330">
        <v>2011308</v>
      </c>
      <c r="B117" s="379" t="s">
        <v>280</v>
      </c>
      <c r="C117" s="602">
        <f>'[2]2'!E117</f>
        <v>795</v>
      </c>
      <c r="D117" s="714">
        <v>815</v>
      </c>
      <c r="E117" s="713">
        <v>643</v>
      </c>
      <c r="F117" s="716">
        <f t="shared" si="4"/>
        <v>-0.191194968553459</v>
      </c>
      <c r="G117" s="470">
        <f t="shared" si="5"/>
        <v>0.788957055214724</v>
      </c>
      <c r="H117" s="524" t="str">
        <f t="shared" si="7"/>
        <v>是</v>
      </c>
      <c r="I117" s="312" t="str">
        <f t="shared" si="6"/>
        <v>项</v>
      </c>
    </row>
    <row r="118" s="372" customFormat="1" ht="24" hidden="1" customHeight="1" spans="1:9">
      <c r="A118" s="330">
        <v>2011350</v>
      </c>
      <c r="B118" s="379" t="s">
        <v>221</v>
      </c>
      <c r="C118" s="602">
        <f>'[2]2'!E118</f>
        <v>252</v>
      </c>
      <c r="D118" s="714">
        <v>261</v>
      </c>
      <c r="E118" s="713">
        <v>300</v>
      </c>
      <c r="F118" s="716">
        <f t="shared" si="4"/>
        <v>0.19047619047619</v>
      </c>
      <c r="G118" s="470">
        <f t="shared" si="5"/>
        <v>1.14942528735632</v>
      </c>
      <c r="H118" s="524" t="str">
        <f t="shared" si="7"/>
        <v>是</v>
      </c>
      <c r="I118" s="312" t="str">
        <f t="shared" si="6"/>
        <v>项</v>
      </c>
    </row>
    <row r="119" s="372" customFormat="1" ht="24" hidden="1" customHeight="1" spans="1:9">
      <c r="A119" s="330">
        <v>2011399</v>
      </c>
      <c r="B119" s="379" t="s">
        <v>281</v>
      </c>
      <c r="C119" s="602">
        <f>'[2]2'!E119</f>
        <v>1002</v>
      </c>
      <c r="D119" s="714">
        <v>985</v>
      </c>
      <c r="E119" s="713">
        <v>136</v>
      </c>
      <c r="F119" s="716">
        <f t="shared" si="4"/>
        <v>-0.864271457085828</v>
      </c>
      <c r="G119" s="470">
        <f t="shared" si="5"/>
        <v>0.138071065989848</v>
      </c>
      <c r="H119" s="524" t="str">
        <f t="shared" si="7"/>
        <v>是</v>
      </c>
      <c r="I119" s="312" t="str">
        <f t="shared" si="6"/>
        <v>项</v>
      </c>
    </row>
    <row r="120" s="372" customFormat="1" ht="24" customHeight="1" spans="1:9">
      <c r="A120" s="330">
        <v>20114</v>
      </c>
      <c r="B120" s="379" t="s">
        <v>282</v>
      </c>
      <c r="C120" s="602">
        <f>SUM(C121:C131)</f>
        <v>54</v>
      </c>
      <c r="D120" s="713">
        <f>SUM(D121:D131)</f>
        <v>55</v>
      </c>
      <c r="E120" s="713">
        <f>SUM(E121:E131)</f>
        <v>2</v>
      </c>
      <c r="F120" s="716">
        <f t="shared" si="4"/>
        <v>-0.962962962962963</v>
      </c>
      <c r="G120" s="470">
        <f t="shared" si="5"/>
        <v>0.0363636363636364</v>
      </c>
      <c r="H120" s="524" t="str">
        <f t="shared" si="7"/>
        <v>是</v>
      </c>
      <c r="I120" s="312" t="str">
        <f t="shared" si="6"/>
        <v>款</v>
      </c>
    </row>
    <row r="121" s="372" customFormat="1" ht="24" hidden="1" customHeight="1" spans="1:9">
      <c r="A121" s="330">
        <v>2011401</v>
      </c>
      <c r="B121" s="379" t="s">
        <v>212</v>
      </c>
      <c r="C121" s="602">
        <f>'[2]2'!E121</f>
        <v>0</v>
      </c>
      <c r="D121" s="714"/>
      <c r="E121" s="713">
        <v>0</v>
      </c>
      <c r="F121" s="716" t="str">
        <f t="shared" si="4"/>
        <v/>
      </c>
      <c r="G121" s="470" t="str">
        <f t="shared" si="5"/>
        <v/>
      </c>
      <c r="H121" s="524" t="str">
        <f t="shared" si="7"/>
        <v>否</v>
      </c>
      <c r="I121" s="312" t="str">
        <f t="shared" si="6"/>
        <v>项</v>
      </c>
    </row>
    <row r="122" s="372" customFormat="1" ht="24" hidden="1" customHeight="1" spans="1:9">
      <c r="A122" s="330">
        <v>2011402</v>
      </c>
      <c r="B122" s="379" t="s">
        <v>213</v>
      </c>
      <c r="C122" s="602">
        <f>'[2]2'!E122</f>
        <v>0</v>
      </c>
      <c r="D122" s="714"/>
      <c r="E122" s="713">
        <v>0</v>
      </c>
      <c r="F122" s="716" t="str">
        <f t="shared" si="4"/>
        <v/>
      </c>
      <c r="G122" s="470" t="str">
        <f t="shared" si="5"/>
        <v/>
      </c>
      <c r="H122" s="524" t="str">
        <f t="shared" si="7"/>
        <v>否</v>
      </c>
      <c r="I122" s="312" t="str">
        <f t="shared" si="6"/>
        <v>项</v>
      </c>
    </row>
    <row r="123" s="372" customFormat="1" ht="24" hidden="1" customHeight="1" spans="1:9">
      <c r="A123" s="330">
        <v>2011403</v>
      </c>
      <c r="B123" s="379" t="s">
        <v>214</v>
      </c>
      <c r="C123" s="602">
        <f>'[2]2'!E123</f>
        <v>0</v>
      </c>
      <c r="D123" s="714"/>
      <c r="E123" s="713">
        <v>0</v>
      </c>
      <c r="F123" s="716" t="str">
        <f t="shared" si="4"/>
        <v/>
      </c>
      <c r="G123" s="470" t="str">
        <f t="shared" si="5"/>
        <v/>
      </c>
      <c r="H123" s="524" t="str">
        <f t="shared" si="7"/>
        <v>否</v>
      </c>
      <c r="I123" s="312" t="str">
        <f t="shared" si="6"/>
        <v>项</v>
      </c>
    </row>
    <row r="124" ht="24" hidden="1" customHeight="1" spans="1:9">
      <c r="A124" s="330">
        <v>2011404</v>
      </c>
      <c r="B124" s="379" t="s">
        <v>283</v>
      </c>
      <c r="C124" s="602">
        <f>'[2]2'!E124</f>
        <v>0</v>
      </c>
      <c r="D124" s="714"/>
      <c r="E124" s="713">
        <v>0</v>
      </c>
      <c r="F124" s="716" t="str">
        <f t="shared" si="4"/>
        <v/>
      </c>
      <c r="G124" s="470" t="str">
        <f t="shared" si="5"/>
        <v/>
      </c>
      <c r="H124" s="524" t="str">
        <f t="shared" si="7"/>
        <v>否</v>
      </c>
      <c r="I124" s="312" t="str">
        <f t="shared" si="6"/>
        <v>项</v>
      </c>
    </row>
    <row r="125" s="372" customFormat="1" ht="24" hidden="1" customHeight="1" spans="1:9">
      <c r="A125" s="330">
        <v>2011405</v>
      </c>
      <c r="B125" s="379" t="s">
        <v>284</v>
      </c>
      <c r="C125" s="602">
        <f>'[2]2'!E125</f>
        <v>0</v>
      </c>
      <c r="D125" s="714"/>
      <c r="E125" s="713">
        <v>0</v>
      </c>
      <c r="F125" s="716" t="str">
        <f t="shared" si="4"/>
        <v/>
      </c>
      <c r="G125" s="470" t="str">
        <f t="shared" si="5"/>
        <v/>
      </c>
      <c r="H125" s="524" t="str">
        <f t="shared" si="7"/>
        <v>否</v>
      </c>
      <c r="I125" s="312" t="str">
        <f t="shared" si="6"/>
        <v>项</v>
      </c>
    </row>
    <row r="126" s="372" customFormat="1" ht="24" hidden="1" customHeight="1" spans="1:9">
      <c r="A126" s="330">
        <v>2011408</v>
      </c>
      <c r="B126" s="379" t="s">
        <v>285</v>
      </c>
      <c r="C126" s="602">
        <f>'[2]2'!E126</f>
        <v>0</v>
      </c>
      <c r="D126" s="714"/>
      <c r="E126" s="713">
        <v>0</v>
      </c>
      <c r="F126" s="716" t="str">
        <f t="shared" si="4"/>
        <v/>
      </c>
      <c r="G126" s="470" t="str">
        <f t="shared" si="5"/>
        <v/>
      </c>
      <c r="H126" s="524" t="str">
        <f t="shared" si="7"/>
        <v>否</v>
      </c>
      <c r="I126" s="312" t="str">
        <f t="shared" si="6"/>
        <v>项</v>
      </c>
    </row>
    <row r="127" s="372" customFormat="1" ht="24" hidden="1" customHeight="1" spans="1:9">
      <c r="A127" s="330">
        <v>2011409</v>
      </c>
      <c r="B127" s="379" t="s">
        <v>286</v>
      </c>
      <c r="C127" s="602">
        <f>'[2]2'!E127</f>
        <v>50</v>
      </c>
      <c r="D127" s="714">
        <v>50</v>
      </c>
      <c r="E127" s="713">
        <v>0</v>
      </c>
      <c r="F127" s="716">
        <f t="shared" si="4"/>
        <v>-1</v>
      </c>
      <c r="G127" s="470">
        <f t="shared" si="5"/>
        <v>0</v>
      </c>
      <c r="H127" s="524" t="str">
        <f t="shared" si="7"/>
        <v>是</v>
      </c>
      <c r="I127" s="312" t="str">
        <f t="shared" si="6"/>
        <v>项</v>
      </c>
    </row>
    <row r="128" s="372" customFormat="1" ht="24" hidden="1" customHeight="1" spans="1:9">
      <c r="A128" s="330">
        <v>2011410</v>
      </c>
      <c r="B128" s="379" t="s">
        <v>287</v>
      </c>
      <c r="C128" s="602">
        <f>'[2]2'!E128</f>
        <v>0</v>
      </c>
      <c r="D128" s="714"/>
      <c r="E128" s="713">
        <v>0</v>
      </c>
      <c r="F128" s="716" t="str">
        <f t="shared" si="4"/>
        <v/>
      </c>
      <c r="G128" s="470" t="str">
        <f t="shared" si="5"/>
        <v/>
      </c>
      <c r="H128" s="524" t="str">
        <f t="shared" si="7"/>
        <v>否</v>
      </c>
      <c r="I128" s="312" t="str">
        <f t="shared" si="6"/>
        <v>项</v>
      </c>
    </row>
    <row r="129" s="372" customFormat="1" ht="24" hidden="1" customHeight="1" spans="1:9">
      <c r="A129" s="330">
        <v>2011411</v>
      </c>
      <c r="B129" s="379" t="s">
        <v>288</v>
      </c>
      <c r="C129" s="602">
        <f>'[2]2'!E129</f>
        <v>0</v>
      </c>
      <c r="D129" s="714"/>
      <c r="E129" s="713">
        <v>0</v>
      </c>
      <c r="F129" s="716" t="str">
        <f t="shared" si="4"/>
        <v/>
      </c>
      <c r="G129" s="470" t="str">
        <f t="shared" si="5"/>
        <v/>
      </c>
      <c r="H129" s="524" t="str">
        <f t="shared" si="7"/>
        <v>否</v>
      </c>
      <c r="I129" s="312" t="str">
        <f t="shared" si="6"/>
        <v>项</v>
      </c>
    </row>
    <row r="130" s="372" customFormat="1" ht="24" hidden="1" customHeight="1" spans="1:9">
      <c r="A130" s="330">
        <v>2011450</v>
      </c>
      <c r="B130" s="379" t="s">
        <v>221</v>
      </c>
      <c r="C130" s="602">
        <f>'[2]2'!E130</f>
        <v>0</v>
      </c>
      <c r="D130" s="714"/>
      <c r="E130" s="713">
        <v>0</v>
      </c>
      <c r="F130" s="716" t="str">
        <f t="shared" si="4"/>
        <v/>
      </c>
      <c r="G130" s="470" t="str">
        <f t="shared" si="5"/>
        <v/>
      </c>
      <c r="H130" s="524" t="str">
        <f t="shared" si="7"/>
        <v>否</v>
      </c>
      <c r="I130" s="312" t="str">
        <f t="shared" si="6"/>
        <v>项</v>
      </c>
    </row>
    <row r="131" s="372" customFormat="1" ht="24" hidden="1" customHeight="1" spans="1:9">
      <c r="A131" s="330">
        <v>2011499</v>
      </c>
      <c r="B131" s="379" t="s">
        <v>289</v>
      </c>
      <c r="C131" s="602">
        <f>'[2]2'!E131</f>
        <v>4</v>
      </c>
      <c r="D131" s="714">
        <v>5</v>
      </c>
      <c r="E131" s="713">
        <v>2</v>
      </c>
      <c r="F131" s="716">
        <f t="shared" si="4"/>
        <v>-0.5</v>
      </c>
      <c r="G131" s="470">
        <f t="shared" si="5"/>
        <v>0.4</v>
      </c>
      <c r="H131" s="524" t="str">
        <f t="shared" si="7"/>
        <v>是</v>
      </c>
      <c r="I131" s="312" t="str">
        <f t="shared" si="6"/>
        <v>项</v>
      </c>
    </row>
    <row r="132" s="372" customFormat="1" ht="24" customHeight="1" spans="1:9">
      <c r="A132" s="330">
        <v>20123</v>
      </c>
      <c r="B132" s="379" t="s">
        <v>290</v>
      </c>
      <c r="C132" s="602">
        <f>SUM(C133:C138)</f>
        <v>995</v>
      </c>
      <c r="D132" s="713">
        <f>SUM(D133:D138)</f>
        <v>988</v>
      </c>
      <c r="E132" s="713">
        <f>SUM(E133:E138)</f>
        <v>532</v>
      </c>
      <c r="F132" s="716">
        <f t="shared" si="4"/>
        <v>-0.465326633165829</v>
      </c>
      <c r="G132" s="470">
        <f t="shared" si="5"/>
        <v>0.538461538461538</v>
      </c>
      <c r="H132" s="524" t="str">
        <f t="shared" si="7"/>
        <v>是</v>
      </c>
      <c r="I132" s="312" t="str">
        <f t="shared" si="6"/>
        <v>款</v>
      </c>
    </row>
    <row r="133" s="372" customFormat="1" ht="24" hidden="1" customHeight="1" spans="1:9">
      <c r="A133" s="330">
        <v>2012301</v>
      </c>
      <c r="B133" s="379" t="s">
        <v>212</v>
      </c>
      <c r="C133" s="602">
        <f>'[2]2'!E133</f>
        <v>675</v>
      </c>
      <c r="D133" s="714">
        <v>681</v>
      </c>
      <c r="E133" s="713">
        <v>350</v>
      </c>
      <c r="F133" s="716">
        <f t="shared" ref="F133:F196" si="8">IFERROR((E133-C133)/C133,"")</f>
        <v>-0.481481481481481</v>
      </c>
      <c r="G133" s="470">
        <f t="shared" ref="G133:G196" si="9">IFERROR(E133/D133,"")</f>
        <v>0.513950073421439</v>
      </c>
      <c r="H133" s="524" t="str">
        <f t="shared" si="7"/>
        <v>是</v>
      </c>
      <c r="I133" s="312" t="str">
        <f t="shared" ref="I133:I196" si="10">IF(LEN(A133)=3,"类",IF(LEN(A133)=5,"款","项"))</f>
        <v>项</v>
      </c>
    </row>
    <row r="134" s="372" customFormat="1" ht="24" hidden="1" customHeight="1" spans="1:9">
      <c r="A134" s="330">
        <v>2012302</v>
      </c>
      <c r="B134" s="379" t="s">
        <v>213</v>
      </c>
      <c r="C134" s="602">
        <f>'[2]2'!E134</f>
        <v>8</v>
      </c>
      <c r="D134" s="714">
        <v>9</v>
      </c>
      <c r="E134" s="713">
        <v>0</v>
      </c>
      <c r="F134" s="716">
        <f t="shared" si="8"/>
        <v>-1</v>
      </c>
      <c r="G134" s="470">
        <f t="shared" si="9"/>
        <v>0</v>
      </c>
      <c r="H134" s="524" t="str">
        <f t="shared" ref="H134:H197" si="11">IF(LEN(A134)=3,"是",IF(B134&lt;&gt;"",IF(SUM(C134:E134)&lt;&gt;0,"是","否"),"是"))</f>
        <v>是</v>
      </c>
      <c r="I134" s="312" t="str">
        <f t="shared" si="10"/>
        <v>项</v>
      </c>
    </row>
    <row r="135" ht="24" hidden="1" customHeight="1" spans="1:9">
      <c r="A135" s="330">
        <v>2012303</v>
      </c>
      <c r="B135" s="379" t="s">
        <v>214</v>
      </c>
      <c r="C135" s="602">
        <f>'[2]2'!E135</f>
        <v>0</v>
      </c>
      <c r="D135" s="714"/>
      <c r="E135" s="713">
        <v>0</v>
      </c>
      <c r="F135" s="716" t="str">
        <f t="shared" si="8"/>
        <v/>
      </c>
      <c r="G135" s="470" t="str">
        <f t="shared" si="9"/>
        <v/>
      </c>
      <c r="H135" s="524" t="str">
        <f t="shared" si="11"/>
        <v>否</v>
      </c>
      <c r="I135" s="312" t="str">
        <f t="shared" si="10"/>
        <v>项</v>
      </c>
    </row>
    <row r="136" s="372" customFormat="1" ht="24" hidden="1" customHeight="1" spans="1:9">
      <c r="A136" s="330">
        <v>2012304</v>
      </c>
      <c r="B136" s="379" t="s">
        <v>291</v>
      </c>
      <c r="C136" s="602">
        <f>'[2]2'!E136</f>
        <v>0</v>
      </c>
      <c r="D136" s="714"/>
      <c r="E136" s="713">
        <v>0</v>
      </c>
      <c r="F136" s="716" t="str">
        <f t="shared" si="8"/>
        <v/>
      </c>
      <c r="G136" s="470" t="str">
        <f t="shared" si="9"/>
        <v/>
      </c>
      <c r="H136" s="524" t="str">
        <f t="shared" si="11"/>
        <v>否</v>
      </c>
      <c r="I136" s="312" t="str">
        <f t="shared" si="10"/>
        <v>项</v>
      </c>
    </row>
    <row r="137" s="372" customFormat="1" ht="24" hidden="1" customHeight="1" spans="1:9">
      <c r="A137" s="330">
        <v>2012350</v>
      </c>
      <c r="B137" s="379" t="s">
        <v>221</v>
      </c>
      <c r="C137" s="602">
        <f>'[2]2'!E137</f>
        <v>0</v>
      </c>
      <c r="D137" s="714"/>
      <c r="E137" s="713">
        <v>0</v>
      </c>
      <c r="F137" s="716" t="str">
        <f t="shared" si="8"/>
        <v/>
      </c>
      <c r="G137" s="470" t="str">
        <f t="shared" si="9"/>
        <v/>
      </c>
      <c r="H137" s="524" t="str">
        <f t="shared" si="11"/>
        <v>否</v>
      </c>
      <c r="I137" s="312" t="str">
        <f t="shared" si="10"/>
        <v>项</v>
      </c>
    </row>
    <row r="138" s="372" customFormat="1" ht="24" hidden="1" customHeight="1" spans="1:9">
      <c r="A138" s="330">
        <v>2012399</v>
      </c>
      <c r="B138" s="379" t="s">
        <v>292</v>
      </c>
      <c r="C138" s="602">
        <f>'[2]2'!E138</f>
        <v>312</v>
      </c>
      <c r="D138" s="714">
        <v>298</v>
      </c>
      <c r="E138" s="713">
        <v>182</v>
      </c>
      <c r="F138" s="716">
        <f t="shared" si="8"/>
        <v>-0.416666666666667</v>
      </c>
      <c r="G138" s="470">
        <f t="shared" si="9"/>
        <v>0.610738255033557</v>
      </c>
      <c r="H138" s="524" t="str">
        <f t="shared" si="11"/>
        <v>是</v>
      </c>
      <c r="I138" s="312" t="str">
        <f t="shared" si="10"/>
        <v>项</v>
      </c>
    </row>
    <row r="139" s="372" customFormat="1" ht="24" hidden="1" customHeight="1" spans="1:9">
      <c r="A139" s="330">
        <v>20125</v>
      </c>
      <c r="B139" s="379" t="s">
        <v>293</v>
      </c>
      <c r="C139" s="602">
        <f>SUM(C140:C146)</f>
        <v>0</v>
      </c>
      <c r="D139" s="713">
        <f>SUM(D140:D146)</f>
        <v>0</v>
      </c>
      <c r="E139" s="713">
        <f>SUM(E140:E146)</f>
        <v>0</v>
      </c>
      <c r="F139" s="716" t="str">
        <f t="shared" si="8"/>
        <v/>
      </c>
      <c r="G139" s="470" t="str">
        <f t="shared" si="9"/>
        <v/>
      </c>
      <c r="H139" s="524" t="str">
        <f t="shared" si="11"/>
        <v>否</v>
      </c>
      <c r="I139" s="312" t="str">
        <f t="shared" si="10"/>
        <v>款</v>
      </c>
    </row>
    <row r="140" s="372" customFormat="1" ht="24" hidden="1" customHeight="1" spans="1:9">
      <c r="A140" s="330">
        <v>2012501</v>
      </c>
      <c r="B140" s="379" t="s">
        <v>212</v>
      </c>
      <c r="C140" s="602">
        <f>'[2]2'!E140</f>
        <v>0</v>
      </c>
      <c r="D140" s="714"/>
      <c r="E140" s="713">
        <v>0</v>
      </c>
      <c r="F140" s="716" t="str">
        <f t="shared" si="8"/>
        <v/>
      </c>
      <c r="G140" s="470" t="str">
        <f t="shared" si="9"/>
        <v/>
      </c>
      <c r="H140" s="524" t="str">
        <f t="shared" si="11"/>
        <v>否</v>
      </c>
      <c r="I140" s="312" t="str">
        <f t="shared" si="10"/>
        <v>项</v>
      </c>
    </row>
    <row r="141" s="372" customFormat="1" ht="24" hidden="1" customHeight="1" spans="1:9">
      <c r="A141" s="330">
        <v>2012502</v>
      </c>
      <c r="B141" s="379" t="s">
        <v>213</v>
      </c>
      <c r="C141" s="602">
        <f>'[2]2'!E141</f>
        <v>0</v>
      </c>
      <c r="D141" s="714"/>
      <c r="E141" s="713">
        <v>0</v>
      </c>
      <c r="F141" s="716" t="str">
        <f t="shared" si="8"/>
        <v/>
      </c>
      <c r="G141" s="470" t="str">
        <f t="shared" si="9"/>
        <v/>
      </c>
      <c r="H141" s="524" t="str">
        <f t="shared" si="11"/>
        <v>否</v>
      </c>
      <c r="I141" s="312" t="str">
        <f t="shared" si="10"/>
        <v>项</v>
      </c>
    </row>
    <row r="142" s="372" customFormat="1" ht="24" hidden="1" customHeight="1" spans="1:9">
      <c r="A142" s="330">
        <v>2012503</v>
      </c>
      <c r="B142" s="379" t="s">
        <v>214</v>
      </c>
      <c r="C142" s="602">
        <f>'[2]2'!E142</f>
        <v>0</v>
      </c>
      <c r="D142" s="714"/>
      <c r="E142" s="713">
        <v>0</v>
      </c>
      <c r="F142" s="716" t="str">
        <f t="shared" si="8"/>
        <v/>
      </c>
      <c r="G142" s="470" t="str">
        <f t="shared" si="9"/>
        <v/>
      </c>
      <c r="H142" s="524" t="str">
        <f t="shared" si="11"/>
        <v>否</v>
      </c>
      <c r="I142" s="312" t="str">
        <f t="shared" si="10"/>
        <v>项</v>
      </c>
    </row>
    <row r="143" s="372" customFormat="1" ht="24" hidden="1" customHeight="1" spans="1:9">
      <c r="A143" s="330">
        <v>2012504</v>
      </c>
      <c r="B143" s="379" t="s">
        <v>294</v>
      </c>
      <c r="C143" s="602">
        <f>'[2]2'!E143</f>
        <v>0</v>
      </c>
      <c r="D143" s="714"/>
      <c r="E143" s="713">
        <v>0</v>
      </c>
      <c r="F143" s="716" t="str">
        <f t="shared" si="8"/>
        <v/>
      </c>
      <c r="G143" s="470" t="str">
        <f t="shared" si="9"/>
        <v/>
      </c>
      <c r="H143" s="524" t="str">
        <f t="shared" si="11"/>
        <v>否</v>
      </c>
      <c r="I143" s="312" t="str">
        <f t="shared" si="10"/>
        <v>项</v>
      </c>
    </row>
    <row r="144" s="372" customFormat="1" ht="24" hidden="1" customHeight="1" spans="1:9">
      <c r="A144" s="330">
        <v>2012505</v>
      </c>
      <c r="B144" s="379" t="s">
        <v>295</v>
      </c>
      <c r="C144" s="602">
        <f>'[2]2'!E144</f>
        <v>0</v>
      </c>
      <c r="D144" s="714"/>
      <c r="E144" s="713">
        <v>0</v>
      </c>
      <c r="F144" s="716" t="str">
        <f t="shared" si="8"/>
        <v/>
      </c>
      <c r="G144" s="470" t="str">
        <f t="shared" si="9"/>
        <v/>
      </c>
      <c r="H144" s="524" t="str">
        <f t="shared" si="11"/>
        <v>否</v>
      </c>
      <c r="I144" s="312" t="str">
        <f t="shared" si="10"/>
        <v>项</v>
      </c>
    </row>
    <row r="145" s="372" customFormat="1" ht="24" hidden="1" customHeight="1" spans="1:9">
      <c r="A145" s="330">
        <v>2012550</v>
      </c>
      <c r="B145" s="379" t="s">
        <v>221</v>
      </c>
      <c r="C145" s="602">
        <f>'[2]2'!E145</f>
        <v>0</v>
      </c>
      <c r="D145" s="714"/>
      <c r="E145" s="713">
        <v>0</v>
      </c>
      <c r="F145" s="716" t="str">
        <f t="shared" si="8"/>
        <v/>
      </c>
      <c r="G145" s="470" t="str">
        <f t="shared" si="9"/>
        <v/>
      </c>
      <c r="H145" s="524" t="str">
        <f t="shared" si="11"/>
        <v>否</v>
      </c>
      <c r="I145" s="312" t="str">
        <f t="shared" si="10"/>
        <v>项</v>
      </c>
    </row>
    <row r="146" s="372" customFormat="1" ht="24" hidden="1" customHeight="1" spans="1:9">
      <c r="A146" s="330">
        <v>2012599</v>
      </c>
      <c r="B146" s="379" t="s">
        <v>296</v>
      </c>
      <c r="C146" s="602">
        <f>'[2]2'!E146</f>
        <v>0</v>
      </c>
      <c r="D146" s="714"/>
      <c r="E146" s="713">
        <v>0</v>
      </c>
      <c r="F146" s="716" t="str">
        <f t="shared" si="8"/>
        <v/>
      </c>
      <c r="G146" s="470" t="str">
        <f t="shared" si="9"/>
        <v/>
      </c>
      <c r="H146" s="524" t="str">
        <f t="shared" si="11"/>
        <v>否</v>
      </c>
      <c r="I146" s="312" t="str">
        <f t="shared" si="10"/>
        <v>项</v>
      </c>
    </row>
    <row r="147" s="372" customFormat="1" ht="24" customHeight="1" spans="1:9">
      <c r="A147" s="330">
        <v>20126</v>
      </c>
      <c r="B147" s="379" t="s">
        <v>297</v>
      </c>
      <c r="C147" s="602">
        <f>SUM(C148:C152)</f>
        <v>588</v>
      </c>
      <c r="D147" s="713">
        <f>SUM(D148:D152)</f>
        <v>577</v>
      </c>
      <c r="E147" s="713">
        <f>SUM(E148:E152)</f>
        <v>747</v>
      </c>
      <c r="F147" s="716">
        <f t="shared" si="8"/>
        <v>0.270408163265306</v>
      </c>
      <c r="G147" s="470">
        <f t="shared" si="9"/>
        <v>1.2946273830156</v>
      </c>
      <c r="H147" s="524" t="str">
        <f t="shared" si="11"/>
        <v>是</v>
      </c>
      <c r="I147" s="312" t="str">
        <f t="shared" si="10"/>
        <v>款</v>
      </c>
    </row>
    <row r="148" ht="24" hidden="1" customHeight="1" spans="1:9">
      <c r="A148" s="330">
        <v>2012601</v>
      </c>
      <c r="B148" s="379" t="s">
        <v>212</v>
      </c>
      <c r="C148" s="602">
        <f>'[2]2'!E148</f>
        <v>89</v>
      </c>
      <c r="D148" s="714">
        <v>92</v>
      </c>
      <c r="E148" s="713">
        <v>92</v>
      </c>
      <c r="F148" s="716">
        <f t="shared" si="8"/>
        <v>0.0337078651685393</v>
      </c>
      <c r="G148" s="470">
        <f t="shared" si="9"/>
        <v>1</v>
      </c>
      <c r="H148" s="524" t="str">
        <f t="shared" si="11"/>
        <v>是</v>
      </c>
      <c r="I148" s="312" t="str">
        <f t="shared" si="10"/>
        <v>项</v>
      </c>
    </row>
    <row r="149" s="372" customFormat="1" ht="24" hidden="1" customHeight="1" spans="1:9">
      <c r="A149" s="330">
        <v>2012602</v>
      </c>
      <c r="B149" s="379" t="s">
        <v>213</v>
      </c>
      <c r="C149" s="602">
        <f>'[2]2'!E149</f>
        <v>0</v>
      </c>
      <c r="D149" s="714"/>
      <c r="E149" s="713">
        <v>0</v>
      </c>
      <c r="F149" s="716" t="str">
        <f t="shared" si="8"/>
        <v/>
      </c>
      <c r="G149" s="470" t="str">
        <f t="shared" si="9"/>
        <v/>
      </c>
      <c r="H149" s="524" t="str">
        <f t="shared" si="11"/>
        <v>否</v>
      </c>
      <c r="I149" s="312" t="str">
        <f t="shared" si="10"/>
        <v>项</v>
      </c>
    </row>
    <row r="150" s="372" customFormat="1" ht="24" hidden="1" customHeight="1" spans="1:9">
      <c r="A150" s="330">
        <v>2012603</v>
      </c>
      <c r="B150" s="379" t="s">
        <v>214</v>
      </c>
      <c r="C150" s="602">
        <f>'[2]2'!E150</f>
        <v>0</v>
      </c>
      <c r="D150" s="714"/>
      <c r="E150" s="713">
        <v>0</v>
      </c>
      <c r="F150" s="716" t="str">
        <f t="shared" si="8"/>
        <v/>
      </c>
      <c r="G150" s="470" t="str">
        <f t="shared" si="9"/>
        <v/>
      </c>
      <c r="H150" s="524" t="str">
        <f t="shared" si="11"/>
        <v>否</v>
      </c>
      <c r="I150" s="312" t="str">
        <f t="shared" si="10"/>
        <v>项</v>
      </c>
    </row>
    <row r="151" s="372" customFormat="1" ht="24" hidden="1" customHeight="1" spans="1:9">
      <c r="A151" s="330">
        <v>2012604</v>
      </c>
      <c r="B151" s="379" t="s">
        <v>298</v>
      </c>
      <c r="C151" s="602">
        <f>'[2]2'!E151</f>
        <v>371</v>
      </c>
      <c r="D151" s="714">
        <v>373</v>
      </c>
      <c r="E151" s="713">
        <v>482</v>
      </c>
      <c r="F151" s="716">
        <f t="shared" si="8"/>
        <v>0.299191374663073</v>
      </c>
      <c r="G151" s="470">
        <f t="shared" si="9"/>
        <v>1.29222520107239</v>
      </c>
      <c r="H151" s="524" t="str">
        <f t="shared" si="11"/>
        <v>是</v>
      </c>
      <c r="I151" s="312" t="str">
        <f t="shared" si="10"/>
        <v>项</v>
      </c>
    </row>
    <row r="152" s="372" customFormat="1" ht="24" hidden="1" customHeight="1" spans="1:9">
      <c r="A152" s="330">
        <v>2012699</v>
      </c>
      <c r="B152" s="379" t="s">
        <v>299</v>
      </c>
      <c r="C152" s="602">
        <f>'[2]2'!E152</f>
        <v>128</v>
      </c>
      <c r="D152" s="714">
        <v>112</v>
      </c>
      <c r="E152" s="713">
        <v>173</v>
      </c>
      <c r="F152" s="716">
        <f t="shared" si="8"/>
        <v>0.3515625</v>
      </c>
      <c r="G152" s="470">
        <f t="shared" si="9"/>
        <v>1.54464285714286</v>
      </c>
      <c r="H152" s="524" t="str">
        <f t="shared" si="11"/>
        <v>是</v>
      </c>
      <c r="I152" s="312" t="str">
        <f t="shared" si="10"/>
        <v>项</v>
      </c>
    </row>
    <row r="153" s="372" customFormat="1" ht="24" customHeight="1" spans="1:9">
      <c r="A153" s="330">
        <v>20128</v>
      </c>
      <c r="B153" s="379" t="s">
        <v>300</v>
      </c>
      <c r="C153" s="602">
        <f>SUM(C154:C159)</f>
        <v>907</v>
      </c>
      <c r="D153" s="713">
        <f>SUM(D154:D159)</f>
        <v>910</v>
      </c>
      <c r="E153" s="713">
        <f>SUM(E154:E159)</f>
        <v>896</v>
      </c>
      <c r="F153" s="716">
        <f t="shared" si="8"/>
        <v>-0.0121278941565601</v>
      </c>
      <c r="G153" s="470">
        <f t="shared" si="9"/>
        <v>0.984615384615385</v>
      </c>
      <c r="H153" s="524" t="str">
        <f t="shared" si="11"/>
        <v>是</v>
      </c>
      <c r="I153" s="312" t="str">
        <f t="shared" si="10"/>
        <v>款</v>
      </c>
    </row>
    <row r="154" s="372" customFormat="1" ht="24" hidden="1" customHeight="1" spans="1:9">
      <c r="A154" s="330">
        <v>2012801</v>
      </c>
      <c r="B154" s="379" t="s">
        <v>212</v>
      </c>
      <c r="C154" s="602">
        <f>'[2]2'!E154</f>
        <v>814</v>
      </c>
      <c r="D154" s="714">
        <v>816</v>
      </c>
      <c r="E154" s="713">
        <v>838</v>
      </c>
      <c r="F154" s="716">
        <f t="shared" si="8"/>
        <v>0.0294840294840295</v>
      </c>
      <c r="G154" s="470">
        <f t="shared" si="9"/>
        <v>1.02696078431373</v>
      </c>
      <c r="H154" s="524" t="str">
        <f t="shared" si="11"/>
        <v>是</v>
      </c>
      <c r="I154" s="312" t="str">
        <f t="shared" si="10"/>
        <v>项</v>
      </c>
    </row>
    <row r="155" ht="24" hidden="1" customHeight="1" spans="1:9">
      <c r="A155" s="330">
        <v>2012802</v>
      </c>
      <c r="B155" s="379" t="s">
        <v>213</v>
      </c>
      <c r="C155" s="602">
        <f>'[2]2'!E155</f>
        <v>70</v>
      </c>
      <c r="D155" s="714">
        <v>75</v>
      </c>
      <c r="E155" s="713">
        <v>40</v>
      </c>
      <c r="F155" s="716">
        <f t="shared" si="8"/>
        <v>-0.428571428571429</v>
      </c>
      <c r="G155" s="470">
        <f t="shared" si="9"/>
        <v>0.533333333333333</v>
      </c>
      <c r="H155" s="524" t="str">
        <f t="shared" si="11"/>
        <v>是</v>
      </c>
      <c r="I155" s="312" t="str">
        <f t="shared" si="10"/>
        <v>项</v>
      </c>
    </row>
    <row r="156" s="372" customFormat="1" ht="24" hidden="1" customHeight="1" spans="1:9">
      <c r="A156" s="330">
        <v>2012803</v>
      </c>
      <c r="B156" s="379" t="s">
        <v>214</v>
      </c>
      <c r="C156" s="602">
        <f>'[2]2'!E156</f>
        <v>0</v>
      </c>
      <c r="D156" s="714"/>
      <c r="E156" s="713">
        <v>0</v>
      </c>
      <c r="F156" s="716" t="str">
        <f t="shared" si="8"/>
        <v/>
      </c>
      <c r="G156" s="470" t="str">
        <f t="shared" si="9"/>
        <v/>
      </c>
      <c r="H156" s="524" t="str">
        <f t="shared" si="11"/>
        <v>否</v>
      </c>
      <c r="I156" s="312" t="str">
        <f t="shared" si="10"/>
        <v>项</v>
      </c>
    </row>
    <row r="157" s="372" customFormat="1" ht="24" hidden="1" customHeight="1" spans="1:9">
      <c r="A157" s="330">
        <v>2012804</v>
      </c>
      <c r="B157" s="379" t="s">
        <v>226</v>
      </c>
      <c r="C157" s="602">
        <f>'[2]2'!E157</f>
        <v>0</v>
      </c>
      <c r="D157" s="714"/>
      <c r="E157" s="713">
        <v>0</v>
      </c>
      <c r="F157" s="716" t="str">
        <f t="shared" si="8"/>
        <v/>
      </c>
      <c r="G157" s="470" t="str">
        <f t="shared" si="9"/>
        <v/>
      </c>
      <c r="H157" s="524" t="str">
        <f t="shared" si="11"/>
        <v>否</v>
      </c>
      <c r="I157" s="312" t="str">
        <f t="shared" si="10"/>
        <v>项</v>
      </c>
    </row>
    <row r="158" s="372" customFormat="1" ht="24" hidden="1" customHeight="1" spans="1:9">
      <c r="A158" s="330">
        <v>2012850</v>
      </c>
      <c r="B158" s="379" t="s">
        <v>221</v>
      </c>
      <c r="C158" s="602">
        <f>'[2]2'!E158</f>
        <v>0</v>
      </c>
      <c r="D158" s="714"/>
      <c r="E158" s="713">
        <v>0</v>
      </c>
      <c r="F158" s="716" t="str">
        <f t="shared" si="8"/>
        <v/>
      </c>
      <c r="G158" s="470" t="str">
        <f t="shared" si="9"/>
        <v/>
      </c>
      <c r="H158" s="524" t="str">
        <f t="shared" si="11"/>
        <v>否</v>
      </c>
      <c r="I158" s="312" t="str">
        <f t="shared" si="10"/>
        <v>项</v>
      </c>
    </row>
    <row r="159" s="372" customFormat="1" ht="24" hidden="1" customHeight="1" spans="1:9">
      <c r="A159" s="330">
        <v>2012899</v>
      </c>
      <c r="B159" s="379" t="s">
        <v>301</v>
      </c>
      <c r="C159" s="602">
        <f>'[2]2'!E159</f>
        <v>23</v>
      </c>
      <c r="D159" s="714">
        <v>19</v>
      </c>
      <c r="E159" s="713">
        <v>18</v>
      </c>
      <c r="F159" s="716">
        <f t="shared" si="8"/>
        <v>-0.217391304347826</v>
      </c>
      <c r="G159" s="470">
        <f t="shared" si="9"/>
        <v>0.947368421052632</v>
      </c>
      <c r="H159" s="524" t="str">
        <f t="shared" si="11"/>
        <v>是</v>
      </c>
      <c r="I159" s="312" t="str">
        <f t="shared" si="10"/>
        <v>项</v>
      </c>
    </row>
    <row r="160" s="372" customFormat="1" ht="24" customHeight="1" spans="1:9">
      <c r="A160" s="330">
        <v>20129</v>
      </c>
      <c r="B160" s="379" t="s">
        <v>302</v>
      </c>
      <c r="C160" s="602">
        <f>SUM(C161:C166)</f>
        <v>7354</v>
      </c>
      <c r="D160" s="713">
        <f>SUM(D161:D166)</f>
        <v>7285</v>
      </c>
      <c r="E160" s="713">
        <f>SUM(E161:E166)</f>
        <v>7981</v>
      </c>
      <c r="F160" s="716">
        <f t="shared" si="8"/>
        <v>0.0852597225999456</v>
      </c>
      <c r="G160" s="470">
        <f t="shared" si="9"/>
        <v>1.0955387783116</v>
      </c>
      <c r="H160" s="524" t="str">
        <f t="shared" si="11"/>
        <v>是</v>
      </c>
      <c r="I160" s="312" t="str">
        <f t="shared" si="10"/>
        <v>款</v>
      </c>
    </row>
    <row r="161" s="372" customFormat="1" ht="24" hidden="1" customHeight="1" spans="1:9">
      <c r="A161" s="330">
        <v>2012901</v>
      </c>
      <c r="B161" s="379" t="s">
        <v>212</v>
      </c>
      <c r="C161" s="602">
        <f>'[2]2'!E161</f>
        <v>2674</v>
      </c>
      <c r="D161" s="714">
        <v>2685</v>
      </c>
      <c r="E161" s="713">
        <v>2872</v>
      </c>
      <c r="F161" s="716">
        <f t="shared" si="8"/>
        <v>0.0740463724756918</v>
      </c>
      <c r="G161" s="470">
        <f t="shared" si="9"/>
        <v>1.06964618249534</v>
      </c>
      <c r="H161" s="524" t="str">
        <f t="shared" si="11"/>
        <v>是</v>
      </c>
      <c r="I161" s="312" t="str">
        <f t="shared" si="10"/>
        <v>项</v>
      </c>
    </row>
    <row r="162" s="372" customFormat="1" ht="24" hidden="1" customHeight="1" spans="1:9">
      <c r="A162" s="330">
        <v>2012902</v>
      </c>
      <c r="B162" s="379" t="s">
        <v>213</v>
      </c>
      <c r="C162" s="602">
        <f>'[2]2'!E162</f>
        <v>118</v>
      </c>
      <c r="D162" s="714">
        <v>121</v>
      </c>
      <c r="E162" s="713">
        <v>186</v>
      </c>
      <c r="F162" s="716">
        <f t="shared" si="8"/>
        <v>0.576271186440678</v>
      </c>
      <c r="G162" s="470">
        <f t="shared" si="9"/>
        <v>1.53719008264463</v>
      </c>
      <c r="H162" s="524" t="str">
        <f t="shared" si="11"/>
        <v>是</v>
      </c>
      <c r="I162" s="312" t="str">
        <f t="shared" si="10"/>
        <v>项</v>
      </c>
    </row>
    <row r="163" ht="24" hidden="1" customHeight="1" spans="1:9">
      <c r="A163" s="330">
        <v>2012903</v>
      </c>
      <c r="B163" s="379" t="s">
        <v>214</v>
      </c>
      <c r="C163" s="602">
        <f>'[2]2'!E163</f>
        <v>0</v>
      </c>
      <c r="D163" s="714"/>
      <c r="E163" s="713">
        <v>3</v>
      </c>
      <c r="F163" s="716" t="str">
        <f t="shared" si="8"/>
        <v/>
      </c>
      <c r="G163" s="470" t="str">
        <f t="shared" si="9"/>
        <v/>
      </c>
      <c r="H163" s="524" t="str">
        <f t="shared" si="11"/>
        <v>是</v>
      </c>
      <c r="I163" s="312" t="str">
        <f t="shared" si="10"/>
        <v>项</v>
      </c>
    </row>
    <row r="164" s="372" customFormat="1" ht="24" hidden="1" customHeight="1" spans="1:9">
      <c r="A164" s="718">
        <v>2012906</v>
      </c>
      <c r="B164" s="379" t="s">
        <v>303</v>
      </c>
      <c r="C164" s="602">
        <f>'[2]2'!E164</f>
        <v>710</v>
      </c>
      <c r="D164" s="714">
        <v>715</v>
      </c>
      <c r="E164" s="713">
        <v>364</v>
      </c>
      <c r="F164" s="716">
        <f t="shared" si="8"/>
        <v>-0.487323943661972</v>
      </c>
      <c r="G164" s="470">
        <f t="shared" si="9"/>
        <v>0.509090909090909</v>
      </c>
      <c r="H164" s="524" t="str">
        <f t="shared" si="11"/>
        <v>是</v>
      </c>
      <c r="I164" s="312" t="str">
        <f t="shared" si="10"/>
        <v>项</v>
      </c>
    </row>
    <row r="165" s="372" customFormat="1" ht="24" hidden="1" customHeight="1" spans="1:9">
      <c r="A165" s="330">
        <v>2012950</v>
      </c>
      <c r="B165" s="379" t="s">
        <v>221</v>
      </c>
      <c r="C165" s="602">
        <f>'[2]2'!E165</f>
        <v>442</v>
      </c>
      <c r="D165" s="714">
        <v>449</v>
      </c>
      <c r="E165" s="713">
        <v>470</v>
      </c>
      <c r="F165" s="716">
        <f t="shared" si="8"/>
        <v>0.0633484162895928</v>
      </c>
      <c r="G165" s="470">
        <f t="shared" si="9"/>
        <v>1.0467706013363</v>
      </c>
      <c r="H165" s="524" t="str">
        <f t="shared" si="11"/>
        <v>是</v>
      </c>
      <c r="I165" s="312" t="str">
        <f t="shared" si="10"/>
        <v>项</v>
      </c>
    </row>
    <row r="166" s="372" customFormat="1" ht="24" hidden="1" customHeight="1" spans="1:9">
      <c r="A166" s="330">
        <v>2012999</v>
      </c>
      <c r="B166" s="379" t="s">
        <v>304</v>
      </c>
      <c r="C166" s="602">
        <f>'[2]2'!E166</f>
        <v>3410</v>
      </c>
      <c r="D166" s="714">
        <v>3315</v>
      </c>
      <c r="E166" s="713">
        <v>4086</v>
      </c>
      <c r="F166" s="716">
        <f t="shared" si="8"/>
        <v>0.198240469208211</v>
      </c>
      <c r="G166" s="470">
        <f t="shared" si="9"/>
        <v>1.23257918552036</v>
      </c>
      <c r="H166" s="524" t="str">
        <f t="shared" si="11"/>
        <v>是</v>
      </c>
      <c r="I166" s="312" t="str">
        <f t="shared" si="10"/>
        <v>项</v>
      </c>
    </row>
    <row r="167" s="372" customFormat="1" ht="24" customHeight="1" spans="1:9">
      <c r="A167" s="330">
        <v>20131</v>
      </c>
      <c r="B167" s="379" t="s">
        <v>305</v>
      </c>
      <c r="C167" s="602">
        <f>SUM(C168:C173)</f>
        <v>7945</v>
      </c>
      <c r="D167" s="713">
        <f>SUM(D168:D173)</f>
        <v>8001</v>
      </c>
      <c r="E167" s="713">
        <f>SUM(E168:E173)</f>
        <v>9480</v>
      </c>
      <c r="F167" s="716">
        <f t="shared" si="8"/>
        <v>0.193203272498427</v>
      </c>
      <c r="G167" s="470">
        <f t="shared" si="9"/>
        <v>1.18485189351331</v>
      </c>
      <c r="H167" s="524" t="str">
        <f t="shared" si="11"/>
        <v>是</v>
      </c>
      <c r="I167" s="312" t="str">
        <f t="shared" si="10"/>
        <v>款</v>
      </c>
    </row>
    <row r="168" s="372" customFormat="1" ht="24" hidden="1" customHeight="1" spans="1:9">
      <c r="A168" s="330">
        <v>2013101</v>
      </c>
      <c r="B168" s="379" t="s">
        <v>212</v>
      </c>
      <c r="C168" s="602">
        <f>'[2]2'!E168</f>
        <v>6773</v>
      </c>
      <c r="D168" s="714">
        <v>6795</v>
      </c>
      <c r="E168" s="713">
        <v>7562</v>
      </c>
      <c r="F168" s="716">
        <f t="shared" si="8"/>
        <v>0.116491953344161</v>
      </c>
      <c r="G168" s="470">
        <f t="shared" si="9"/>
        <v>1.11287711552612</v>
      </c>
      <c r="H168" s="524" t="str">
        <f t="shared" si="11"/>
        <v>是</v>
      </c>
      <c r="I168" s="312" t="str">
        <f t="shared" si="10"/>
        <v>项</v>
      </c>
    </row>
    <row r="169" ht="24" hidden="1" customHeight="1" spans="1:9">
      <c r="A169" s="330">
        <v>2013102</v>
      </c>
      <c r="B169" s="379" t="s">
        <v>213</v>
      </c>
      <c r="C169" s="602">
        <f>'[2]2'!E169</f>
        <v>611</v>
      </c>
      <c r="D169" s="714">
        <v>623</v>
      </c>
      <c r="E169" s="713">
        <v>706</v>
      </c>
      <c r="F169" s="716">
        <f t="shared" si="8"/>
        <v>0.155482815057283</v>
      </c>
      <c r="G169" s="470">
        <f t="shared" si="9"/>
        <v>1.13322632423756</v>
      </c>
      <c r="H169" s="524" t="str">
        <f t="shared" si="11"/>
        <v>是</v>
      </c>
      <c r="I169" s="312" t="str">
        <f t="shared" si="10"/>
        <v>项</v>
      </c>
    </row>
    <row r="170" s="372" customFormat="1" ht="24" hidden="1" customHeight="1" spans="1:9">
      <c r="A170" s="330">
        <v>2013103</v>
      </c>
      <c r="B170" s="379" t="s">
        <v>214</v>
      </c>
      <c r="C170" s="602">
        <f>'[2]2'!E170</f>
        <v>0</v>
      </c>
      <c r="D170" s="714"/>
      <c r="E170" s="713">
        <v>0</v>
      </c>
      <c r="F170" s="716" t="str">
        <f t="shared" si="8"/>
        <v/>
      </c>
      <c r="G170" s="470" t="str">
        <f t="shared" si="9"/>
        <v/>
      </c>
      <c r="H170" s="524" t="str">
        <f t="shared" si="11"/>
        <v>否</v>
      </c>
      <c r="I170" s="312" t="str">
        <f t="shared" si="10"/>
        <v>项</v>
      </c>
    </row>
    <row r="171" s="372" customFormat="1" ht="24" hidden="1" customHeight="1" spans="1:9">
      <c r="A171" s="330">
        <v>2013105</v>
      </c>
      <c r="B171" s="379" t="s">
        <v>306</v>
      </c>
      <c r="C171" s="602">
        <f>'[2]2'!E171</f>
        <v>31</v>
      </c>
      <c r="D171" s="714">
        <v>33</v>
      </c>
      <c r="E171" s="713">
        <v>96</v>
      </c>
      <c r="F171" s="716">
        <f t="shared" si="8"/>
        <v>2.09677419354839</v>
      </c>
      <c r="G171" s="470">
        <f t="shared" si="9"/>
        <v>2.90909090909091</v>
      </c>
      <c r="H171" s="524" t="str">
        <f t="shared" si="11"/>
        <v>是</v>
      </c>
      <c r="I171" s="312" t="str">
        <f t="shared" si="10"/>
        <v>项</v>
      </c>
    </row>
    <row r="172" s="372" customFormat="1" ht="24" hidden="1" customHeight="1" spans="1:9">
      <c r="A172" s="330">
        <v>2013150</v>
      </c>
      <c r="B172" s="379" t="s">
        <v>221</v>
      </c>
      <c r="C172" s="602">
        <f>'[2]2'!E172</f>
        <v>221</v>
      </c>
      <c r="D172" s="714">
        <v>229</v>
      </c>
      <c r="E172" s="713">
        <v>921</v>
      </c>
      <c r="F172" s="716">
        <f t="shared" si="8"/>
        <v>3.16742081447964</v>
      </c>
      <c r="G172" s="470">
        <f t="shared" si="9"/>
        <v>4.02183406113537</v>
      </c>
      <c r="H172" s="524" t="str">
        <f t="shared" si="11"/>
        <v>是</v>
      </c>
      <c r="I172" s="312" t="str">
        <f t="shared" si="10"/>
        <v>项</v>
      </c>
    </row>
    <row r="173" s="372" customFormat="1" ht="24" hidden="1" customHeight="1" spans="1:9">
      <c r="A173" s="330">
        <v>2013199</v>
      </c>
      <c r="B173" s="379" t="s">
        <v>307</v>
      </c>
      <c r="C173" s="602">
        <f>'[2]2'!E173</f>
        <v>309</v>
      </c>
      <c r="D173" s="714">
        <v>321</v>
      </c>
      <c r="E173" s="713">
        <v>195</v>
      </c>
      <c r="F173" s="716">
        <f t="shared" si="8"/>
        <v>-0.368932038834951</v>
      </c>
      <c r="G173" s="470">
        <f t="shared" si="9"/>
        <v>0.607476635514019</v>
      </c>
      <c r="H173" s="524" t="str">
        <f t="shared" si="11"/>
        <v>是</v>
      </c>
      <c r="I173" s="312" t="str">
        <f t="shared" si="10"/>
        <v>项</v>
      </c>
    </row>
    <row r="174" s="372" customFormat="1" ht="24" customHeight="1" spans="1:9">
      <c r="A174" s="330">
        <v>20132</v>
      </c>
      <c r="B174" s="379" t="s">
        <v>308</v>
      </c>
      <c r="C174" s="602">
        <f>SUM(C175:C180)</f>
        <v>6050</v>
      </c>
      <c r="D174" s="713">
        <f>SUM(D175:D180)</f>
        <v>5965</v>
      </c>
      <c r="E174" s="713">
        <f>SUM(E175:E180)</f>
        <v>6290</v>
      </c>
      <c r="F174" s="716">
        <f t="shared" si="8"/>
        <v>0.0396694214876033</v>
      </c>
      <c r="G174" s="470">
        <f t="shared" si="9"/>
        <v>1.0544844928751</v>
      </c>
      <c r="H174" s="524" t="str">
        <f t="shared" si="11"/>
        <v>是</v>
      </c>
      <c r="I174" s="312" t="str">
        <f t="shared" si="10"/>
        <v>款</v>
      </c>
    </row>
    <row r="175" s="372" customFormat="1" ht="24" hidden="1" customHeight="1" spans="1:9">
      <c r="A175" s="330">
        <v>2013201</v>
      </c>
      <c r="B175" s="379" t="s">
        <v>212</v>
      </c>
      <c r="C175" s="602">
        <f>'[2]2'!E175</f>
        <v>3486</v>
      </c>
      <c r="D175" s="714">
        <v>3516</v>
      </c>
      <c r="E175" s="713">
        <v>3546</v>
      </c>
      <c r="F175" s="716">
        <f t="shared" si="8"/>
        <v>0.0172117039586919</v>
      </c>
      <c r="G175" s="470">
        <f t="shared" si="9"/>
        <v>1.00853242320819</v>
      </c>
      <c r="H175" s="524" t="str">
        <f t="shared" si="11"/>
        <v>是</v>
      </c>
      <c r="I175" s="312" t="str">
        <f t="shared" si="10"/>
        <v>项</v>
      </c>
    </row>
    <row r="176" ht="24" hidden="1" customHeight="1" spans="1:9">
      <c r="A176" s="330">
        <v>2013202</v>
      </c>
      <c r="B176" s="379" t="s">
        <v>213</v>
      </c>
      <c r="C176" s="602">
        <f>'[2]2'!E176</f>
        <v>775</v>
      </c>
      <c r="D176" s="714">
        <v>761</v>
      </c>
      <c r="E176" s="713">
        <v>978</v>
      </c>
      <c r="F176" s="716">
        <f t="shared" si="8"/>
        <v>0.261935483870968</v>
      </c>
      <c r="G176" s="470">
        <f t="shared" si="9"/>
        <v>1.28515111695138</v>
      </c>
      <c r="H176" s="524" t="str">
        <f t="shared" si="11"/>
        <v>是</v>
      </c>
      <c r="I176" s="312" t="str">
        <f t="shared" si="10"/>
        <v>项</v>
      </c>
    </row>
    <row r="177" s="372" customFormat="1" ht="24" hidden="1" customHeight="1" spans="1:9">
      <c r="A177" s="330">
        <v>2013203</v>
      </c>
      <c r="B177" s="379" t="s">
        <v>214</v>
      </c>
      <c r="C177" s="602">
        <f>'[2]2'!E177</f>
        <v>2</v>
      </c>
      <c r="D177" s="714">
        <v>2</v>
      </c>
      <c r="E177" s="713">
        <v>3</v>
      </c>
      <c r="F177" s="716">
        <f t="shared" si="8"/>
        <v>0.5</v>
      </c>
      <c r="G177" s="470">
        <f t="shared" si="9"/>
        <v>1.5</v>
      </c>
      <c r="H177" s="524" t="str">
        <f t="shared" si="11"/>
        <v>是</v>
      </c>
      <c r="I177" s="312" t="str">
        <f t="shared" si="10"/>
        <v>项</v>
      </c>
    </row>
    <row r="178" s="372" customFormat="1" ht="24" hidden="1" customHeight="1" spans="1:9">
      <c r="A178" s="330">
        <v>2013204</v>
      </c>
      <c r="B178" s="379" t="s">
        <v>309</v>
      </c>
      <c r="C178" s="602">
        <f>'[2]2'!E178</f>
        <v>31</v>
      </c>
      <c r="D178" s="714">
        <v>32</v>
      </c>
      <c r="E178" s="713">
        <v>60</v>
      </c>
      <c r="F178" s="716">
        <f t="shared" si="8"/>
        <v>0.935483870967742</v>
      </c>
      <c r="G178" s="470">
        <f t="shared" si="9"/>
        <v>1.875</v>
      </c>
      <c r="H178" s="524" t="str">
        <f t="shared" si="11"/>
        <v>是</v>
      </c>
      <c r="I178" s="312" t="str">
        <f t="shared" si="10"/>
        <v>项</v>
      </c>
    </row>
    <row r="179" s="372" customFormat="1" ht="24" hidden="1" customHeight="1" spans="1:9">
      <c r="A179" s="330">
        <v>2013250</v>
      </c>
      <c r="B179" s="379" t="s">
        <v>221</v>
      </c>
      <c r="C179" s="602">
        <f>'[2]2'!E179</f>
        <v>394</v>
      </c>
      <c r="D179" s="714">
        <v>402</v>
      </c>
      <c r="E179" s="713">
        <v>444</v>
      </c>
      <c r="F179" s="716">
        <f t="shared" si="8"/>
        <v>0.126903553299492</v>
      </c>
      <c r="G179" s="470">
        <f t="shared" si="9"/>
        <v>1.1044776119403</v>
      </c>
      <c r="H179" s="524" t="str">
        <f t="shared" si="11"/>
        <v>是</v>
      </c>
      <c r="I179" s="312" t="str">
        <f t="shared" si="10"/>
        <v>项</v>
      </c>
    </row>
    <row r="180" s="372" customFormat="1" ht="24" hidden="1" customHeight="1" spans="1:9">
      <c r="A180" s="330">
        <v>2013299</v>
      </c>
      <c r="B180" s="379" t="s">
        <v>310</v>
      </c>
      <c r="C180" s="602">
        <f>'[2]2'!E180</f>
        <v>1362</v>
      </c>
      <c r="D180" s="714">
        <v>1252</v>
      </c>
      <c r="E180" s="713">
        <v>1259</v>
      </c>
      <c r="F180" s="716">
        <f t="shared" si="8"/>
        <v>-0.0756240822320118</v>
      </c>
      <c r="G180" s="470">
        <f t="shared" si="9"/>
        <v>1.0055910543131</v>
      </c>
      <c r="H180" s="524" t="str">
        <f t="shared" si="11"/>
        <v>是</v>
      </c>
      <c r="I180" s="312" t="str">
        <f t="shared" si="10"/>
        <v>项</v>
      </c>
    </row>
    <row r="181" s="372" customFormat="1" ht="24" customHeight="1" spans="1:9">
      <c r="A181" s="330">
        <v>20133</v>
      </c>
      <c r="B181" s="379" t="s">
        <v>311</v>
      </c>
      <c r="C181" s="602">
        <f>SUM(C182:C187)</f>
        <v>3986</v>
      </c>
      <c r="D181" s="713">
        <f>SUM(D182:D187)</f>
        <v>3995</v>
      </c>
      <c r="E181" s="713">
        <f>SUM(E182:E187)</f>
        <v>4436</v>
      </c>
      <c r="F181" s="716">
        <f t="shared" si="8"/>
        <v>0.112895132965379</v>
      </c>
      <c r="G181" s="470">
        <f t="shared" si="9"/>
        <v>1.11038798498123</v>
      </c>
      <c r="H181" s="524" t="str">
        <f t="shared" si="11"/>
        <v>是</v>
      </c>
      <c r="I181" s="312" t="str">
        <f t="shared" si="10"/>
        <v>款</v>
      </c>
    </row>
    <row r="182" s="372" customFormat="1" ht="24" hidden="1" customHeight="1" spans="1:9">
      <c r="A182" s="330">
        <v>2013301</v>
      </c>
      <c r="B182" s="379" t="s">
        <v>212</v>
      </c>
      <c r="C182" s="602">
        <f>'[2]2'!E182</f>
        <v>1945</v>
      </c>
      <c r="D182" s="714">
        <v>1953</v>
      </c>
      <c r="E182" s="713">
        <v>2000</v>
      </c>
      <c r="F182" s="716">
        <f t="shared" si="8"/>
        <v>0.0282776349614396</v>
      </c>
      <c r="G182" s="470">
        <f t="shared" si="9"/>
        <v>1.02406554019457</v>
      </c>
      <c r="H182" s="524" t="str">
        <f t="shared" si="11"/>
        <v>是</v>
      </c>
      <c r="I182" s="312" t="str">
        <f t="shared" si="10"/>
        <v>项</v>
      </c>
    </row>
    <row r="183" ht="24" hidden="1" customHeight="1" spans="1:9">
      <c r="A183" s="330">
        <v>2013302</v>
      </c>
      <c r="B183" s="379" t="s">
        <v>213</v>
      </c>
      <c r="C183" s="602">
        <f>'[2]2'!E183</f>
        <v>502</v>
      </c>
      <c r="D183" s="714">
        <v>515</v>
      </c>
      <c r="E183" s="713">
        <v>870</v>
      </c>
      <c r="F183" s="716">
        <f t="shared" si="8"/>
        <v>0.733067729083665</v>
      </c>
      <c r="G183" s="470">
        <f t="shared" si="9"/>
        <v>1.68932038834951</v>
      </c>
      <c r="H183" s="524" t="str">
        <f t="shared" si="11"/>
        <v>是</v>
      </c>
      <c r="I183" s="312" t="str">
        <f t="shared" si="10"/>
        <v>项</v>
      </c>
    </row>
    <row r="184" s="372" customFormat="1" ht="24" hidden="1" customHeight="1" spans="1:9">
      <c r="A184" s="330">
        <v>2013303</v>
      </c>
      <c r="B184" s="379" t="s">
        <v>214</v>
      </c>
      <c r="C184" s="602">
        <f>'[2]2'!E184</f>
        <v>0</v>
      </c>
      <c r="D184" s="714"/>
      <c r="E184" s="713">
        <v>0</v>
      </c>
      <c r="F184" s="716" t="str">
        <f t="shared" si="8"/>
        <v/>
      </c>
      <c r="G184" s="470" t="str">
        <f t="shared" si="9"/>
        <v/>
      </c>
      <c r="H184" s="524" t="str">
        <f t="shared" si="11"/>
        <v>否</v>
      </c>
      <c r="I184" s="312" t="str">
        <f t="shared" si="10"/>
        <v>项</v>
      </c>
    </row>
    <row r="185" s="372" customFormat="1" ht="24" hidden="1" customHeight="1" spans="1:9">
      <c r="A185" s="330">
        <v>2013304</v>
      </c>
      <c r="B185" s="379" t="s">
        <v>312</v>
      </c>
      <c r="C185" s="602">
        <f>'[2]2'!E185</f>
        <v>0</v>
      </c>
      <c r="D185" s="714"/>
      <c r="E185" s="713">
        <v>10</v>
      </c>
      <c r="F185" s="716" t="str">
        <f t="shared" si="8"/>
        <v/>
      </c>
      <c r="G185" s="470" t="str">
        <f t="shared" si="9"/>
        <v/>
      </c>
      <c r="H185" s="524" t="str">
        <f t="shared" si="11"/>
        <v>是</v>
      </c>
      <c r="I185" s="312" t="str">
        <f t="shared" si="10"/>
        <v>项</v>
      </c>
    </row>
    <row r="186" s="372" customFormat="1" ht="24" hidden="1" customHeight="1" spans="1:9">
      <c r="A186" s="330">
        <v>2013350</v>
      </c>
      <c r="B186" s="379" t="s">
        <v>221</v>
      </c>
      <c r="C186" s="602">
        <f>'[2]2'!E186</f>
        <v>675</v>
      </c>
      <c r="D186" s="714">
        <v>681</v>
      </c>
      <c r="E186" s="713">
        <v>766</v>
      </c>
      <c r="F186" s="716">
        <f t="shared" si="8"/>
        <v>0.134814814814815</v>
      </c>
      <c r="G186" s="470">
        <f t="shared" si="9"/>
        <v>1.12481644640235</v>
      </c>
      <c r="H186" s="524" t="str">
        <f t="shared" si="11"/>
        <v>是</v>
      </c>
      <c r="I186" s="312" t="str">
        <f t="shared" si="10"/>
        <v>项</v>
      </c>
    </row>
    <row r="187" s="372" customFormat="1" ht="24" hidden="1" customHeight="1" spans="1:9">
      <c r="A187" s="330">
        <v>2013399</v>
      </c>
      <c r="B187" s="379" t="s">
        <v>313</v>
      </c>
      <c r="C187" s="602">
        <f>'[2]2'!E187</f>
        <v>864</v>
      </c>
      <c r="D187" s="714">
        <v>846</v>
      </c>
      <c r="E187" s="713">
        <v>790</v>
      </c>
      <c r="F187" s="716">
        <f t="shared" si="8"/>
        <v>-0.0856481481481482</v>
      </c>
      <c r="G187" s="470">
        <f t="shared" si="9"/>
        <v>0.933806146572104</v>
      </c>
      <c r="H187" s="524" t="str">
        <f t="shared" si="11"/>
        <v>是</v>
      </c>
      <c r="I187" s="312" t="str">
        <f t="shared" si="10"/>
        <v>项</v>
      </c>
    </row>
    <row r="188" s="372" customFormat="1" ht="24" customHeight="1" spans="1:9">
      <c r="A188" s="330">
        <v>20134</v>
      </c>
      <c r="B188" s="379" t="s">
        <v>314</v>
      </c>
      <c r="C188" s="602">
        <f>SUM(C189:C195)</f>
        <v>2235</v>
      </c>
      <c r="D188" s="713">
        <f>SUM(D189:D195)</f>
        <v>2239</v>
      </c>
      <c r="E188" s="713">
        <f>SUM(E189:E195)</f>
        <v>2631</v>
      </c>
      <c r="F188" s="716">
        <f t="shared" si="8"/>
        <v>0.177181208053691</v>
      </c>
      <c r="G188" s="470">
        <f t="shared" si="9"/>
        <v>1.17507815989281</v>
      </c>
      <c r="H188" s="524" t="str">
        <f t="shared" si="11"/>
        <v>是</v>
      </c>
      <c r="I188" s="312" t="str">
        <f t="shared" si="10"/>
        <v>款</v>
      </c>
    </row>
    <row r="189" s="372" customFormat="1" ht="24" hidden="1" customHeight="1" spans="1:9">
      <c r="A189" s="330">
        <v>2013401</v>
      </c>
      <c r="B189" s="379" t="s">
        <v>212</v>
      </c>
      <c r="C189" s="602">
        <f>'[2]2'!E189</f>
        <v>1551</v>
      </c>
      <c r="D189" s="714">
        <v>1571</v>
      </c>
      <c r="E189" s="713">
        <v>1975</v>
      </c>
      <c r="F189" s="716">
        <f t="shared" si="8"/>
        <v>0.273372018052869</v>
      </c>
      <c r="G189" s="470">
        <f t="shared" si="9"/>
        <v>1.25716104392107</v>
      </c>
      <c r="H189" s="524" t="str">
        <f t="shared" si="11"/>
        <v>是</v>
      </c>
      <c r="I189" s="312" t="str">
        <f t="shared" si="10"/>
        <v>项</v>
      </c>
    </row>
    <row r="190" ht="24" hidden="1" customHeight="1" spans="1:9">
      <c r="A190" s="330">
        <v>2013402</v>
      </c>
      <c r="B190" s="379" t="s">
        <v>213</v>
      </c>
      <c r="C190" s="602">
        <f>'[2]2'!E190</f>
        <v>23</v>
      </c>
      <c r="D190" s="714">
        <v>24</v>
      </c>
      <c r="E190" s="713">
        <v>24</v>
      </c>
      <c r="F190" s="716">
        <f t="shared" si="8"/>
        <v>0.0434782608695652</v>
      </c>
      <c r="G190" s="470">
        <f t="shared" si="9"/>
        <v>1</v>
      </c>
      <c r="H190" s="524" t="str">
        <f t="shared" si="11"/>
        <v>是</v>
      </c>
      <c r="I190" s="312" t="str">
        <f t="shared" si="10"/>
        <v>项</v>
      </c>
    </row>
    <row r="191" s="372" customFormat="1" ht="24" hidden="1" customHeight="1" spans="1:9">
      <c r="A191" s="330">
        <v>2013403</v>
      </c>
      <c r="B191" s="379" t="s">
        <v>214</v>
      </c>
      <c r="C191" s="602">
        <f>'[2]2'!E191</f>
        <v>0</v>
      </c>
      <c r="D191" s="714"/>
      <c r="E191" s="713">
        <v>0</v>
      </c>
      <c r="F191" s="716" t="str">
        <f t="shared" si="8"/>
        <v/>
      </c>
      <c r="G191" s="470" t="str">
        <f t="shared" si="9"/>
        <v/>
      </c>
      <c r="H191" s="524" t="str">
        <f t="shared" si="11"/>
        <v>否</v>
      </c>
      <c r="I191" s="312" t="str">
        <f t="shared" si="10"/>
        <v>项</v>
      </c>
    </row>
    <row r="192" s="372" customFormat="1" ht="24" hidden="1" customHeight="1" spans="1:9">
      <c r="A192" s="330">
        <v>2013404</v>
      </c>
      <c r="B192" s="379" t="s">
        <v>315</v>
      </c>
      <c r="C192" s="602">
        <f>'[2]2'!E192</f>
        <v>163</v>
      </c>
      <c r="D192" s="714">
        <v>165</v>
      </c>
      <c r="E192" s="713">
        <v>191</v>
      </c>
      <c r="F192" s="716">
        <f t="shared" si="8"/>
        <v>0.171779141104294</v>
      </c>
      <c r="G192" s="470">
        <f t="shared" si="9"/>
        <v>1.15757575757576</v>
      </c>
      <c r="H192" s="524" t="str">
        <f t="shared" si="11"/>
        <v>是</v>
      </c>
      <c r="I192" s="312" t="str">
        <f t="shared" si="10"/>
        <v>项</v>
      </c>
    </row>
    <row r="193" s="372" customFormat="1" ht="24" hidden="1" customHeight="1" spans="1:9">
      <c r="A193" s="330">
        <v>2013405</v>
      </c>
      <c r="B193" s="379" t="s">
        <v>316</v>
      </c>
      <c r="C193" s="602">
        <f>'[2]2'!E193</f>
        <v>183</v>
      </c>
      <c r="D193" s="714">
        <v>185</v>
      </c>
      <c r="E193" s="713">
        <v>189</v>
      </c>
      <c r="F193" s="716">
        <f t="shared" si="8"/>
        <v>0.0327868852459016</v>
      </c>
      <c r="G193" s="470">
        <f t="shared" si="9"/>
        <v>1.02162162162162</v>
      </c>
      <c r="H193" s="524" t="str">
        <f t="shared" si="11"/>
        <v>是</v>
      </c>
      <c r="I193" s="312" t="str">
        <f t="shared" si="10"/>
        <v>项</v>
      </c>
    </row>
    <row r="194" s="372" customFormat="1" ht="24" hidden="1" customHeight="1" spans="1:9">
      <c r="A194" s="330">
        <v>2013450</v>
      </c>
      <c r="B194" s="379" t="s">
        <v>221</v>
      </c>
      <c r="C194" s="602">
        <f>'[2]2'!E194</f>
        <v>8</v>
      </c>
      <c r="D194" s="714">
        <v>8</v>
      </c>
      <c r="E194" s="713">
        <v>37</v>
      </c>
      <c r="F194" s="716">
        <f t="shared" si="8"/>
        <v>3.625</v>
      </c>
      <c r="G194" s="470">
        <f t="shared" si="9"/>
        <v>4.625</v>
      </c>
      <c r="H194" s="524" t="str">
        <f t="shared" si="11"/>
        <v>是</v>
      </c>
      <c r="I194" s="312" t="str">
        <f t="shared" si="10"/>
        <v>项</v>
      </c>
    </row>
    <row r="195" s="372" customFormat="1" ht="24" hidden="1" customHeight="1" spans="1:9">
      <c r="A195" s="330">
        <v>2013499</v>
      </c>
      <c r="B195" s="379" t="s">
        <v>317</v>
      </c>
      <c r="C195" s="602">
        <f>'[2]2'!E195</f>
        <v>307</v>
      </c>
      <c r="D195" s="714">
        <v>286</v>
      </c>
      <c r="E195" s="713">
        <v>215</v>
      </c>
      <c r="F195" s="716">
        <f t="shared" si="8"/>
        <v>-0.299674267100977</v>
      </c>
      <c r="G195" s="470">
        <f t="shared" si="9"/>
        <v>0.751748251748252</v>
      </c>
      <c r="H195" s="524" t="str">
        <f t="shared" si="11"/>
        <v>是</v>
      </c>
      <c r="I195" s="312" t="str">
        <f t="shared" si="10"/>
        <v>项</v>
      </c>
    </row>
    <row r="196" s="372" customFormat="1" ht="24" hidden="1" customHeight="1" spans="1:9">
      <c r="A196" s="330">
        <v>20135</v>
      </c>
      <c r="B196" s="379" t="s">
        <v>318</v>
      </c>
      <c r="C196" s="602">
        <f>SUM(C197:C201)</f>
        <v>0</v>
      </c>
      <c r="D196" s="713">
        <f>SUM(D197:D201)</f>
        <v>0</v>
      </c>
      <c r="E196" s="713">
        <f>SUM(E197:E201)</f>
        <v>0</v>
      </c>
      <c r="F196" s="716" t="str">
        <f t="shared" si="8"/>
        <v/>
      </c>
      <c r="G196" s="470" t="str">
        <f t="shared" si="9"/>
        <v/>
      </c>
      <c r="H196" s="524" t="str">
        <f t="shared" si="11"/>
        <v>否</v>
      </c>
      <c r="I196" s="312" t="str">
        <f t="shared" si="10"/>
        <v>款</v>
      </c>
    </row>
    <row r="197" ht="24" hidden="1" customHeight="1" spans="1:9">
      <c r="A197" s="330">
        <v>2013501</v>
      </c>
      <c r="B197" s="379" t="s">
        <v>212</v>
      </c>
      <c r="C197" s="602">
        <f>'[2]2'!E197</f>
        <v>0</v>
      </c>
      <c r="D197" s="714"/>
      <c r="E197" s="713">
        <v>0</v>
      </c>
      <c r="F197" s="716" t="str">
        <f t="shared" ref="F197:F260" si="12">IFERROR((E197-C197)/C197,"")</f>
        <v/>
      </c>
      <c r="G197" s="470" t="str">
        <f t="shared" ref="G197:G260" si="13">IFERROR(E197/D197,"")</f>
        <v/>
      </c>
      <c r="H197" s="524" t="str">
        <f t="shared" si="11"/>
        <v>否</v>
      </c>
      <c r="I197" s="312" t="str">
        <f t="shared" ref="I197:I260" si="14">IF(LEN(A197)=3,"类",IF(LEN(A197)=5,"款","项"))</f>
        <v>项</v>
      </c>
    </row>
    <row r="198" s="372" customFormat="1" ht="24" hidden="1" customHeight="1" spans="1:9">
      <c r="A198" s="330">
        <v>2013502</v>
      </c>
      <c r="B198" s="379" t="s">
        <v>213</v>
      </c>
      <c r="C198" s="602">
        <f>'[2]2'!E198</f>
        <v>0</v>
      </c>
      <c r="D198" s="714"/>
      <c r="E198" s="713">
        <v>0</v>
      </c>
      <c r="F198" s="716" t="str">
        <f t="shared" si="12"/>
        <v/>
      </c>
      <c r="G198" s="470" t="str">
        <f t="shared" si="13"/>
        <v/>
      </c>
      <c r="H198" s="524" t="str">
        <f t="shared" ref="H198:H261" si="15">IF(LEN(A198)=3,"是",IF(B198&lt;&gt;"",IF(SUM(C198:E198)&lt;&gt;0,"是","否"),"是"))</f>
        <v>否</v>
      </c>
      <c r="I198" s="312" t="str">
        <f t="shared" si="14"/>
        <v>项</v>
      </c>
    </row>
    <row r="199" s="372" customFormat="1" ht="24" hidden="1" customHeight="1" spans="1:9">
      <c r="A199" s="330">
        <v>2013503</v>
      </c>
      <c r="B199" s="379" t="s">
        <v>214</v>
      </c>
      <c r="C199" s="602">
        <f>'[2]2'!E199</f>
        <v>0</v>
      </c>
      <c r="D199" s="714"/>
      <c r="E199" s="713">
        <v>0</v>
      </c>
      <c r="F199" s="716" t="str">
        <f t="shared" si="12"/>
        <v/>
      </c>
      <c r="G199" s="470" t="str">
        <f t="shared" si="13"/>
        <v/>
      </c>
      <c r="H199" s="524" t="str">
        <f t="shared" si="15"/>
        <v>否</v>
      </c>
      <c r="I199" s="312" t="str">
        <f t="shared" si="14"/>
        <v>项</v>
      </c>
    </row>
    <row r="200" s="372" customFormat="1" ht="24" hidden="1" customHeight="1" spans="1:9">
      <c r="A200" s="330">
        <v>2013550</v>
      </c>
      <c r="B200" s="379" t="s">
        <v>221</v>
      </c>
      <c r="C200" s="602">
        <f>'[2]2'!E200</f>
        <v>0</v>
      </c>
      <c r="D200" s="714"/>
      <c r="E200" s="713">
        <v>0</v>
      </c>
      <c r="F200" s="716" t="str">
        <f t="shared" si="12"/>
        <v/>
      </c>
      <c r="G200" s="470" t="str">
        <f t="shared" si="13"/>
        <v/>
      </c>
      <c r="H200" s="524" t="str">
        <f t="shared" si="15"/>
        <v>否</v>
      </c>
      <c r="I200" s="312" t="str">
        <f t="shared" si="14"/>
        <v>项</v>
      </c>
    </row>
    <row r="201" s="372" customFormat="1" ht="24" hidden="1" customHeight="1" spans="1:9">
      <c r="A201" s="330">
        <v>2013599</v>
      </c>
      <c r="B201" s="379" t="s">
        <v>319</v>
      </c>
      <c r="C201" s="602">
        <f>'[2]2'!E201</f>
        <v>0</v>
      </c>
      <c r="D201" s="714"/>
      <c r="E201" s="713">
        <v>0</v>
      </c>
      <c r="F201" s="716" t="str">
        <f t="shared" si="12"/>
        <v/>
      </c>
      <c r="G201" s="470" t="str">
        <f t="shared" si="13"/>
        <v/>
      </c>
      <c r="H201" s="524" t="str">
        <f t="shared" si="15"/>
        <v>否</v>
      </c>
      <c r="I201" s="312" t="str">
        <f t="shared" si="14"/>
        <v>项</v>
      </c>
    </row>
    <row r="202" s="372" customFormat="1" ht="24" customHeight="1" spans="1:9">
      <c r="A202" s="330">
        <v>20136</v>
      </c>
      <c r="B202" s="379" t="s">
        <v>320</v>
      </c>
      <c r="C202" s="602">
        <f>SUM(C203:C207)</f>
        <v>4063</v>
      </c>
      <c r="D202" s="713">
        <f>SUM(D203:D207)</f>
        <v>4081</v>
      </c>
      <c r="E202" s="713">
        <f>SUM(E203:E207)</f>
        <v>3808</v>
      </c>
      <c r="F202" s="716">
        <f t="shared" si="12"/>
        <v>-0.0627615062761506</v>
      </c>
      <c r="G202" s="470">
        <f t="shared" si="13"/>
        <v>0.933104631217839</v>
      </c>
      <c r="H202" s="524" t="str">
        <f t="shared" si="15"/>
        <v>是</v>
      </c>
      <c r="I202" s="312" t="str">
        <f t="shared" si="14"/>
        <v>款</v>
      </c>
    </row>
    <row r="203" s="372" customFormat="1" ht="24" hidden="1" customHeight="1" spans="1:9">
      <c r="A203" s="330">
        <v>2013601</v>
      </c>
      <c r="B203" s="379" t="s">
        <v>212</v>
      </c>
      <c r="C203" s="602">
        <f>'[2]2'!E203</f>
        <v>2780</v>
      </c>
      <c r="D203" s="714">
        <v>2787</v>
      </c>
      <c r="E203" s="713">
        <v>2812</v>
      </c>
      <c r="F203" s="716">
        <f t="shared" si="12"/>
        <v>0.0115107913669065</v>
      </c>
      <c r="G203" s="470">
        <f t="shared" si="13"/>
        <v>1.00897021887334</v>
      </c>
      <c r="H203" s="524" t="str">
        <f t="shared" si="15"/>
        <v>是</v>
      </c>
      <c r="I203" s="312" t="str">
        <f t="shared" si="14"/>
        <v>项</v>
      </c>
    </row>
    <row r="204" ht="24" hidden="1" customHeight="1" spans="1:9">
      <c r="A204" s="330">
        <v>2013602</v>
      </c>
      <c r="B204" s="379" t="s">
        <v>213</v>
      </c>
      <c r="C204" s="602">
        <f>'[2]2'!E204</f>
        <v>856</v>
      </c>
      <c r="D204" s="714">
        <v>861</v>
      </c>
      <c r="E204" s="713">
        <v>592</v>
      </c>
      <c r="F204" s="716">
        <f t="shared" si="12"/>
        <v>-0.308411214953271</v>
      </c>
      <c r="G204" s="470">
        <f t="shared" si="13"/>
        <v>0.687572590011614</v>
      </c>
      <c r="H204" s="524" t="str">
        <f t="shared" si="15"/>
        <v>是</v>
      </c>
      <c r="I204" s="312" t="str">
        <f t="shared" si="14"/>
        <v>项</v>
      </c>
    </row>
    <row r="205" s="372" customFormat="1" ht="24" hidden="1" customHeight="1" spans="1:9">
      <c r="A205" s="330">
        <v>2013603</v>
      </c>
      <c r="B205" s="379" t="s">
        <v>214</v>
      </c>
      <c r="C205" s="602">
        <f>'[2]2'!E205</f>
        <v>0</v>
      </c>
      <c r="D205" s="714"/>
      <c r="E205" s="713">
        <v>0</v>
      </c>
      <c r="F205" s="716" t="str">
        <f t="shared" si="12"/>
        <v/>
      </c>
      <c r="G205" s="470" t="str">
        <f t="shared" si="13"/>
        <v/>
      </c>
      <c r="H205" s="524" t="str">
        <f t="shared" si="15"/>
        <v>否</v>
      </c>
      <c r="I205" s="312" t="str">
        <f t="shared" si="14"/>
        <v>项</v>
      </c>
    </row>
    <row r="206" s="372" customFormat="1" ht="24" hidden="1" customHeight="1" spans="1:9">
      <c r="A206" s="330">
        <v>2013650</v>
      </c>
      <c r="B206" s="379" t="s">
        <v>221</v>
      </c>
      <c r="C206" s="602">
        <f>'[2]2'!E206</f>
        <v>220</v>
      </c>
      <c r="D206" s="714">
        <v>221</v>
      </c>
      <c r="E206" s="713">
        <v>236</v>
      </c>
      <c r="F206" s="716">
        <f t="shared" si="12"/>
        <v>0.0727272727272727</v>
      </c>
      <c r="G206" s="470">
        <f t="shared" si="13"/>
        <v>1.06787330316742</v>
      </c>
      <c r="H206" s="524" t="str">
        <f t="shared" si="15"/>
        <v>是</v>
      </c>
      <c r="I206" s="312" t="str">
        <f t="shared" si="14"/>
        <v>项</v>
      </c>
    </row>
    <row r="207" s="372" customFormat="1" ht="24" hidden="1" customHeight="1" spans="1:9">
      <c r="A207" s="330">
        <v>2013699</v>
      </c>
      <c r="B207" s="379" t="s">
        <v>321</v>
      </c>
      <c r="C207" s="602">
        <f>'[2]2'!E207</f>
        <v>207</v>
      </c>
      <c r="D207" s="714">
        <v>212</v>
      </c>
      <c r="E207" s="713">
        <v>168</v>
      </c>
      <c r="F207" s="716">
        <f t="shared" si="12"/>
        <v>-0.188405797101449</v>
      </c>
      <c r="G207" s="470">
        <f t="shared" si="13"/>
        <v>0.792452830188679</v>
      </c>
      <c r="H207" s="524" t="str">
        <f t="shared" si="15"/>
        <v>是</v>
      </c>
      <c r="I207" s="312" t="str">
        <f t="shared" si="14"/>
        <v>项</v>
      </c>
    </row>
    <row r="208" s="372" customFormat="1" ht="24" customHeight="1" spans="1:9">
      <c r="A208" s="330">
        <v>20137</v>
      </c>
      <c r="B208" s="379" t="s">
        <v>322</v>
      </c>
      <c r="C208" s="602">
        <f>SUM(C209:C214)</f>
        <v>492</v>
      </c>
      <c r="D208" s="713">
        <f>SUM(D209:D214)</f>
        <v>490</v>
      </c>
      <c r="E208" s="713">
        <f>SUM(E209:E214)</f>
        <v>416</v>
      </c>
      <c r="F208" s="716">
        <f t="shared" si="12"/>
        <v>-0.154471544715447</v>
      </c>
      <c r="G208" s="470">
        <f t="shared" si="13"/>
        <v>0.848979591836735</v>
      </c>
      <c r="H208" s="524" t="str">
        <f t="shared" si="15"/>
        <v>是</v>
      </c>
      <c r="I208" s="312" t="str">
        <f t="shared" si="14"/>
        <v>款</v>
      </c>
    </row>
    <row r="209" s="372" customFormat="1" ht="24" hidden="1" customHeight="1" spans="1:9">
      <c r="A209" s="330">
        <v>2013701</v>
      </c>
      <c r="B209" s="379" t="s">
        <v>212</v>
      </c>
      <c r="C209" s="602">
        <f>'[2]2'!E209</f>
        <v>214</v>
      </c>
      <c r="D209" s="714">
        <v>216</v>
      </c>
      <c r="E209" s="713">
        <v>225</v>
      </c>
      <c r="F209" s="716">
        <f t="shared" si="12"/>
        <v>0.0514018691588785</v>
      </c>
      <c r="G209" s="470">
        <f t="shared" si="13"/>
        <v>1.04166666666667</v>
      </c>
      <c r="H209" s="524" t="str">
        <f t="shared" si="15"/>
        <v>是</v>
      </c>
      <c r="I209" s="312" t="str">
        <f t="shared" si="14"/>
        <v>项</v>
      </c>
    </row>
    <row r="210" s="372" customFormat="1" ht="24" hidden="1" customHeight="1" spans="1:9">
      <c r="A210" s="330">
        <v>2013702</v>
      </c>
      <c r="B210" s="379" t="s">
        <v>213</v>
      </c>
      <c r="C210" s="602">
        <f>'[2]2'!E210</f>
        <v>96</v>
      </c>
      <c r="D210" s="714">
        <v>97</v>
      </c>
      <c r="E210" s="713">
        <v>47</v>
      </c>
      <c r="F210" s="716">
        <f t="shared" si="12"/>
        <v>-0.510416666666667</v>
      </c>
      <c r="G210" s="470">
        <f t="shared" si="13"/>
        <v>0.484536082474227</v>
      </c>
      <c r="H210" s="524" t="str">
        <f t="shared" si="15"/>
        <v>是</v>
      </c>
      <c r="I210" s="312" t="str">
        <f t="shared" si="14"/>
        <v>项</v>
      </c>
    </row>
    <row r="211" s="372" customFormat="1" ht="24" hidden="1" customHeight="1" spans="1:9">
      <c r="A211" s="330">
        <v>2013703</v>
      </c>
      <c r="B211" s="379" t="s">
        <v>214</v>
      </c>
      <c r="C211" s="602">
        <f>'[2]2'!E211</f>
        <v>0</v>
      </c>
      <c r="D211" s="714"/>
      <c r="E211" s="713">
        <v>0</v>
      </c>
      <c r="F211" s="716" t="str">
        <f t="shared" si="12"/>
        <v/>
      </c>
      <c r="G211" s="470" t="str">
        <f t="shared" si="13"/>
        <v/>
      </c>
      <c r="H211" s="524" t="str">
        <f t="shared" si="15"/>
        <v>否</v>
      </c>
      <c r="I211" s="312" t="str">
        <f t="shared" si="14"/>
        <v>项</v>
      </c>
    </row>
    <row r="212" ht="24" hidden="1" customHeight="1" spans="1:9">
      <c r="A212" s="330">
        <v>2013704</v>
      </c>
      <c r="B212" s="379" t="s">
        <v>323</v>
      </c>
      <c r="C212" s="602">
        <f>'[2]2'!E212</f>
        <v>12</v>
      </c>
      <c r="D212" s="714">
        <v>10</v>
      </c>
      <c r="E212" s="713">
        <v>0</v>
      </c>
      <c r="F212" s="716">
        <f t="shared" si="12"/>
        <v>-1</v>
      </c>
      <c r="G212" s="470">
        <f t="shared" si="13"/>
        <v>0</v>
      </c>
      <c r="H212" s="524" t="str">
        <f t="shared" si="15"/>
        <v>是</v>
      </c>
      <c r="I212" s="312" t="str">
        <f t="shared" si="14"/>
        <v>项</v>
      </c>
    </row>
    <row r="213" s="372" customFormat="1" ht="24" hidden="1" customHeight="1" spans="1:9">
      <c r="A213" s="330">
        <v>2013750</v>
      </c>
      <c r="B213" s="379" t="s">
        <v>221</v>
      </c>
      <c r="C213" s="602">
        <f>'[2]2'!E213</f>
        <v>131</v>
      </c>
      <c r="D213" s="714">
        <v>132</v>
      </c>
      <c r="E213" s="713">
        <v>142</v>
      </c>
      <c r="F213" s="716">
        <f t="shared" si="12"/>
        <v>0.083969465648855</v>
      </c>
      <c r="G213" s="470">
        <f t="shared" si="13"/>
        <v>1.07575757575758</v>
      </c>
      <c r="H213" s="524" t="str">
        <f t="shared" si="15"/>
        <v>是</v>
      </c>
      <c r="I213" s="312" t="str">
        <f t="shared" si="14"/>
        <v>项</v>
      </c>
    </row>
    <row r="214" s="372" customFormat="1" ht="24" hidden="1" customHeight="1" spans="1:9">
      <c r="A214" s="330">
        <v>2013799</v>
      </c>
      <c r="B214" s="379" t="s">
        <v>324</v>
      </c>
      <c r="C214" s="602">
        <f>'[2]2'!E214</f>
        <v>39</v>
      </c>
      <c r="D214" s="714">
        <v>35</v>
      </c>
      <c r="E214" s="713">
        <v>2</v>
      </c>
      <c r="F214" s="716">
        <f t="shared" si="12"/>
        <v>-0.948717948717949</v>
      </c>
      <c r="G214" s="470">
        <f t="shared" si="13"/>
        <v>0.0571428571428571</v>
      </c>
      <c r="H214" s="524" t="str">
        <f t="shared" si="15"/>
        <v>是</v>
      </c>
      <c r="I214" s="312" t="str">
        <f t="shared" si="14"/>
        <v>项</v>
      </c>
    </row>
    <row r="215" s="372" customFormat="1" ht="24" customHeight="1" spans="1:9">
      <c r="A215" s="330">
        <v>20138</v>
      </c>
      <c r="B215" s="379" t="s">
        <v>325</v>
      </c>
      <c r="C215" s="602">
        <f>SUM(C216:C229)</f>
        <v>8572</v>
      </c>
      <c r="D215" s="713">
        <f>SUM(D216:D229)</f>
        <v>8585</v>
      </c>
      <c r="E215" s="713">
        <f>SUM(E216:E229)</f>
        <v>8871</v>
      </c>
      <c r="F215" s="716">
        <f t="shared" si="12"/>
        <v>0.0348810079328045</v>
      </c>
      <c r="G215" s="470">
        <f t="shared" si="13"/>
        <v>1.03331391962726</v>
      </c>
      <c r="H215" s="524" t="str">
        <f t="shared" si="15"/>
        <v>是</v>
      </c>
      <c r="I215" s="312" t="str">
        <f t="shared" si="14"/>
        <v>款</v>
      </c>
    </row>
    <row r="216" s="372" customFormat="1" ht="24" hidden="1" customHeight="1" spans="1:9">
      <c r="A216" s="330">
        <v>2013801</v>
      </c>
      <c r="B216" s="379" t="s">
        <v>212</v>
      </c>
      <c r="C216" s="602">
        <f>'[2]2'!E216</f>
        <v>5595</v>
      </c>
      <c r="D216" s="714">
        <v>5605</v>
      </c>
      <c r="E216" s="713">
        <v>5663</v>
      </c>
      <c r="F216" s="716">
        <f t="shared" si="12"/>
        <v>0.012153708668454</v>
      </c>
      <c r="G216" s="470">
        <f t="shared" si="13"/>
        <v>1.01034790365745</v>
      </c>
      <c r="H216" s="524" t="str">
        <f t="shared" si="15"/>
        <v>是</v>
      </c>
      <c r="I216" s="312" t="str">
        <f t="shared" si="14"/>
        <v>项</v>
      </c>
    </row>
    <row r="217" s="372" customFormat="1" ht="24" hidden="1" customHeight="1" spans="1:9">
      <c r="A217" s="330">
        <v>2013802</v>
      </c>
      <c r="B217" s="379" t="s">
        <v>213</v>
      </c>
      <c r="C217" s="602">
        <f>'[2]2'!E217</f>
        <v>239</v>
      </c>
      <c r="D217" s="714">
        <v>241</v>
      </c>
      <c r="E217" s="713">
        <v>274</v>
      </c>
      <c r="F217" s="716">
        <f t="shared" si="12"/>
        <v>0.146443514644351</v>
      </c>
      <c r="G217" s="470">
        <f t="shared" si="13"/>
        <v>1.13692946058091</v>
      </c>
      <c r="H217" s="524" t="str">
        <f t="shared" si="15"/>
        <v>是</v>
      </c>
      <c r="I217" s="312" t="str">
        <f t="shared" si="14"/>
        <v>项</v>
      </c>
    </row>
    <row r="218" ht="24" hidden="1" customHeight="1" spans="1:9">
      <c r="A218" s="330">
        <v>2013803</v>
      </c>
      <c r="B218" s="379" t="s">
        <v>214</v>
      </c>
      <c r="C218" s="602">
        <f>'[2]2'!E218</f>
        <v>17</v>
      </c>
      <c r="D218" s="714">
        <v>18</v>
      </c>
      <c r="E218" s="713">
        <v>19</v>
      </c>
      <c r="F218" s="716">
        <f t="shared" si="12"/>
        <v>0.117647058823529</v>
      </c>
      <c r="G218" s="470">
        <f t="shared" si="13"/>
        <v>1.05555555555556</v>
      </c>
      <c r="H218" s="524" t="str">
        <f t="shared" si="15"/>
        <v>是</v>
      </c>
      <c r="I218" s="312" t="str">
        <f t="shared" si="14"/>
        <v>项</v>
      </c>
    </row>
    <row r="219" s="374" customFormat="1" ht="24" hidden="1" customHeight="1" spans="1:9">
      <c r="A219" s="331">
        <v>2013804</v>
      </c>
      <c r="B219" s="327" t="s">
        <v>326</v>
      </c>
      <c r="C219" s="608">
        <f>'[2]2'!E219</f>
        <v>21</v>
      </c>
      <c r="D219" s="709">
        <v>22</v>
      </c>
      <c r="E219" s="713">
        <v>11</v>
      </c>
      <c r="F219" s="716">
        <f t="shared" si="12"/>
        <v>-0.476190476190476</v>
      </c>
      <c r="G219" s="470">
        <f t="shared" si="13"/>
        <v>0.5</v>
      </c>
      <c r="H219" s="524" t="str">
        <f t="shared" si="15"/>
        <v>是</v>
      </c>
      <c r="I219" s="313" t="str">
        <f t="shared" si="14"/>
        <v>项</v>
      </c>
    </row>
    <row r="220" s="372" customFormat="1" ht="24" hidden="1" customHeight="1" spans="1:9">
      <c r="A220" s="330">
        <v>2013805</v>
      </c>
      <c r="B220" s="379" t="s">
        <v>327</v>
      </c>
      <c r="C220" s="602">
        <f>'[2]2'!E220</f>
        <v>69</v>
      </c>
      <c r="D220" s="714">
        <v>72</v>
      </c>
      <c r="E220" s="713">
        <v>121</v>
      </c>
      <c r="F220" s="716">
        <f t="shared" si="12"/>
        <v>0.753623188405797</v>
      </c>
      <c r="G220" s="470">
        <f t="shared" si="13"/>
        <v>1.68055555555556</v>
      </c>
      <c r="H220" s="524" t="str">
        <f t="shared" si="15"/>
        <v>是</v>
      </c>
      <c r="I220" s="312" t="str">
        <f t="shared" si="14"/>
        <v>项</v>
      </c>
    </row>
    <row r="221" s="372" customFormat="1" ht="24" hidden="1" customHeight="1" spans="1:9">
      <c r="A221" s="330">
        <v>2013808</v>
      </c>
      <c r="B221" s="379" t="s">
        <v>252</v>
      </c>
      <c r="C221" s="602">
        <f>'[2]2'!E221</f>
        <v>0</v>
      </c>
      <c r="D221" s="714"/>
      <c r="E221" s="713">
        <v>0</v>
      </c>
      <c r="F221" s="716" t="str">
        <f t="shared" si="12"/>
        <v/>
      </c>
      <c r="G221" s="470" t="str">
        <f t="shared" si="13"/>
        <v/>
      </c>
      <c r="H221" s="524" t="str">
        <f t="shared" si="15"/>
        <v>否</v>
      </c>
      <c r="I221" s="312" t="str">
        <f t="shared" si="14"/>
        <v>项</v>
      </c>
    </row>
    <row r="222" s="372" customFormat="1" ht="24" hidden="1" customHeight="1" spans="1:9">
      <c r="A222" s="330">
        <v>2013810</v>
      </c>
      <c r="B222" s="379" t="s">
        <v>328</v>
      </c>
      <c r="C222" s="602">
        <f>'[2]2'!E222</f>
        <v>2</v>
      </c>
      <c r="D222" s="714">
        <v>2</v>
      </c>
      <c r="E222" s="713">
        <v>226</v>
      </c>
      <c r="F222" s="716">
        <f t="shared" si="12"/>
        <v>112</v>
      </c>
      <c r="G222" s="470">
        <f t="shared" si="13"/>
        <v>113</v>
      </c>
      <c r="H222" s="524" t="str">
        <f t="shared" si="15"/>
        <v>是</v>
      </c>
      <c r="I222" s="312" t="str">
        <f t="shared" si="14"/>
        <v>项</v>
      </c>
    </row>
    <row r="223" s="372" customFormat="1" ht="24" hidden="1" customHeight="1" spans="1:9">
      <c r="A223" s="330">
        <v>2013812</v>
      </c>
      <c r="B223" s="379" t="s">
        <v>329</v>
      </c>
      <c r="C223" s="602">
        <f>'[2]2'!E223</f>
        <v>2</v>
      </c>
      <c r="D223" s="714">
        <v>2</v>
      </c>
      <c r="E223" s="713">
        <v>11</v>
      </c>
      <c r="F223" s="716">
        <f t="shared" si="12"/>
        <v>4.5</v>
      </c>
      <c r="G223" s="470">
        <f t="shared" si="13"/>
        <v>5.5</v>
      </c>
      <c r="H223" s="524" t="str">
        <f t="shared" si="15"/>
        <v>是</v>
      </c>
      <c r="I223" s="312" t="str">
        <f t="shared" si="14"/>
        <v>项</v>
      </c>
    </row>
    <row r="224" ht="24" hidden="1" customHeight="1" spans="1:9">
      <c r="A224" s="330">
        <v>2013813</v>
      </c>
      <c r="B224" s="379" t="s">
        <v>330</v>
      </c>
      <c r="C224" s="602">
        <f>'[2]2'!E224</f>
        <v>0</v>
      </c>
      <c r="D224" s="714"/>
      <c r="E224" s="713">
        <v>0</v>
      </c>
      <c r="F224" s="716" t="str">
        <f t="shared" si="12"/>
        <v/>
      </c>
      <c r="G224" s="470" t="str">
        <f t="shared" si="13"/>
        <v/>
      </c>
      <c r="H224" s="524" t="str">
        <f t="shared" si="15"/>
        <v>否</v>
      </c>
      <c r="I224" s="312" t="str">
        <f t="shared" si="14"/>
        <v>项</v>
      </c>
    </row>
    <row r="225" s="372" customFormat="1" ht="24" hidden="1" customHeight="1" spans="1:9">
      <c r="A225" s="330">
        <v>2013814</v>
      </c>
      <c r="B225" s="379" t="s">
        <v>331</v>
      </c>
      <c r="C225" s="602">
        <f>'[2]2'!E225</f>
        <v>0</v>
      </c>
      <c r="D225" s="714"/>
      <c r="E225" s="713">
        <v>0</v>
      </c>
      <c r="F225" s="716" t="str">
        <f t="shared" si="12"/>
        <v/>
      </c>
      <c r="G225" s="470" t="str">
        <f t="shared" si="13"/>
        <v/>
      </c>
      <c r="H225" s="524" t="str">
        <f t="shared" si="15"/>
        <v>否</v>
      </c>
      <c r="I225" s="312" t="str">
        <f t="shared" si="14"/>
        <v>项</v>
      </c>
    </row>
    <row r="226" s="372" customFormat="1" ht="24" hidden="1" customHeight="1" spans="1:9">
      <c r="A226" s="330">
        <v>2013815</v>
      </c>
      <c r="B226" s="379" t="s">
        <v>332</v>
      </c>
      <c r="C226" s="602">
        <f>'[2]2'!E226</f>
        <v>55</v>
      </c>
      <c r="D226" s="714">
        <v>56</v>
      </c>
      <c r="E226" s="713">
        <v>42</v>
      </c>
      <c r="F226" s="716">
        <f t="shared" si="12"/>
        <v>-0.236363636363636</v>
      </c>
      <c r="G226" s="470">
        <f t="shared" si="13"/>
        <v>0.75</v>
      </c>
      <c r="H226" s="524" t="str">
        <f t="shared" si="15"/>
        <v>是</v>
      </c>
      <c r="I226" s="312" t="str">
        <f t="shared" si="14"/>
        <v>项</v>
      </c>
    </row>
    <row r="227" s="372" customFormat="1" ht="24" hidden="1" customHeight="1" spans="1:9">
      <c r="A227" s="330">
        <v>2013816</v>
      </c>
      <c r="B227" s="379" t="s">
        <v>333</v>
      </c>
      <c r="C227" s="602">
        <f>'[2]2'!E227</f>
        <v>317</v>
      </c>
      <c r="D227" s="714">
        <v>318</v>
      </c>
      <c r="E227" s="713">
        <v>307</v>
      </c>
      <c r="F227" s="716">
        <f t="shared" si="12"/>
        <v>-0.0315457413249211</v>
      </c>
      <c r="G227" s="470">
        <f t="shared" si="13"/>
        <v>0.965408805031447</v>
      </c>
      <c r="H227" s="524" t="str">
        <f t="shared" si="15"/>
        <v>是</v>
      </c>
      <c r="I227" s="312" t="str">
        <f t="shared" si="14"/>
        <v>项</v>
      </c>
    </row>
    <row r="228" s="372" customFormat="1" ht="24" hidden="1" customHeight="1" spans="1:9">
      <c r="A228" s="330">
        <v>2013850</v>
      </c>
      <c r="B228" s="379" t="s">
        <v>221</v>
      </c>
      <c r="C228" s="602">
        <f>'[2]2'!E228</f>
        <v>1850</v>
      </c>
      <c r="D228" s="714">
        <v>1852</v>
      </c>
      <c r="E228" s="713">
        <v>1837</v>
      </c>
      <c r="F228" s="716">
        <f t="shared" si="12"/>
        <v>-0.00702702702702703</v>
      </c>
      <c r="G228" s="470">
        <f t="shared" si="13"/>
        <v>0.991900647948164</v>
      </c>
      <c r="H228" s="524" t="str">
        <f t="shared" si="15"/>
        <v>是</v>
      </c>
      <c r="I228" s="312" t="str">
        <f t="shared" si="14"/>
        <v>项</v>
      </c>
    </row>
    <row r="229" s="372" customFormat="1" ht="24" hidden="1" customHeight="1" spans="1:9">
      <c r="A229" s="330">
        <v>2013899</v>
      </c>
      <c r="B229" s="379" t="s">
        <v>334</v>
      </c>
      <c r="C229" s="602">
        <f>'[2]2'!E229</f>
        <v>405</v>
      </c>
      <c r="D229" s="714">
        <v>397</v>
      </c>
      <c r="E229" s="713">
        <v>360</v>
      </c>
      <c r="F229" s="716">
        <f t="shared" si="12"/>
        <v>-0.111111111111111</v>
      </c>
      <c r="G229" s="470">
        <f t="shared" si="13"/>
        <v>0.906801007556675</v>
      </c>
      <c r="H229" s="524" t="str">
        <f t="shared" si="15"/>
        <v>是</v>
      </c>
      <c r="I229" s="312" t="str">
        <f t="shared" si="14"/>
        <v>项</v>
      </c>
    </row>
    <row r="230" s="372" customFormat="1" ht="24" customHeight="1" spans="1:9">
      <c r="A230" s="330">
        <v>20139</v>
      </c>
      <c r="B230" s="379" t="s">
        <v>335</v>
      </c>
      <c r="C230" s="602">
        <f>SUM(C231:C236)</f>
        <v>452</v>
      </c>
      <c r="D230" s="713">
        <f>SUM(D231:D236)</f>
        <v>3179</v>
      </c>
      <c r="E230" s="713">
        <f>SUM(E231:E236)</f>
        <v>4491</v>
      </c>
      <c r="F230" s="716">
        <f t="shared" si="12"/>
        <v>8.9358407079646</v>
      </c>
      <c r="G230" s="470">
        <f t="shared" si="13"/>
        <v>1.41270839886757</v>
      </c>
      <c r="H230" s="524" t="str">
        <f t="shared" si="15"/>
        <v>是</v>
      </c>
      <c r="I230" s="312" t="str">
        <f t="shared" si="14"/>
        <v>款</v>
      </c>
    </row>
    <row r="231" s="372" customFormat="1" ht="24" hidden="1" customHeight="1" spans="1:9">
      <c r="A231" s="330">
        <v>2013901</v>
      </c>
      <c r="B231" s="379" t="s">
        <v>212</v>
      </c>
      <c r="C231" s="602">
        <f>'[2]2'!E231</f>
        <v>391</v>
      </c>
      <c r="D231" s="714">
        <v>393</v>
      </c>
      <c r="E231" s="713">
        <v>895</v>
      </c>
      <c r="F231" s="716">
        <f t="shared" si="12"/>
        <v>1.28900255754476</v>
      </c>
      <c r="G231" s="470">
        <f t="shared" si="13"/>
        <v>2.27735368956743</v>
      </c>
      <c r="H231" s="524" t="str">
        <f t="shared" si="15"/>
        <v>是</v>
      </c>
      <c r="I231" s="312" t="str">
        <f t="shared" si="14"/>
        <v>项</v>
      </c>
    </row>
    <row r="232" s="372" customFormat="1" ht="24" hidden="1" customHeight="1" spans="1:9">
      <c r="A232" s="330">
        <v>2013902</v>
      </c>
      <c r="B232" s="379" t="s">
        <v>213</v>
      </c>
      <c r="C232" s="602">
        <f>'[2]2'!E232</f>
        <v>42</v>
      </c>
      <c r="D232" s="714">
        <v>43</v>
      </c>
      <c r="E232" s="713">
        <v>69</v>
      </c>
      <c r="F232" s="716">
        <f t="shared" si="12"/>
        <v>0.642857142857143</v>
      </c>
      <c r="G232" s="470">
        <f t="shared" si="13"/>
        <v>1.6046511627907</v>
      </c>
      <c r="H232" s="524" t="str">
        <f t="shared" si="15"/>
        <v>是</v>
      </c>
      <c r="I232" s="312" t="str">
        <f t="shared" si="14"/>
        <v>项</v>
      </c>
    </row>
    <row r="233" s="372" customFormat="1" ht="24" hidden="1" customHeight="1" spans="1:9">
      <c r="A233" s="330">
        <v>2013903</v>
      </c>
      <c r="B233" s="379" t="s">
        <v>214</v>
      </c>
      <c r="C233" s="602">
        <f>'[2]2'!E233</f>
        <v>0</v>
      </c>
      <c r="D233" s="714"/>
      <c r="E233" s="713">
        <v>0</v>
      </c>
      <c r="F233" s="716" t="str">
        <f t="shared" si="12"/>
        <v/>
      </c>
      <c r="G233" s="470" t="str">
        <f t="shared" si="13"/>
        <v/>
      </c>
      <c r="H233" s="524" t="str">
        <f t="shared" si="15"/>
        <v>否</v>
      </c>
      <c r="I233" s="312" t="str">
        <f t="shared" si="14"/>
        <v>项</v>
      </c>
    </row>
    <row r="234" s="372" customFormat="1" ht="24" hidden="1" customHeight="1" spans="1:9">
      <c r="A234" s="330">
        <v>2013904</v>
      </c>
      <c r="B234" s="379" t="s">
        <v>306</v>
      </c>
      <c r="C234" s="602">
        <f>'[2]2'!E234</f>
        <v>0</v>
      </c>
      <c r="D234" s="714">
        <v>2721</v>
      </c>
      <c r="E234" s="713">
        <v>3347</v>
      </c>
      <c r="F234" s="716" t="str">
        <f t="shared" si="12"/>
        <v/>
      </c>
      <c r="G234" s="470">
        <f t="shared" si="13"/>
        <v>1.2300624770305</v>
      </c>
      <c r="H234" s="524" t="str">
        <f t="shared" si="15"/>
        <v>是</v>
      </c>
      <c r="I234" s="312" t="str">
        <f t="shared" si="14"/>
        <v>项</v>
      </c>
    </row>
    <row r="235" s="372" customFormat="1" ht="24" hidden="1" customHeight="1" spans="1:9">
      <c r="A235" s="330">
        <v>2013950</v>
      </c>
      <c r="B235" s="379" t="s">
        <v>221</v>
      </c>
      <c r="C235" s="602">
        <f>'[2]2'!E235</f>
        <v>13</v>
      </c>
      <c r="D235" s="714">
        <v>14</v>
      </c>
      <c r="E235" s="713">
        <v>142</v>
      </c>
      <c r="F235" s="716">
        <f t="shared" si="12"/>
        <v>9.92307692307692</v>
      </c>
      <c r="G235" s="470">
        <f t="shared" si="13"/>
        <v>10.1428571428571</v>
      </c>
      <c r="H235" s="524" t="str">
        <f t="shared" si="15"/>
        <v>是</v>
      </c>
      <c r="I235" s="312" t="str">
        <f t="shared" si="14"/>
        <v>项</v>
      </c>
    </row>
    <row r="236" s="372" customFormat="1" ht="24" hidden="1" customHeight="1" spans="1:9">
      <c r="A236" s="330">
        <v>2013999</v>
      </c>
      <c r="B236" s="379" t="s">
        <v>336</v>
      </c>
      <c r="C236" s="602">
        <f>'[2]2'!E236</f>
        <v>6</v>
      </c>
      <c r="D236" s="714">
        <v>8</v>
      </c>
      <c r="E236" s="713">
        <v>38</v>
      </c>
      <c r="F236" s="716">
        <f t="shared" si="12"/>
        <v>5.33333333333333</v>
      </c>
      <c r="G236" s="470">
        <f t="shared" si="13"/>
        <v>4.75</v>
      </c>
      <c r="H236" s="524" t="str">
        <f t="shared" si="15"/>
        <v>是</v>
      </c>
      <c r="I236" s="312" t="str">
        <f t="shared" si="14"/>
        <v>项</v>
      </c>
    </row>
    <row r="237" s="372" customFormat="1" ht="24" customHeight="1" spans="1:9">
      <c r="A237" s="330">
        <v>20140</v>
      </c>
      <c r="B237" s="379" t="s">
        <v>337</v>
      </c>
      <c r="C237" s="602">
        <f>SUM(C238:C243)</f>
        <v>634</v>
      </c>
      <c r="D237" s="713">
        <f>SUM(D238:D243)</f>
        <v>639</v>
      </c>
      <c r="E237" s="713">
        <f>SUM(E238:E243)</f>
        <v>628</v>
      </c>
      <c r="F237" s="716">
        <f t="shared" si="12"/>
        <v>-0.00946372239747634</v>
      </c>
      <c r="G237" s="470">
        <f t="shared" si="13"/>
        <v>0.982785602503912</v>
      </c>
      <c r="H237" s="524" t="str">
        <f t="shared" si="15"/>
        <v>是</v>
      </c>
      <c r="I237" s="312" t="str">
        <f t="shared" si="14"/>
        <v>款</v>
      </c>
    </row>
    <row r="238" s="372" customFormat="1" ht="24" hidden="1" customHeight="1" spans="1:9">
      <c r="A238" s="330">
        <v>2014001</v>
      </c>
      <c r="B238" s="379" t="s">
        <v>212</v>
      </c>
      <c r="C238" s="602">
        <f>'[2]2'!E238</f>
        <v>493</v>
      </c>
      <c r="D238" s="714">
        <v>495</v>
      </c>
      <c r="E238" s="713">
        <v>457</v>
      </c>
      <c r="F238" s="716">
        <f t="shared" si="12"/>
        <v>-0.0730223123732252</v>
      </c>
      <c r="G238" s="470">
        <f t="shared" si="13"/>
        <v>0.923232323232323</v>
      </c>
      <c r="H238" s="524" t="str">
        <f t="shared" si="15"/>
        <v>是</v>
      </c>
      <c r="I238" s="312" t="str">
        <f t="shared" si="14"/>
        <v>项</v>
      </c>
    </row>
    <row r="239" s="372" customFormat="1" ht="24" hidden="1" customHeight="1" spans="1:9">
      <c r="A239" s="330">
        <v>2014002</v>
      </c>
      <c r="B239" s="379" t="s">
        <v>213</v>
      </c>
      <c r="C239" s="602">
        <f>'[2]2'!E239</f>
        <v>10</v>
      </c>
      <c r="D239" s="714">
        <v>11</v>
      </c>
      <c r="E239" s="713">
        <v>20</v>
      </c>
      <c r="F239" s="716">
        <f t="shared" si="12"/>
        <v>1</v>
      </c>
      <c r="G239" s="470">
        <f t="shared" si="13"/>
        <v>1.81818181818182</v>
      </c>
      <c r="H239" s="524" t="str">
        <f t="shared" si="15"/>
        <v>是</v>
      </c>
      <c r="I239" s="312" t="str">
        <f t="shared" si="14"/>
        <v>项</v>
      </c>
    </row>
    <row r="240" s="372" customFormat="1" ht="24" hidden="1" customHeight="1" spans="1:9">
      <c r="A240" s="330">
        <v>2014003</v>
      </c>
      <c r="B240" s="379" t="s">
        <v>214</v>
      </c>
      <c r="C240" s="602">
        <f>'[2]2'!E240</f>
        <v>0</v>
      </c>
      <c r="D240" s="714"/>
      <c r="E240" s="713">
        <v>0</v>
      </c>
      <c r="F240" s="716" t="str">
        <f t="shared" si="12"/>
        <v/>
      </c>
      <c r="G240" s="470" t="str">
        <f t="shared" si="13"/>
        <v/>
      </c>
      <c r="H240" s="524" t="str">
        <f t="shared" si="15"/>
        <v>否</v>
      </c>
      <c r="I240" s="312" t="str">
        <f t="shared" si="14"/>
        <v>项</v>
      </c>
    </row>
    <row r="241" s="372" customFormat="1" ht="24" hidden="1" customHeight="1" spans="1:9">
      <c r="A241" s="330">
        <v>2014004</v>
      </c>
      <c r="B241" s="379" t="s">
        <v>338</v>
      </c>
      <c r="C241" s="602">
        <f>'[2]2'!E241</f>
        <v>130</v>
      </c>
      <c r="D241" s="714">
        <v>133</v>
      </c>
      <c r="E241" s="713">
        <v>71</v>
      </c>
      <c r="F241" s="716">
        <f t="shared" si="12"/>
        <v>-0.453846153846154</v>
      </c>
      <c r="G241" s="470">
        <f t="shared" si="13"/>
        <v>0.533834586466165</v>
      </c>
      <c r="H241" s="524" t="str">
        <f t="shared" si="15"/>
        <v>是</v>
      </c>
      <c r="I241" s="312" t="str">
        <f t="shared" si="14"/>
        <v>项</v>
      </c>
    </row>
    <row r="242" s="374" customFormat="1" ht="24" hidden="1" customHeight="1" spans="1:9">
      <c r="A242" s="719">
        <v>2014050</v>
      </c>
      <c r="B242" s="327" t="s">
        <v>221</v>
      </c>
      <c r="C242" s="608"/>
      <c r="D242" s="709"/>
      <c r="E242" s="713">
        <v>35</v>
      </c>
      <c r="F242" s="716" t="str">
        <f t="shared" si="12"/>
        <v/>
      </c>
      <c r="G242" s="470" t="str">
        <f t="shared" si="13"/>
        <v/>
      </c>
      <c r="H242" s="524" t="str">
        <f t="shared" si="15"/>
        <v>是</v>
      </c>
      <c r="I242" s="313" t="str">
        <f t="shared" si="14"/>
        <v>项</v>
      </c>
    </row>
    <row r="243" s="374" customFormat="1" ht="24" hidden="1" customHeight="1" spans="1:9">
      <c r="A243" s="331">
        <v>2014099</v>
      </c>
      <c r="B243" s="327" t="s">
        <v>339</v>
      </c>
      <c r="C243" s="608">
        <f>'[2]2'!E242</f>
        <v>1</v>
      </c>
      <c r="D243" s="709">
        <v>0</v>
      </c>
      <c r="E243" s="713">
        <v>45</v>
      </c>
      <c r="F243" s="716">
        <f t="shared" si="12"/>
        <v>44</v>
      </c>
      <c r="G243" s="470" t="str">
        <f t="shared" si="13"/>
        <v/>
      </c>
      <c r="H243" s="524" t="str">
        <f t="shared" si="15"/>
        <v>是</v>
      </c>
      <c r="I243" s="313" t="str">
        <f t="shared" si="14"/>
        <v>项</v>
      </c>
    </row>
    <row r="244" s="374" customFormat="1" ht="24" hidden="1" customHeight="1" spans="1:9">
      <c r="A244" s="331">
        <v>20141</v>
      </c>
      <c r="B244" s="327" t="s">
        <v>340</v>
      </c>
      <c r="C244" s="608"/>
      <c r="D244" s="710"/>
      <c r="E244" s="710"/>
      <c r="F244" s="716" t="str">
        <f t="shared" si="12"/>
        <v/>
      </c>
      <c r="G244" s="470" t="str">
        <f t="shared" si="13"/>
        <v/>
      </c>
      <c r="H244" s="524" t="str">
        <f t="shared" si="15"/>
        <v>否</v>
      </c>
      <c r="I244" s="313" t="str">
        <f t="shared" si="14"/>
        <v>款</v>
      </c>
    </row>
    <row r="245" s="374" customFormat="1" ht="24" hidden="1" customHeight="1" spans="1:9">
      <c r="A245" s="331">
        <v>2014101</v>
      </c>
      <c r="B245" s="530" t="s">
        <v>212</v>
      </c>
      <c r="C245" s="608"/>
      <c r="D245" s="709"/>
      <c r="E245" s="713">
        <v>0</v>
      </c>
      <c r="F245" s="716" t="str">
        <f t="shared" si="12"/>
        <v/>
      </c>
      <c r="G245" s="470" t="str">
        <f t="shared" si="13"/>
        <v/>
      </c>
      <c r="H245" s="524" t="str">
        <f t="shared" si="15"/>
        <v>否</v>
      </c>
      <c r="I245" s="313" t="str">
        <f t="shared" si="14"/>
        <v>项</v>
      </c>
    </row>
    <row r="246" s="374" customFormat="1" ht="24" hidden="1" customHeight="1" spans="1:9">
      <c r="A246" s="331">
        <v>2014102</v>
      </c>
      <c r="B246" s="530" t="s">
        <v>213</v>
      </c>
      <c r="C246" s="608"/>
      <c r="D246" s="709"/>
      <c r="E246" s="713">
        <v>0</v>
      </c>
      <c r="F246" s="716" t="str">
        <f t="shared" si="12"/>
        <v/>
      </c>
      <c r="G246" s="470" t="str">
        <f t="shared" si="13"/>
        <v/>
      </c>
      <c r="H246" s="524" t="str">
        <f t="shared" si="15"/>
        <v>否</v>
      </c>
      <c r="I246" s="313" t="str">
        <f t="shared" si="14"/>
        <v>项</v>
      </c>
    </row>
    <row r="247" s="374" customFormat="1" ht="24" hidden="1" customHeight="1" spans="1:9">
      <c r="A247" s="331">
        <v>2014103</v>
      </c>
      <c r="B247" s="530" t="s">
        <v>214</v>
      </c>
      <c r="C247" s="608"/>
      <c r="D247" s="709"/>
      <c r="E247" s="713">
        <v>0</v>
      </c>
      <c r="F247" s="716" t="str">
        <f t="shared" si="12"/>
        <v/>
      </c>
      <c r="G247" s="470" t="str">
        <f t="shared" si="13"/>
        <v/>
      </c>
      <c r="H247" s="524" t="str">
        <f t="shared" si="15"/>
        <v>否</v>
      </c>
      <c r="I247" s="313" t="str">
        <f t="shared" si="14"/>
        <v>项</v>
      </c>
    </row>
    <row r="248" s="374" customFormat="1" ht="24" hidden="1" customHeight="1" spans="1:9">
      <c r="A248" s="331">
        <v>2014150</v>
      </c>
      <c r="B248" s="530" t="s">
        <v>221</v>
      </c>
      <c r="C248" s="608"/>
      <c r="D248" s="709"/>
      <c r="E248" s="713">
        <v>0</v>
      </c>
      <c r="F248" s="716" t="str">
        <f t="shared" si="12"/>
        <v/>
      </c>
      <c r="G248" s="470" t="str">
        <f t="shared" si="13"/>
        <v/>
      </c>
      <c r="H248" s="524" t="str">
        <f t="shared" si="15"/>
        <v>否</v>
      </c>
      <c r="I248" s="313" t="str">
        <f t="shared" si="14"/>
        <v>项</v>
      </c>
    </row>
    <row r="249" s="374" customFormat="1" ht="24" hidden="1" customHeight="1" spans="1:9">
      <c r="A249" s="331">
        <v>2014199</v>
      </c>
      <c r="B249" s="530" t="s">
        <v>341</v>
      </c>
      <c r="C249" s="608"/>
      <c r="D249" s="709"/>
      <c r="E249" s="713">
        <v>0</v>
      </c>
      <c r="F249" s="716" t="str">
        <f t="shared" si="12"/>
        <v/>
      </c>
      <c r="G249" s="470" t="str">
        <f t="shared" si="13"/>
        <v/>
      </c>
      <c r="H249" s="524" t="str">
        <f t="shared" si="15"/>
        <v>否</v>
      </c>
      <c r="I249" s="313" t="str">
        <f t="shared" si="14"/>
        <v>项</v>
      </c>
    </row>
    <row r="250" s="372" customFormat="1" ht="24" customHeight="1" spans="1:9">
      <c r="A250" s="330">
        <v>20199</v>
      </c>
      <c r="B250" s="379" t="s">
        <v>342</v>
      </c>
      <c r="C250" s="602">
        <f>SUM(C251:C252)</f>
        <v>-4314</v>
      </c>
      <c r="D250" s="713">
        <f>SUM(D251:D252)</f>
        <v>0</v>
      </c>
      <c r="E250" s="713">
        <f>SUM(E251:E252)</f>
        <v>-2413</v>
      </c>
      <c r="F250" s="716">
        <f>-IFERROR((E250-C250)/C250,"")</f>
        <v>0.440658321743162</v>
      </c>
      <c r="G250" s="470" t="str">
        <f t="shared" si="13"/>
        <v/>
      </c>
      <c r="H250" s="524" t="str">
        <f t="shared" si="15"/>
        <v>是</v>
      </c>
      <c r="I250" s="312" t="str">
        <f t="shared" si="14"/>
        <v>款</v>
      </c>
    </row>
    <row r="251" ht="24" hidden="1" customHeight="1" spans="1:9">
      <c r="A251" s="330">
        <v>2019901</v>
      </c>
      <c r="B251" s="379" t="s">
        <v>343</v>
      </c>
      <c r="C251" s="602">
        <f>'[2]2'!E244</f>
        <v>0</v>
      </c>
      <c r="D251" s="714"/>
      <c r="E251" s="713">
        <v>3</v>
      </c>
      <c r="F251" s="716" t="str">
        <f t="shared" si="12"/>
        <v/>
      </c>
      <c r="G251" s="470" t="str">
        <f t="shared" si="13"/>
        <v/>
      </c>
      <c r="H251" s="524" t="str">
        <f t="shared" si="15"/>
        <v>是</v>
      </c>
      <c r="I251" s="312" t="str">
        <f t="shared" si="14"/>
        <v>项</v>
      </c>
    </row>
    <row r="252" s="372" customFormat="1" ht="24" hidden="1" customHeight="1" spans="1:9">
      <c r="A252" s="330">
        <v>2019999</v>
      </c>
      <c r="B252" s="379" t="s">
        <v>344</v>
      </c>
      <c r="C252" s="602">
        <f>'[2]2'!E245</f>
        <v>-4314</v>
      </c>
      <c r="D252" s="714"/>
      <c r="E252" s="713">
        <v>-2416</v>
      </c>
      <c r="F252" s="716">
        <f>-IFERROR((E252-C252)/C252,"")</f>
        <v>0.439962911451089</v>
      </c>
      <c r="G252" s="470" t="str">
        <f t="shared" si="13"/>
        <v/>
      </c>
      <c r="H252" s="524" t="str">
        <f t="shared" si="15"/>
        <v>是</v>
      </c>
      <c r="I252" s="312" t="str">
        <f t="shared" si="14"/>
        <v>项</v>
      </c>
    </row>
    <row r="253" s="372" customFormat="1" ht="24" customHeight="1" spans="1:9">
      <c r="A253" s="330">
        <v>202</v>
      </c>
      <c r="B253" s="377" t="s">
        <v>176</v>
      </c>
      <c r="C253" s="602">
        <f>C254+C261+C264+C267+C273+C278+C280+C285+C291</f>
        <v>0</v>
      </c>
      <c r="D253" s="713">
        <f>D254+D261+D264+D267+D273+D278+D280+D285+D291</f>
        <v>0</v>
      </c>
      <c r="E253" s="713">
        <f>E254+E261+E264+E267+E273+E278+E280+E285+E291</f>
        <v>0</v>
      </c>
      <c r="F253" s="715" t="str">
        <f t="shared" si="12"/>
        <v/>
      </c>
      <c r="G253" s="467" t="str">
        <f t="shared" si="13"/>
        <v/>
      </c>
      <c r="H253" s="524" t="str">
        <f t="shared" si="15"/>
        <v>是</v>
      </c>
      <c r="I253" s="312" t="str">
        <f t="shared" si="14"/>
        <v>类</v>
      </c>
    </row>
    <row r="254" s="372" customFormat="1" ht="24" hidden="1" customHeight="1" spans="1:9">
      <c r="A254" s="330">
        <v>20201</v>
      </c>
      <c r="B254" s="379" t="s">
        <v>345</v>
      </c>
      <c r="C254" s="602">
        <f>SUM(C255:C260)</f>
        <v>0</v>
      </c>
      <c r="D254" s="713">
        <f>SUM(D255:D260)</f>
        <v>0</v>
      </c>
      <c r="E254" s="713">
        <f>SUM(E255:E260)</f>
        <v>0</v>
      </c>
      <c r="F254" s="716" t="str">
        <f t="shared" si="12"/>
        <v/>
      </c>
      <c r="G254" s="470" t="str">
        <f t="shared" si="13"/>
        <v/>
      </c>
      <c r="H254" s="524" t="str">
        <f t="shared" si="15"/>
        <v>否</v>
      </c>
      <c r="I254" s="312" t="str">
        <f t="shared" si="14"/>
        <v>款</v>
      </c>
    </row>
    <row r="255" s="372" customFormat="1" ht="24" hidden="1" customHeight="1" spans="1:9">
      <c r="A255" s="330">
        <v>2020101</v>
      </c>
      <c r="B255" s="379" t="s">
        <v>212</v>
      </c>
      <c r="C255" s="602">
        <f>'[2]2'!E248</f>
        <v>0</v>
      </c>
      <c r="D255" s="714"/>
      <c r="E255" s="713">
        <v>0</v>
      </c>
      <c r="F255" s="716" t="str">
        <f t="shared" si="12"/>
        <v/>
      </c>
      <c r="G255" s="470" t="str">
        <f t="shared" si="13"/>
        <v/>
      </c>
      <c r="H255" s="524" t="str">
        <f t="shared" si="15"/>
        <v>否</v>
      </c>
      <c r="I255" s="312" t="str">
        <f t="shared" si="14"/>
        <v>项</v>
      </c>
    </row>
    <row r="256" s="372" customFormat="1" ht="24" hidden="1" customHeight="1" spans="1:9">
      <c r="A256" s="330">
        <v>2020102</v>
      </c>
      <c r="B256" s="379" t="s">
        <v>213</v>
      </c>
      <c r="C256" s="602">
        <f>'[2]2'!E249</f>
        <v>0</v>
      </c>
      <c r="D256" s="714"/>
      <c r="E256" s="713">
        <v>0</v>
      </c>
      <c r="F256" s="716" t="str">
        <f t="shared" si="12"/>
        <v/>
      </c>
      <c r="G256" s="470" t="str">
        <f t="shared" si="13"/>
        <v/>
      </c>
      <c r="H256" s="524" t="str">
        <f t="shared" si="15"/>
        <v>否</v>
      </c>
      <c r="I256" s="312" t="str">
        <f t="shared" si="14"/>
        <v>项</v>
      </c>
    </row>
    <row r="257" s="372" customFormat="1" ht="24" hidden="1" customHeight="1" spans="1:9">
      <c r="A257" s="330">
        <v>2020103</v>
      </c>
      <c r="B257" s="379" t="s">
        <v>214</v>
      </c>
      <c r="C257" s="602">
        <f>'[2]2'!E250</f>
        <v>0</v>
      </c>
      <c r="D257" s="714"/>
      <c r="E257" s="713">
        <v>0</v>
      </c>
      <c r="F257" s="716" t="str">
        <f t="shared" si="12"/>
        <v/>
      </c>
      <c r="G257" s="470" t="str">
        <f t="shared" si="13"/>
        <v/>
      </c>
      <c r="H257" s="524" t="str">
        <f t="shared" si="15"/>
        <v>否</v>
      </c>
      <c r="I257" s="312" t="str">
        <f t="shared" si="14"/>
        <v>项</v>
      </c>
    </row>
    <row r="258" s="372" customFormat="1" ht="24" hidden="1" customHeight="1" spans="1:9">
      <c r="A258" s="330">
        <v>2020104</v>
      </c>
      <c r="B258" s="379" t="s">
        <v>306</v>
      </c>
      <c r="C258" s="602">
        <f>'[2]2'!E251</f>
        <v>0</v>
      </c>
      <c r="D258" s="714"/>
      <c r="E258" s="713">
        <v>0</v>
      </c>
      <c r="F258" s="716" t="str">
        <f t="shared" si="12"/>
        <v/>
      </c>
      <c r="G258" s="470" t="str">
        <f t="shared" si="13"/>
        <v/>
      </c>
      <c r="H258" s="524" t="str">
        <f t="shared" si="15"/>
        <v>否</v>
      </c>
      <c r="I258" s="312" t="str">
        <f t="shared" si="14"/>
        <v>项</v>
      </c>
    </row>
    <row r="259" s="372" customFormat="1" ht="24" hidden="1" customHeight="1" spans="1:9">
      <c r="A259" s="330">
        <v>2020150</v>
      </c>
      <c r="B259" s="379" t="s">
        <v>221</v>
      </c>
      <c r="C259" s="602">
        <f>'[2]2'!E252</f>
        <v>0</v>
      </c>
      <c r="D259" s="714"/>
      <c r="E259" s="713">
        <v>0</v>
      </c>
      <c r="F259" s="716" t="str">
        <f t="shared" si="12"/>
        <v/>
      </c>
      <c r="G259" s="470" t="str">
        <f t="shared" si="13"/>
        <v/>
      </c>
      <c r="H259" s="524" t="str">
        <f t="shared" si="15"/>
        <v>否</v>
      </c>
      <c r="I259" s="312" t="str">
        <f t="shared" si="14"/>
        <v>项</v>
      </c>
    </row>
    <row r="260" s="372" customFormat="1" ht="24" hidden="1" customHeight="1" spans="1:9">
      <c r="A260" s="330">
        <v>2020199</v>
      </c>
      <c r="B260" s="379" t="s">
        <v>346</v>
      </c>
      <c r="C260" s="602">
        <f>'[2]2'!E253</f>
        <v>0</v>
      </c>
      <c r="D260" s="714"/>
      <c r="E260" s="713">
        <v>0</v>
      </c>
      <c r="F260" s="716" t="str">
        <f t="shared" si="12"/>
        <v/>
      </c>
      <c r="G260" s="470" t="str">
        <f t="shared" si="13"/>
        <v/>
      </c>
      <c r="H260" s="524" t="str">
        <f t="shared" si="15"/>
        <v>否</v>
      </c>
      <c r="I260" s="312" t="str">
        <f t="shared" si="14"/>
        <v>项</v>
      </c>
    </row>
    <row r="261" s="372" customFormat="1" ht="24" hidden="1" customHeight="1" spans="1:9">
      <c r="A261" s="330">
        <v>20202</v>
      </c>
      <c r="B261" s="379" t="s">
        <v>347</v>
      </c>
      <c r="C261" s="602">
        <f>SUM(C262:C263)</f>
        <v>0</v>
      </c>
      <c r="D261" s="713">
        <f>SUM(D262:D263)</f>
        <v>0</v>
      </c>
      <c r="E261" s="713">
        <f>SUM(E262:E263)</f>
        <v>0</v>
      </c>
      <c r="F261" s="716" t="str">
        <f t="shared" ref="F261:F324" si="16">IFERROR((E261-C261)/C261,"")</f>
        <v/>
      </c>
      <c r="G261" s="470" t="str">
        <f t="shared" ref="G261:G324" si="17">IFERROR(E261/D261,"")</f>
        <v/>
      </c>
      <c r="H261" s="524" t="str">
        <f t="shared" si="15"/>
        <v>否</v>
      </c>
      <c r="I261" s="312" t="str">
        <f t="shared" ref="I261:I324" si="18">IF(LEN(A261)=3,"类",IF(LEN(A261)=5,"款","项"))</f>
        <v>款</v>
      </c>
    </row>
    <row r="262" s="372" customFormat="1" ht="24" hidden="1" customHeight="1" spans="1:9">
      <c r="A262" s="330">
        <v>2020201</v>
      </c>
      <c r="B262" s="379" t="s">
        <v>348</v>
      </c>
      <c r="C262" s="602">
        <f>'[2]2'!E255</f>
        <v>0</v>
      </c>
      <c r="D262" s="714"/>
      <c r="E262" s="713">
        <v>0</v>
      </c>
      <c r="F262" s="716" t="str">
        <f t="shared" si="16"/>
        <v/>
      </c>
      <c r="G262" s="470" t="str">
        <f t="shared" si="17"/>
        <v/>
      </c>
      <c r="H262" s="524" t="str">
        <f t="shared" ref="H262:H325" si="19">IF(LEN(A262)=3,"是",IF(B262&lt;&gt;"",IF(SUM(C262:E262)&lt;&gt;0,"是","否"),"是"))</f>
        <v>否</v>
      </c>
      <c r="I262" s="312" t="str">
        <f t="shared" si="18"/>
        <v>项</v>
      </c>
    </row>
    <row r="263" s="372" customFormat="1" ht="24" hidden="1" customHeight="1" spans="1:9">
      <c r="A263" s="330">
        <v>2020202</v>
      </c>
      <c r="B263" s="379" t="s">
        <v>349</v>
      </c>
      <c r="C263" s="602">
        <f>'[2]2'!E256</f>
        <v>0</v>
      </c>
      <c r="D263" s="714"/>
      <c r="E263" s="713">
        <v>0</v>
      </c>
      <c r="F263" s="716" t="str">
        <f t="shared" si="16"/>
        <v/>
      </c>
      <c r="G263" s="470" t="str">
        <f t="shared" si="17"/>
        <v/>
      </c>
      <c r="H263" s="524" t="str">
        <f t="shared" si="19"/>
        <v>否</v>
      </c>
      <c r="I263" s="312" t="str">
        <f t="shared" si="18"/>
        <v>项</v>
      </c>
    </row>
    <row r="264" s="372" customFormat="1" ht="24" hidden="1" customHeight="1" spans="1:9">
      <c r="A264" s="330">
        <v>20203</v>
      </c>
      <c r="B264" s="379" t="s">
        <v>350</v>
      </c>
      <c r="C264" s="602">
        <f>SUM(C265:C266)</f>
        <v>0</v>
      </c>
      <c r="D264" s="713">
        <f>SUM(D265:D266)</f>
        <v>0</v>
      </c>
      <c r="E264" s="713">
        <f>SUM(E265:E266)</f>
        <v>0</v>
      </c>
      <c r="F264" s="716" t="str">
        <f t="shared" si="16"/>
        <v/>
      </c>
      <c r="G264" s="470" t="str">
        <f t="shared" si="17"/>
        <v/>
      </c>
      <c r="H264" s="524" t="str">
        <f t="shared" si="19"/>
        <v>否</v>
      </c>
      <c r="I264" s="312" t="str">
        <f t="shared" si="18"/>
        <v>款</v>
      </c>
    </row>
    <row r="265" s="372" customFormat="1" ht="24" hidden="1" customHeight="1" spans="1:9">
      <c r="A265" s="330">
        <v>2020304</v>
      </c>
      <c r="B265" s="379" t="s">
        <v>351</v>
      </c>
      <c r="C265" s="602">
        <f>'[2]2'!E258</f>
        <v>0</v>
      </c>
      <c r="D265" s="714"/>
      <c r="E265" s="713">
        <v>0</v>
      </c>
      <c r="F265" s="716" t="str">
        <f t="shared" si="16"/>
        <v/>
      </c>
      <c r="G265" s="470" t="str">
        <f t="shared" si="17"/>
        <v/>
      </c>
      <c r="H265" s="524" t="str">
        <f t="shared" si="19"/>
        <v>否</v>
      </c>
      <c r="I265" s="312" t="str">
        <f t="shared" si="18"/>
        <v>项</v>
      </c>
    </row>
    <row r="266" s="372" customFormat="1" ht="24" hidden="1" customHeight="1" spans="1:9">
      <c r="A266" s="330">
        <v>2020306</v>
      </c>
      <c r="B266" s="379" t="s">
        <v>352</v>
      </c>
      <c r="C266" s="602">
        <f>'[2]2'!E259</f>
        <v>0</v>
      </c>
      <c r="D266" s="714"/>
      <c r="E266" s="713">
        <v>0</v>
      </c>
      <c r="F266" s="716" t="str">
        <f t="shared" si="16"/>
        <v/>
      </c>
      <c r="G266" s="470" t="str">
        <f t="shared" si="17"/>
        <v/>
      </c>
      <c r="H266" s="524" t="str">
        <f t="shared" si="19"/>
        <v>否</v>
      </c>
      <c r="I266" s="312" t="str">
        <f t="shared" si="18"/>
        <v>项</v>
      </c>
    </row>
    <row r="267" s="372" customFormat="1" ht="24" hidden="1" customHeight="1" spans="1:9">
      <c r="A267" s="330">
        <v>20204</v>
      </c>
      <c r="B267" s="379" t="s">
        <v>353</v>
      </c>
      <c r="C267" s="602">
        <f>SUM(C268:C272)</f>
        <v>0</v>
      </c>
      <c r="D267" s="713">
        <f>SUM(D268:D272)</f>
        <v>0</v>
      </c>
      <c r="E267" s="713">
        <f>SUM(E268:E272)</f>
        <v>0</v>
      </c>
      <c r="F267" s="716" t="str">
        <f t="shared" si="16"/>
        <v/>
      </c>
      <c r="G267" s="470" t="str">
        <f t="shared" si="17"/>
        <v/>
      </c>
      <c r="H267" s="524" t="str">
        <f t="shared" si="19"/>
        <v>否</v>
      </c>
      <c r="I267" s="312" t="str">
        <f t="shared" si="18"/>
        <v>款</v>
      </c>
    </row>
    <row r="268" s="372" customFormat="1" ht="24" hidden="1" customHeight="1" spans="1:9">
      <c r="A268" s="330">
        <v>2020401</v>
      </c>
      <c r="B268" s="379" t="s">
        <v>354</v>
      </c>
      <c r="C268" s="602">
        <f>'[2]2'!E261</f>
        <v>0</v>
      </c>
      <c r="D268" s="714"/>
      <c r="E268" s="713">
        <v>0</v>
      </c>
      <c r="F268" s="716" t="str">
        <f t="shared" si="16"/>
        <v/>
      </c>
      <c r="G268" s="470" t="str">
        <f t="shared" si="17"/>
        <v/>
      </c>
      <c r="H268" s="524" t="str">
        <f t="shared" si="19"/>
        <v>否</v>
      </c>
      <c r="I268" s="312" t="str">
        <f t="shared" si="18"/>
        <v>项</v>
      </c>
    </row>
    <row r="269" s="372" customFormat="1" ht="24" hidden="1" customHeight="1" spans="1:9">
      <c r="A269" s="330">
        <v>2020402</v>
      </c>
      <c r="B269" s="379" t="s">
        <v>355</v>
      </c>
      <c r="C269" s="602">
        <f>'[2]2'!E262</f>
        <v>0</v>
      </c>
      <c r="D269" s="714"/>
      <c r="E269" s="713">
        <v>0</v>
      </c>
      <c r="F269" s="716" t="str">
        <f t="shared" si="16"/>
        <v/>
      </c>
      <c r="G269" s="470" t="str">
        <f t="shared" si="17"/>
        <v/>
      </c>
      <c r="H269" s="524" t="str">
        <f t="shared" si="19"/>
        <v>否</v>
      </c>
      <c r="I269" s="312" t="str">
        <f t="shared" si="18"/>
        <v>项</v>
      </c>
    </row>
    <row r="270" s="372" customFormat="1" ht="24" hidden="1" customHeight="1" spans="1:9">
      <c r="A270" s="330">
        <v>2020403</v>
      </c>
      <c r="B270" s="379" t="s">
        <v>356</v>
      </c>
      <c r="C270" s="602">
        <f>'[2]2'!E263</f>
        <v>0</v>
      </c>
      <c r="D270" s="714"/>
      <c r="E270" s="713">
        <v>0</v>
      </c>
      <c r="F270" s="716" t="str">
        <f t="shared" si="16"/>
        <v/>
      </c>
      <c r="G270" s="470" t="str">
        <f t="shared" si="17"/>
        <v/>
      </c>
      <c r="H270" s="524" t="str">
        <f t="shared" si="19"/>
        <v>否</v>
      </c>
      <c r="I270" s="312" t="str">
        <f t="shared" si="18"/>
        <v>项</v>
      </c>
    </row>
    <row r="271" s="372" customFormat="1" ht="24" hidden="1" customHeight="1" spans="1:9">
      <c r="A271" s="330">
        <v>2020404</v>
      </c>
      <c r="B271" s="379" t="s">
        <v>357</v>
      </c>
      <c r="C271" s="602">
        <f>'[2]2'!E264</f>
        <v>0</v>
      </c>
      <c r="D271" s="714"/>
      <c r="E271" s="713">
        <v>0</v>
      </c>
      <c r="F271" s="716" t="str">
        <f t="shared" si="16"/>
        <v/>
      </c>
      <c r="G271" s="470" t="str">
        <f t="shared" si="17"/>
        <v/>
      </c>
      <c r="H271" s="524" t="str">
        <f t="shared" si="19"/>
        <v>否</v>
      </c>
      <c r="I271" s="312" t="str">
        <f t="shared" si="18"/>
        <v>项</v>
      </c>
    </row>
    <row r="272" s="372" customFormat="1" ht="24" hidden="1" customHeight="1" spans="1:9">
      <c r="A272" s="330">
        <v>2020499</v>
      </c>
      <c r="B272" s="379" t="s">
        <v>358</v>
      </c>
      <c r="C272" s="602">
        <f>'[2]2'!E265</f>
        <v>0</v>
      </c>
      <c r="D272" s="714"/>
      <c r="E272" s="713">
        <v>0</v>
      </c>
      <c r="F272" s="716" t="str">
        <f t="shared" si="16"/>
        <v/>
      </c>
      <c r="G272" s="470" t="str">
        <f t="shared" si="17"/>
        <v/>
      </c>
      <c r="H272" s="524" t="str">
        <f t="shared" si="19"/>
        <v>否</v>
      </c>
      <c r="I272" s="312" t="str">
        <f t="shared" si="18"/>
        <v>项</v>
      </c>
    </row>
    <row r="273" s="372" customFormat="1" ht="24" hidden="1" customHeight="1" spans="1:9">
      <c r="A273" s="330">
        <v>20205</v>
      </c>
      <c r="B273" s="379" t="s">
        <v>359</v>
      </c>
      <c r="C273" s="602">
        <f>SUM(C274:C277)</f>
        <v>0</v>
      </c>
      <c r="D273" s="713">
        <f>SUM(D274:D277)</f>
        <v>0</v>
      </c>
      <c r="E273" s="713">
        <f>SUM(E274:E277)</f>
        <v>0</v>
      </c>
      <c r="F273" s="716" t="str">
        <f t="shared" si="16"/>
        <v/>
      </c>
      <c r="G273" s="470" t="str">
        <f t="shared" si="17"/>
        <v/>
      </c>
      <c r="H273" s="524" t="str">
        <f t="shared" si="19"/>
        <v>否</v>
      </c>
      <c r="I273" s="312" t="str">
        <f t="shared" si="18"/>
        <v>款</v>
      </c>
    </row>
    <row r="274" s="372" customFormat="1" ht="24" hidden="1" customHeight="1" spans="1:9">
      <c r="A274" s="330">
        <v>2020503</v>
      </c>
      <c r="B274" s="379" t="s">
        <v>360</v>
      </c>
      <c r="C274" s="602">
        <f>'[2]2'!E267</f>
        <v>0</v>
      </c>
      <c r="D274" s="714"/>
      <c r="E274" s="713">
        <v>0</v>
      </c>
      <c r="F274" s="716" t="str">
        <f t="shared" si="16"/>
        <v/>
      </c>
      <c r="G274" s="470" t="str">
        <f t="shared" si="17"/>
        <v/>
      </c>
      <c r="H274" s="524" t="str">
        <f t="shared" si="19"/>
        <v>否</v>
      </c>
      <c r="I274" s="312" t="str">
        <f t="shared" si="18"/>
        <v>项</v>
      </c>
    </row>
    <row r="275" s="372" customFormat="1" ht="24" hidden="1" customHeight="1" spans="1:9">
      <c r="A275" s="330">
        <v>2020504</v>
      </c>
      <c r="B275" s="379" t="s">
        <v>361</v>
      </c>
      <c r="C275" s="602">
        <f>'[2]2'!E268</f>
        <v>0</v>
      </c>
      <c r="D275" s="714"/>
      <c r="E275" s="713">
        <v>0</v>
      </c>
      <c r="F275" s="716" t="str">
        <f t="shared" si="16"/>
        <v/>
      </c>
      <c r="G275" s="470" t="str">
        <f t="shared" si="17"/>
        <v/>
      </c>
      <c r="H275" s="524" t="str">
        <f t="shared" si="19"/>
        <v>否</v>
      </c>
      <c r="I275" s="312" t="str">
        <f t="shared" si="18"/>
        <v>项</v>
      </c>
    </row>
    <row r="276" s="372" customFormat="1" ht="24" hidden="1" customHeight="1" spans="1:9">
      <c r="A276" s="330">
        <v>2020505</v>
      </c>
      <c r="B276" s="379" t="s">
        <v>362</v>
      </c>
      <c r="C276" s="602">
        <f>'[2]2'!E269</f>
        <v>0</v>
      </c>
      <c r="D276" s="714"/>
      <c r="E276" s="713">
        <v>0</v>
      </c>
      <c r="F276" s="716" t="str">
        <f t="shared" si="16"/>
        <v/>
      </c>
      <c r="G276" s="470" t="str">
        <f t="shared" si="17"/>
        <v/>
      </c>
      <c r="H276" s="524" t="str">
        <f t="shared" si="19"/>
        <v>否</v>
      </c>
      <c r="I276" s="312" t="str">
        <f t="shared" si="18"/>
        <v>项</v>
      </c>
    </row>
    <row r="277" s="372" customFormat="1" ht="24" hidden="1" customHeight="1" spans="1:9">
      <c r="A277" s="330">
        <v>2020599</v>
      </c>
      <c r="B277" s="379" t="s">
        <v>363</v>
      </c>
      <c r="C277" s="602">
        <f>'[2]2'!E270</f>
        <v>0</v>
      </c>
      <c r="D277" s="714"/>
      <c r="E277" s="713">
        <v>0</v>
      </c>
      <c r="F277" s="716" t="str">
        <f t="shared" si="16"/>
        <v/>
      </c>
      <c r="G277" s="470" t="str">
        <f t="shared" si="17"/>
        <v/>
      </c>
      <c r="H277" s="524" t="str">
        <f t="shared" si="19"/>
        <v>否</v>
      </c>
      <c r="I277" s="312" t="str">
        <f t="shared" si="18"/>
        <v>项</v>
      </c>
    </row>
    <row r="278" s="372" customFormat="1" ht="24" hidden="1" customHeight="1" spans="1:9">
      <c r="A278" s="330">
        <v>20206</v>
      </c>
      <c r="B278" s="379" t="s">
        <v>364</v>
      </c>
      <c r="C278" s="602">
        <f>C279</f>
        <v>0</v>
      </c>
      <c r="D278" s="713">
        <f>D279</f>
        <v>0</v>
      </c>
      <c r="E278" s="713">
        <f>E279</f>
        <v>0</v>
      </c>
      <c r="F278" s="716" t="str">
        <f t="shared" si="16"/>
        <v/>
      </c>
      <c r="G278" s="470" t="str">
        <f t="shared" si="17"/>
        <v/>
      </c>
      <c r="H278" s="524" t="str">
        <f t="shared" si="19"/>
        <v>否</v>
      </c>
      <c r="I278" s="312" t="str">
        <f t="shared" si="18"/>
        <v>款</v>
      </c>
    </row>
    <row r="279" s="372" customFormat="1" ht="24" hidden="1" customHeight="1" spans="1:9">
      <c r="A279" s="330">
        <v>2020601</v>
      </c>
      <c r="B279" s="379" t="s">
        <v>365</v>
      </c>
      <c r="C279" s="602">
        <f>'[2]2'!E272</f>
        <v>0</v>
      </c>
      <c r="D279" s="714"/>
      <c r="E279" s="713">
        <v>0</v>
      </c>
      <c r="F279" s="716" t="str">
        <f t="shared" si="16"/>
        <v/>
      </c>
      <c r="G279" s="470" t="str">
        <f t="shared" si="17"/>
        <v/>
      </c>
      <c r="H279" s="524" t="str">
        <f t="shared" si="19"/>
        <v>否</v>
      </c>
      <c r="I279" s="312" t="str">
        <f t="shared" si="18"/>
        <v>项</v>
      </c>
    </row>
    <row r="280" s="372" customFormat="1" ht="24" hidden="1" customHeight="1" spans="1:9">
      <c r="A280" s="330">
        <v>20207</v>
      </c>
      <c r="B280" s="379" t="s">
        <v>366</v>
      </c>
      <c r="C280" s="602">
        <f>SUM(C281:C284)</f>
        <v>0</v>
      </c>
      <c r="D280" s="713">
        <f>SUM(D281:D284)</f>
        <v>0</v>
      </c>
      <c r="E280" s="713">
        <f>SUM(E281:E284)</f>
        <v>0</v>
      </c>
      <c r="F280" s="716" t="str">
        <f t="shared" si="16"/>
        <v/>
      </c>
      <c r="G280" s="470" t="str">
        <f t="shared" si="17"/>
        <v/>
      </c>
      <c r="H280" s="524" t="str">
        <f t="shared" si="19"/>
        <v>否</v>
      </c>
      <c r="I280" s="312" t="str">
        <f t="shared" si="18"/>
        <v>款</v>
      </c>
    </row>
    <row r="281" s="372" customFormat="1" ht="24" hidden="1" customHeight="1" spans="1:9">
      <c r="A281" s="330">
        <v>2020701</v>
      </c>
      <c r="B281" s="379" t="s">
        <v>367</v>
      </c>
      <c r="C281" s="602">
        <f>'[2]2'!E274</f>
        <v>0</v>
      </c>
      <c r="D281" s="714"/>
      <c r="E281" s="713">
        <v>0</v>
      </c>
      <c r="F281" s="716" t="str">
        <f t="shared" si="16"/>
        <v/>
      </c>
      <c r="G281" s="470" t="str">
        <f t="shared" si="17"/>
        <v/>
      </c>
      <c r="H281" s="524" t="str">
        <f t="shared" si="19"/>
        <v>否</v>
      </c>
      <c r="I281" s="312" t="str">
        <f t="shared" si="18"/>
        <v>项</v>
      </c>
    </row>
    <row r="282" s="372" customFormat="1" ht="24" hidden="1" customHeight="1" spans="1:9">
      <c r="A282" s="330">
        <v>2020702</v>
      </c>
      <c r="B282" s="379" t="s">
        <v>368</v>
      </c>
      <c r="C282" s="602">
        <f>'[2]2'!E275</f>
        <v>0</v>
      </c>
      <c r="D282" s="714"/>
      <c r="E282" s="713">
        <v>0</v>
      </c>
      <c r="F282" s="716" t="str">
        <f t="shared" si="16"/>
        <v/>
      </c>
      <c r="G282" s="470" t="str">
        <f t="shared" si="17"/>
        <v/>
      </c>
      <c r="H282" s="524" t="str">
        <f t="shared" si="19"/>
        <v>否</v>
      </c>
      <c r="I282" s="312" t="str">
        <f t="shared" si="18"/>
        <v>项</v>
      </c>
    </row>
    <row r="283" s="372" customFormat="1" ht="24" hidden="1" customHeight="1" spans="1:9">
      <c r="A283" s="330">
        <v>2020703</v>
      </c>
      <c r="B283" s="379" t="s">
        <v>369</v>
      </c>
      <c r="C283" s="602">
        <f>'[2]2'!E276</f>
        <v>0</v>
      </c>
      <c r="D283" s="714"/>
      <c r="E283" s="713">
        <v>0</v>
      </c>
      <c r="F283" s="716" t="str">
        <f t="shared" si="16"/>
        <v/>
      </c>
      <c r="G283" s="470" t="str">
        <f t="shared" si="17"/>
        <v/>
      </c>
      <c r="H283" s="524" t="str">
        <f t="shared" si="19"/>
        <v>否</v>
      </c>
      <c r="I283" s="312" t="str">
        <f t="shared" si="18"/>
        <v>项</v>
      </c>
    </row>
    <row r="284" s="372" customFormat="1" ht="24" hidden="1" customHeight="1" spans="1:9">
      <c r="A284" s="330">
        <v>2020799</v>
      </c>
      <c r="B284" s="379" t="s">
        <v>370</v>
      </c>
      <c r="C284" s="602">
        <f>'[2]2'!E277</f>
        <v>0</v>
      </c>
      <c r="D284" s="714"/>
      <c r="E284" s="713">
        <v>0</v>
      </c>
      <c r="F284" s="716" t="str">
        <f t="shared" si="16"/>
        <v/>
      </c>
      <c r="G284" s="470" t="str">
        <f t="shared" si="17"/>
        <v/>
      </c>
      <c r="H284" s="524" t="str">
        <f t="shared" si="19"/>
        <v>否</v>
      </c>
      <c r="I284" s="312" t="str">
        <f t="shared" si="18"/>
        <v>项</v>
      </c>
    </row>
    <row r="285" s="372" customFormat="1" ht="24" hidden="1" customHeight="1" spans="1:9">
      <c r="A285" s="330">
        <v>20208</v>
      </c>
      <c r="B285" s="379" t="s">
        <v>371</v>
      </c>
      <c r="C285" s="602">
        <f>SUM(C286:C290)</f>
        <v>0</v>
      </c>
      <c r="D285" s="713">
        <f>SUM(D286:D290)</f>
        <v>0</v>
      </c>
      <c r="E285" s="713">
        <f>SUM(E286:E290)</f>
        <v>0</v>
      </c>
      <c r="F285" s="716" t="str">
        <f t="shared" si="16"/>
        <v/>
      </c>
      <c r="G285" s="470" t="str">
        <f t="shared" si="17"/>
        <v/>
      </c>
      <c r="H285" s="524" t="str">
        <f t="shared" si="19"/>
        <v>否</v>
      </c>
      <c r="I285" s="312" t="str">
        <f t="shared" si="18"/>
        <v>款</v>
      </c>
    </row>
    <row r="286" s="372" customFormat="1" ht="24" hidden="1" customHeight="1" spans="1:9">
      <c r="A286" s="330">
        <v>2020801</v>
      </c>
      <c r="B286" s="379" t="s">
        <v>212</v>
      </c>
      <c r="C286" s="602">
        <f>'[2]2'!E279</f>
        <v>0</v>
      </c>
      <c r="D286" s="714"/>
      <c r="E286" s="713">
        <v>0</v>
      </c>
      <c r="F286" s="716" t="str">
        <f t="shared" si="16"/>
        <v/>
      </c>
      <c r="G286" s="470" t="str">
        <f t="shared" si="17"/>
        <v/>
      </c>
      <c r="H286" s="524" t="str">
        <f t="shared" si="19"/>
        <v>否</v>
      </c>
      <c r="I286" s="312" t="str">
        <f t="shared" si="18"/>
        <v>项</v>
      </c>
    </row>
    <row r="287" s="372" customFormat="1" ht="24" hidden="1" customHeight="1" spans="1:9">
      <c r="A287" s="330">
        <v>2020802</v>
      </c>
      <c r="B287" s="379" t="s">
        <v>213</v>
      </c>
      <c r="C287" s="602">
        <f>'[2]2'!E280</f>
        <v>0</v>
      </c>
      <c r="D287" s="714"/>
      <c r="E287" s="713">
        <v>0</v>
      </c>
      <c r="F287" s="716" t="str">
        <f t="shared" si="16"/>
        <v/>
      </c>
      <c r="G287" s="470" t="str">
        <f t="shared" si="17"/>
        <v/>
      </c>
      <c r="H287" s="524" t="str">
        <f t="shared" si="19"/>
        <v>否</v>
      </c>
      <c r="I287" s="312" t="str">
        <f t="shared" si="18"/>
        <v>项</v>
      </c>
    </row>
    <row r="288" s="372" customFormat="1" ht="24" hidden="1" customHeight="1" spans="1:9">
      <c r="A288" s="330">
        <v>2020803</v>
      </c>
      <c r="B288" s="379" t="s">
        <v>214</v>
      </c>
      <c r="C288" s="602">
        <f>'[2]2'!E281</f>
        <v>0</v>
      </c>
      <c r="D288" s="714"/>
      <c r="E288" s="713">
        <v>0</v>
      </c>
      <c r="F288" s="716" t="str">
        <f t="shared" si="16"/>
        <v/>
      </c>
      <c r="G288" s="470" t="str">
        <f t="shared" si="17"/>
        <v/>
      </c>
      <c r="H288" s="524" t="str">
        <f t="shared" si="19"/>
        <v>否</v>
      </c>
      <c r="I288" s="312" t="str">
        <f t="shared" si="18"/>
        <v>项</v>
      </c>
    </row>
    <row r="289" s="372" customFormat="1" ht="24" hidden="1" customHeight="1" spans="1:9">
      <c r="A289" s="330">
        <v>2020850</v>
      </c>
      <c r="B289" s="379" t="s">
        <v>221</v>
      </c>
      <c r="C289" s="602">
        <f>'[2]2'!E282</f>
        <v>0</v>
      </c>
      <c r="D289" s="714"/>
      <c r="E289" s="713">
        <v>0</v>
      </c>
      <c r="F289" s="716" t="str">
        <f t="shared" si="16"/>
        <v/>
      </c>
      <c r="G289" s="470" t="str">
        <f t="shared" si="17"/>
        <v/>
      </c>
      <c r="H289" s="524" t="str">
        <f t="shared" si="19"/>
        <v>否</v>
      </c>
      <c r="I289" s="312" t="str">
        <f t="shared" si="18"/>
        <v>项</v>
      </c>
    </row>
    <row r="290" s="372" customFormat="1" ht="24" hidden="1" customHeight="1" spans="1:9">
      <c r="A290" s="330">
        <v>2020899</v>
      </c>
      <c r="B290" s="379" t="s">
        <v>372</v>
      </c>
      <c r="C290" s="602">
        <f>'[2]2'!E283</f>
        <v>0</v>
      </c>
      <c r="D290" s="714"/>
      <c r="E290" s="713">
        <v>0</v>
      </c>
      <c r="F290" s="716" t="str">
        <f t="shared" si="16"/>
        <v/>
      </c>
      <c r="G290" s="470" t="str">
        <f t="shared" si="17"/>
        <v/>
      </c>
      <c r="H290" s="524" t="str">
        <f t="shared" si="19"/>
        <v>否</v>
      </c>
      <c r="I290" s="312" t="str">
        <f t="shared" si="18"/>
        <v>项</v>
      </c>
    </row>
    <row r="291" s="372" customFormat="1" ht="24" hidden="1" customHeight="1" spans="1:9">
      <c r="A291" s="330">
        <v>20299</v>
      </c>
      <c r="B291" s="379" t="s">
        <v>373</v>
      </c>
      <c r="C291" s="602">
        <f>C292</f>
        <v>0</v>
      </c>
      <c r="D291" s="713">
        <f>D292</f>
        <v>0</v>
      </c>
      <c r="E291" s="713">
        <f>E292</f>
        <v>0</v>
      </c>
      <c r="F291" s="716" t="str">
        <f t="shared" si="16"/>
        <v/>
      </c>
      <c r="G291" s="470" t="str">
        <f t="shared" si="17"/>
        <v/>
      </c>
      <c r="H291" s="524" t="str">
        <f t="shared" si="19"/>
        <v>否</v>
      </c>
      <c r="I291" s="312" t="str">
        <f t="shared" si="18"/>
        <v>款</v>
      </c>
    </row>
    <row r="292" s="372" customFormat="1" ht="24" hidden="1" customHeight="1" spans="1:9">
      <c r="A292" s="330">
        <v>2029999</v>
      </c>
      <c r="B292" s="379" t="s">
        <v>374</v>
      </c>
      <c r="C292" s="602">
        <f>'[2]2'!E285</f>
        <v>0</v>
      </c>
      <c r="D292" s="714"/>
      <c r="E292" s="713">
        <v>0</v>
      </c>
      <c r="F292" s="716" t="str">
        <f t="shared" si="16"/>
        <v/>
      </c>
      <c r="G292" s="470" t="str">
        <f t="shared" si="17"/>
        <v/>
      </c>
      <c r="H292" s="524" t="str">
        <f t="shared" si="19"/>
        <v>否</v>
      </c>
      <c r="I292" s="312" t="str">
        <f t="shared" si="18"/>
        <v>项</v>
      </c>
    </row>
    <row r="293" s="372" customFormat="1" ht="24" customHeight="1" spans="1:9">
      <c r="A293" s="329">
        <v>203</v>
      </c>
      <c r="B293" s="377" t="s">
        <v>177</v>
      </c>
      <c r="C293" s="601">
        <f>C294+C298+C300+C302+C310</f>
        <v>2090</v>
      </c>
      <c r="D293" s="712">
        <f>D294+D298+D300+D302+D310</f>
        <v>2103</v>
      </c>
      <c r="E293" s="712">
        <f>E294+E298+E300+E302+E310</f>
        <v>2580</v>
      </c>
      <c r="F293" s="715">
        <f t="shared" si="16"/>
        <v>0.23444976076555</v>
      </c>
      <c r="G293" s="467">
        <f t="shared" si="17"/>
        <v>1.22681883024251</v>
      </c>
      <c r="H293" s="524" t="str">
        <f t="shared" si="19"/>
        <v>是</v>
      </c>
      <c r="I293" s="312" t="str">
        <f t="shared" si="18"/>
        <v>类</v>
      </c>
    </row>
    <row r="294" s="372" customFormat="1" ht="24" hidden="1" customHeight="1" spans="1:9">
      <c r="A294" s="356">
        <v>20301</v>
      </c>
      <c r="B294" s="405" t="s">
        <v>375</v>
      </c>
      <c r="C294" s="602">
        <f>SUM(C295:C297)</f>
        <v>0</v>
      </c>
      <c r="D294" s="713">
        <f>SUM(D295:D297)</f>
        <v>0</v>
      </c>
      <c r="E294" s="713">
        <f>SUM(E295:E297)</f>
        <v>0</v>
      </c>
      <c r="F294" s="716" t="str">
        <f t="shared" si="16"/>
        <v/>
      </c>
      <c r="G294" s="470" t="str">
        <f t="shared" si="17"/>
        <v/>
      </c>
      <c r="H294" s="524" t="str">
        <f t="shared" si="19"/>
        <v>否</v>
      </c>
      <c r="I294" s="312" t="str">
        <f t="shared" si="18"/>
        <v>款</v>
      </c>
    </row>
    <row r="295" s="372" customFormat="1" ht="24" hidden="1" customHeight="1" spans="1:9">
      <c r="A295" s="356">
        <v>2030101</v>
      </c>
      <c r="B295" s="379" t="s">
        <v>376</v>
      </c>
      <c r="C295" s="602">
        <f>'[2]2'!E288</f>
        <v>0</v>
      </c>
      <c r="D295" s="714"/>
      <c r="E295" s="713">
        <v>0</v>
      </c>
      <c r="F295" s="716" t="str">
        <f t="shared" si="16"/>
        <v/>
      </c>
      <c r="G295" s="470" t="str">
        <f t="shared" si="17"/>
        <v/>
      </c>
      <c r="H295" s="524" t="str">
        <f t="shared" si="19"/>
        <v>否</v>
      </c>
      <c r="I295" s="312" t="str">
        <f t="shared" si="18"/>
        <v>项</v>
      </c>
    </row>
    <row r="296" s="372" customFormat="1" ht="24" hidden="1" customHeight="1" spans="1:9">
      <c r="A296" s="720">
        <v>2030102</v>
      </c>
      <c r="B296" s="379" t="s">
        <v>377</v>
      </c>
      <c r="C296" s="602">
        <f>'[2]2'!E289</f>
        <v>0</v>
      </c>
      <c r="D296" s="714"/>
      <c r="E296" s="713">
        <v>0</v>
      </c>
      <c r="F296" s="716" t="str">
        <f t="shared" si="16"/>
        <v/>
      </c>
      <c r="G296" s="470" t="str">
        <f t="shared" si="17"/>
        <v/>
      </c>
      <c r="H296" s="524" t="str">
        <f t="shared" si="19"/>
        <v>否</v>
      </c>
      <c r="I296" s="312" t="str">
        <f t="shared" si="18"/>
        <v>项</v>
      </c>
    </row>
    <row r="297" s="372" customFormat="1" ht="24" hidden="1" customHeight="1" spans="1:9">
      <c r="A297" s="720">
        <v>2030199</v>
      </c>
      <c r="B297" s="379" t="s">
        <v>378</v>
      </c>
      <c r="C297" s="602">
        <f>'[2]2'!E290</f>
        <v>0</v>
      </c>
      <c r="D297" s="714"/>
      <c r="E297" s="713">
        <v>0</v>
      </c>
      <c r="F297" s="716" t="str">
        <f t="shared" si="16"/>
        <v/>
      </c>
      <c r="G297" s="470" t="str">
        <f t="shared" si="17"/>
        <v/>
      </c>
      <c r="H297" s="524" t="str">
        <f t="shared" si="19"/>
        <v>否</v>
      </c>
      <c r="I297" s="312" t="str">
        <f t="shared" si="18"/>
        <v>项</v>
      </c>
    </row>
    <row r="298" s="372" customFormat="1" ht="24" hidden="1" customHeight="1" spans="1:9">
      <c r="A298" s="356">
        <v>20304</v>
      </c>
      <c r="B298" s="379" t="s">
        <v>379</v>
      </c>
      <c r="C298" s="602">
        <f>C299</f>
        <v>0</v>
      </c>
      <c r="D298" s="713">
        <f>D299</f>
        <v>0</v>
      </c>
      <c r="E298" s="713">
        <f>E299</f>
        <v>0</v>
      </c>
      <c r="F298" s="716" t="str">
        <f t="shared" si="16"/>
        <v/>
      </c>
      <c r="G298" s="470" t="str">
        <f t="shared" si="17"/>
        <v/>
      </c>
      <c r="H298" s="524" t="str">
        <f t="shared" si="19"/>
        <v>否</v>
      </c>
      <c r="I298" s="312" t="str">
        <f t="shared" si="18"/>
        <v>款</v>
      </c>
    </row>
    <row r="299" s="372" customFormat="1" ht="24" hidden="1" customHeight="1" spans="1:9">
      <c r="A299" s="356">
        <v>2030401</v>
      </c>
      <c r="B299" s="379" t="s">
        <v>380</v>
      </c>
      <c r="C299" s="602">
        <f>'[2]2'!E292</f>
        <v>0</v>
      </c>
      <c r="D299" s="714"/>
      <c r="E299" s="713">
        <v>0</v>
      </c>
      <c r="F299" s="716" t="str">
        <f t="shared" si="16"/>
        <v/>
      </c>
      <c r="G299" s="470" t="str">
        <f t="shared" si="17"/>
        <v/>
      </c>
      <c r="H299" s="524" t="str">
        <f t="shared" si="19"/>
        <v>否</v>
      </c>
      <c r="I299" s="312" t="str">
        <f t="shared" si="18"/>
        <v>项</v>
      </c>
    </row>
    <row r="300" s="372" customFormat="1" ht="24" customHeight="1" spans="1:9">
      <c r="A300" s="356">
        <v>20305</v>
      </c>
      <c r="B300" s="379" t="s">
        <v>381</v>
      </c>
      <c r="C300" s="602">
        <f>C301</f>
        <v>106</v>
      </c>
      <c r="D300" s="713">
        <f>D301</f>
        <v>107</v>
      </c>
      <c r="E300" s="713">
        <f>E301</f>
        <v>0</v>
      </c>
      <c r="F300" s="716">
        <f t="shared" si="16"/>
        <v>-1</v>
      </c>
      <c r="G300" s="470">
        <f t="shared" si="17"/>
        <v>0</v>
      </c>
      <c r="H300" s="524" t="str">
        <f t="shared" si="19"/>
        <v>是</v>
      </c>
      <c r="I300" s="312" t="str">
        <f t="shared" si="18"/>
        <v>款</v>
      </c>
    </row>
    <row r="301" s="372" customFormat="1" ht="24" hidden="1" customHeight="1" spans="1:9">
      <c r="A301" s="356">
        <v>2030501</v>
      </c>
      <c r="B301" s="379" t="s">
        <v>382</v>
      </c>
      <c r="C301" s="602">
        <f>'[2]2'!E294</f>
        <v>106</v>
      </c>
      <c r="D301" s="714">
        <v>107</v>
      </c>
      <c r="E301" s="713">
        <v>0</v>
      </c>
      <c r="F301" s="716">
        <f t="shared" si="16"/>
        <v>-1</v>
      </c>
      <c r="G301" s="470">
        <f t="shared" si="17"/>
        <v>0</v>
      </c>
      <c r="H301" s="524" t="str">
        <f t="shared" si="19"/>
        <v>是</v>
      </c>
      <c r="I301" s="312" t="str">
        <f t="shared" si="18"/>
        <v>项</v>
      </c>
    </row>
    <row r="302" s="372" customFormat="1" ht="24" customHeight="1" spans="1:9">
      <c r="A302" s="330">
        <v>20306</v>
      </c>
      <c r="B302" s="379" t="s">
        <v>383</v>
      </c>
      <c r="C302" s="602">
        <f>SUM(C303:C309)</f>
        <v>1858</v>
      </c>
      <c r="D302" s="713">
        <f>SUM(D303:D309)</f>
        <v>1875</v>
      </c>
      <c r="E302" s="713">
        <f>SUM(E303:E309)</f>
        <v>2502</v>
      </c>
      <c r="F302" s="716">
        <f t="shared" si="16"/>
        <v>0.346609257265877</v>
      </c>
      <c r="G302" s="470">
        <f t="shared" si="17"/>
        <v>1.3344</v>
      </c>
      <c r="H302" s="524" t="str">
        <f t="shared" si="19"/>
        <v>是</v>
      </c>
      <c r="I302" s="312" t="str">
        <f t="shared" si="18"/>
        <v>款</v>
      </c>
    </row>
    <row r="303" ht="24" hidden="1" customHeight="1" spans="1:9">
      <c r="A303" s="330">
        <v>2030601</v>
      </c>
      <c r="B303" s="379" t="s">
        <v>384</v>
      </c>
      <c r="C303" s="602">
        <f>'[2]2'!E296</f>
        <v>531</v>
      </c>
      <c r="D303" s="714">
        <v>553</v>
      </c>
      <c r="E303" s="713">
        <v>574</v>
      </c>
      <c r="F303" s="716">
        <f t="shared" si="16"/>
        <v>0.0809792843691149</v>
      </c>
      <c r="G303" s="470">
        <f t="shared" si="17"/>
        <v>1.0379746835443</v>
      </c>
      <c r="H303" s="524" t="str">
        <f t="shared" si="19"/>
        <v>是</v>
      </c>
      <c r="I303" s="312" t="str">
        <f t="shared" si="18"/>
        <v>项</v>
      </c>
    </row>
    <row r="304" s="372" customFormat="1" ht="24" hidden="1" customHeight="1" spans="1:9">
      <c r="A304" s="330">
        <v>2030602</v>
      </c>
      <c r="B304" s="379" t="s">
        <v>385</v>
      </c>
      <c r="C304" s="602">
        <f>'[2]2'!E297</f>
        <v>0</v>
      </c>
      <c r="D304" s="714"/>
      <c r="E304" s="713">
        <v>0</v>
      </c>
      <c r="F304" s="716" t="str">
        <f t="shared" si="16"/>
        <v/>
      </c>
      <c r="G304" s="470" t="str">
        <f t="shared" si="17"/>
        <v/>
      </c>
      <c r="H304" s="524" t="str">
        <f t="shared" si="19"/>
        <v>否</v>
      </c>
      <c r="I304" s="312" t="str">
        <f t="shared" si="18"/>
        <v>项</v>
      </c>
    </row>
    <row r="305" s="372" customFormat="1" ht="24" hidden="1" customHeight="1" spans="1:9">
      <c r="A305" s="330">
        <v>2030603</v>
      </c>
      <c r="B305" s="379" t="s">
        <v>386</v>
      </c>
      <c r="C305" s="602">
        <f>'[2]2'!E298</f>
        <v>15</v>
      </c>
      <c r="D305" s="714">
        <v>16</v>
      </c>
      <c r="E305" s="713">
        <v>753</v>
      </c>
      <c r="F305" s="716">
        <f t="shared" si="16"/>
        <v>49.2</v>
      </c>
      <c r="G305" s="470">
        <f t="shared" si="17"/>
        <v>47.0625</v>
      </c>
      <c r="H305" s="524" t="str">
        <f t="shared" si="19"/>
        <v>是</v>
      </c>
      <c r="I305" s="312" t="str">
        <f t="shared" si="18"/>
        <v>项</v>
      </c>
    </row>
    <row r="306" ht="24" hidden="1" customHeight="1" spans="1:9">
      <c r="A306" s="330">
        <v>2030604</v>
      </c>
      <c r="B306" s="379" t="s">
        <v>387</v>
      </c>
      <c r="C306" s="602">
        <f>'[2]2'!E299</f>
        <v>0</v>
      </c>
      <c r="D306" s="714"/>
      <c r="E306" s="713">
        <v>0</v>
      </c>
      <c r="F306" s="716" t="str">
        <f t="shared" si="16"/>
        <v/>
      </c>
      <c r="G306" s="470" t="str">
        <f t="shared" si="17"/>
        <v/>
      </c>
      <c r="H306" s="524" t="str">
        <f t="shared" si="19"/>
        <v>否</v>
      </c>
      <c r="I306" s="312" t="str">
        <f t="shared" si="18"/>
        <v>项</v>
      </c>
    </row>
    <row r="307" s="372" customFormat="1" ht="24" hidden="1" customHeight="1" spans="1:9">
      <c r="A307" s="330">
        <v>2030607</v>
      </c>
      <c r="B307" s="379" t="s">
        <v>388</v>
      </c>
      <c r="C307" s="602">
        <f>'[2]2'!E300</f>
        <v>982</v>
      </c>
      <c r="D307" s="714">
        <v>985</v>
      </c>
      <c r="E307" s="713">
        <v>859</v>
      </c>
      <c r="F307" s="716">
        <f t="shared" si="16"/>
        <v>-0.125254582484725</v>
      </c>
      <c r="G307" s="470">
        <f t="shared" si="17"/>
        <v>0.872081218274112</v>
      </c>
      <c r="H307" s="524" t="str">
        <f t="shared" si="19"/>
        <v>是</v>
      </c>
      <c r="I307" s="312" t="str">
        <f t="shared" si="18"/>
        <v>项</v>
      </c>
    </row>
    <row r="308" s="372" customFormat="1" ht="24" hidden="1" customHeight="1" spans="1:9">
      <c r="A308" s="330">
        <v>2030608</v>
      </c>
      <c r="B308" s="379" t="s">
        <v>389</v>
      </c>
      <c r="C308" s="602">
        <f>'[2]2'!E301</f>
        <v>0</v>
      </c>
      <c r="D308" s="714"/>
      <c r="E308" s="713">
        <v>0</v>
      </c>
      <c r="F308" s="716" t="str">
        <f t="shared" si="16"/>
        <v/>
      </c>
      <c r="G308" s="470" t="str">
        <f t="shared" si="17"/>
        <v/>
      </c>
      <c r="H308" s="524" t="str">
        <f t="shared" si="19"/>
        <v>否</v>
      </c>
      <c r="I308" s="312" t="str">
        <f t="shared" si="18"/>
        <v>项</v>
      </c>
    </row>
    <row r="309" ht="24" hidden="1" customHeight="1" spans="1:9">
      <c r="A309" s="330">
        <v>2030699</v>
      </c>
      <c r="B309" s="379" t="s">
        <v>390</v>
      </c>
      <c r="C309" s="602">
        <f>'[2]2'!E302</f>
        <v>330</v>
      </c>
      <c r="D309" s="714">
        <v>321</v>
      </c>
      <c r="E309" s="713">
        <v>316</v>
      </c>
      <c r="F309" s="716">
        <f t="shared" si="16"/>
        <v>-0.0424242424242424</v>
      </c>
      <c r="G309" s="470">
        <f t="shared" si="17"/>
        <v>0.984423676012461</v>
      </c>
      <c r="H309" s="524" t="str">
        <f t="shared" si="19"/>
        <v>是</v>
      </c>
      <c r="I309" s="312" t="str">
        <f t="shared" si="18"/>
        <v>项</v>
      </c>
    </row>
    <row r="310" ht="24" customHeight="1" spans="1:9">
      <c r="A310" s="330">
        <v>20399</v>
      </c>
      <c r="B310" s="379" t="s">
        <v>391</v>
      </c>
      <c r="C310" s="602">
        <f>C311</f>
        <v>126</v>
      </c>
      <c r="D310" s="713">
        <f>D311</f>
        <v>121</v>
      </c>
      <c r="E310" s="713">
        <f>E311</f>
        <v>78</v>
      </c>
      <c r="F310" s="716">
        <f t="shared" si="16"/>
        <v>-0.380952380952381</v>
      </c>
      <c r="G310" s="470">
        <f t="shared" si="17"/>
        <v>0.644628099173554</v>
      </c>
      <c r="H310" s="524" t="str">
        <f t="shared" si="19"/>
        <v>是</v>
      </c>
      <c r="I310" s="312" t="str">
        <f t="shared" si="18"/>
        <v>款</v>
      </c>
    </row>
    <row r="311" s="372" customFormat="1" ht="24" hidden="1" customHeight="1" spans="1:9">
      <c r="A311" s="531">
        <v>2039999</v>
      </c>
      <c r="B311" s="379" t="s">
        <v>392</v>
      </c>
      <c r="C311" s="602">
        <f>'[2]2'!E304</f>
        <v>126</v>
      </c>
      <c r="D311" s="714">
        <v>121</v>
      </c>
      <c r="E311" s="713">
        <v>78</v>
      </c>
      <c r="F311" s="716">
        <f t="shared" si="16"/>
        <v>-0.380952380952381</v>
      </c>
      <c r="G311" s="470">
        <f t="shared" si="17"/>
        <v>0.644628099173554</v>
      </c>
      <c r="H311" s="524" t="str">
        <f t="shared" si="19"/>
        <v>是</v>
      </c>
      <c r="I311" s="312" t="str">
        <f t="shared" si="18"/>
        <v>项</v>
      </c>
    </row>
    <row r="312" s="372" customFormat="1" ht="24" customHeight="1" spans="1:9">
      <c r="A312" s="329">
        <v>204</v>
      </c>
      <c r="B312" s="377" t="s">
        <v>178</v>
      </c>
      <c r="C312" s="601">
        <f>C313+C316+C327+C334+C342+C351+C365+C375+C385+C393+C399</f>
        <v>71463</v>
      </c>
      <c r="D312" s="712">
        <f>D313+D316+D327+D334+D342+D351+D365+D375+D385+D393+D399</f>
        <v>72985</v>
      </c>
      <c r="E312" s="712">
        <f>E313+E316+E327+E334+E342+E351+E365+E375+E385+E393+E399</f>
        <v>75378</v>
      </c>
      <c r="F312" s="715">
        <f t="shared" si="16"/>
        <v>0.0547835943075438</v>
      </c>
      <c r="G312" s="467">
        <f t="shared" si="17"/>
        <v>1.03278755908748</v>
      </c>
      <c r="H312" s="524" t="str">
        <f t="shared" si="19"/>
        <v>是</v>
      </c>
      <c r="I312" s="312" t="str">
        <f t="shared" si="18"/>
        <v>类</v>
      </c>
    </row>
    <row r="313" s="372" customFormat="1" ht="24" customHeight="1" spans="1:9">
      <c r="A313" s="330">
        <v>20401</v>
      </c>
      <c r="B313" s="379" t="s">
        <v>393</v>
      </c>
      <c r="C313" s="602">
        <f>SUM(C314:C315)</f>
        <v>198</v>
      </c>
      <c r="D313" s="713">
        <f>SUM(D314:D315)</f>
        <v>185</v>
      </c>
      <c r="E313" s="713">
        <f>SUM(E314:E315)</f>
        <v>588</v>
      </c>
      <c r="F313" s="716">
        <f t="shared" si="16"/>
        <v>1.96969696969697</v>
      </c>
      <c r="G313" s="470">
        <f t="shared" si="17"/>
        <v>3.17837837837838</v>
      </c>
      <c r="H313" s="524" t="str">
        <f t="shared" si="19"/>
        <v>是</v>
      </c>
      <c r="I313" s="312" t="str">
        <f t="shared" si="18"/>
        <v>款</v>
      </c>
    </row>
    <row r="314" s="372" customFormat="1" ht="24" hidden="1" customHeight="1" spans="1:9">
      <c r="A314" s="330">
        <v>2040101</v>
      </c>
      <c r="B314" s="379" t="s">
        <v>394</v>
      </c>
      <c r="C314" s="602">
        <f>'[2]2'!E307</f>
        <v>9</v>
      </c>
      <c r="D314" s="714">
        <v>9</v>
      </c>
      <c r="E314" s="713">
        <v>19</v>
      </c>
      <c r="F314" s="716">
        <f t="shared" si="16"/>
        <v>1.11111111111111</v>
      </c>
      <c r="G314" s="470">
        <f t="shared" si="17"/>
        <v>2.11111111111111</v>
      </c>
      <c r="H314" s="524" t="str">
        <f t="shared" si="19"/>
        <v>是</v>
      </c>
      <c r="I314" s="312" t="str">
        <f t="shared" si="18"/>
        <v>项</v>
      </c>
    </row>
    <row r="315" s="372" customFormat="1" ht="24" hidden="1" customHeight="1" spans="1:9">
      <c r="A315" s="330">
        <v>2040199</v>
      </c>
      <c r="B315" s="379" t="s">
        <v>395</v>
      </c>
      <c r="C315" s="602">
        <f>'[2]2'!E308</f>
        <v>189</v>
      </c>
      <c r="D315" s="714">
        <v>176</v>
      </c>
      <c r="E315" s="713">
        <v>569</v>
      </c>
      <c r="F315" s="716">
        <f t="shared" si="16"/>
        <v>2.01058201058201</v>
      </c>
      <c r="G315" s="470">
        <f t="shared" si="17"/>
        <v>3.23295454545455</v>
      </c>
      <c r="H315" s="524" t="str">
        <f t="shared" si="19"/>
        <v>是</v>
      </c>
      <c r="I315" s="312" t="str">
        <f t="shared" si="18"/>
        <v>项</v>
      </c>
    </row>
    <row r="316" s="372" customFormat="1" ht="24" customHeight="1" spans="1:9">
      <c r="A316" s="330">
        <v>20402</v>
      </c>
      <c r="B316" s="379" t="s">
        <v>396</v>
      </c>
      <c r="C316" s="602">
        <f>SUM(C317:C326)</f>
        <v>64995</v>
      </c>
      <c r="D316" s="713">
        <f>SUM(D317:D326)</f>
        <v>66384</v>
      </c>
      <c r="E316" s="713">
        <f>SUM(E317:E326)</f>
        <v>68641</v>
      </c>
      <c r="F316" s="716">
        <f t="shared" si="16"/>
        <v>0.0560966228171398</v>
      </c>
      <c r="G316" s="470">
        <f t="shared" si="17"/>
        <v>1.03399915642323</v>
      </c>
      <c r="H316" s="524" t="str">
        <f t="shared" si="19"/>
        <v>是</v>
      </c>
      <c r="I316" s="312" t="str">
        <f t="shared" si="18"/>
        <v>款</v>
      </c>
    </row>
    <row r="317" s="372" customFormat="1" ht="24" hidden="1" customHeight="1" spans="1:9">
      <c r="A317" s="330">
        <v>2040201</v>
      </c>
      <c r="B317" s="379" t="s">
        <v>212</v>
      </c>
      <c r="C317" s="602">
        <f>'[2]2'!E310</f>
        <v>44075</v>
      </c>
      <c r="D317" s="714">
        <v>45404</v>
      </c>
      <c r="E317" s="713">
        <v>45023</v>
      </c>
      <c r="F317" s="716">
        <f t="shared" si="16"/>
        <v>0.0215087918321044</v>
      </c>
      <c r="G317" s="470">
        <f t="shared" si="17"/>
        <v>0.99160866883975</v>
      </c>
      <c r="H317" s="524" t="str">
        <f t="shared" si="19"/>
        <v>是</v>
      </c>
      <c r="I317" s="312" t="str">
        <f t="shared" si="18"/>
        <v>项</v>
      </c>
    </row>
    <row r="318" ht="24" hidden="1" customHeight="1" spans="1:9">
      <c r="A318" s="330">
        <v>2040202</v>
      </c>
      <c r="B318" s="379" t="s">
        <v>213</v>
      </c>
      <c r="C318" s="602">
        <f>'[2]2'!E311</f>
        <v>2107</v>
      </c>
      <c r="D318" s="714">
        <v>2198</v>
      </c>
      <c r="E318" s="713">
        <v>1318</v>
      </c>
      <c r="F318" s="716">
        <f t="shared" si="16"/>
        <v>-0.374466065495966</v>
      </c>
      <c r="G318" s="470">
        <f t="shared" si="17"/>
        <v>0.599636032757052</v>
      </c>
      <c r="H318" s="524" t="str">
        <f t="shared" si="19"/>
        <v>是</v>
      </c>
      <c r="I318" s="312" t="str">
        <f t="shared" si="18"/>
        <v>项</v>
      </c>
    </row>
    <row r="319" s="372" customFormat="1" ht="24" hidden="1" customHeight="1" spans="1:9">
      <c r="A319" s="330">
        <v>2040203</v>
      </c>
      <c r="B319" s="379" t="s">
        <v>214</v>
      </c>
      <c r="C319" s="602">
        <f>'[2]2'!E312</f>
        <v>0</v>
      </c>
      <c r="D319" s="714"/>
      <c r="E319" s="713">
        <v>0</v>
      </c>
      <c r="F319" s="716" t="str">
        <f t="shared" si="16"/>
        <v/>
      </c>
      <c r="G319" s="470" t="str">
        <f t="shared" si="17"/>
        <v/>
      </c>
      <c r="H319" s="524" t="str">
        <f t="shared" si="19"/>
        <v>否</v>
      </c>
      <c r="I319" s="312" t="str">
        <f t="shared" si="18"/>
        <v>项</v>
      </c>
    </row>
    <row r="320" s="372" customFormat="1" ht="24" hidden="1" customHeight="1" spans="1:9">
      <c r="A320" s="330">
        <v>2040219</v>
      </c>
      <c r="B320" s="379" t="s">
        <v>252</v>
      </c>
      <c r="C320" s="602">
        <f>'[2]2'!E313</f>
        <v>386</v>
      </c>
      <c r="D320" s="714">
        <v>375</v>
      </c>
      <c r="E320" s="713">
        <v>1867</v>
      </c>
      <c r="F320" s="716">
        <f t="shared" si="16"/>
        <v>3.83678756476684</v>
      </c>
      <c r="G320" s="470">
        <f t="shared" si="17"/>
        <v>4.97866666666667</v>
      </c>
      <c r="H320" s="524" t="str">
        <f t="shared" si="19"/>
        <v>是</v>
      </c>
      <c r="I320" s="312" t="str">
        <f t="shared" si="18"/>
        <v>项</v>
      </c>
    </row>
    <row r="321" s="372" customFormat="1" ht="24" hidden="1" customHeight="1" spans="1:9">
      <c r="A321" s="330">
        <v>2040220</v>
      </c>
      <c r="B321" s="379" t="s">
        <v>397</v>
      </c>
      <c r="C321" s="602">
        <f>'[2]2'!E314</f>
        <v>10744</v>
      </c>
      <c r="D321" s="714">
        <v>10586</v>
      </c>
      <c r="E321" s="713">
        <v>11235</v>
      </c>
      <c r="F321" s="716">
        <f t="shared" si="16"/>
        <v>0.0456999255398362</v>
      </c>
      <c r="G321" s="470">
        <f t="shared" si="17"/>
        <v>1.06130738711506</v>
      </c>
      <c r="H321" s="524" t="str">
        <f t="shared" si="19"/>
        <v>是</v>
      </c>
      <c r="I321" s="312" t="str">
        <f t="shared" si="18"/>
        <v>项</v>
      </c>
    </row>
    <row r="322" s="372" customFormat="1" ht="24" hidden="1" customHeight="1" spans="1:9">
      <c r="A322" s="330">
        <v>2040221</v>
      </c>
      <c r="B322" s="379" t="s">
        <v>398</v>
      </c>
      <c r="C322" s="602">
        <f>'[2]2'!E315</f>
        <v>0</v>
      </c>
      <c r="D322" s="714"/>
      <c r="E322" s="713">
        <v>0</v>
      </c>
      <c r="F322" s="716" t="str">
        <f t="shared" si="16"/>
        <v/>
      </c>
      <c r="G322" s="470" t="str">
        <f t="shared" si="17"/>
        <v/>
      </c>
      <c r="H322" s="524" t="str">
        <f t="shared" si="19"/>
        <v>否</v>
      </c>
      <c r="I322" s="312" t="str">
        <f t="shared" si="18"/>
        <v>项</v>
      </c>
    </row>
    <row r="323" s="372" customFormat="1" ht="24" hidden="1" customHeight="1" spans="1:9">
      <c r="A323" s="330">
        <v>2040222</v>
      </c>
      <c r="B323" s="379" t="s">
        <v>399</v>
      </c>
      <c r="C323" s="602">
        <f>'[2]2'!E316</f>
        <v>0</v>
      </c>
      <c r="D323" s="714"/>
      <c r="E323" s="713">
        <v>0</v>
      </c>
      <c r="F323" s="716" t="str">
        <f t="shared" si="16"/>
        <v/>
      </c>
      <c r="G323" s="470" t="str">
        <f t="shared" si="17"/>
        <v/>
      </c>
      <c r="H323" s="524" t="str">
        <f t="shared" si="19"/>
        <v>否</v>
      </c>
      <c r="I323" s="312" t="str">
        <f t="shared" si="18"/>
        <v>项</v>
      </c>
    </row>
    <row r="324" s="372" customFormat="1" ht="24" hidden="1" customHeight="1" spans="1:9">
      <c r="A324" s="330">
        <v>2040223</v>
      </c>
      <c r="B324" s="379" t="s">
        <v>400</v>
      </c>
      <c r="C324" s="602">
        <f>'[2]2'!E317</f>
        <v>16</v>
      </c>
      <c r="D324" s="714">
        <v>15</v>
      </c>
      <c r="E324" s="713">
        <v>0</v>
      </c>
      <c r="F324" s="716">
        <f t="shared" si="16"/>
        <v>-1</v>
      </c>
      <c r="G324" s="470">
        <f t="shared" si="17"/>
        <v>0</v>
      </c>
      <c r="H324" s="524" t="str">
        <f t="shared" si="19"/>
        <v>是</v>
      </c>
      <c r="I324" s="312" t="str">
        <f t="shared" si="18"/>
        <v>项</v>
      </c>
    </row>
    <row r="325" s="372" customFormat="1" ht="24" hidden="1" customHeight="1" spans="1:9">
      <c r="A325" s="330">
        <v>2040250</v>
      </c>
      <c r="B325" s="379" t="s">
        <v>221</v>
      </c>
      <c r="C325" s="602">
        <f>'[2]2'!E318</f>
        <v>225</v>
      </c>
      <c r="D325" s="714">
        <v>226</v>
      </c>
      <c r="E325" s="713">
        <v>240</v>
      </c>
      <c r="F325" s="716">
        <f t="shared" ref="F325:F388" si="20">IFERROR((E325-C325)/C325,"")</f>
        <v>0.0666666666666667</v>
      </c>
      <c r="G325" s="470">
        <f t="shared" ref="G325:G388" si="21">IFERROR(E325/D325,"")</f>
        <v>1.06194690265487</v>
      </c>
      <c r="H325" s="524" t="str">
        <f t="shared" si="19"/>
        <v>是</v>
      </c>
      <c r="I325" s="312" t="str">
        <f t="shared" ref="I325:I388" si="22">IF(LEN(A325)=3,"类",IF(LEN(A325)=5,"款","项"))</f>
        <v>项</v>
      </c>
    </row>
    <row r="326" s="372" customFormat="1" ht="24" hidden="1" customHeight="1" spans="1:9">
      <c r="A326" s="330">
        <v>2040299</v>
      </c>
      <c r="B326" s="379" t="s">
        <v>401</v>
      </c>
      <c r="C326" s="602">
        <f>'[2]2'!E319</f>
        <v>7442</v>
      </c>
      <c r="D326" s="714">
        <v>7580</v>
      </c>
      <c r="E326" s="713">
        <v>8958</v>
      </c>
      <c r="F326" s="716">
        <f t="shared" si="20"/>
        <v>0.203708680462241</v>
      </c>
      <c r="G326" s="470">
        <f t="shared" si="21"/>
        <v>1.18179419525066</v>
      </c>
      <c r="H326" s="524" t="str">
        <f t="shared" ref="H326:H389" si="23">IF(LEN(A326)=3,"是",IF(B326&lt;&gt;"",IF(SUM(C326:E326)&lt;&gt;0,"是","否"),"是"))</f>
        <v>是</v>
      </c>
      <c r="I326" s="312" t="str">
        <f t="shared" si="22"/>
        <v>项</v>
      </c>
    </row>
    <row r="327" s="372" customFormat="1" ht="24" customHeight="1" spans="1:9">
      <c r="A327" s="330">
        <v>20403</v>
      </c>
      <c r="B327" s="379" t="s">
        <v>402</v>
      </c>
      <c r="C327" s="602">
        <f>SUM(C328:C333)</f>
        <v>20</v>
      </c>
      <c r="D327" s="713">
        <f>SUM(D328:D333)</f>
        <v>20</v>
      </c>
      <c r="E327" s="713">
        <f>SUM(E328:E333)</f>
        <v>50</v>
      </c>
      <c r="F327" s="716">
        <f t="shared" si="20"/>
        <v>1.5</v>
      </c>
      <c r="G327" s="470">
        <f t="shared" si="21"/>
        <v>2.5</v>
      </c>
      <c r="H327" s="524" t="str">
        <f t="shared" si="23"/>
        <v>是</v>
      </c>
      <c r="I327" s="312" t="str">
        <f t="shared" si="22"/>
        <v>款</v>
      </c>
    </row>
    <row r="328" ht="24" hidden="1" customHeight="1" spans="1:9">
      <c r="A328" s="330">
        <v>2040301</v>
      </c>
      <c r="B328" s="379" t="s">
        <v>212</v>
      </c>
      <c r="C328" s="602">
        <f>'[2]2'!E321</f>
        <v>0</v>
      </c>
      <c r="D328" s="714"/>
      <c r="E328" s="713">
        <v>0</v>
      </c>
      <c r="F328" s="716" t="str">
        <f t="shared" si="20"/>
        <v/>
      </c>
      <c r="G328" s="470" t="str">
        <f t="shared" si="21"/>
        <v/>
      </c>
      <c r="H328" s="524" t="str">
        <f t="shared" si="23"/>
        <v>否</v>
      </c>
      <c r="I328" s="312" t="str">
        <f t="shared" si="22"/>
        <v>项</v>
      </c>
    </row>
    <row r="329" s="372" customFormat="1" ht="24" hidden="1" customHeight="1" spans="1:9">
      <c r="A329" s="330">
        <v>2040302</v>
      </c>
      <c r="B329" s="379" t="s">
        <v>213</v>
      </c>
      <c r="C329" s="602">
        <f>'[2]2'!E322</f>
        <v>0</v>
      </c>
      <c r="D329" s="714"/>
      <c r="E329" s="713">
        <v>0</v>
      </c>
      <c r="F329" s="716" t="str">
        <f t="shared" si="20"/>
        <v/>
      </c>
      <c r="G329" s="470" t="str">
        <f t="shared" si="21"/>
        <v/>
      </c>
      <c r="H329" s="524" t="str">
        <f t="shared" si="23"/>
        <v>否</v>
      </c>
      <c r="I329" s="312" t="str">
        <f t="shared" si="22"/>
        <v>项</v>
      </c>
    </row>
    <row r="330" ht="24" hidden="1" customHeight="1" spans="1:9">
      <c r="A330" s="330">
        <v>2040303</v>
      </c>
      <c r="B330" s="379" t="s">
        <v>214</v>
      </c>
      <c r="C330" s="602">
        <f>'[2]2'!E323</f>
        <v>0</v>
      </c>
      <c r="D330" s="714"/>
      <c r="E330" s="713">
        <v>0</v>
      </c>
      <c r="F330" s="716" t="str">
        <f t="shared" si="20"/>
        <v/>
      </c>
      <c r="G330" s="470" t="str">
        <f t="shared" si="21"/>
        <v/>
      </c>
      <c r="H330" s="524" t="str">
        <f t="shared" si="23"/>
        <v>否</v>
      </c>
      <c r="I330" s="312" t="str">
        <f t="shared" si="22"/>
        <v>项</v>
      </c>
    </row>
    <row r="331" ht="24" hidden="1" customHeight="1" spans="1:9">
      <c r="A331" s="330">
        <v>2040304</v>
      </c>
      <c r="B331" s="379" t="s">
        <v>403</v>
      </c>
      <c r="C331" s="602">
        <f>'[2]2'!E324</f>
        <v>0</v>
      </c>
      <c r="D331" s="714"/>
      <c r="E331" s="713">
        <v>0</v>
      </c>
      <c r="F331" s="716" t="str">
        <f t="shared" si="20"/>
        <v/>
      </c>
      <c r="G331" s="470" t="str">
        <f t="shared" si="21"/>
        <v/>
      </c>
      <c r="H331" s="524" t="str">
        <f t="shared" si="23"/>
        <v>否</v>
      </c>
      <c r="I331" s="312" t="str">
        <f t="shared" si="22"/>
        <v>项</v>
      </c>
    </row>
    <row r="332" s="372" customFormat="1" ht="24" hidden="1" customHeight="1" spans="1:9">
      <c r="A332" s="330">
        <v>2040350</v>
      </c>
      <c r="B332" s="379" t="s">
        <v>221</v>
      </c>
      <c r="C332" s="602">
        <f>'[2]2'!E325</f>
        <v>0</v>
      </c>
      <c r="D332" s="714"/>
      <c r="E332" s="713">
        <v>0</v>
      </c>
      <c r="F332" s="716" t="str">
        <f t="shared" si="20"/>
        <v/>
      </c>
      <c r="G332" s="470" t="str">
        <f t="shared" si="21"/>
        <v/>
      </c>
      <c r="H332" s="524" t="str">
        <f t="shared" si="23"/>
        <v>否</v>
      </c>
      <c r="I332" s="312" t="str">
        <f t="shared" si="22"/>
        <v>项</v>
      </c>
    </row>
    <row r="333" s="372" customFormat="1" ht="24" hidden="1" customHeight="1" spans="1:9">
      <c r="A333" s="330">
        <v>2040399</v>
      </c>
      <c r="B333" s="379" t="s">
        <v>404</v>
      </c>
      <c r="C333" s="602">
        <f>'[2]2'!E326</f>
        <v>20</v>
      </c>
      <c r="D333" s="714">
        <v>20</v>
      </c>
      <c r="E333" s="713">
        <v>50</v>
      </c>
      <c r="F333" s="716">
        <f t="shared" si="20"/>
        <v>1.5</v>
      </c>
      <c r="G333" s="470">
        <f t="shared" si="21"/>
        <v>2.5</v>
      </c>
      <c r="H333" s="524" t="str">
        <f t="shared" si="23"/>
        <v>是</v>
      </c>
      <c r="I333" s="312" t="str">
        <f t="shared" si="22"/>
        <v>项</v>
      </c>
    </row>
    <row r="334" ht="24" customHeight="1" spans="1:9">
      <c r="A334" s="330">
        <v>20404</v>
      </c>
      <c r="B334" s="379" t="s">
        <v>405</v>
      </c>
      <c r="C334" s="602">
        <f>SUM(C335:C341)</f>
        <v>226</v>
      </c>
      <c r="D334" s="713">
        <f>SUM(D335:D341)</f>
        <v>231</v>
      </c>
      <c r="E334" s="713">
        <f>SUM(E335:E341)</f>
        <v>169</v>
      </c>
      <c r="F334" s="716">
        <f t="shared" si="20"/>
        <v>-0.252212389380531</v>
      </c>
      <c r="G334" s="470">
        <f t="shared" si="21"/>
        <v>0.731601731601732</v>
      </c>
      <c r="H334" s="524" t="str">
        <f t="shared" si="23"/>
        <v>是</v>
      </c>
      <c r="I334" s="312" t="str">
        <f t="shared" si="22"/>
        <v>款</v>
      </c>
    </row>
    <row r="335" s="372" customFormat="1" ht="24" hidden="1" customHeight="1" spans="1:9">
      <c r="A335" s="330">
        <v>2040401</v>
      </c>
      <c r="B335" s="379" t="s">
        <v>212</v>
      </c>
      <c r="C335" s="602">
        <f>'[2]2'!E328</f>
        <v>13</v>
      </c>
      <c r="D335" s="714">
        <v>15</v>
      </c>
      <c r="E335" s="713">
        <v>3</v>
      </c>
      <c r="F335" s="716">
        <f t="shared" si="20"/>
        <v>-0.769230769230769</v>
      </c>
      <c r="G335" s="470">
        <f t="shared" si="21"/>
        <v>0.2</v>
      </c>
      <c r="H335" s="524" t="str">
        <f t="shared" si="23"/>
        <v>是</v>
      </c>
      <c r="I335" s="312" t="str">
        <f t="shared" si="22"/>
        <v>项</v>
      </c>
    </row>
    <row r="336" s="372" customFormat="1" ht="24" hidden="1" customHeight="1" spans="1:9">
      <c r="A336" s="330">
        <v>2040402</v>
      </c>
      <c r="B336" s="379" t="s">
        <v>213</v>
      </c>
      <c r="C336" s="602">
        <f>'[2]2'!E329</f>
        <v>0</v>
      </c>
      <c r="D336" s="714"/>
      <c r="E336" s="713">
        <v>0</v>
      </c>
      <c r="F336" s="716" t="str">
        <f t="shared" si="20"/>
        <v/>
      </c>
      <c r="G336" s="470" t="str">
        <f t="shared" si="21"/>
        <v/>
      </c>
      <c r="H336" s="524" t="str">
        <f t="shared" si="23"/>
        <v>否</v>
      </c>
      <c r="I336" s="312" t="str">
        <f t="shared" si="22"/>
        <v>项</v>
      </c>
    </row>
    <row r="337" s="372" customFormat="1" ht="24" hidden="1" customHeight="1" spans="1:9">
      <c r="A337" s="330">
        <v>2040403</v>
      </c>
      <c r="B337" s="379" t="s">
        <v>214</v>
      </c>
      <c r="C337" s="602">
        <f>'[2]2'!E330</f>
        <v>0</v>
      </c>
      <c r="D337" s="714"/>
      <c r="E337" s="713">
        <v>0</v>
      </c>
      <c r="F337" s="716" t="str">
        <f t="shared" si="20"/>
        <v/>
      </c>
      <c r="G337" s="470" t="str">
        <f t="shared" si="21"/>
        <v/>
      </c>
      <c r="H337" s="524" t="str">
        <f t="shared" si="23"/>
        <v>否</v>
      </c>
      <c r="I337" s="312" t="str">
        <f t="shared" si="22"/>
        <v>项</v>
      </c>
    </row>
    <row r="338" s="372" customFormat="1" ht="24" hidden="1" customHeight="1" spans="1:9">
      <c r="A338" s="330">
        <v>2040409</v>
      </c>
      <c r="B338" s="379" t="s">
        <v>406</v>
      </c>
      <c r="C338" s="602">
        <f>'[2]2'!E331</f>
        <v>0</v>
      </c>
      <c r="D338" s="714"/>
      <c r="E338" s="713">
        <v>0</v>
      </c>
      <c r="F338" s="716" t="str">
        <f t="shared" si="20"/>
        <v/>
      </c>
      <c r="G338" s="470" t="str">
        <f t="shared" si="21"/>
        <v/>
      </c>
      <c r="H338" s="524" t="str">
        <f t="shared" si="23"/>
        <v>否</v>
      </c>
      <c r="I338" s="312" t="str">
        <f t="shared" si="22"/>
        <v>项</v>
      </c>
    </row>
    <row r="339" s="372" customFormat="1" ht="24" hidden="1" customHeight="1" spans="1:9">
      <c r="A339" s="330">
        <v>2040410</v>
      </c>
      <c r="B339" s="379" t="s">
        <v>407</v>
      </c>
      <c r="C339" s="602">
        <f>'[2]2'!E332</f>
        <v>0</v>
      </c>
      <c r="D339" s="714"/>
      <c r="E339" s="713">
        <v>31</v>
      </c>
      <c r="F339" s="716" t="str">
        <f t="shared" si="20"/>
        <v/>
      </c>
      <c r="G339" s="470" t="str">
        <f t="shared" si="21"/>
        <v/>
      </c>
      <c r="H339" s="524" t="str">
        <f t="shared" si="23"/>
        <v>是</v>
      </c>
      <c r="I339" s="312" t="str">
        <f t="shared" si="22"/>
        <v>项</v>
      </c>
    </row>
    <row r="340" s="372" customFormat="1" ht="24" hidden="1" customHeight="1" spans="1:9">
      <c r="A340" s="330">
        <v>2040450</v>
      </c>
      <c r="B340" s="379" t="s">
        <v>221</v>
      </c>
      <c r="C340" s="602">
        <f>'[2]2'!E333</f>
        <v>9</v>
      </c>
      <c r="D340" s="714">
        <v>10</v>
      </c>
      <c r="E340" s="713">
        <v>2</v>
      </c>
      <c r="F340" s="716">
        <f t="shared" si="20"/>
        <v>-0.777777777777778</v>
      </c>
      <c r="G340" s="470">
        <f t="shared" si="21"/>
        <v>0.2</v>
      </c>
      <c r="H340" s="524" t="str">
        <f t="shared" si="23"/>
        <v>是</v>
      </c>
      <c r="I340" s="312" t="str">
        <f t="shared" si="22"/>
        <v>项</v>
      </c>
    </row>
    <row r="341" s="372" customFormat="1" ht="24" hidden="1" customHeight="1" spans="1:9">
      <c r="A341" s="330">
        <v>2040499</v>
      </c>
      <c r="B341" s="379" t="s">
        <v>408</v>
      </c>
      <c r="C341" s="602">
        <f>'[2]2'!E334</f>
        <v>204</v>
      </c>
      <c r="D341" s="714">
        <v>206</v>
      </c>
      <c r="E341" s="713">
        <v>133</v>
      </c>
      <c r="F341" s="716">
        <f t="shared" si="20"/>
        <v>-0.348039215686274</v>
      </c>
      <c r="G341" s="470">
        <f t="shared" si="21"/>
        <v>0.645631067961165</v>
      </c>
      <c r="H341" s="524" t="str">
        <f t="shared" si="23"/>
        <v>是</v>
      </c>
      <c r="I341" s="312" t="str">
        <f t="shared" si="22"/>
        <v>项</v>
      </c>
    </row>
    <row r="342" s="372" customFormat="1" ht="24" customHeight="1" spans="1:9">
      <c r="A342" s="330">
        <v>20405</v>
      </c>
      <c r="B342" s="379" t="s">
        <v>409</v>
      </c>
      <c r="C342" s="602">
        <f>SUM(C343:C350)</f>
        <v>398</v>
      </c>
      <c r="D342" s="713">
        <f>SUM(D343:D350)</f>
        <v>408</v>
      </c>
      <c r="E342" s="713">
        <f>SUM(E343:E350)</f>
        <v>315</v>
      </c>
      <c r="F342" s="716">
        <f t="shared" si="20"/>
        <v>-0.208542713567839</v>
      </c>
      <c r="G342" s="470">
        <f t="shared" si="21"/>
        <v>0.772058823529412</v>
      </c>
      <c r="H342" s="524" t="str">
        <f t="shared" si="23"/>
        <v>是</v>
      </c>
      <c r="I342" s="312" t="str">
        <f t="shared" si="22"/>
        <v>款</v>
      </c>
    </row>
    <row r="343" s="372" customFormat="1" ht="24" hidden="1" customHeight="1" spans="1:9">
      <c r="A343" s="330">
        <v>2040501</v>
      </c>
      <c r="B343" s="379" t="s">
        <v>212</v>
      </c>
      <c r="C343" s="602">
        <f>'[2]2'!E336</f>
        <v>26</v>
      </c>
      <c r="D343" s="714">
        <v>28</v>
      </c>
      <c r="E343" s="713">
        <v>40</v>
      </c>
      <c r="F343" s="716">
        <f t="shared" si="20"/>
        <v>0.538461538461538</v>
      </c>
      <c r="G343" s="470">
        <f t="shared" si="21"/>
        <v>1.42857142857143</v>
      </c>
      <c r="H343" s="524" t="str">
        <f t="shared" si="23"/>
        <v>是</v>
      </c>
      <c r="I343" s="312" t="str">
        <f t="shared" si="22"/>
        <v>项</v>
      </c>
    </row>
    <row r="344" s="372" customFormat="1" ht="24" hidden="1" customHeight="1" spans="1:9">
      <c r="A344" s="330">
        <v>2040502</v>
      </c>
      <c r="B344" s="379" t="s">
        <v>213</v>
      </c>
      <c r="C344" s="602">
        <f>'[2]2'!E337</f>
        <v>0</v>
      </c>
      <c r="D344" s="714"/>
      <c r="E344" s="713">
        <v>0</v>
      </c>
      <c r="F344" s="716" t="str">
        <f t="shared" si="20"/>
        <v/>
      </c>
      <c r="G344" s="470" t="str">
        <f t="shared" si="21"/>
        <v/>
      </c>
      <c r="H344" s="524" t="str">
        <f t="shared" si="23"/>
        <v>否</v>
      </c>
      <c r="I344" s="312" t="str">
        <f t="shared" si="22"/>
        <v>项</v>
      </c>
    </row>
    <row r="345" ht="24" hidden="1" customHeight="1" spans="1:9">
      <c r="A345" s="330">
        <v>2040503</v>
      </c>
      <c r="B345" s="379" t="s">
        <v>214</v>
      </c>
      <c r="C345" s="602">
        <f>'[2]2'!E338</f>
        <v>0</v>
      </c>
      <c r="D345" s="714"/>
      <c r="E345" s="713">
        <v>0</v>
      </c>
      <c r="F345" s="716" t="str">
        <f t="shared" si="20"/>
        <v/>
      </c>
      <c r="G345" s="470" t="str">
        <f t="shared" si="21"/>
        <v/>
      </c>
      <c r="H345" s="524" t="str">
        <f t="shared" si="23"/>
        <v>否</v>
      </c>
      <c r="I345" s="312" t="str">
        <f t="shared" si="22"/>
        <v>项</v>
      </c>
    </row>
    <row r="346" s="372" customFormat="1" ht="24" hidden="1" customHeight="1" spans="1:9">
      <c r="A346" s="330">
        <v>2040504</v>
      </c>
      <c r="B346" s="379" t="s">
        <v>410</v>
      </c>
      <c r="C346" s="602">
        <f>'[2]2'!E339</f>
        <v>74</v>
      </c>
      <c r="D346" s="714">
        <v>76</v>
      </c>
      <c r="E346" s="713">
        <v>56</v>
      </c>
      <c r="F346" s="716">
        <f t="shared" si="20"/>
        <v>-0.243243243243243</v>
      </c>
      <c r="G346" s="470">
        <f t="shared" si="21"/>
        <v>0.736842105263158</v>
      </c>
      <c r="H346" s="524" t="str">
        <f t="shared" si="23"/>
        <v>是</v>
      </c>
      <c r="I346" s="312" t="str">
        <f t="shared" si="22"/>
        <v>项</v>
      </c>
    </row>
    <row r="347" s="372" customFormat="1" ht="24" hidden="1" customHeight="1" spans="1:9">
      <c r="A347" s="330">
        <v>2040505</v>
      </c>
      <c r="B347" s="379" t="s">
        <v>411</v>
      </c>
      <c r="C347" s="602">
        <f>'[2]2'!E340</f>
        <v>0</v>
      </c>
      <c r="D347" s="714"/>
      <c r="E347" s="713">
        <v>0</v>
      </c>
      <c r="F347" s="716" t="str">
        <f t="shared" si="20"/>
        <v/>
      </c>
      <c r="G347" s="470" t="str">
        <f t="shared" si="21"/>
        <v/>
      </c>
      <c r="H347" s="524" t="str">
        <f t="shared" si="23"/>
        <v>否</v>
      </c>
      <c r="I347" s="312" t="str">
        <f t="shared" si="22"/>
        <v>项</v>
      </c>
    </row>
    <row r="348" s="372" customFormat="1" ht="24" hidden="1" customHeight="1" spans="1:9">
      <c r="A348" s="330">
        <v>2040506</v>
      </c>
      <c r="B348" s="379" t="s">
        <v>412</v>
      </c>
      <c r="C348" s="602">
        <f>'[2]2'!E341</f>
        <v>0</v>
      </c>
      <c r="D348" s="714"/>
      <c r="E348" s="713">
        <v>0</v>
      </c>
      <c r="F348" s="716" t="str">
        <f t="shared" si="20"/>
        <v/>
      </c>
      <c r="G348" s="470" t="str">
        <f t="shared" si="21"/>
        <v/>
      </c>
      <c r="H348" s="524" t="str">
        <f t="shared" si="23"/>
        <v>否</v>
      </c>
      <c r="I348" s="312" t="str">
        <f t="shared" si="22"/>
        <v>项</v>
      </c>
    </row>
    <row r="349" s="372" customFormat="1" ht="24" hidden="1" customHeight="1" spans="1:9">
      <c r="A349" s="330">
        <v>2040550</v>
      </c>
      <c r="B349" s="379" t="s">
        <v>221</v>
      </c>
      <c r="C349" s="602">
        <f>'[2]2'!E342</f>
        <v>1</v>
      </c>
      <c r="D349" s="714">
        <v>2</v>
      </c>
      <c r="E349" s="713">
        <v>1</v>
      </c>
      <c r="F349" s="716">
        <f t="shared" si="20"/>
        <v>0</v>
      </c>
      <c r="G349" s="470">
        <f t="shared" si="21"/>
        <v>0.5</v>
      </c>
      <c r="H349" s="524" t="str">
        <f t="shared" si="23"/>
        <v>是</v>
      </c>
      <c r="I349" s="312" t="str">
        <f t="shared" si="22"/>
        <v>项</v>
      </c>
    </row>
    <row r="350" s="372" customFormat="1" ht="24" hidden="1" customHeight="1" spans="1:9">
      <c r="A350" s="330">
        <v>2040599</v>
      </c>
      <c r="B350" s="379" t="s">
        <v>413</v>
      </c>
      <c r="C350" s="602">
        <f>'[2]2'!E343</f>
        <v>297</v>
      </c>
      <c r="D350" s="714">
        <v>302</v>
      </c>
      <c r="E350" s="713">
        <v>218</v>
      </c>
      <c r="F350" s="716">
        <f t="shared" si="20"/>
        <v>-0.265993265993266</v>
      </c>
      <c r="G350" s="470">
        <f t="shared" si="21"/>
        <v>0.721854304635762</v>
      </c>
      <c r="H350" s="524" t="str">
        <f t="shared" si="23"/>
        <v>是</v>
      </c>
      <c r="I350" s="312" t="str">
        <f t="shared" si="22"/>
        <v>项</v>
      </c>
    </row>
    <row r="351" s="372" customFormat="1" ht="24" customHeight="1" spans="1:9">
      <c r="A351" s="330">
        <v>20406</v>
      </c>
      <c r="B351" s="379" t="s">
        <v>414</v>
      </c>
      <c r="C351" s="602">
        <f>SUM(C352:C364)</f>
        <v>5158</v>
      </c>
      <c r="D351" s="713">
        <f>SUM(D352:D364)</f>
        <v>5304</v>
      </c>
      <c r="E351" s="713">
        <f>SUM(E352:E364)</f>
        <v>5302</v>
      </c>
      <c r="F351" s="716">
        <f t="shared" si="20"/>
        <v>0.0279177975959674</v>
      </c>
      <c r="G351" s="470">
        <f t="shared" si="21"/>
        <v>0.999622926093514</v>
      </c>
      <c r="H351" s="524" t="str">
        <f t="shared" si="23"/>
        <v>是</v>
      </c>
      <c r="I351" s="312" t="str">
        <f t="shared" si="22"/>
        <v>款</v>
      </c>
    </row>
    <row r="352" ht="24" hidden="1" customHeight="1" spans="1:9">
      <c r="A352" s="330">
        <v>2040601</v>
      </c>
      <c r="B352" s="379" t="s">
        <v>212</v>
      </c>
      <c r="C352" s="602">
        <f>'[2]2'!E345</f>
        <v>3604</v>
      </c>
      <c r="D352" s="714">
        <v>3615</v>
      </c>
      <c r="E352" s="713">
        <v>3824</v>
      </c>
      <c r="F352" s="716">
        <f t="shared" si="20"/>
        <v>0.0610432852386237</v>
      </c>
      <c r="G352" s="470">
        <f t="shared" si="21"/>
        <v>1.05781466113416</v>
      </c>
      <c r="H352" s="524" t="str">
        <f t="shared" si="23"/>
        <v>是</v>
      </c>
      <c r="I352" s="312" t="str">
        <f t="shared" si="22"/>
        <v>项</v>
      </c>
    </row>
    <row r="353" s="372" customFormat="1" ht="24" hidden="1" customHeight="1" spans="1:9">
      <c r="A353" s="330">
        <v>2040602</v>
      </c>
      <c r="B353" s="379" t="s">
        <v>213</v>
      </c>
      <c r="C353" s="602">
        <f>'[2]2'!E346</f>
        <v>0</v>
      </c>
      <c r="D353" s="714"/>
      <c r="E353" s="713">
        <v>0</v>
      </c>
      <c r="F353" s="716" t="str">
        <f t="shared" si="20"/>
        <v/>
      </c>
      <c r="G353" s="470" t="str">
        <f t="shared" si="21"/>
        <v/>
      </c>
      <c r="H353" s="524" t="str">
        <f t="shared" si="23"/>
        <v>否</v>
      </c>
      <c r="I353" s="312" t="str">
        <f t="shared" si="22"/>
        <v>项</v>
      </c>
    </row>
    <row r="354" s="372" customFormat="1" ht="24" hidden="1" customHeight="1" spans="1:9">
      <c r="A354" s="330">
        <v>2040603</v>
      </c>
      <c r="B354" s="379" t="s">
        <v>214</v>
      </c>
      <c r="C354" s="602">
        <f>'[2]2'!E347</f>
        <v>0</v>
      </c>
      <c r="D354" s="714"/>
      <c r="E354" s="713">
        <v>0</v>
      </c>
      <c r="F354" s="716" t="str">
        <f t="shared" si="20"/>
        <v/>
      </c>
      <c r="G354" s="470" t="str">
        <f t="shared" si="21"/>
        <v/>
      </c>
      <c r="H354" s="524" t="str">
        <f t="shared" si="23"/>
        <v>否</v>
      </c>
      <c r="I354" s="312" t="str">
        <f t="shared" si="22"/>
        <v>项</v>
      </c>
    </row>
    <row r="355" s="372" customFormat="1" ht="24" hidden="1" customHeight="1" spans="1:9">
      <c r="A355" s="330">
        <v>2040604</v>
      </c>
      <c r="B355" s="379" t="s">
        <v>415</v>
      </c>
      <c r="C355" s="602">
        <f>'[2]2'!E348</f>
        <v>195</v>
      </c>
      <c r="D355" s="714">
        <v>302</v>
      </c>
      <c r="E355" s="713">
        <v>248</v>
      </c>
      <c r="F355" s="716">
        <f t="shared" si="20"/>
        <v>0.271794871794872</v>
      </c>
      <c r="G355" s="470">
        <f t="shared" si="21"/>
        <v>0.821192052980132</v>
      </c>
      <c r="H355" s="524" t="str">
        <f t="shared" si="23"/>
        <v>是</v>
      </c>
      <c r="I355" s="312" t="str">
        <f t="shared" si="22"/>
        <v>项</v>
      </c>
    </row>
    <row r="356" s="372" customFormat="1" ht="24" hidden="1" customHeight="1" spans="1:9">
      <c r="A356" s="330">
        <v>2040605</v>
      </c>
      <c r="B356" s="379" t="s">
        <v>416</v>
      </c>
      <c r="C356" s="602">
        <f>'[2]2'!E349</f>
        <v>178</v>
      </c>
      <c r="D356" s="714">
        <v>181</v>
      </c>
      <c r="E356" s="713">
        <v>131</v>
      </c>
      <c r="F356" s="716">
        <f t="shared" si="20"/>
        <v>-0.264044943820225</v>
      </c>
      <c r="G356" s="470">
        <f t="shared" si="21"/>
        <v>0.723756906077348</v>
      </c>
      <c r="H356" s="524" t="str">
        <f t="shared" si="23"/>
        <v>是</v>
      </c>
      <c r="I356" s="312" t="str">
        <f t="shared" si="22"/>
        <v>项</v>
      </c>
    </row>
    <row r="357" s="372" customFormat="1" ht="24" hidden="1" customHeight="1" spans="1:9">
      <c r="A357" s="532">
        <v>2040606</v>
      </c>
      <c r="B357" s="379" t="s">
        <v>417</v>
      </c>
      <c r="C357" s="602">
        <f>'[2]2'!E350</f>
        <v>8</v>
      </c>
      <c r="D357" s="714">
        <v>8</v>
      </c>
      <c r="E357" s="713">
        <v>6</v>
      </c>
      <c r="F357" s="716">
        <f t="shared" si="20"/>
        <v>-0.25</v>
      </c>
      <c r="G357" s="470">
        <f t="shared" si="21"/>
        <v>0.75</v>
      </c>
      <c r="H357" s="524" t="str">
        <f t="shared" si="23"/>
        <v>是</v>
      </c>
      <c r="I357" s="312" t="str">
        <f t="shared" si="22"/>
        <v>项</v>
      </c>
    </row>
    <row r="358" s="372" customFormat="1" ht="24" hidden="1" customHeight="1" spans="1:9">
      <c r="A358" s="532">
        <v>2040607</v>
      </c>
      <c r="B358" s="379" t="s">
        <v>418</v>
      </c>
      <c r="C358" s="602">
        <f>'[2]2'!E351</f>
        <v>169</v>
      </c>
      <c r="D358" s="714">
        <v>176</v>
      </c>
      <c r="E358" s="713">
        <v>211</v>
      </c>
      <c r="F358" s="716">
        <f t="shared" si="20"/>
        <v>0.248520710059172</v>
      </c>
      <c r="G358" s="470">
        <f t="shared" si="21"/>
        <v>1.19886363636364</v>
      </c>
      <c r="H358" s="524" t="str">
        <f t="shared" si="23"/>
        <v>是</v>
      </c>
      <c r="I358" s="312" t="str">
        <f t="shared" si="22"/>
        <v>项</v>
      </c>
    </row>
    <row r="359" s="372" customFormat="1" ht="24" hidden="1" customHeight="1" spans="1:9">
      <c r="A359" s="330">
        <v>2040608</v>
      </c>
      <c r="B359" s="379" t="s">
        <v>419</v>
      </c>
      <c r="C359" s="602">
        <f>'[2]2'!E352</f>
        <v>14</v>
      </c>
      <c r="D359" s="714">
        <v>14</v>
      </c>
      <c r="E359" s="713">
        <v>19</v>
      </c>
      <c r="F359" s="716">
        <f t="shared" si="20"/>
        <v>0.357142857142857</v>
      </c>
      <c r="G359" s="470">
        <f t="shared" si="21"/>
        <v>1.35714285714286</v>
      </c>
      <c r="H359" s="524" t="str">
        <f t="shared" si="23"/>
        <v>是</v>
      </c>
      <c r="I359" s="312" t="str">
        <f t="shared" si="22"/>
        <v>项</v>
      </c>
    </row>
    <row r="360" ht="24" hidden="1" customHeight="1" spans="1:9">
      <c r="A360" s="330">
        <v>2040610</v>
      </c>
      <c r="B360" s="379" t="s">
        <v>420</v>
      </c>
      <c r="C360" s="602">
        <f>'[2]2'!E353</f>
        <v>270</v>
      </c>
      <c r="D360" s="714">
        <v>256</v>
      </c>
      <c r="E360" s="713">
        <v>234</v>
      </c>
      <c r="F360" s="716">
        <f t="shared" si="20"/>
        <v>-0.133333333333333</v>
      </c>
      <c r="G360" s="470">
        <f t="shared" si="21"/>
        <v>0.9140625</v>
      </c>
      <c r="H360" s="524" t="str">
        <f t="shared" si="23"/>
        <v>是</v>
      </c>
      <c r="I360" s="312" t="str">
        <f t="shared" si="22"/>
        <v>项</v>
      </c>
    </row>
    <row r="361" s="372" customFormat="1" ht="24" hidden="1" customHeight="1" spans="1:9">
      <c r="A361" s="330">
        <v>2040612</v>
      </c>
      <c r="B361" s="405" t="s">
        <v>421</v>
      </c>
      <c r="C361" s="602">
        <f>'[2]2'!E354</f>
        <v>126</v>
      </c>
      <c r="D361" s="714">
        <v>145</v>
      </c>
      <c r="E361" s="713">
        <v>77</v>
      </c>
      <c r="F361" s="716">
        <f t="shared" si="20"/>
        <v>-0.388888888888889</v>
      </c>
      <c r="G361" s="470">
        <f t="shared" si="21"/>
        <v>0.531034482758621</v>
      </c>
      <c r="H361" s="524" t="str">
        <f t="shared" si="23"/>
        <v>是</v>
      </c>
      <c r="I361" s="312" t="str">
        <f t="shared" si="22"/>
        <v>项</v>
      </c>
    </row>
    <row r="362" s="372" customFormat="1" ht="24" hidden="1" customHeight="1" spans="1:9">
      <c r="A362" s="330">
        <v>2040613</v>
      </c>
      <c r="B362" s="379" t="s">
        <v>252</v>
      </c>
      <c r="C362" s="602">
        <f>'[2]2'!E355</f>
        <v>0</v>
      </c>
      <c r="D362" s="714"/>
      <c r="E362" s="713">
        <v>0</v>
      </c>
      <c r="F362" s="716" t="str">
        <f t="shared" si="20"/>
        <v/>
      </c>
      <c r="G362" s="470" t="str">
        <f t="shared" si="21"/>
        <v/>
      </c>
      <c r="H362" s="524" t="str">
        <f t="shared" si="23"/>
        <v>否</v>
      </c>
      <c r="I362" s="312" t="str">
        <f t="shared" si="22"/>
        <v>项</v>
      </c>
    </row>
    <row r="363" s="372" customFormat="1" ht="24" hidden="1" customHeight="1" spans="1:9">
      <c r="A363" s="330">
        <v>2040650</v>
      </c>
      <c r="B363" s="379" t="s">
        <v>221</v>
      </c>
      <c r="C363" s="602">
        <f>'[2]2'!E356</f>
        <v>142</v>
      </c>
      <c r="D363" s="714">
        <v>145</v>
      </c>
      <c r="E363" s="713">
        <v>167</v>
      </c>
      <c r="F363" s="716">
        <f t="shared" si="20"/>
        <v>0.176056338028169</v>
      </c>
      <c r="G363" s="470">
        <f t="shared" si="21"/>
        <v>1.15172413793103</v>
      </c>
      <c r="H363" s="524" t="str">
        <f t="shared" si="23"/>
        <v>是</v>
      </c>
      <c r="I363" s="312" t="str">
        <f t="shared" si="22"/>
        <v>项</v>
      </c>
    </row>
    <row r="364" s="372" customFormat="1" ht="24" hidden="1" customHeight="1" spans="1:9">
      <c r="A364" s="330">
        <v>2040699</v>
      </c>
      <c r="B364" s="379" t="s">
        <v>422</v>
      </c>
      <c r="C364" s="602">
        <f>'[2]2'!E357</f>
        <v>452</v>
      </c>
      <c r="D364" s="714">
        <v>462</v>
      </c>
      <c r="E364" s="713">
        <v>385</v>
      </c>
      <c r="F364" s="716">
        <f t="shared" si="20"/>
        <v>-0.148230088495575</v>
      </c>
      <c r="G364" s="470">
        <f t="shared" si="21"/>
        <v>0.833333333333333</v>
      </c>
      <c r="H364" s="524" t="str">
        <f t="shared" si="23"/>
        <v>是</v>
      </c>
      <c r="I364" s="312" t="str">
        <f t="shared" si="22"/>
        <v>项</v>
      </c>
    </row>
    <row r="365" s="372" customFormat="1" ht="24" customHeight="1" spans="1:9">
      <c r="A365" s="330">
        <v>20407</v>
      </c>
      <c r="B365" s="379" t="s">
        <v>423</v>
      </c>
      <c r="C365" s="602">
        <f>SUM(C366:C374)</f>
        <v>70</v>
      </c>
      <c r="D365" s="713">
        <f>SUM(D366:D374)</f>
        <v>65</v>
      </c>
      <c r="E365" s="713">
        <f>SUM(E366:E374)</f>
        <v>35</v>
      </c>
      <c r="F365" s="716">
        <f t="shared" si="20"/>
        <v>-0.5</v>
      </c>
      <c r="G365" s="470">
        <f t="shared" si="21"/>
        <v>0.538461538461538</v>
      </c>
      <c r="H365" s="524" t="str">
        <f t="shared" si="23"/>
        <v>是</v>
      </c>
      <c r="I365" s="312" t="str">
        <f t="shared" si="22"/>
        <v>款</v>
      </c>
    </row>
    <row r="366" s="372" customFormat="1" ht="24" hidden="1" customHeight="1" spans="1:9">
      <c r="A366" s="330">
        <v>2040701</v>
      </c>
      <c r="B366" s="379" t="s">
        <v>212</v>
      </c>
      <c r="C366" s="602">
        <f>'[2]2'!E359</f>
        <v>0</v>
      </c>
      <c r="D366" s="714"/>
      <c r="E366" s="713">
        <v>0</v>
      </c>
      <c r="F366" s="716" t="str">
        <f t="shared" si="20"/>
        <v/>
      </c>
      <c r="G366" s="470" t="str">
        <f t="shared" si="21"/>
        <v/>
      </c>
      <c r="H366" s="524" t="str">
        <f t="shared" si="23"/>
        <v>否</v>
      </c>
      <c r="I366" s="312" t="str">
        <f t="shared" si="22"/>
        <v>项</v>
      </c>
    </row>
    <row r="367" s="372" customFormat="1" ht="24" hidden="1" customHeight="1" spans="1:9">
      <c r="A367" s="330">
        <v>2040702</v>
      </c>
      <c r="B367" s="379" t="s">
        <v>213</v>
      </c>
      <c r="C367" s="602">
        <f>'[2]2'!E360</f>
        <v>0</v>
      </c>
      <c r="D367" s="714"/>
      <c r="E367" s="713">
        <v>0</v>
      </c>
      <c r="F367" s="716" t="str">
        <f t="shared" si="20"/>
        <v/>
      </c>
      <c r="G367" s="470" t="str">
        <f t="shared" si="21"/>
        <v/>
      </c>
      <c r="H367" s="524" t="str">
        <f t="shared" si="23"/>
        <v>否</v>
      </c>
      <c r="I367" s="312" t="str">
        <f t="shared" si="22"/>
        <v>项</v>
      </c>
    </row>
    <row r="368" s="372" customFormat="1" ht="24" hidden="1" customHeight="1" spans="1:9">
      <c r="A368" s="330">
        <v>2040703</v>
      </c>
      <c r="B368" s="379" t="s">
        <v>214</v>
      </c>
      <c r="C368" s="602">
        <f>'[2]2'!E361</f>
        <v>0</v>
      </c>
      <c r="D368" s="714"/>
      <c r="E368" s="713">
        <v>0</v>
      </c>
      <c r="F368" s="716" t="str">
        <f t="shared" si="20"/>
        <v/>
      </c>
      <c r="G368" s="470" t="str">
        <f t="shared" si="21"/>
        <v/>
      </c>
      <c r="H368" s="524" t="str">
        <f t="shared" si="23"/>
        <v>否</v>
      </c>
      <c r="I368" s="312" t="str">
        <f t="shared" si="22"/>
        <v>项</v>
      </c>
    </row>
    <row r="369" ht="24" hidden="1" customHeight="1" spans="1:9">
      <c r="A369" s="330">
        <v>2040704</v>
      </c>
      <c r="B369" s="405" t="s">
        <v>424</v>
      </c>
      <c r="C369" s="602">
        <f>'[2]2'!E362</f>
        <v>70</v>
      </c>
      <c r="D369" s="714">
        <v>65</v>
      </c>
      <c r="E369" s="713">
        <v>35</v>
      </c>
      <c r="F369" s="716">
        <f t="shared" si="20"/>
        <v>-0.5</v>
      </c>
      <c r="G369" s="470">
        <f t="shared" si="21"/>
        <v>0.538461538461538</v>
      </c>
      <c r="H369" s="524" t="str">
        <f t="shared" si="23"/>
        <v>是</v>
      </c>
      <c r="I369" s="312" t="str">
        <f t="shared" si="22"/>
        <v>项</v>
      </c>
    </row>
    <row r="370" s="372" customFormat="1" ht="24" hidden="1" customHeight="1" spans="1:9">
      <c r="A370" s="330">
        <v>2040705</v>
      </c>
      <c r="B370" s="405" t="s">
        <v>425</v>
      </c>
      <c r="C370" s="602">
        <f>'[2]2'!E363</f>
        <v>0</v>
      </c>
      <c r="D370" s="714"/>
      <c r="E370" s="713">
        <v>0</v>
      </c>
      <c r="F370" s="716" t="str">
        <f t="shared" si="20"/>
        <v/>
      </c>
      <c r="G370" s="470" t="str">
        <f t="shared" si="21"/>
        <v/>
      </c>
      <c r="H370" s="524" t="str">
        <f t="shared" si="23"/>
        <v>否</v>
      </c>
      <c r="I370" s="312" t="str">
        <f t="shared" si="22"/>
        <v>项</v>
      </c>
    </row>
    <row r="371" s="372" customFormat="1" ht="24" hidden="1" customHeight="1" spans="1:9">
      <c r="A371" s="330">
        <v>2040706</v>
      </c>
      <c r="B371" s="379" t="s">
        <v>426</v>
      </c>
      <c r="C371" s="602">
        <f>'[2]2'!E364</f>
        <v>0</v>
      </c>
      <c r="D371" s="714"/>
      <c r="E371" s="713">
        <v>0</v>
      </c>
      <c r="F371" s="716" t="str">
        <f t="shared" si="20"/>
        <v/>
      </c>
      <c r="G371" s="470" t="str">
        <f t="shared" si="21"/>
        <v/>
      </c>
      <c r="H371" s="524" t="str">
        <f t="shared" si="23"/>
        <v>否</v>
      </c>
      <c r="I371" s="312" t="str">
        <f t="shared" si="22"/>
        <v>项</v>
      </c>
    </row>
    <row r="372" s="372" customFormat="1" ht="24" hidden="1" customHeight="1" spans="1:9">
      <c r="A372" s="330">
        <v>2040707</v>
      </c>
      <c r="B372" s="379" t="s">
        <v>252</v>
      </c>
      <c r="C372" s="602">
        <f>'[2]2'!E365</f>
        <v>0</v>
      </c>
      <c r="D372" s="714"/>
      <c r="E372" s="713">
        <v>0</v>
      </c>
      <c r="F372" s="716" t="str">
        <f t="shared" si="20"/>
        <v/>
      </c>
      <c r="G372" s="470" t="str">
        <f t="shared" si="21"/>
        <v/>
      </c>
      <c r="H372" s="524" t="str">
        <f t="shared" si="23"/>
        <v>否</v>
      </c>
      <c r="I372" s="312" t="str">
        <f t="shared" si="22"/>
        <v>项</v>
      </c>
    </row>
    <row r="373" s="372" customFormat="1" ht="24" hidden="1" customHeight="1" spans="1:9">
      <c r="A373" s="330">
        <v>2040750</v>
      </c>
      <c r="B373" s="379" t="s">
        <v>221</v>
      </c>
      <c r="C373" s="602">
        <f>'[2]2'!E366</f>
        <v>0</v>
      </c>
      <c r="D373" s="714"/>
      <c r="E373" s="713">
        <v>0</v>
      </c>
      <c r="F373" s="716" t="str">
        <f t="shared" si="20"/>
        <v/>
      </c>
      <c r="G373" s="470" t="str">
        <f t="shared" si="21"/>
        <v/>
      </c>
      <c r="H373" s="524" t="str">
        <f t="shared" si="23"/>
        <v>否</v>
      </c>
      <c r="I373" s="312" t="str">
        <f t="shared" si="22"/>
        <v>项</v>
      </c>
    </row>
    <row r="374" s="372" customFormat="1" ht="24" hidden="1" customHeight="1" spans="1:9">
      <c r="A374" s="330">
        <v>2040799</v>
      </c>
      <c r="B374" s="379" t="s">
        <v>427</v>
      </c>
      <c r="C374" s="602">
        <f>'[2]2'!E367</f>
        <v>0</v>
      </c>
      <c r="D374" s="714"/>
      <c r="E374" s="713">
        <v>0</v>
      </c>
      <c r="F374" s="716" t="str">
        <f t="shared" si="20"/>
        <v/>
      </c>
      <c r="G374" s="470" t="str">
        <f t="shared" si="21"/>
        <v/>
      </c>
      <c r="H374" s="524" t="str">
        <f t="shared" si="23"/>
        <v>否</v>
      </c>
      <c r="I374" s="312" t="str">
        <f t="shared" si="22"/>
        <v>项</v>
      </c>
    </row>
    <row r="375" s="372" customFormat="1" ht="24" customHeight="1" spans="1:9">
      <c r="A375" s="330">
        <v>20408</v>
      </c>
      <c r="B375" s="379" t="s">
        <v>428</v>
      </c>
      <c r="C375" s="602">
        <f>SUM(C376:C384)</f>
        <v>25</v>
      </c>
      <c r="D375" s="713">
        <f>SUM(D376:D384)</f>
        <v>22</v>
      </c>
      <c r="E375" s="713">
        <f>SUM(E376:E384)</f>
        <v>32</v>
      </c>
      <c r="F375" s="716">
        <f t="shared" si="20"/>
        <v>0.28</v>
      </c>
      <c r="G375" s="470">
        <f t="shared" si="21"/>
        <v>1.45454545454545</v>
      </c>
      <c r="H375" s="524" t="str">
        <f t="shared" si="23"/>
        <v>是</v>
      </c>
      <c r="I375" s="312" t="str">
        <f t="shared" si="22"/>
        <v>款</v>
      </c>
    </row>
    <row r="376" s="372" customFormat="1" ht="24" hidden="1" customHeight="1" spans="1:9">
      <c r="A376" s="330">
        <v>2040801</v>
      </c>
      <c r="B376" s="379" t="s">
        <v>212</v>
      </c>
      <c r="C376" s="602">
        <f>'[2]2'!E369</f>
        <v>0</v>
      </c>
      <c r="D376" s="714"/>
      <c r="E376" s="713">
        <v>0</v>
      </c>
      <c r="F376" s="716" t="str">
        <f t="shared" si="20"/>
        <v/>
      </c>
      <c r="G376" s="470" t="str">
        <f t="shared" si="21"/>
        <v/>
      </c>
      <c r="H376" s="524" t="str">
        <f t="shared" si="23"/>
        <v>否</v>
      </c>
      <c r="I376" s="312" t="str">
        <f t="shared" si="22"/>
        <v>项</v>
      </c>
    </row>
    <row r="377" s="372" customFormat="1" ht="24" hidden="1" customHeight="1" spans="1:9">
      <c r="A377" s="330">
        <v>2040802</v>
      </c>
      <c r="B377" s="379" t="s">
        <v>213</v>
      </c>
      <c r="C377" s="602">
        <f>'[2]2'!E370</f>
        <v>0</v>
      </c>
      <c r="D377" s="714"/>
      <c r="E377" s="713">
        <v>0</v>
      </c>
      <c r="F377" s="716" t="str">
        <f t="shared" si="20"/>
        <v/>
      </c>
      <c r="G377" s="470" t="str">
        <f t="shared" si="21"/>
        <v/>
      </c>
      <c r="H377" s="524" t="str">
        <f t="shared" si="23"/>
        <v>否</v>
      </c>
      <c r="I377" s="312" t="str">
        <f t="shared" si="22"/>
        <v>项</v>
      </c>
    </row>
    <row r="378" s="372" customFormat="1" ht="24" hidden="1" customHeight="1" spans="1:9">
      <c r="A378" s="330">
        <v>2040803</v>
      </c>
      <c r="B378" s="379" t="s">
        <v>214</v>
      </c>
      <c r="C378" s="602">
        <f>'[2]2'!E371</f>
        <v>0</v>
      </c>
      <c r="D378" s="714"/>
      <c r="E378" s="713">
        <v>0</v>
      </c>
      <c r="F378" s="716" t="str">
        <f t="shared" si="20"/>
        <v/>
      </c>
      <c r="G378" s="470" t="str">
        <f t="shared" si="21"/>
        <v/>
      </c>
      <c r="H378" s="524" t="str">
        <f t="shared" si="23"/>
        <v>否</v>
      </c>
      <c r="I378" s="312" t="str">
        <f t="shared" si="22"/>
        <v>项</v>
      </c>
    </row>
    <row r="379" s="372" customFormat="1" ht="24" hidden="1" customHeight="1" spans="1:9">
      <c r="A379" s="330">
        <v>2040804</v>
      </c>
      <c r="B379" s="379" t="s">
        <v>429</v>
      </c>
      <c r="C379" s="602">
        <f>'[2]2'!E372</f>
        <v>5</v>
      </c>
      <c r="D379" s="714">
        <v>4</v>
      </c>
      <c r="E379" s="713">
        <v>15</v>
      </c>
      <c r="F379" s="716">
        <f t="shared" si="20"/>
        <v>2</v>
      </c>
      <c r="G379" s="470">
        <f t="shared" si="21"/>
        <v>3.75</v>
      </c>
      <c r="H379" s="524" t="str">
        <f t="shared" si="23"/>
        <v>是</v>
      </c>
      <c r="I379" s="312" t="str">
        <f t="shared" si="22"/>
        <v>项</v>
      </c>
    </row>
    <row r="380" s="372" customFormat="1" ht="24" hidden="1" customHeight="1" spans="1:9">
      <c r="A380" s="330">
        <v>2040805</v>
      </c>
      <c r="B380" s="379" t="s">
        <v>430</v>
      </c>
      <c r="C380" s="602">
        <f>'[2]2'!E373</f>
        <v>0</v>
      </c>
      <c r="D380" s="714"/>
      <c r="E380" s="713">
        <v>0</v>
      </c>
      <c r="F380" s="716" t="str">
        <f t="shared" si="20"/>
        <v/>
      </c>
      <c r="G380" s="470" t="str">
        <f t="shared" si="21"/>
        <v/>
      </c>
      <c r="H380" s="524" t="str">
        <f t="shared" si="23"/>
        <v>否</v>
      </c>
      <c r="I380" s="312" t="str">
        <f t="shared" si="22"/>
        <v>项</v>
      </c>
    </row>
    <row r="381" s="372" customFormat="1" ht="24" hidden="1" customHeight="1" spans="1:9">
      <c r="A381" s="330">
        <v>2040806</v>
      </c>
      <c r="B381" s="379" t="s">
        <v>431</v>
      </c>
      <c r="C381" s="602">
        <f>'[2]2'!E374</f>
        <v>0</v>
      </c>
      <c r="D381" s="714"/>
      <c r="E381" s="713">
        <v>0</v>
      </c>
      <c r="F381" s="716" t="str">
        <f t="shared" si="20"/>
        <v/>
      </c>
      <c r="G381" s="470" t="str">
        <f t="shared" si="21"/>
        <v/>
      </c>
      <c r="H381" s="524" t="str">
        <f t="shared" si="23"/>
        <v>否</v>
      </c>
      <c r="I381" s="312" t="str">
        <f t="shared" si="22"/>
        <v>项</v>
      </c>
    </row>
    <row r="382" s="372" customFormat="1" ht="24" hidden="1" customHeight="1" spans="1:9">
      <c r="A382" s="330">
        <v>2040807</v>
      </c>
      <c r="B382" s="379" t="s">
        <v>252</v>
      </c>
      <c r="C382" s="602">
        <f>'[2]2'!E375</f>
        <v>0</v>
      </c>
      <c r="D382" s="714"/>
      <c r="E382" s="713">
        <v>0</v>
      </c>
      <c r="F382" s="716" t="str">
        <f t="shared" si="20"/>
        <v/>
      </c>
      <c r="G382" s="470" t="str">
        <f t="shared" si="21"/>
        <v/>
      </c>
      <c r="H382" s="524" t="str">
        <f t="shared" si="23"/>
        <v>否</v>
      </c>
      <c r="I382" s="312" t="str">
        <f t="shared" si="22"/>
        <v>项</v>
      </c>
    </row>
    <row r="383" ht="24" hidden="1" customHeight="1" spans="1:9">
      <c r="A383" s="330">
        <v>2040850</v>
      </c>
      <c r="B383" s="379" t="s">
        <v>221</v>
      </c>
      <c r="C383" s="602">
        <f>'[2]2'!E376</f>
        <v>0</v>
      </c>
      <c r="D383" s="714"/>
      <c r="E383" s="713">
        <v>0</v>
      </c>
      <c r="F383" s="716" t="str">
        <f t="shared" si="20"/>
        <v/>
      </c>
      <c r="G383" s="470" t="str">
        <f t="shared" si="21"/>
        <v/>
      </c>
      <c r="H383" s="524" t="str">
        <f t="shared" si="23"/>
        <v>否</v>
      </c>
      <c r="I383" s="312" t="str">
        <f t="shared" si="22"/>
        <v>项</v>
      </c>
    </row>
    <row r="384" s="372" customFormat="1" ht="24" hidden="1" customHeight="1" spans="1:9">
      <c r="A384" s="330">
        <v>2040899</v>
      </c>
      <c r="B384" s="379" t="s">
        <v>432</v>
      </c>
      <c r="C384" s="602">
        <f>'[2]2'!E377</f>
        <v>20</v>
      </c>
      <c r="D384" s="714">
        <v>18</v>
      </c>
      <c r="E384" s="713">
        <v>17</v>
      </c>
      <c r="F384" s="716">
        <f t="shared" si="20"/>
        <v>-0.15</v>
      </c>
      <c r="G384" s="470">
        <f t="shared" si="21"/>
        <v>0.944444444444444</v>
      </c>
      <c r="H384" s="524" t="str">
        <f t="shared" si="23"/>
        <v>是</v>
      </c>
      <c r="I384" s="312" t="str">
        <f t="shared" si="22"/>
        <v>项</v>
      </c>
    </row>
    <row r="385" s="372" customFormat="1" ht="24" hidden="1" customHeight="1" spans="1:9">
      <c r="A385" s="330">
        <v>20409</v>
      </c>
      <c r="B385" s="379" t="s">
        <v>433</v>
      </c>
      <c r="C385" s="602">
        <f>SUM(C386:C392)</f>
        <v>0</v>
      </c>
      <c r="D385" s="713">
        <f>SUM(D386:D392)</f>
        <v>0</v>
      </c>
      <c r="E385" s="713">
        <f>SUM(E386:E392)</f>
        <v>0</v>
      </c>
      <c r="F385" s="716" t="str">
        <f t="shared" si="20"/>
        <v/>
      </c>
      <c r="G385" s="470" t="str">
        <f t="shared" si="21"/>
        <v/>
      </c>
      <c r="H385" s="524" t="str">
        <f t="shared" si="23"/>
        <v>否</v>
      </c>
      <c r="I385" s="312" t="str">
        <f t="shared" si="22"/>
        <v>款</v>
      </c>
    </row>
    <row r="386" s="372" customFormat="1" ht="24" hidden="1" customHeight="1" spans="1:9">
      <c r="A386" s="330">
        <v>2040901</v>
      </c>
      <c r="B386" s="379" t="s">
        <v>212</v>
      </c>
      <c r="C386" s="602">
        <f>'[2]2'!E379</f>
        <v>0</v>
      </c>
      <c r="D386" s="714"/>
      <c r="E386" s="713">
        <v>0</v>
      </c>
      <c r="F386" s="716" t="str">
        <f t="shared" si="20"/>
        <v/>
      </c>
      <c r="G386" s="470" t="str">
        <f t="shared" si="21"/>
        <v/>
      </c>
      <c r="H386" s="524" t="str">
        <f t="shared" si="23"/>
        <v>否</v>
      </c>
      <c r="I386" s="312" t="str">
        <f t="shared" si="22"/>
        <v>项</v>
      </c>
    </row>
    <row r="387" s="372" customFormat="1" ht="24" hidden="1" customHeight="1" spans="1:9">
      <c r="A387" s="330">
        <v>2040902</v>
      </c>
      <c r="B387" s="379" t="s">
        <v>213</v>
      </c>
      <c r="C387" s="602">
        <f>'[2]2'!E380</f>
        <v>0</v>
      </c>
      <c r="D387" s="714"/>
      <c r="E387" s="713">
        <v>0</v>
      </c>
      <c r="F387" s="716" t="str">
        <f t="shared" si="20"/>
        <v/>
      </c>
      <c r="G387" s="470" t="str">
        <f t="shared" si="21"/>
        <v/>
      </c>
      <c r="H387" s="524" t="str">
        <f t="shared" si="23"/>
        <v>否</v>
      </c>
      <c r="I387" s="312" t="str">
        <f t="shared" si="22"/>
        <v>项</v>
      </c>
    </row>
    <row r="388" s="372" customFormat="1" ht="24" hidden="1" customHeight="1" spans="1:9">
      <c r="A388" s="330">
        <v>2040903</v>
      </c>
      <c r="B388" s="379" t="s">
        <v>214</v>
      </c>
      <c r="C388" s="602">
        <f>'[2]2'!E381</f>
        <v>0</v>
      </c>
      <c r="D388" s="714"/>
      <c r="E388" s="713">
        <v>0</v>
      </c>
      <c r="F388" s="716" t="str">
        <f t="shared" si="20"/>
        <v/>
      </c>
      <c r="G388" s="470" t="str">
        <f t="shared" si="21"/>
        <v/>
      </c>
      <c r="H388" s="524" t="str">
        <f t="shared" si="23"/>
        <v>否</v>
      </c>
      <c r="I388" s="312" t="str">
        <f t="shared" si="22"/>
        <v>项</v>
      </c>
    </row>
    <row r="389" s="372" customFormat="1" ht="24" hidden="1" customHeight="1" spans="1:9">
      <c r="A389" s="330">
        <v>2040904</v>
      </c>
      <c r="B389" s="379" t="s">
        <v>434</v>
      </c>
      <c r="C389" s="602">
        <f>'[2]2'!E382</f>
        <v>0</v>
      </c>
      <c r="D389" s="714"/>
      <c r="E389" s="713">
        <v>0</v>
      </c>
      <c r="F389" s="716" t="str">
        <f t="shared" ref="F389:F452" si="24">IFERROR((E389-C389)/C389,"")</f>
        <v/>
      </c>
      <c r="G389" s="470" t="str">
        <f t="shared" ref="G389:G452" si="25">IFERROR(E389/D389,"")</f>
        <v/>
      </c>
      <c r="H389" s="524" t="str">
        <f t="shared" si="23"/>
        <v>否</v>
      </c>
      <c r="I389" s="312" t="str">
        <f t="shared" ref="I389:I452" si="26">IF(LEN(A389)=3,"类",IF(LEN(A389)=5,"款","项"))</f>
        <v>项</v>
      </c>
    </row>
    <row r="390" s="372" customFormat="1" ht="24" hidden="1" customHeight="1" spans="1:9">
      <c r="A390" s="330">
        <v>2040905</v>
      </c>
      <c r="B390" s="379" t="s">
        <v>435</v>
      </c>
      <c r="C390" s="602">
        <f>'[2]2'!E383</f>
        <v>0</v>
      </c>
      <c r="D390" s="714"/>
      <c r="E390" s="713">
        <v>0</v>
      </c>
      <c r="F390" s="716" t="str">
        <f t="shared" si="24"/>
        <v/>
      </c>
      <c r="G390" s="470" t="str">
        <f t="shared" si="25"/>
        <v/>
      </c>
      <c r="H390" s="524" t="str">
        <f t="shared" ref="H390:H453" si="27">IF(LEN(A390)=3,"是",IF(B390&lt;&gt;"",IF(SUM(C390:E390)&lt;&gt;0,"是","否"),"是"))</f>
        <v>否</v>
      </c>
      <c r="I390" s="312" t="str">
        <f t="shared" si="26"/>
        <v>项</v>
      </c>
    </row>
    <row r="391" s="372" customFormat="1" ht="24" hidden="1" customHeight="1" spans="1:9">
      <c r="A391" s="330">
        <v>2040950</v>
      </c>
      <c r="B391" s="379" t="s">
        <v>221</v>
      </c>
      <c r="C391" s="602">
        <f>'[2]2'!E384</f>
        <v>0</v>
      </c>
      <c r="D391" s="714"/>
      <c r="E391" s="713">
        <v>0</v>
      </c>
      <c r="F391" s="716" t="str">
        <f t="shared" si="24"/>
        <v/>
      </c>
      <c r="G391" s="470" t="str">
        <f t="shared" si="25"/>
        <v/>
      </c>
      <c r="H391" s="524" t="str">
        <f t="shared" si="27"/>
        <v>否</v>
      </c>
      <c r="I391" s="312" t="str">
        <f t="shared" si="26"/>
        <v>项</v>
      </c>
    </row>
    <row r="392" s="372" customFormat="1" ht="24" hidden="1" customHeight="1" spans="1:9">
      <c r="A392" s="330">
        <v>2040999</v>
      </c>
      <c r="B392" s="379" t="s">
        <v>436</v>
      </c>
      <c r="C392" s="602">
        <f>'[2]2'!E385</f>
        <v>0</v>
      </c>
      <c r="D392" s="714"/>
      <c r="E392" s="713">
        <v>0</v>
      </c>
      <c r="F392" s="716" t="str">
        <f t="shared" si="24"/>
        <v/>
      </c>
      <c r="G392" s="470" t="str">
        <f t="shared" si="25"/>
        <v/>
      </c>
      <c r="H392" s="524" t="str">
        <f t="shared" si="27"/>
        <v>否</v>
      </c>
      <c r="I392" s="312" t="str">
        <f t="shared" si="26"/>
        <v>项</v>
      </c>
    </row>
    <row r="393" ht="24" hidden="1" customHeight="1" spans="1:9">
      <c r="A393" s="330">
        <v>20410</v>
      </c>
      <c r="B393" s="379" t="s">
        <v>437</v>
      </c>
      <c r="C393" s="602">
        <f>SUM(C394:C398)</f>
        <v>0</v>
      </c>
      <c r="D393" s="713">
        <f>SUM(D394:D398)</f>
        <v>0</v>
      </c>
      <c r="E393" s="713">
        <f>SUM(E394:E398)</f>
        <v>0</v>
      </c>
      <c r="F393" s="716" t="str">
        <f t="shared" si="24"/>
        <v/>
      </c>
      <c r="G393" s="470" t="str">
        <f t="shared" si="25"/>
        <v/>
      </c>
      <c r="H393" s="524" t="str">
        <f t="shared" si="27"/>
        <v>否</v>
      </c>
      <c r="I393" s="312" t="str">
        <f t="shared" si="26"/>
        <v>款</v>
      </c>
    </row>
    <row r="394" s="372" customFormat="1" ht="24" hidden="1" customHeight="1" spans="1:9">
      <c r="A394" s="330">
        <v>2041001</v>
      </c>
      <c r="B394" s="379" t="s">
        <v>212</v>
      </c>
      <c r="C394" s="602">
        <f>'[2]2'!E387</f>
        <v>0</v>
      </c>
      <c r="D394" s="714"/>
      <c r="E394" s="713">
        <v>0</v>
      </c>
      <c r="F394" s="716" t="str">
        <f t="shared" si="24"/>
        <v/>
      </c>
      <c r="G394" s="470" t="str">
        <f t="shared" si="25"/>
        <v/>
      </c>
      <c r="H394" s="524" t="str">
        <f t="shared" si="27"/>
        <v>否</v>
      </c>
      <c r="I394" s="312" t="str">
        <f t="shared" si="26"/>
        <v>项</v>
      </c>
    </row>
    <row r="395" s="372" customFormat="1" ht="24" hidden="1" customHeight="1" spans="1:9">
      <c r="A395" s="330">
        <v>2041002</v>
      </c>
      <c r="B395" s="379" t="s">
        <v>213</v>
      </c>
      <c r="C395" s="602">
        <f>'[2]2'!E388</f>
        <v>0</v>
      </c>
      <c r="D395" s="714"/>
      <c r="E395" s="713">
        <v>0</v>
      </c>
      <c r="F395" s="716" t="str">
        <f t="shared" si="24"/>
        <v/>
      </c>
      <c r="G395" s="470" t="str">
        <f t="shared" si="25"/>
        <v/>
      </c>
      <c r="H395" s="524" t="str">
        <f t="shared" si="27"/>
        <v>否</v>
      </c>
      <c r="I395" s="312" t="str">
        <f t="shared" si="26"/>
        <v>项</v>
      </c>
    </row>
    <row r="396" s="372" customFormat="1" ht="24" hidden="1" customHeight="1" spans="1:9">
      <c r="A396" s="330">
        <v>2041006</v>
      </c>
      <c r="B396" s="379" t="s">
        <v>252</v>
      </c>
      <c r="C396" s="602">
        <f>'[2]2'!E389</f>
        <v>0</v>
      </c>
      <c r="D396" s="714"/>
      <c r="E396" s="713">
        <v>0</v>
      </c>
      <c r="F396" s="716" t="str">
        <f t="shared" si="24"/>
        <v/>
      </c>
      <c r="G396" s="470" t="str">
        <f t="shared" si="25"/>
        <v/>
      </c>
      <c r="H396" s="524" t="str">
        <f t="shared" si="27"/>
        <v>否</v>
      </c>
      <c r="I396" s="312" t="str">
        <f t="shared" si="26"/>
        <v>项</v>
      </c>
    </row>
    <row r="397" s="372" customFormat="1" ht="24" hidden="1" customHeight="1" spans="1:9">
      <c r="A397" s="330">
        <v>2041007</v>
      </c>
      <c r="B397" s="379" t="s">
        <v>438</v>
      </c>
      <c r="C397" s="602">
        <f>'[2]2'!E390</f>
        <v>0</v>
      </c>
      <c r="D397" s="714"/>
      <c r="E397" s="713">
        <v>0</v>
      </c>
      <c r="F397" s="716" t="str">
        <f t="shared" si="24"/>
        <v/>
      </c>
      <c r="G397" s="470" t="str">
        <f t="shared" si="25"/>
        <v/>
      </c>
      <c r="H397" s="524" t="str">
        <f t="shared" si="27"/>
        <v>否</v>
      </c>
      <c r="I397" s="312" t="str">
        <f t="shared" si="26"/>
        <v>项</v>
      </c>
    </row>
    <row r="398" s="372" customFormat="1" ht="24" hidden="1" customHeight="1" spans="1:9">
      <c r="A398" s="330">
        <v>2041099</v>
      </c>
      <c r="B398" s="379" t="s">
        <v>439</v>
      </c>
      <c r="C398" s="602">
        <f>'[2]2'!E391</f>
        <v>0</v>
      </c>
      <c r="D398" s="714"/>
      <c r="E398" s="713">
        <v>0</v>
      </c>
      <c r="F398" s="716" t="str">
        <f t="shared" si="24"/>
        <v/>
      </c>
      <c r="G398" s="470" t="str">
        <f t="shared" si="25"/>
        <v/>
      </c>
      <c r="H398" s="524" t="str">
        <f t="shared" si="27"/>
        <v>否</v>
      </c>
      <c r="I398" s="312" t="str">
        <f t="shared" si="26"/>
        <v>项</v>
      </c>
    </row>
    <row r="399" s="372" customFormat="1" ht="24" customHeight="1" spans="1:9">
      <c r="A399" s="330">
        <v>20499</v>
      </c>
      <c r="B399" s="379" t="s">
        <v>440</v>
      </c>
      <c r="C399" s="602">
        <f>SUM(C400:C401)</f>
        <v>373</v>
      </c>
      <c r="D399" s="713">
        <f>SUM(D400:D401)</f>
        <v>366</v>
      </c>
      <c r="E399" s="713">
        <f>SUM(E400:E401)</f>
        <v>246</v>
      </c>
      <c r="F399" s="716">
        <f t="shared" si="24"/>
        <v>-0.340482573726542</v>
      </c>
      <c r="G399" s="470">
        <f t="shared" si="25"/>
        <v>0.672131147540984</v>
      </c>
      <c r="H399" s="524" t="str">
        <f t="shared" si="27"/>
        <v>是</v>
      </c>
      <c r="I399" s="312" t="str">
        <f t="shared" si="26"/>
        <v>款</v>
      </c>
    </row>
    <row r="400" s="372" customFormat="1" ht="24" hidden="1" customHeight="1" spans="1:9">
      <c r="A400" s="718">
        <v>2049902</v>
      </c>
      <c r="B400" s="379" t="s">
        <v>441</v>
      </c>
      <c r="C400" s="602">
        <f>'[2]2'!E393</f>
        <v>107</v>
      </c>
      <c r="D400" s="714">
        <v>138</v>
      </c>
      <c r="E400" s="713">
        <v>108</v>
      </c>
      <c r="F400" s="716">
        <f t="shared" si="24"/>
        <v>0.00934579439252336</v>
      </c>
      <c r="G400" s="470">
        <f t="shared" si="25"/>
        <v>0.782608695652174</v>
      </c>
      <c r="H400" s="524" t="str">
        <f t="shared" si="27"/>
        <v>是</v>
      </c>
      <c r="I400" s="312" t="str">
        <f t="shared" si="26"/>
        <v>项</v>
      </c>
    </row>
    <row r="401" s="372" customFormat="1" ht="24" hidden="1" customHeight="1" spans="1:9">
      <c r="A401" s="533">
        <v>2049999</v>
      </c>
      <c r="B401" s="379" t="s">
        <v>442</v>
      </c>
      <c r="C401" s="602">
        <f>'[2]2'!E394</f>
        <v>266</v>
      </c>
      <c r="D401" s="714">
        <v>228</v>
      </c>
      <c r="E401" s="713">
        <v>138</v>
      </c>
      <c r="F401" s="716">
        <f t="shared" si="24"/>
        <v>-0.481203007518797</v>
      </c>
      <c r="G401" s="470">
        <f t="shared" si="25"/>
        <v>0.605263157894737</v>
      </c>
      <c r="H401" s="524" t="str">
        <f t="shared" si="27"/>
        <v>是</v>
      </c>
      <c r="I401" s="312" t="str">
        <f t="shared" si="26"/>
        <v>项</v>
      </c>
    </row>
    <row r="402" s="372" customFormat="1" ht="24" customHeight="1" spans="1:9">
      <c r="A402" s="329">
        <v>205</v>
      </c>
      <c r="B402" s="377" t="s">
        <v>179</v>
      </c>
      <c r="C402" s="601">
        <f>C403+C408+C415+C421+C427+C431+C435+C439+C445+C452</f>
        <v>255457</v>
      </c>
      <c r="D402" s="712">
        <f>D403+D408+D415+D421+D427+D431+D435+D439+D445+D452</f>
        <v>270715</v>
      </c>
      <c r="E402" s="712">
        <f>E403+E408+E415+E421+E427+E431+E435+E439+E445+E452</f>
        <v>272444</v>
      </c>
      <c r="F402" s="715">
        <f t="shared" si="24"/>
        <v>0.066496514090434</v>
      </c>
      <c r="G402" s="467">
        <f t="shared" si="25"/>
        <v>1.00638679053617</v>
      </c>
      <c r="H402" s="524" t="str">
        <f t="shared" si="27"/>
        <v>是</v>
      </c>
      <c r="I402" s="312" t="str">
        <f t="shared" si="26"/>
        <v>类</v>
      </c>
    </row>
    <row r="403" ht="24" customHeight="1" spans="1:9">
      <c r="A403" s="330">
        <v>20501</v>
      </c>
      <c r="B403" s="379" t="s">
        <v>443</v>
      </c>
      <c r="C403" s="602">
        <f>SUM(C404:C407)</f>
        <v>3479</v>
      </c>
      <c r="D403" s="713">
        <f>SUM(D404:D407)</f>
        <v>3564</v>
      </c>
      <c r="E403" s="713">
        <f>SUM(E404:E407)</f>
        <v>3830</v>
      </c>
      <c r="F403" s="716">
        <f t="shared" si="24"/>
        <v>0.100891060649612</v>
      </c>
      <c r="G403" s="470">
        <f t="shared" si="25"/>
        <v>1.07463524130191</v>
      </c>
      <c r="H403" s="524" t="str">
        <f t="shared" si="27"/>
        <v>是</v>
      </c>
      <c r="I403" s="312" t="str">
        <f t="shared" si="26"/>
        <v>款</v>
      </c>
    </row>
    <row r="404" s="372" customFormat="1" ht="24" hidden="1" customHeight="1" spans="1:9">
      <c r="A404" s="330">
        <v>2050101</v>
      </c>
      <c r="B404" s="379" t="s">
        <v>212</v>
      </c>
      <c r="C404" s="602">
        <f>'[2]2'!E397</f>
        <v>1457</v>
      </c>
      <c r="D404" s="714">
        <v>1512</v>
      </c>
      <c r="E404" s="713">
        <v>1477</v>
      </c>
      <c r="F404" s="716">
        <f t="shared" si="24"/>
        <v>0.0137268359643102</v>
      </c>
      <c r="G404" s="470">
        <f t="shared" si="25"/>
        <v>0.976851851851852</v>
      </c>
      <c r="H404" s="524" t="str">
        <f t="shared" si="27"/>
        <v>是</v>
      </c>
      <c r="I404" s="312" t="str">
        <f t="shared" si="26"/>
        <v>项</v>
      </c>
    </row>
    <row r="405" s="372" customFormat="1" ht="24" hidden="1" customHeight="1" spans="1:9">
      <c r="A405" s="330">
        <v>2050102</v>
      </c>
      <c r="B405" s="379" t="s">
        <v>213</v>
      </c>
      <c r="C405" s="602">
        <f>'[2]2'!E398</f>
        <v>199</v>
      </c>
      <c r="D405" s="714">
        <v>182</v>
      </c>
      <c r="E405" s="713">
        <v>47</v>
      </c>
      <c r="F405" s="716">
        <f t="shared" si="24"/>
        <v>-0.763819095477387</v>
      </c>
      <c r="G405" s="470">
        <f t="shared" si="25"/>
        <v>0.258241758241758</v>
      </c>
      <c r="H405" s="524" t="str">
        <f t="shared" si="27"/>
        <v>是</v>
      </c>
      <c r="I405" s="312" t="str">
        <f t="shared" si="26"/>
        <v>项</v>
      </c>
    </row>
    <row r="406" s="372" customFormat="1" ht="24" hidden="1" customHeight="1" spans="1:9">
      <c r="A406" s="330">
        <v>2050103</v>
      </c>
      <c r="B406" s="379" t="s">
        <v>214</v>
      </c>
      <c r="C406" s="602">
        <f>'[2]2'!E399</f>
        <v>88</v>
      </c>
      <c r="D406" s="714">
        <v>85</v>
      </c>
      <c r="E406" s="713">
        <v>101</v>
      </c>
      <c r="F406" s="716">
        <f t="shared" si="24"/>
        <v>0.147727272727273</v>
      </c>
      <c r="G406" s="470">
        <f t="shared" si="25"/>
        <v>1.18823529411765</v>
      </c>
      <c r="H406" s="524" t="str">
        <f t="shared" si="27"/>
        <v>是</v>
      </c>
      <c r="I406" s="312" t="str">
        <f t="shared" si="26"/>
        <v>项</v>
      </c>
    </row>
    <row r="407" s="372" customFormat="1" ht="24" hidden="1" customHeight="1" spans="1:9">
      <c r="A407" s="330">
        <v>2050199</v>
      </c>
      <c r="B407" s="379" t="s">
        <v>444</v>
      </c>
      <c r="C407" s="602">
        <f>'[2]2'!E400</f>
        <v>1735</v>
      </c>
      <c r="D407" s="714">
        <v>1785</v>
      </c>
      <c r="E407" s="713">
        <v>2205</v>
      </c>
      <c r="F407" s="716">
        <f t="shared" si="24"/>
        <v>0.270893371757925</v>
      </c>
      <c r="G407" s="470">
        <f t="shared" si="25"/>
        <v>1.23529411764706</v>
      </c>
      <c r="H407" s="524" t="str">
        <f t="shared" si="27"/>
        <v>是</v>
      </c>
      <c r="I407" s="312" t="str">
        <f t="shared" si="26"/>
        <v>项</v>
      </c>
    </row>
    <row r="408" s="372" customFormat="1" ht="24" customHeight="1" spans="1:9">
      <c r="A408" s="330">
        <v>20502</v>
      </c>
      <c r="B408" s="379" t="s">
        <v>445</v>
      </c>
      <c r="C408" s="602">
        <f>SUM(C409:C414)</f>
        <v>230293</v>
      </c>
      <c r="D408" s="713">
        <f>SUM(D409:D414)</f>
        <v>243909</v>
      </c>
      <c r="E408" s="713">
        <f>SUM(E409:E414)</f>
        <v>240743</v>
      </c>
      <c r="F408" s="716">
        <f t="shared" si="24"/>
        <v>0.0453769762867304</v>
      </c>
      <c r="G408" s="470">
        <f t="shared" si="25"/>
        <v>0.987019749168747</v>
      </c>
      <c r="H408" s="524" t="str">
        <f t="shared" si="27"/>
        <v>是</v>
      </c>
      <c r="I408" s="312" t="str">
        <f t="shared" si="26"/>
        <v>款</v>
      </c>
    </row>
    <row r="409" s="372" customFormat="1" ht="24" hidden="1" customHeight="1" spans="1:9">
      <c r="A409" s="330">
        <v>2050201</v>
      </c>
      <c r="B409" s="379" t="s">
        <v>446</v>
      </c>
      <c r="C409" s="602">
        <f>'[2]2'!E402</f>
        <v>13356</v>
      </c>
      <c r="D409" s="714">
        <v>14937</v>
      </c>
      <c r="E409" s="713">
        <v>15716</v>
      </c>
      <c r="F409" s="716">
        <f t="shared" si="24"/>
        <v>0.176699610661875</v>
      </c>
      <c r="G409" s="470">
        <f t="shared" si="25"/>
        <v>1.0521523733012</v>
      </c>
      <c r="H409" s="524" t="str">
        <f t="shared" si="27"/>
        <v>是</v>
      </c>
      <c r="I409" s="312" t="str">
        <f t="shared" si="26"/>
        <v>项</v>
      </c>
    </row>
    <row r="410" s="372" customFormat="1" ht="24" hidden="1" customHeight="1" spans="1:9">
      <c r="A410" s="330">
        <v>2050202</v>
      </c>
      <c r="B410" s="379" t="s">
        <v>447</v>
      </c>
      <c r="C410" s="602">
        <f>'[2]2'!E403</f>
        <v>117600</v>
      </c>
      <c r="D410" s="714">
        <v>125163</v>
      </c>
      <c r="E410" s="713">
        <v>121115</v>
      </c>
      <c r="F410" s="716">
        <f t="shared" si="24"/>
        <v>0.0298894557823129</v>
      </c>
      <c r="G410" s="470">
        <f t="shared" si="25"/>
        <v>0.967658173741441</v>
      </c>
      <c r="H410" s="524" t="str">
        <f t="shared" si="27"/>
        <v>是</v>
      </c>
      <c r="I410" s="312" t="str">
        <f t="shared" si="26"/>
        <v>项</v>
      </c>
    </row>
    <row r="411" ht="24" hidden="1" customHeight="1" spans="1:9">
      <c r="A411" s="330">
        <v>2050203</v>
      </c>
      <c r="B411" s="379" t="s">
        <v>448</v>
      </c>
      <c r="C411" s="602">
        <f>'[2]2'!E404</f>
        <v>55736</v>
      </c>
      <c r="D411" s="714">
        <v>57986</v>
      </c>
      <c r="E411" s="713">
        <v>58286</v>
      </c>
      <c r="F411" s="716">
        <f t="shared" si="24"/>
        <v>0.0457513994545716</v>
      </c>
      <c r="G411" s="470">
        <f t="shared" si="25"/>
        <v>1.00517366260822</v>
      </c>
      <c r="H411" s="524" t="str">
        <f t="shared" si="27"/>
        <v>是</v>
      </c>
      <c r="I411" s="312" t="str">
        <f t="shared" si="26"/>
        <v>项</v>
      </c>
    </row>
    <row r="412" s="372" customFormat="1" ht="24" hidden="1" customHeight="1" spans="1:9">
      <c r="A412" s="330">
        <v>2050204</v>
      </c>
      <c r="B412" s="379" t="s">
        <v>449</v>
      </c>
      <c r="C412" s="602">
        <f>'[2]2'!E405</f>
        <v>37014</v>
      </c>
      <c r="D412" s="714">
        <v>39125</v>
      </c>
      <c r="E412" s="713">
        <v>36206</v>
      </c>
      <c r="F412" s="716">
        <f t="shared" si="24"/>
        <v>-0.0218295779975145</v>
      </c>
      <c r="G412" s="470">
        <f t="shared" si="25"/>
        <v>0.925392971246006</v>
      </c>
      <c r="H412" s="524" t="str">
        <f t="shared" si="27"/>
        <v>是</v>
      </c>
      <c r="I412" s="312" t="str">
        <f t="shared" si="26"/>
        <v>项</v>
      </c>
    </row>
    <row r="413" s="372" customFormat="1" ht="24" hidden="1" customHeight="1" spans="1:9">
      <c r="A413" s="330">
        <v>2050205</v>
      </c>
      <c r="B413" s="379" t="s">
        <v>450</v>
      </c>
      <c r="C413" s="602">
        <f>'[2]2'!E406</f>
        <v>435</v>
      </c>
      <c r="D413" s="714">
        <v>445</v>
      </c>
      <c r="E413" s="713">
        <v>4121</v>
      </c>
      <c r="F413" s="716">
        <f t="shared" si="24"/>
        <v>8.4735632183908</v>
      </c>
      <c r="G413" s="470">
        <f t="shared" si="25"/>
        <v>9.26067415730337</v>
      </c>
      <c r="H413" s="524" t="str">
        <f t="shared" si="27"/>
        <v>是</v>
      </c>
      <c r="I413" s="312" t="str">
        <f t="shared" si="26"/>
        <v>项</v>
      </c>
    </row>
    <row r="414" s="372" customFormat="1" ht="24" hidden="1" customHeight="1" spans="1:9">
      <c r="A414" s="330">
        <v>2050299</v>
      </c>
      <c r="B414" s="379" t="s">
        <v>451</v>
      </c>
      <c r="C414" s="602">
        <f>'[2]2'!E407</f>
        <v>6152</v>
      </c>
      <c r="D414" s="714">
        <v>6253</v>
      </c>
      <c r="E414" s="713">
        <v>5299</v>
      </c>
      <c r="F414" s="716">
        <f t="shared" si="24"/>
        <v>-0.138654096228869</v>
      </c>
      <c r="G414" s="470">
        <f t="shared" si="25"/>
        <v>0.847433232048617</v>
      </c>
      <c r="H414" s="524" t="str">
        <f t="shared" si="27"/>
        <v>是</v>
      </c>
      <c r="I414" s="312" t="str">
        <f t="shared" si="26"/>
        <v>项</v>
      </c>
    </row>
    <row r="415" s="372" customFormat="1" ht="24" customHeight="1" spans="1:9">
      <c r="A415" s="330">
        <v>20503</v>
      </c>
      <c r="B415" s="379" t="s">
        <v>452</v>
      </c>
      <c r="C415" s="602">
        <f>SUM(C416:C420)</f>
        <v>12802</v>
      </c>
      <c r="D415" s="713">
        <f>SUM(D416:D420)</f>
        <v>14479</v>
      </c>
      <c r="E415" s="713">
        <f>SUM(E416:E420)</f>
        <v>17894</v>
      </c>
      <c r="F415" s="716">
        <f t="shared" si="24"/>
        <v>0.397750351507577</v>
      </c>
      <c r="G415" s="470">
        <f t="shared" si="25"/>
        <v>1.2358588300297</v>
      </c>
      <c r="H415" s="524" t="str">
        <f t="shared" si="27"/>
        <v>是</v>
      </c>
      <c r="I415" s="312" t="str">
        <f t="shared" si="26"/>
        <v>款</v>
      </c>
    </row>
    <row r="416" s="372" customFormat="1" ht="24" hidden="1" customHeight="1" spans="1:9">
      <c r="A416" s="330">
        <v>2050301</v>
      </c>
      <c r="B416" s="379" t="s">
        <v>453</v>
      </c>
      <c r="C416" s="602">
        <f>'[2]2'!E409</f>
        <v>0</v>
      </c>
      <c r="D416" s="714"/>
      <c r="E416" s="713">
        <v>0</v>
      </c>
      <c r="F416" s="716" t="str">
        <f t="shared" si="24"/>
        <v/>
      </c>
      <c r="G416" s="470" t="str">
        <f t="shared" si="25"/>
        <v/>
      </c>
      <c r="H416" s="524" t="str">
        <f t="shared" si="27"/>
        <v>否</v>
      </c>
      <c r="I416" s="312" t="str">
        <f t="shared" si="26"/>
        <v>项</v>
      </c>
    </row>
    <row r="417" ht="24" hidden="1" customHeight="1" spans="1:9">
      <c r="A417" s="330">
        <v>2050302</v>
      </c>
      <c r="B417" s="379" t="s">
        <v>454</v>
      </c>
      <c r="C417" s="602">
        <f>'[2]2'!E410</f>
        <v>10018</v>
      </c>
      <c r="D417" s="714">
        <v>11528</v>
      </c>
      <c r="E417" s="713">
        <v>11055</v>
      </c>
      <c r="F417" s="716">
        <f t="shared" si="24"/>
        <v>0.103513675384308</v>
      </c>
      <c r="G417" s="470">
        <f t="shared" si="25"/>
        <v>0.958969465648855</v>
      </c>
      <c r="H417" s="524" t="str">
        <f t="shared" si="27"/>
        <v>是</v>
      </c>
      <c r="I417" s="312" t="str">
        <f t="shared" si="26"/>
        <v>项</v>
      </c>
    </row>
    <row r="418" s="372" customFormat="1" ht="24" hidden="1" customHeight="1" spans="1:9">
      <c r="A418" s="330">
        <v>2050303</v>
      </c>
      <c r="B418" s="379" t="s">
        <v>455</v>
      </c>
      <c r="C418" s="602">
        <f>'[2]2'!E411</f>
        <v>181</v>
      </c>
      <c r="D418" s="714">
        <v>198</v>
      </c>
      <c r="E418" s="713">
        <v>386</v>
      </c>
      <c r="F418" s="716">
        <f t="shared" si="24"/>
        <v>1.13259668508287</v>
      </c>
      <c r="G418" s="470">
        <f t="shared" si="25"/>
        <v>1.94949494949495</v>
      </c>
      <c r="H418" s="524" t="str">
        <f t="shared" si="27"/>
        <v>是</v>
      </c>
      <c r="I418" s="312" t="str">
        <f t="shared" si="26"/>
        <v>项</v>
      </c>
    </row>
    <row r="419" s="372" customFormat="1" ht="24" hidden="1" customHeight="1" spans="1:9">
      <c r="A419" s="330">
        <v>2050305</v>
      </c>
      <c r="B419" s="379" t="s">
        <v>456</v>
      </c>
      <c r="C419" s="602">
        <f>'[2]2'!E412</f>
        <v>2603</v>
      </c>
      <c r="D419" s="714">
        <v>2753</v>
      </c>
      <c r="E419" s="713">
        <v>6453</v>
      </c>
      <c r="F419" s="716">
        <f t="shared" si="24"/>
        <v>1.47906262005378</v>
      </c>
      <c r="G419" s="470">
        <f t="shared" si="25"/>
        <v>2.34398837631675</v>
      </c>
      <c r="H419" s="524" t="str">
        <f t="shared" si="27"/>
        <v>是</v>
      </c>
      <c r="I419" s="312" t="str">
        <f t="shared" si="26"/>
        <v>项</v>
      </c>
    </row>
    <row r="420" ht="24" hidden="1" customHeight="1" spans="1:9">
      <c r="A420" s="330">
        <v>2050399</v>
      </c>
      <c r="B420" s="379" t="s">
        <v>457</v>
      </c>
      <c r="C420" s="602">
        <f>'[2]2'!E413</f>
        <v>0</v>
      </c>
      <c r="D420" s="714"/>
      <c r="E420" s="713">
        <v>0</v>
      </c>
      <c r="F420" s="716" t="str">
        <f t="shared" si="24"/>
        <v/>
      </c>
      <c r="G420" s="470" t="str">
        <f t="shared" si="25"/>
        <v/>
      </c>
      <c r="H420" s="524" t="str">
        <f t="shared" si="27"/>
        <v>否</v>
      </c>
      <c r="I420" s="312" t="str">
        <f t="shared" si="26"/>
        <v>项</v>
      </c>
    </row>
    <row r="421" ht="24" hidden="1" customHeight="1" spans="1:9">
      <c r="A421" s="330">
        <v>20504</v>
      </c>
      <c r="B421" s="379" t="s">
        <v>458</v>
      </c>
      <c r="C421" s="602">
        <f>SUM(C422:C426)</f>
        <v>0</v>
      </c>
      <c r="D421" s="713">
        <f>SUM(D422:D426)</f>
        <v>0</v>
      </c>
      <c r="E421" s="713">
        <f>SUM(E422:E426)</f>
        <v>0</v>
      </c>
      <c r="F421" s="716" t="str">
        <f t="shared" si="24"/>
        <v/>
      </c>
      <c r="G421" s="470" t="str">
        <f t="shared" si="25"/>
        <v/>
      </c>
      <c r="H421" s="524" t="str">
        <f t="shared" si="27"/>
        <v>否</v>
      </c>
      <c r="I421" s="312" t="str">
        <f t="shared" si="26"/>
        <v>款</v>
      </c>
    </row>
    <row r="422" s="372" customFormat="1" ht="24" hidden="1" customHeight="1" spans="1:9">
      <c r="A422" s="330">
        <v>2050401</v>
      </c>
      <c r="B422" s="379" t="s">
        <v>459</v>
      </c>
      <c r="C422" s="602">
        <f>'[2]2'!E415</f>
        <v>0</v>
      </c>
      <c r="D422" s="714"/>
      <c r="E422" s="713">
        <v>0</v>
      </c>
      <c r="F422" s="716" t="str">
        <f t="shared" si="24"/>
        <v/>
      </c>
      <c r="G422" s="470" t="str">
        <f t="shared" si="25"/>
        <v/>
      </c>
      <c r="H422" s="524" t="str">
        <f t="shared" si="27"/>
        <v>否</v>
      </c>
      <c r="I422" s="312" t="str">
        <f t="shared" si="26"/>
        <v>项</v>
      </c>
    </row>
    <row r="423" s="372" customFormat="1" ht="24" hidden="1" customHeight="1" spans="1:9">
      <c r="A423" s="330">
        <v>2050402</v>
      </c>
      <c r="B423" s="379" t="s">
        <v>460</v>
      </c>
      <c r="C423" s="602">
        <f>'[2]2'!E416</f>
        <v>0</v>
      </c>
      <c r="D423" s="714"/>
      <c r="E423" s="713">
        <v>0</v>
      </c>
      <c r="F423" s="716" t="str">
        <f t="shared" si="24"/>
        <v/>
      </c>
      <c r="G423" s="470" t="str">
        <f t="shared" si="25"/>
        <v/>
      </c>
      <c r="H423" s="524" t="str">
        <f t="shared" si="27"/>
        <v>否</v>
      </c>
      <c r="I423" s="312" t="str">
        <f t="shared" si="26"/>
        <v>项</v>
      </c>
    </row>
    <row r="424" s="372" customFormat="1" ht="24" hidden="1" customHeight="1" spans="1:9">
      <c r="A424" s="330">
        <v>2050403</v>
      </c>
      <c r="B424" s="379" t="s">
        <v>461</v>
      </c>
      <c r="C424" s="602">
        <f>'[2]2'!E417</f>
        <v>0</v>
      </c>
      <c r="D424" s="714"/>
      <c r="E424" s="713">
        <v>0</v>
      </c>
      <c r="F424" s="716" t="str">
        <f t="shared" si="24"/>
        <v/>
      </c>
      <c r="G424" s="470" t="str">
        <f t="shared" si="25"/>
        <v/>
      </c>
      <c r="H424" s="524" t="str">
        <f t="shared" si="27"/>
        <v>否</v>
      </c>
      <c r="I424" s="312" t="str">
        <f t="shared" si="26"/>
        <v>项</v>
      </c>
    </row>
    <row r="425" s="372" customFormat="1" ht="24" hidden="1" customHeight="1" spans="1:9">
      <c r="A425" s="330">
        <v>2050404</v>
      </c>
      <c r="B425" s="379" t="s">
        <v>462</v>
      </c>
      <c r="C425" s="602">
        <f>'[2]2'!E418</f>
        <v>0</v>
      </c>
      <c r="D425" s="714"/>
      <c r="E425" s="713">
        <v>0</v>
      </c>
      <c r="F425" s="716" t="str">
        <f t="shared" si="24"/>
        <v/>
      </c>
      <c r="G425" s="470" t="str">
        <f t="shared" si="25"/>
        <v/>
      </c>
      <c r="H425" s="524" t="str">
        <f t="shared" si="27"/>
        <v>否</v>
      </c>
      <c r="I425" s="312" t="str">
        <f t="shared" si="26"/>
        <v>项</v>
      </c>
    </row>
    <row r="426" ht="24" hidden="1" customHeight="1" spans="1:9">
      <c r="A426" s="330">
        <v>2050499</v>
      </c>
      <c r="B426" s="379" t="s">
        <v>463</v>
      </c>
      <c r="C426" s="602">
        <f>'[2]2'!E419</f>
        <v>0</v>
      </c>
      <c r="D426" s="714"/>
      <c r="E426" s="713">
        <v>0</v>
      </c>
      <c r="F426" s="716" t="str">
        <f t="shared" si="24"/>
        <v/>
      </c>
      <c r="G426" s="470" t="str">
        <f t="shared" si="25"/>
        <v/>
      </c>
      <c r="H426" s="524" t="str">
        <f t="shared" si="27"/>
        <v>否</v>
      </c>
      <c r="I426" s="312" t="str">
        <f t="shared" si="26"/>
        <v>项</v>
      </c>
    </row>
    <row r="427" s="372" customFormat="1" ht="24" hidden="1" customHeight="1" spans="1:9">
      <c r="A427" s="330">
        <v>20505</v>
      </c>
      <c r="B427" s="379" t="s">
        <v>464</v>
      </c>
      <c r="C427" s="602">
        <f>SUM(C428:C430)</f>
        <v>0</v>
      </c>
      <c r="D427" s="713">
        <f>SUM(D428:D430)</f>
        <v>0</v>
      </c>
      <c r="E427" s="713">
        <f>SUM(E428:E430)</f>
        <v>0</v>
      </c>
      <c r="F427" s="716" t="str">
        <f t="shared" si="24"/>
        <v/>
      </c>
      <c r="G427" s="470" t="str">
        <f t="shared" si="25"/>
        <v/>
      </c>
      <c r="H427" s="524" t="str">
        <f t="shared" si="27"/>
        <v>否</v>
      </c>
      <c r="I427" s="312" t="str">
        <f t="shared" si="26"/>
        <v>款</v>
      </c>
    </row>
    <row r="428" s="372" customFormat="1" ht="24" hidden="1" customHeight="1" spans="1:9">
      <c r="A428" s="330">
        <v>2050501</v>
      </c>
      <c r="B428" s="379" t="s">
        <v>465</v>
      </c>
      <c r="C428" s="602">
        <f>'[2]2'!E421</f>
        <v>0</v>
      </c>
      <c r="D428" s="714"/>
      <c r="E428" s="713">
        <v>0</v>
      </c>
      <c r="F428" s="716" t="str">
        <f t="shared" si="24"/>
        <v/>
      </c>
      <c r="G428" s="470" t="str">
        <f t="shared" si="25"/>
        <v/>
      </c>
      <c r="H428" s="524" t="str">
        <f t="shared" si="27"/>
        <v>否</v>
      </c>
      <c r="I428" s="312" t="str">
        <f t="shared" si="26"/>
        <v>项</v>
      </c>
    </row>
    <row r="429" s="372" customFormat="1" ht="24" hidden="1" customHeight="1" spans="1:9">
      <c r="A429" s="330">
        <v>2050502</v>
      </c>
      <c r="B429" s="379" t="s">
        <v>466</v>
      </c>
      <c r="C429" s="602">
        <f>'[2]2'!E422</f>
        <v>0</v>
      </c>
      <c r="D429" s="714"/>
      <c r="E429" s="713">
        <v>0</v>
      </c>
      <c r="F429" s="716" t="str">
        <f t="shared" si="24"/>
        <v/>
      </c>
      <c r="G429" s="470" t="str">
        <f t="shared" si="25"/>
        <v/>
      </c>
      <c r="H429" s="524" t="str">
        <f t="shared" si="27"/>
        <v>否</v>
      </c>
      <c r="I429" s="312" t="str">
        <f t="shared" si="26"/>
        <v>项</v>
      </c>
    </row>
    <row r="430" s="372" customFormat="1" ht="24" hidden="1" customHeight="1" spans="1:9">
      <c r="A430" s="330">
        <v>2050599</v>
      </c>
      <c r="B430" s="379" t="s">
        <v>467</v>
      </c>
      <c r="C430" s="602">
        <f>'[2]2'!E423</f>
        <v>0</v>
      </c>
      <c r="D430" s="714"/>
      <c r="E430" s="713">
        <v>0</v>
      </c>
      <c r="F430" s="716" t="str">
        <f t="shared" si="24"/>
        <v/>
      </c>
      <c r="G430" s="470" t="str">
        <f t="shared" si="25"/>
        <v/>
      </c>
      <c r="H430" s="524" t="str">
        <f t="shared" si="27"/>
        <v>否</v>
      </c>
      <c r="I430" s="312" t="str">
        <f t="shared" si="26"/>
        <v>项</v>
      </c>
    </row>
    <row r="431" s="372" customFormat="1" ht="24" hidden="1" customHeight="1" spans="1:9">
      <c r="A431" s="330">
        <v>20506</v>
      </c>
      <c r="B431" s="379" t="s">
        <v>468</v>
      </c>
      <c r="C431" s="602">
        <f>SUM(C432:C434)</f>
        <v>0</v>
      </c>
      <c r="D431" s="713">
        <f>SUM(D432:D434)</f>
        <v>0</v>
      </c>
      <c r="E431" s="713">
        <f>SUM(E432:E434)</f>
        <v>0</v>
      </c>
      <c r="F431" s="716" t="str">
        <f t="shared" si="24"/>
        <v/>
      </c>
      <c r="G431" s="470" t="str">
        <f t="shared" si="25"/>
        <v/>
      </c>
      <c r="H431" s="524" t="str">
        <f t="shared" si="27"/>
        <v>否</v>
      </c>
      <c r="I431" s="312" t="str">
        <f t="shared" si="26"/>
        <v>款</v>
      </c>
    </row>
    <row r="432" s="372" customFormat="1" ht="24" hidden="1" customHeight="1" spans="1:9">
      <c r="A432" s="330">
        <v>2050601</v>
      </c>
      <c r="B432" s="379" t="s">
        <v>469</v>
      </c>
      <c r="C432" s="602">
        <f>'[2]2'!E425</f>
        <v>0</v>
      </c>
      <c r="D432" s="714"/>
      <c r="E432" s="713">
        <v>0</v>
      </c>
      <c r="F432" s="716" t="str">
        <f t="shared" si="24"/>
        <v/>
      </c>
      <c r="G432" s="470" t="str">
        <f t="shared" si="25"/>
        <v/>
      </c>
      <c r="H432" s="524" t="str">
        <f t="shared" si="27"/>
        <v>否</v>
      </c>
      <c r="I432" s="312" t="str">
        <f t="shared" si="26"/>
        <v>项</v>
      </c>
    </row>
    <row r="433" ht="24" hidden="1" customHeight="1" spans="1:9">
      <c r="A433" s="330">
        <v>2050602</v>
      </c>
      <c r="B433" s="379" t="s">
        <v>470</v>
      </c>
      <c r="C433" s="602">
        <f>'[2]2'!E426</f>
        <v>0</v>
      </c>
      <c r="D433" s="714"/>
      <c r="E433" s="713">
        <v>0</v>
      </c>
      <c r="F433" s="716" t="str">
        <f t="shared" si="24"/>
        <v/>
      </c>
      <c r="G433" s="470" t="str">
        <f t="shared" si="25"/>
        <v/>
      </c>
      <c r="H433" s="524" t="str">
        <f t="shared" si="27"/>
        <v>否</v>
      </c>
      <c r="I433" s="312" t="str">
        <f t="shared" si="26"/>
        <v>项</v>
      </c>
    </row>
    <row r="434" s="372" customFormat="1" ht="24" hidden="1" customHeight="1" spans="1:9">
      <c r="A434" s="330">
        <v>2050699</v>
      </c>
      <c r="B434" s="379" t="s">
        <v>471</v>
      </c>
      <c r="C434" s="602">
        <f>'[2]2'!E427</f>
        <v>0</v>
      </c>
      <c r="D434" s="714"/>
      <c r="E434" s="713">
        <v>0</v>
      </c>
      <c r="F434" s="716" t="str">
        <f t="shared" si="24"/>
        <v/>
      </c>
      <c r="G434" s="470" t="str">
        <f t="shared" si="25"/>
        <v/>
      </c>
      <c r="H434" s="524" t="str">
        <f t="shared" si="27"/>
        <v>否</v>
      </c>
      <c r="I434" s="312" t="str">
        <f t="shared" si="26"/>
        <v>项</v>
      </c>
    </row>
    <row r="435" s="372" customFormat="1" ht="24" customHeight="1" spans="1:9">
      <c r="A435" s="330">
        <v>20507</v>
      </c>
      <c r="B435" s="379" t="s">
        <v>472</v>
      </c>
      <c r="C435" s="602">
        <f>SUM(C436:C438)</f>
        <v>2188</v>
      </c>
      <c r="D435" s="713">
        <f>SUM(D436:D438)</f>
        <v>2270</v>
      </c>
      <c r="E435" s="713">
        <f>SUM(E436:E438)</f>
        <v>3636</v>
      </c>
      <c r="F435" s="716">
        <f t="shared" si="24"/>
        <v>0.661791590493601</v>
      </c>
      <c r="G435" s="470">
        <f t="shared" si="25"/>
        <v>1.60176211453744</v>
      </c>
      <c r="H435" s="524" t="str">
        <f t="shared" si="27"/>
        <v>是</v>
      </c>
      <c r="I435" s="312" t="str">
        <f t="shared" si="26"/>
        <v>款</v>
      </c>
    </row>
    <row r="436" s="372" customFormat="1" ht="24" hidden="1" customHeight="1" spans="1:9">
      <c r="A436" s="330">
        <v>2050701</v>
      </c>
      <c r="B436" s="379" t="s">
        <v>473</v>
      </c>
      <c r="C436" s="602">
        <f>'[2]2'!E429</f>
        <v>2034</v>
      </c>
      <c r="D436" s="714">
        <v>2105</v>
      </c>
      <c r="E436" s="713">
        <v>3311</v>
      </c>
      <c r="F436" s="716">
        <f t="shared" si="24"/>
        <v>0.627826941986234</v>
      </c>
      <c r="G436" s="470">
        <f t="shared" si="25"/>
        <v>1.5729216152019</v>
      </c>
      <c r="H436" s="524" t="str">
        <f t="shared" si="27"/>
        <v>是</v>
      </c>
      <c r="I436" s="312" t="str">
        <f t="shared" si="26"/>
        <v>项</v>
      </c>
    </row>
    <row r="437" s="374" customFormat="1" ht="24" hidden="1" customHeight="1" spans="1:9">
      <c r="A437" s="331">
        <v>2050702</v>
      </c>
      <c r="B437" s="327" t="s">
        <v>474</v>
      </c>
      <c r="C437" s="608">
        <f>'[2]2'!E430</f>
        <v>154</v>
      </c>
      <c r="D437" s="709">
        <v>165</v>
      </c>
      <c r="E437" s="713">
        <v>325</v>
      </c>
      <c r="F437" s="716">
        <f t="shared" si="24"/>
        <v>1.11038961038961</v>
      </c>
      <c r="G437" s="470">
        <f t="shared" si="25"/>
        <v>1.96969696969697</v>
      </c>
      <c r="H437" s="524" t="str">
        <f t="shared" si="27"/>
        <v>是</v>
      </c>
      <c r="I437" s="313" t="str">
        <f t="shared" si="26"/>
        <v>项</v>
      </c>
    </row>
    <row r="438" s="372" customFormat="1" ht="24" hidden="1" customHeight="1" spans="1:9">
      <c r="A438" s="330">
        <v>2050799</v>
      </c>
      <c r="B438" s="379" t="s">
        <v>475</v>
      </c>
      <c r="C438" s="602">
        <f>'[2]2'!E431</f>
        <v>0</v>
      </c>
      <c r="D438" s="714"/>
      <c r="E438" s="713">
        <v>0</v>
      </c>
      <c r="F438" s="716" t="str">
        <f t="shared" si="24"/>
        <v/>
      </c>
      <c r="G438" s="470" t="str">
        <f t="shared" si="25"/>
        <v/>
      </c>
      <c r="H438" s="524" t="str">
        <f t="shared" si="27"/>
        <v>否</v>
      </c>
      <c r="I438" s="312" t="str">
        <f t="shared" si="26"/>
        <v>项</v>
      </c>
    </row>
    <row r="439" ht="24" customHeight="1" spans="1:9">
      <c r="A439" s="330">
        <v>20508</v>
      </c>
      <c r="B439" s="379" t="s">
        <v>476</v>
      </c>
      <c r="C439" s="602">
        <f>SUM(C440:C444)</f>
        <v>3420</v>
      </c>
      <c r="D439" s="713">
        <f>SUM(D440:D444)</f>
        <v>3324</v>
      </c>
      <c r="E439" s="713">
        <f>SUM(E440:E444)</f>
        <v>3828</v>
      </c>
      <c r="F439" s="716">
        <f t="shared" si="24"/>
        <v>0.119298245614035</v>
      </c>
      <c r="G439" s="470">
        <f t="shared" si="25"/>
        <v>1.15162454873646</v>
      </c>
      <c r="H439" s="524" t="str">
        <f t="shared" si="27"/>
        <v>是</v>
      </c>
      <c r="I439" s="312" t="str">
        <f t="shared" si="26"/>
        <v>款</v>
      </c>
    </row>
    <row r="440" s="372" customFormat="1" ht="24" hidden="1" customHeight="1" spans="1:9">
      <c r="A440" s="330">
        <v>2050801</v>
      </c>
      <c r="B440" s="379" t="s">
        <v>477</v>
      </c>
      <c r="C440" s="602">
        <f>'[2]2'!E433</f>
        <v>1462</v>
      </c>
      <c r="D440" s="714">
        <v>1325</v>
      </c>
      <c r="E440" s="713">
        <v>1565</v>
      </c>
      <c r="F440" s="716">
        <f t="shared" si="24"/>
        <v>0.0704514363885089</v>
      </c>
      <c r="G440" s="470">
        <f t="shared" si="25"/>
        <v>1.1811320754717</v>
      </c>
      <c r="H440" s="524" t="str">
        <f t="shared" si="27"/>
        <v>是</v>
      </c>
      <c r="I440" s="312" t="str">
        <f t="shared" si="26"/>
        <v>项</v>
      </c>
    </row>
    <row r="441" s="372" customFormat="1" ht="24" hidden="1" customHeight="1" spans="1:9">
      <c r="A441" s="330">
        <v>2050802</v>
      </c>
      <c r="B441" s="379" t="s">
        <v>478</v>
      </c>
      <c r="C441" s="602">
        <f>'[2]2'!E434</f>
        <v>1747</v>
      </c>
      <c r="D441" s="714">
        <v>1786</v>
      </c>
      <c r="E441" s="713">
        <v>1771</v>
      </c>
      <c r="F441" s="716">
        <f t="shared" si="24"/>
        <v>0.0137378362907842</v>
      </c>
      <c r="G441" s="470">
        <f t="shared" si="25"/>
        <v>0.991601343784994</v>
      </c>
      <c r="H441" s="524" t="str">
        <f t="shared" si="27"/>
        <v>是</v>
      </c>
      <c r="I441" s="312" t="str">
        <f t="shared" si="26"/>
        <v>项</v>
      </c>
    </row>
    <row r="442" s="372" customFormat="1" ht="24" hidden="1" customHeight="1" spans="1:9">
      <c r="A442" s="330">
        <v>2050803</v>
      </c>
      <c r="B442" s="379" t="s">
        <v>479</v>
      </c>
      <c r="C442" s="602">
        <f>'[2]2'!E435</f>
        <v>29</v>
      </c>
      <c r="D442" s="714">
        <v>28</v>
      </c>
      <c r="E442" s="713">
        <v>37</v>
      </c>
      <c r="F442" s="716">
        <f t="shared" si="24"/>
        <v>0.275862068965517</v>
      </c>
      <c r="G442" s="470">
        <f t="shared" si="25"/>
        <v>1.32142857142857</v>
      </c>
      <c r="H442" s="524" t="str">
        <f t="shared" si="27"/>
        <v>是</v>
      </c>
      <c r="I442" s="312" t="str">
        <f t="shared" si="26"/>
        <v>项</v>
      </c>
    </row>
    <row r="443" s="372" customFormat="1" ht="24" hidden="1" customHeight="1" spans="1:9">
      <c r="A443" s="330">
        <v>2050804</v>
      </c>
      <c r="B443" s="379" t="s">
        <v>480</v>
      </c>
      <c r="C443" s="602">
        <f>'[2]2'!E436</f>
        <v>0</v>
      </c>
      <c r="D443" s="714"/>
      <c r="E443" s="713">
        <v>0</v>
      </c>
      <c r="F443" s="716" t="str">
        <f t="shared" si="24"/>
        <v/>
      </c>
      <c r="G443" s="470" t="str">
        <f t="shared" si="25"/>
        <v/>
      </c>
      <c r="H443" s="524" t="str">
        <f t="shared" si="27"/>
        <v>否</v>
      </c>
      <c r="I443" s="312" t="str">
        <f t="shared" si="26"/>
        <v>项</v>
      </c>
    </row>
    <row r="444" s="372" customFormat="1" ht="24" hidden="1" customHeight="1" spans="1:9">
      <c r="A444" s="330">
        <v>2050899</v>
      </c>
      <c r="B444" s="379" t="s">
        <v>481</v>
      </c>
      <c r="C444" s="602">
        <f>'[2]2'!E437</f>
        <v>182</v>
      </c>
      <c r="D444" s="714">
        <v>185</v>
      </c>
      <c r="E444" s="713">
        <v>455</v>
      </c>
      <c r="F444" s="716">
        <f t="shared" si="24"/>
        <v>1.5</v>
      </c>
      <c r="G444" s="470">
        <f t="shared" si="25"/>
        <v>2.45945945945946</v>
      </c>
      <c r="H444" s="524" t="str">
        <f t="shared" si="27"/>
        <v>是</v>
      </c>
      <c r="I444" s="312" t="str">
        <f t="shared" si="26"/>
        <v>项</v>
      </c>
    </row>
    <row r="445" ht="24" customHeight="1" spans="1:9">
      <c r="A445" s="330">
        <v>20509</v>
      </c>
      <c r="B445" s="379" t="s">
        <v>482</v>
      </c>
      <c r="C445" s="602">
        <f>SUM(C446:C451)</f>
        <v>3108</v>
      </c>
      <c r="D445" s="713">
        <f>SUM(D446:D451)</f>
        <v>3000</v>
      </c>
      <c r="E445" s="713">
        <f>SUM(E446:E451)</f>
        <v>2403</v>
      </c>
      <c r="F445" s="716">
        <f t="shared" si="24"/>
        <v>-0.226833976833977</v>
      </c>
      <c r="G445" s="470">
        <f t="shared" si="25"/>
        <v>0.801</v>
      </c>
      <c r="H445" s="524" t="str">
        <f t="shared" si="27"/>
        <v>是</v>
      </c>
      <c r="I445" s="312" t="str">
        <f t="shared" si="26"/>
        <v>款</v>
      </c>
    </row>
    <row r="446" s="372" customFormat="1" ht="24" hidden="1" customHeight="1" spans="1:9">
      <c r="A446" s="330">
        <v>2050901</v>
      </c>
      <c r="B446" s="379" t="s">
        <v>483</v>
      </c>
      <c r="C446" s="602">
        <f>'[2]2'!E439</f>
        <v>108</v>
      </c>
      <c r="D446" s="714"/>
      <c r="E446" s="713">
        <v>97</v>
      </c>
      <c r="F446" s="716">
        <f t="shared" si="24"/>
        <v>-0.101851851851852</v>
      </c>
      <c r="G446" s="470" t="str">
        <f t="shared" si="25"/>
        <v/>
      </c>
      <c r="H446" s="524" t="str">
        <f t="shared" si="27"/>
        <v>是</v>
      </c>
      <c r="I446" s="312" t="str">
        <f t="shared" si="26"/>
        <v>项</v>
      </c>
    </row>
    <row r="447" s="372" customFormat="1" ht="24" hidden="1" customHeight="1" spans="1:9">
      <c r="A447" s="330">
        <v>2050902</v>
      </c>
      <c r="B447" s="379" t="s">
        <v>484</v>
      </c>
      <c r="C447" s="602">
        <f>'[2]2'!E440</f>
        <v>0</v>
      </c>
      <c r="D447" s="714"/>
      <c r="E447" s="713">
        <v>0</v>
      </c>
      <c r="F447" s="716" t="str">
        <f t="shared" si="24"/>
        <v/>
      </c>
      <c r="G447" s="470" t="str">
        <f t="shared" si="25"/>
        <v/>
      </c>
      <c r="H447" s="524" t="str">
        <f t="shared" si="27"/>
        <v>否</v>
      </c>
      <c r="I447" s="312" t="str">
        <f t="shared" si="26"/>
        <v>项</v>
      </c>
    </row>
    <row r="448" s="372" customFormat="1" ht="24" hidden="1" customHeight="1" spans="1:9">
      <c r="A448" s="330">
        <v>2050903</v>
      </c>
      <c r="B448" s="379" t="s">
        <v>485</v>
      </c>
      <c r="C448" s="602">
        <f>'[2]2'!E441</f>
        <v>0</v>
      </c>
      <c r="D448" s="714"/>
      <c r="E448" s="713">
        <v>897</v>
      </c>
      <c r="F448" s="716" t="str">
        <f t="shared" si="24"/>
        <v/>
      </c>
      <c r="G448" s="470" t="str">
        <f t="shared" si="25"/>
        <v/>
      </c>
      <c r="H448" s="524" t="str">
        <f t="shared" si="27"/>
        <v>是</v>
      </c>
      <c r="I448" s="312" t="str">
        <f t="shared" si="26"/>
        <v>项</v>
      </c>
    </row>
    <row r="449" s="507" customFormat="1" ht="24" hidden="1" customHeight="1" spans="1:9">
      <c r="A449" s="330">
        <v>2050904</v>
      </c>
      <c r="B449" s="379" t="s">
        <v>486</v>
      </c>
      <c r="C449" s="602">
        <f>'[2]2'!E442</f>
        <v>0</v>
      </c>
      <c r="D449" s="714"/>
      <c r="E449" s="713">
        <v>0</v>
      </c>
      <c r="F449" s="716" t="str">
        <f t="shared" si="24"/>
        <v/>
      </c>
      <c r="G449" s="470" t="str">
        <f t="shared" si="25"/>
        <v/>
      </c>
      <c r="H449" s="524" t="str">
        <f t="shared" si="27"/>
        <v>否</v>
      </c>
      <c r="I449" s="312" t="str">
        <f t="shared" si="26"/>
        <v>项</v>
      </c>
    </row>
    <row r="450" s="372" customFormat="1" ht="24" hidden="1" customHeight="1" spans="1:9">
      <c r="A450" s="330">
        <v>2050905</v>
      </c>
      <c r="B450" s="379" t="s">
        <v>487</v>
      </c>
      <c r="C450" s="602">
        <f>'[2]2'!E443</f>
        <v>0</v>
      </c>
      <c r="D450" s="714"/>
      <c r="E450" s="713">
        <v>7</v>
      </c>
      <c r="F450" s="716" t="str">
        <f t="shared" si="24"/>
        <v/>
      </c>
      <c r="G450" s="470" t="str">
        <f t="shared" si="25"/>
        <v/>
      </c>
      <c r="H450" s="524" t="str">
        <f t="shared" si="27"/>
        <v>是</v>
      </c>
      <c r="I450" s="312" t="str">
        <f t="shared" si="26"/>
        <v>项</v>
      </c>
    </row>
    <row r="451" s="372" customFormat="1" ht="24" hidden="1" customHeight="1" spans="1:9">
      <c r="A451" s="330">
        <v>2050999</v>
      </c>
      <c r="B451" s="379" t="s">
        <v>488</v>
      </c>
      <c r="C451" s="602">
        <f>'[2]2'!E444</f>
        <v>3000</v>
      </c>
      <c r="D451" s="714">
        <v>3000</v>
      </c>
      <c r="E451" s="713">
        <v>1402</v>
      </c>
      <c r="F451" s="716">
        <f t="shared" si="24"/>
        <v>-0.532666666666667</v>
      </c>
      <c r="G451" s="470">
        <f t="shared" si="25"/>
        <v>0.467333333333333</v>
      </c>
      <c r="H451" s="524" t="str">
        <f t="shared" si="27"/>
        <v>是</v>
      </c>
      <c r="I451" s="312" t="str">
        <f t="shared" si="26"/>
        <v>项</v>
      </c>
    </row>
    <row r="452" s="507" customFormat="1" ht="24" customHeight="1" spans="1:9">
      <c r="A452" s="330">
        <v>20599</v>
      </c>
      <c r="B452" s="379" t="s">
        <v>489</v>
      </c>
      <c r="C452" s="602">
        <f>C453</f>
        <v>167</v>
      </c>
      <c r="D452" s="713">
        <f>D453</f>
        <v>169</v>
      </c>
      <c r="E452" s="713">
        <f>E453</f>
        <v>110</v>
      </c>
      <c r="F452" s="716">
        <f t="shared" si="24"/>
        <v>-0.341317365269461</v>
      </c>
      <c r="G452" s="470">
        <f t="shared" si="25"/>
        <v>0.650887573964497</v>
      </c>
      <c r="H452" s="524" t="str">
        <f t="shared" si="27"/>
        <v>是</v>
      </c>
      <c r="I452" s="312" t="str">
        <f t="shared" si="26"/>
        <v>款</v>
      </c>
    </row>
    <row r="453" ht="24" hidden="1" customHeight="1" spans="1:9">
      <c r="A453" s="721">
        <v>2059999</v>
      </c>
      <c r="B453" s="379" t="s">
        <v>490</v>
      </c>
      <c r="C453" s="602">
        <f>'[2]2'!E446</f>
        <v>167</v>
      </c>
      <c r="D453" s="714">
        <v>169</v>
      </c>
      <c r="E453" s="713">
        <v>110</v>
      </c>
      <c r="F453" s="716">
        <f t="shared" ref="F453:F516" si="28">IFERROR((E453-C453)/C453,"")</f>
        <v>-0.341317365269461</v>
      </c>
      <c r="G453" s="470">
        <f t="shared" ref="G453:G516" si="29">IFERROR(E453/D453,"")</f>
        <v>0.650887573964497</v>
      </c>
      <c r="H453" s="524" t="str">
        <f t="shared" si="27"/>
        <v>是</v>
      </c>
      <c r="I453" s="312" t="str">
        <f t="shared" ref="I453:I516" si="30">IF(LEN(A453)=3,"类",IF(LEN(A453)=5,"款","项"))</f>
        <v>项</v>
      </c>
    </row>
    <row r="454" s="372" customFormat="1" ht="24" customHeight="1" spans="1:9">
      <c r="A454" s="329">
        <v>206</v>
      </c>
      <c r="B454" s="377" t="s">
        <v>180</v>
      </c>
      <c r="C454" s="601">
        <f>C455+C460+C469+C475+C480+C485+C490+C497+C501+C505</f>
        <v>4318</v>
      </c>
      <c r="D454" s="712">
        <f>D455+D460+D469+D475+D480+D485+D490+D497+D501+D505</f>
        <v>4613</v>
      </c>
      <c r="E454" s="712">
        <f>E455+E460+E469+E475+E480+E485+E490+E497+E501+E505</f>
        <v>6843</v>
      </c>
      <c r="F454" s="715">
        <f t="shared" si="28"/>
        <v>0.584761463640574</v>
      </c>
      <c r="G454" s="467">
        <f t="shared" si="29"/>
        <v>1.48341643182311</v>
      </c>
      <c r="H454" s="524" t="str">
        <f t="shared" ref="H454:H517" si="31">IF(LEN(A454)=3,"是",IF(B454&lt;&gt;"",IF(SUM(C454:E454)&lt;&gt;0,"是","否"),"是"))</f>
        <v>是</v>
      </c>
      <c r="I454" s="312" t="str">
        <f t="shared" si="30"/>
        <v>类</v>
      </c>
    </row>
    <row r="455" s="372" customFormat="1" ht="24" customHeight="1" spans="1:9">
      <c r="A455" s="330">
        <v>20601</v>
      </c>
      <c r="B455" s="379" t="s">
        <v>491</v>
      </c>
      <c r="C455" s="602">
        <f>SUM(C456:C459)</f>
        <v>1441</v>
      </c>
      <c r="D455" s="713">
        <f>SUM(D456:D459)</f>
        <v>1529</v>
      </c>
      <c r="E455" s="713">
        <f>SUM(E456:E459)</f>
        <v>1897</v>
      </c>
      <c r="F455" s="716">
        <f t="shared" si="28"/>
        <v>0.316446911866759</v>
      </c>
      <c r="G455" s="470">
        <f t="shared" si="29"/>
        <v>1.24068018312623</v>
      </c>
      <c r="H455" s="524" t="str">
        <f t="shared" si="31"/>
        <v>是</v>
      </c>
      <c r="I455" s="312" t="str">
        <f t="shared" si="30"/>
        <v>款</v>
      </c>
    </row>
    <row r="456" s="372" customFormat="1" ht="24" hidden="1" customHeight="1" spans="1:9">
      <c r="A456" s="330">
        <v>2060101</v>
      </c>
      <c r="B456" s="379" t="s">
        <v>212</v>
      </c>
      <c r="C456" s="602">
        <f>'[2]2'!E449</f>
        <v>1104</v>
      </c>
      <c r="D456" s="714">
        <v>1178</v>
      </c>
      <c r="E456" s="713">
        <v>1143</v>
      </c>
      <c r="F456" s="716">
        <f t="shared" si="28"/>
        <v>0.0353260869565217</v>
      </c>
      <c r="G456" s="470">
        <f t="shared" si="29"/>
        <v>0.970288624787776</v>
      </c>
      <c r="H456" s="524" t="str">
        <f t="shared" si="31"/>
        <v>是</v>
      </c>
      <c r="I456" s="312" t="str">
        <f t="shared" si="30"/>
        <v>项</v>
      </c>
    </row>
    <row r="457" ht="24" hidden="1" customHeight="1" spans="1:9">
      <c r="A457" s="330">
        <v>2060102</v>
      </c>
      <c r="B457" s="379" t="s">
        <v>213</v>
      </c>
      <c r="C457" s="602">
        <f>'[2]2'!E450</f>
        <v>6</v>
      </c>
      <c r="D457" s="714">
        <v>6</v>
      </c>
      <c r="E457" s="713">
        <v>8</v>
      </c>
      <c r="F457" s="716">
        <f t="shared" si="28"/>
        <v>0.333333333333333</v>
      </c>
      <c r="G457" s="470">
        <f t="shared" si="29"/>
        <v>1.33333333333333</v>
      </c>
      <c r="H457" s="524" t="str">
        <f t="shared" si="31"/>
        <v>是</v>
      </c>
      <c r="I457" s="312" t="str">
        <f t="shared" si="30"/>
        <v>项</v>
      </c>
    </row>
    <row r="458" s="372" customFormat="1" ht="24" hidden="1" customHeight="1" spans="1:9">
      <c r="A458" s="330">
        <v>2060103</v>
      </c>
      <c r="B458" s="379" t="s">
        <v>214</v>
      </c>
      <c r="C458" s="602">
        <f>'[2]2'!E451</f>
        <v>33</v>
      </c>
      <c r="D458" s="714">
        <v>30</v>
      </c>
      <c r="E458" s="713">
        <v>36</v>
      </c>
      <c r="F458" s="716">
        <f t="shared" si="28"/>
        <v>0.0909090909090909</v>
      </c>
      <c r="G458" s="470">
        <f t="shared" si="29"/>
        <v>1.2</v>
      </c>
      <c r="H458" s="524" t="str">
        <f t="shared" si="31"/>
        <v>是</v>
      </c>
      <c r="I458" s="312" t="str">
        <f t="shared" si="30"/>
        <v>项</v>
      </c>
    </row>
    <row r="459" s="372" customFormat="1" ht="24" hidden="1" customHeight="1" spans="1:9">
      <c r="A459" s="330">
        <v>2060199</v>
      </c>
      <c r="B459" s="379" t="s">
        <v>492</v>
      </c>
      <c r="C459" s="602">
        <f>'[2]2'!E452</f>
        <v>298</v>
      </c>
      <c r="D459" s="714">
        <v>315</v>
      </c>
      <c r="E459" s="713">
        <v>710</v>
      </c>
      <c r="F459" s="716">
        <f t="shared" si="28"/>
        <v>1.38255033557047</v>
      </c>
      <c r="G459" s="470">
        <f t="shared" si="29"/>
        <v>2.25396825396825</v>
      </c>
      <c r="H459" s="524" t="str">
        <f t="shared" si="31"/>
        <v>是</v>
      </c>
      <c r="I459" s="312" t="str">
        <f t="shared" si="30"/>
        <v>项</v>
      </c>
    </row>
    <row r="460" s="372" customFormat="1" ht="24" hidden="1" customHeight="1" spans="1:9">
      <c r="A460" s="330">
        <v>20602</v>
      </c>
      <c r="B460" s="379" t="s">
        <v>493</v>
      </c>
      <c r="C460" s="602">
        <f>SUM(C461:C468)</f>
        <v>0</v>
      </c>
      <c r="D460" s="713">
        <f>SUM(D461:D468)</f>
        <v>0</v>
      </c>
      <c r="E460" s="713">
        <f>SUM(E461:E468)</f>
        <v>0</v>
      </c>
      <c r="F460" s="716" t="str">
        <f t="shared" si="28"/>
        <v/>
      </c>
      <c r="G460" s="470" t="str">
        <f t="shared" si="29"/>
        <v/>
      </c>
      <c r="H460" s="524" t="str">
        <f t="shared" si="31"/>
        <v>否</v>
      </c>
      <c r="I460" s="312" t="str">
        <f t="shared" si="30"/>
        <v>款</v>
      </c>
    </row>
    <row r="461" s="372" customFormat="1" ht="24" hidden="1" customHeight="1" spans="1:9">
      <c r="A461" s="330">
        <v>2060201</v>
      </c>
      <c r="B461" s="379" t="s">
        <v>494</v>
      </c>
      <c r="C461" s="602">
        <f>'[2]2'!E454</f>
        <v>0</v>
      </c>
      <c r="D461" s="714"/>
      <c r="E461" s="713">
        <v>0</v>
      </c>
      <c r="F461" s="716" t="str">
        <f t="shared" si="28"/>
        <v/>
      </c>
      <c r="G461" s="470" t="str">
        <f t="shared" si="29"/>
        <v/>
      </c>
      <c r="H461" s="524" t="str">
        <f t="shared" si="31"/>
        <v>否</v>
      </c>
      <c r="I461" s="312" t="str">
        <f t="shared" si="30"/>
        <v>项</v>
      </c>
    </row>
    <row r="462" s="372" customFormat="1" ht="24" hidden="1" customHeight="1" spans="1:9">
      <c r="A462" s="330">
        <v>2060203</v>
      </c>
      <c r="B462" s="379" t="s">
        <v>495</v>
      </c>
      <c r="C462" s="602">
        <f>'[2]2'!E455</f>
        <v>0</v>
      </c>
      <c r="D462" s="714"/>
      <c r="E462" s="713">
        <v>0</v>
      </c>
      <c r="F462" s="716" t="str">
        <f t="shared" si="28"/>
        <v/>
      </c>
      <c r="G462" s="470" t="str">
        <f t="shared" si="29"/>
        <v/>
      </c>
      <c r="H462" s="524" t="str">
        <f t="shared" si="31"/>
        <v>否</v>
      </c>
      <c r="I462" s="312" t="str">
        <f t="shared" si="30"/>
        <v>项</v>
      </c>
    </row>
    <row r="463" ht="24" hidden="1" customHeight="1" spans="1:9">
      <c r="A463" s="330">
        <v>2060204</v>
      </c>
      <c r="B463" s="379" t="s">
        <v>496</v>
      </c>
      <c r="C463" s="602">
        <f>'[2]2'!E456</f>
        <v>0</v>
      </c>
      <c r="D463" s="714"/>
      <c r="E463" s="713">
        <v>0</v>
      </c>
      <c r="F463" s="716" t="str">
        <f t="shared" si="28"/>
        <v/>
      </c>
      <c r="G463" s="470" t="str">
        <f t="shared" si="29"/>
        <v/>
      </c>
      <c r="H463" s="524" t="str">
        <f t="shared" si="31"/>
        <v>否</v>
      </c>
      <c r="I463" s="312" t="str">
        <f t="shared" si="30"/>
        <v>项</v>
      </c>
    </row>
    <row r="464" s="372" customFormat="1" ht="24" hidden="1" customHeight="1" spans="1:9">
      <c r="A464" s="330">
        <v>2060205</v>
      </c>
      <c r="B464" s="379" t="s">
        <v>497</v>
      </c>
      <c r="C464" s="602">
        <f>'[2]2'!E457</f>
        <v>0</v>
      </c>
      <c r="D464" s="714"/>
      <c r="E464" s="713">
        <v>0</v>
      </c>
      <c r="F464" s="716" t="str">
        <f t="shared" si="28"/>
        <v/>
      </c>
      <c r="G464" s="470" t="str">
        <f t="shared" si="29"/>
        <v/>
      </c>
      <c r="H464" s="524" t="str">
        <f t="shared" si="31"/>
        <v>否</v>
      </c>
      <c r="I464" s="312" t="str">
        <f t="shared" si="30"/>
        <v>项</v>
      </c>
    </row>
    <row r="465" s="372" customFormat="1" ht="24" hidden="1" customHeight="1" spans="1:9">
      <c r="A465" s="330">
        <v>2060206</v>
      </c>
      <c r="B465" s="379" t="s">
        <v>498</v>
      </c>
      <c r="C465" s="602">
        <f>'[2]2'!E458</f>
        <v>0</v>
      </c>
      <c r="D465" s="714"/>
      <c r="E465" s="713">
        <v>0</v>
      </c>
      <c r="F465" s="716" t="str">
        <f t="shared" si="28"/>
        <v/>
      </c>
      <c r="G465" s="470" t="str">
        <f t="shared" si="29"/>
        <v/>
      </c>
      <c r="H465" s="524" t="str">
        <f t="shared" si="31"/>
        <v>否</v>
      </c>
      <c r="I465" s="312" t="str">
        <f t="shared" si="30"/>
        <v>项</v>
      </c>
    </row>
    <row r="466" s="372" customFormat="1" ht="24" hidden="1" customHeight="1" spans="1:9">
      <c r="A466" s="330">
        <v>2060207</v>
      </c>
      <c r="B466" s="379" t="s">
        <v>499</v>
      </c>
      <c r="C466" s="602">
        <f>'[2]2'!E459</f>
        <v>0</v>
      </c>
      <c r="D466" s="714"/>
      <c r="E466" s="713">
        <v>0</v>
      </c>
      <c r="F466" s="716" t="str">
        <f t="shared" si="28"/>
        <v/>
      </c>
      <c r="G466" s="470" t="str">
        <f t="shared" si="29"/>
        <v/>
      </c>
      <c r="H466" s="524" t="str">
        <f t="shared" si="31"/>
        <v>否</v>
      </c>
      <c r="I466" s="312" t="str">
        <f t="shared" si="30"/>
        <v>项</v>
      </c>
    </row>
    <row r="467" s="372" customFormat="1" ht="24" hidden="1" customHeight="1" spans="1:9">
      <c r="A467" s="717">
        <v>2060208</v>
      </c>
      <c r="B467" s="534" t="s">
        <v>500</v>
      </c>
      <c r="C467" s="602">
        <f>'[2]2'!E460</f>
        <v>0</v>
      </c>
      <c r="D467" s="714"/>
      <c r="E467" s="713">
        <v>0</v>
      </c>
      <c r="F467" s="716" t="str">
        <f t="shared" si="28"/>
        <v/>
      </c>
      <c r="G467" s="470" t="str">
        <f t="shared" si="29"/>
        <v/>
      </c>
      <c r="H467" s="524" t="str">
        <f t="shared" si="31"/>
        <v>否</v>
      </c>
      <c r="I467" s="312" t="str">
        <f t="shared" si="30"/>
        <v>项</v>
      </c>
    </row>
    <row r="468" s="372" customFormat="1" ht="24" hidden="1" customHeight="1" spans="1:9">
      <c r="A468" s="330">
        <v>2060299</v>
      </c>
      <c r="B468" s="379" t="s">
        <v>501</v>
      </c>
      <c r="C468" s="602">
        <f>'[2]2'!E461</f>
        <v>0</v>
      </c>
      <c r="D468" s="714"/>
      <c r="E468" s="713">
        <v>0</v>
      </c>
      <c r="F468" s="716" t="str">
        <f t="shared" si="28"/>
        <v/>
      </c>
      <c r="G468" s="470" t="str">
        <f t="shared" si="29"/>
        <v/>
      </c>
      <c r="H468" s="524" t="str">
        <f t="shared" si="31"/>
        <v>否</v>
      </c>
      <c r="I468" s="312" t="str">
        <f t="shared" si="30"/>
        <v>项</v>
      </c>
    </row>
    <row r="469" s="372" customFormat="1" ht="24" customHeight="1" spans="1:9">
      <c r="A469" s="330">
        <v>20603</v>
      </c>
      <c r="B469" s="379" t="s">
        <v>502</v>
      </c>
      <c r="C469" s="602">
        <f>SUM(C470:C474)</f>
        <v>887</v>
      </c>
      <c r="D469" s="713">
        <f>SUM(D470:D474)</f>
        <v>926</v>
      </c>
      <c r="E469" s="713">
        <f>SUM(E470:E474)</f>
        <v>955</v>
      </c>
      <c r="F469" s="716">
        <f t="shared" si="28"/>
        <v>0.076662908680947</v>
      </c>
      <c r="G469" s="470">
        <f t="shared" si="29"/>
        <v>1.03131749460043</v>
      </c>
      <c r="H469" s="524" t="str">
        <f t="shared" si="31"/>
        <v>是</v>
      </c>
      <c r="I469" s="312" t="str">
        <f t="shared" si="30"/>
        <v>款</v>
      </c>
    </row>
    <row r="470" ht="24" hidden="1" customHeight="1" spans="1:9">
      <c r="A470" s="330">
        <v>2060301</v>
      </c>
      <c r="B470" s="379" t="s">
        <v>494</v>
      </c>
      <c r="C470" s="602">
        <f>'[2]2'!E463</f>
        <v>877</v>
      </c>
      <c r="D470" s="714">
        <v>915</v>
      </c>
      <c r="E470" s="713">
        <v>955</v>
      </c>
      <c r="F470" s="716">
        <f t="shared" si="28"/>
        <v>0.088939566704675</v>
      </c>
      <c r="G470" s="470">
        <f t="shared" si="29"/>
        <v>1.04371584699454</v>
      </c>
      <c r="H470" s="524" t="str">
        <f t="shared" si="31"/>
        <v>是</v>
      </c>
      <c r="I470" s="312" t="str">
        <f t="shared" si="30"/>
        <v>项</v>
      </c>
    </row>
    <row r="471" s="372" customFormat="1" ht="24" hidden="1" customHeight="1" spans="1:9">
      <c r="A471" s="330">
        <v>2060302</v>
      </c>
      <c r="B471" s="379" t="s">
        <v>503</v>
      </c>
      <c r="C471" s="602">
        <f>'[2]2'!E464</f>
        <v>10</v>
      </c>
      <c r="D471" s="714">
        <v>11</v>
      </c>
      <c r="E471" s="713">
        <v>0</v>
      </c>
      <c r="F471" s="716">
        <f t="shared" si="28"/>
        <v>-1</v>
      </c>
      <c r="G471" s="470">
        <f t="shared" si="29"/>
        <v>0</v>
      </c>
      <c r="H471" s="524" t="str">
        <f t="shared" si="31"/>
        <v>是</v>
      </c>
      <c r="I471" s="312" t="str">
        <f t="shared" si="30"/>
        <v>项</v>
      </c>
    </row>
    <row r="472" ht="24" hidden="1" customHeight="1" spans="1:9">
      <c r="A472" s="330">
        <v>2060303</v>
      </c>
      <c r="B472" s="379" t="s">
        <v>504</v>
      </c>
      <c r="C472" s="602">
        <f>'[2]2'!E465</f>
        <v>0</v>
      </c>
      <c r="D472" s="714"/>
      <c r="E472" s="713">
        <v>0</v>
      </c>
      <c r="F472" s="716" t="str">
        <f t="shared" si="28"/>
        <v/>
      </c>
      <c r="G472" s="470" t="str">
        <f t="shared" si="29"/>
        <v/>
      </c>
      <c r="H472" s="524" t="str">
        <f t="shared" si="31"/>
        <v>否</v>
      </c>
      <c r="I472" s="312" t="str">
        <f t="shared" si="30"/>
        <v>项</v>
      </c>
    </row>
    <row r="473" ht="24" hidden="1" customHeight="1" spans="1:9">
      <c r="A473" s="330">
        <v>2060304</v>
      </c>
      <c r="B473" s="379" t="s">
        <v>505</v>
      </c>
      <c r="C473" s="602">
        <f>'[2]2'!E466</f>
        <v>0</v>
      </c>
      <c r="D473" s="714"/>
      <c r="E473" s="713">
        <v>0</v>
      </c>
      <c r="F473" s="716" t="str">
        <f t="shared" si="28"/>
        <v/>
      </c>
      <c r="G473" s="470" t="str">
        <f t="shared" si="29"/>
        <v/>
      </c>
      <c r="H473" s="524" t="str">
        <f t="shared" si="31"/>
        <v>否</v>
      </c>
      <c r="I473" s="312" t="str">
        <f t="shared" si="30"/>
        <v>项</v>
      </c>
    </row>
    <row r="474" s="372" customFormat="1" ht="24" hidden="1" customHeight="1" spans="1:9">
      <c r="A474" s="330">
        <v>2060399</v>
      </c>
      <c r="B474" s="379" t="s">
        <v>506</v>
      </c>
      <c r="C474" s="602">
        <f>'[2]2'!E467</f>
        <v>0</v>
      </c>
      <c r="D474" s="714"/>
      <c r="E474" s="713">
        <v>0</v>
      </c>
      <c r="F474" s="716" t="str">
        <f t="shared" si="28"/>
        <v/>
      </c>
      <c r="G474" s="470" t="str">
        <f t="shared" si="29"/>
        <v/>
      </c>
      <c r="H474" s="524" t="str">
        <f t="shared" si="31"/>
        <v>否</v>
      </c>
      <c r="I474" s="312" t="str">
        <f t="shared" si="30"/>
        <v>项</v>
      </c>
    </row>
    <row r="475" s="372" customFormat="1" ht="24" customHeight="1" spans="1:9">
      <c r="A475" s="330">
        <v>20604</v>
      </c>
      <c r="B475" s="379" t="s">
        <v>507</v>
      </c>
      <c r="C475" s="602">
        <f>SUM(C476:C479)</f>
        <v>665</v>
      </c>
      <c r="D475" s="713">
        <f>SUM(D476:D479)</f>
        <v>743</v>
      </c>
      <c r="E475" s="713">
        <f>SUM(E476:E479)</f>
        <v>1742</v>
      </c>
      <c r="F475" s="716">
        <f t="shared" si="28"/>
        <v>1.61954887218045</v>
      </c>
      <c r="G475" s="470">
        <f t="shared" si="29"/>
        <v>2.34454912516824</v>
      </c>
      <c r="H475" s="524" t="str">
        <f t="shared" si="31"/>
        <v>是</v>
      </c>
      <c r="I475" s="312" t="str">
        <f t="shared" si="30"/>
        <v>款</v>
      </c>
    </row>
    <row r="476" s="372" customFormat="1" ht="24" hidden="1" customHeight="1" spans="1:9">
      <c r="A476" s="330">
        <v>2060401</v>
      </c>
      <c r="B476" s="379" t="s">
        <v>494</v>
      </c>
      <c r="C476" s="602">
        <f>'[2]2'!E469</f>
        <v>0</v>
      </c>
      <c r="D476" s="714"/>
      <c r="E476" s="713">
        <v>0</v>
      </c>
      <c r="F476" s="716" t="str">
        <f t="shared" si="28"/>
        <v/>
      </c>
      <c r="G476" s="470" t="str">
        <f t="shared" si="29"/>
        <v/>
      </c>
      <c r="H476" s="524" t="str">
        <f t="shared" si="31"/>
        <v>否</v>
      </c>
      <c r="I476" s="312" t="str">
        <f t="shared" si="30"/>
        <v>项</v>
      </c>
    </row>
    <row r="477" s="372" customFormat="1" ht="24" hidden="1" customHeight="1" spans="1:9">
      <c r="A477" s="330">
        <v>2060404</v>
      </c>
      <c r="B477" s="379" t="s">
        <v>508</v>
      </c>
      <c r="C477" s="602">
        <f>'[2]2'!E470</f>
        <v>328</v>
      </c>
      <c r="D477" s="714">
        <v>398</v>
      </c>
      <c r="E477" s="713">
        <v>98</v>
      </c>
      <c r="F477" s="716">
        <f t="shared" si="28"/>
        <v>-0.701219512195122</v>
      </c>
      <c r="G477" s="470">
        <f t="shared" si="29"/>
        <v>0.246231155778894</v>
      </c>
      <c r="H477" s="524" t="str">
        <f t="shared" si="31"/>
        <v>是</v>
      </c>
      <c r="I477" s="312" t="str">
        <f t="shared" si="30"/>
        <v>项</v>
      </c>
    </row>
    <row r="478" ht="24" hidden="1" customHeight="1" spans="1:9">
      <c r="A478" s="722">
        <v>2060405</v>
      </c>
      <c r="B478" s="379" t="s">
        <v>509</v>
      </c>
      <c r="C478" s="602">
        <f>'[2]2'!E471</f>
        <v>0</v>
      </c>
      <c r="D478" s="714"/>
      <c r="E478" s="713">
        <v>544</v>
      </c>
      <c r="F478" s="716" t="str">
        <f t="shared" si="28"/>
        <v/>
      </c>
      <c r="G478" s="470" t="str">
        <f t="shared" si="29"/>
        <v/>
      </c>
      <c r="H478" s="524" t="str">
        <f t="shared" si="31"/>
        <v>是</v>
      </c>
      <c r="I478" s="312" t="str">
        <f t="shared" si="30"/>
        <v>项</v>
      </c>
    </row>
    <row r="479" s="372" customFormat="1" ht="24" hidden="1" customHeight="1" spans="1:9">
      <c r="A479" s="330">
        <v>2060499</v>
      </c>
      <c r="B479" s="379" t="s">
        <v>510</v>
      </c>
      <c r="C479" s="602">
        <f>'[2]2'!E472</f>
        <v>337</v>
      </c>
      <c r="D479" s="714">
        <v>345</v>
      </c>
      <c r="E479" s="713">
        <v>1100</v>
      </c>
      <c r="F479" s="716">
        <f t="shared" si="28"/>
        <v>2.26409495548961</v>
      </c>
      <c r="G479" s="470">
        <f t="shared" si="29"/>
        <v>3.18840579710145</v>
      </c>
      <c r="H479" s="524" t="str">
        <f t="shared" si="31"/>
        <v>是</v>
      </c>
      <c r="I479" s="312" t="str">
        <f t="shared" si="30"/>
        <v>项</v>
      </c>
    </row>
    <row r="480" s="372" customFormat="1" ht="24" customHeight="1" spans="1:9">
      <c r="A480" s="330">
        <v>20605</v>
      </c>
      <c r="B480" s="379" t="s">
        <v>511</v>
      </c>
      <c r="C480" s="602">
        <f>SUM(C481:C484)</f>
        <v>0</v>
      </c>
      <c r="D480" s="713">
        <f>SUM(D481:D484)</f>
        <v>0</v>
      </c>
      <c r="E480" s="713">
        <f>SUM(E481:E484)</f>
        <v>270</v>
      </c>
      <c r="F480" s="716" t="str">
        <f t="shared" si="28"/>
        <v/>
      </c>
      <c r="G480" s="470" t="str">
        <f t="shared" si="29"/>
        <v/>
      </c>
      <c r="H480" s="524" t="str">
        <f t="shared" si="31"/>
        <v>是</v>
      </c>
      <c r="I480" s="312" t="str">
        <f t="shared" si="30"/>
        <v>款</v>
      </c>
    </row>
    <row r="481" s="372" customFormat="1" ht="24" hidden="1" customHeight="1" spans="1:9">
      <c r="A481" s="330">
        <v>2060501</v>
      </c>
      <c r="B481" s="379" t="s">
        <v>494</v>
      </c>
      <c r="C481" s="602">
        <f>'[2]2'!E474</f>
        <v>0</v>
      </c>
      <c r="D481" s="714"/>
      <c r="E481" s="713">
        <v>0</v>
      </c>
      <c r="F481" s="716" t="str">
        <f t="shared" si="28"/>
        <v/>
      </c>
      <c r="G481" s="470" t="str">
        <f t="shared" si="29"/>
        <v/>
      </c>
      <c r="H481" s="524" t="str">
        <f t="shared" si="31"/>
        <v>否</v>
      </c>
      <c r="I481" s="312" t="str">
        <f t="shared" si="30"/>
        <v>项</v>
      </c>
    </row>
    <row r="482" s="372" customFormat="1" ht="24" hidden="1" customHeight="1" spans="1:9">
      <c r="A482" s="330">
        <v>2060502</v>
      </c>
      <c r="B482" s="379" t="s">
        <v>512</v>
      </c>
      <c r="C482" s="602">
        <f>'[2]2'!E475</f>
        <v>0</v>
      </c>
      <c r="D482" s="714"/>
      <c r="E482" s="713">
        <v>0</v>
      </c>
      <c r="F482" s="716" t="str">
        <f t="shared" si="28"/>
        <v/>
      </c>
      <c r="G482" s="470" t="str">
        <f t="shared" si="29"/>
        <v/>
      </c>
      <c r="H482" s="524" t="str">
        <f t="shared" si="31"/>
        <v>否</v>
      </c>
      <c r="I482" s="312" t="str">
        <f t="shared" si="30"/>
        <v>项</v>
      </c>
    </row>
    <row r="483" s="372" customFormat="1" ht="24" hidden="1" customHeight="1" spans="1:9">
      <c r="A483" s="330">
        <v>2060503</v>
      </c>
      <c r="B483" s="379" t="s">
        <v>513</v>
      </c>
      <c r="C483" s="602">
        <f>'[2]2'!E476</f>
        <v>0</v>
      </c>
      <c r="D483" s="714"/>
      <c r="E483" s="713">
        <v>270</v>
      </c>
      <c r="F483" s="716" t="str">
        <f t="shared" si="28"/>
        <v/>
      </c>
      <c r="G483" s="470" t="str">
        <f t="shared" si="29"/>
        <v/>
      </c>
      <c r="H483" s="524" t="str">
        <f t="shared" si="31"/>
        <v>是</v>
      </c>
      <c r="I483" s="312" t="str">
        <f t="shared" si="30"/>
        <v>项</v>
      </c>
    </row>
    <row r="484" s="372" customFormat="1" ht="24" hidden="1" customHeight="1" spans="1:9">
      <c r="A484" s="330">
        <v>2060599</v>
      </c>
      <c r="B484" s="379" t="s">
        <v>514</v>
      </c>
      <c r="C484" s="602">
        <f>'[2]2'!E477</f>
        <v>0</v>
      </c>
      <c r="D484" s="714"/>
      <c r="E484" s="713">
        <v>0</v>
      </c>
      <c r="F484" s="716" t="str">
        <f t="shared" si="28"/>
        <v/>
      </c>
      <c r="G484" s="470" t="str">
        <f t="shared" si="29"/>
        <v/>
      </c>
      <c r="H484" s="524" t="str">
        <f t="shared" si="31"/>
        <v>否</v>
      </c>
      <c r="I484" s="312" t="str">
        <f t="shared" si="30"/>
        <v>项</v>
      </c>
    </row>
    <row r="485" s="372" customFormat="1" ht="24" customHeight="1" spans="1:9">
      <c r="A485" s="330">
        <v>20606</v>
      </c>
      <c r="B485" s="379" t="s">
        <v>515</v>
      </c>
      <c r="C485" s="602">
        <f>SUM(C486:C489)</f>
        <v>318</v>
      </c>
      <c r="D485" s="713">
        <f>SUM(D486:D489)</f>
        <v>332</v>
      </c>
      <c r="E485" s="713">
        <f>SUM(E486:E489)</f>
        <v>249</v>
      </c>
      <c r="F485" s="716">
        <f t="shared" si="28"/>
        <v>-0.216981132075472</v>
      </c>
      <c r="G485" s="470">
        <f t="shared" si="29"/>
        <v>0.75</v>
      </c>
      <c r="H485" s="524" t="str">
        <f t="shared" si="31"/>
        <v>是</v>
      </c>
      <c r="I485" s="312" t="str">
        <f t="shared" si="30"/>
        <v>款</v>
      </c>
    </row>
    <row r="486" s="372" customFormat="1" ht="24" hidden="1" customHeight="1" spans="1:9">
      <c r="A486" s="330">
        <v>2060601</v>
      </c>
      <c r="B486" s="379" t="s">
        <v>516</v>
      </c>
      <c r="C486" s="602">
        <f>'[2]2'!E479</f>
        <v>303</v>
      </c>
      <c r="D486" s="714">
        <v>315</v>
      </c>
      <c r="E486" s="713">
        <v>276</v>
      </c>
      <c r="F486" s="716">
        <f t="shared" si="28"/>
        <v>-0.0891089108910891</v>
      </c>
      <c r="G486" s="470">
        <f t="shared" si="29"/>
        <v>0.876190476190476</v>
      </c>
      <c r="H486" s="524" t="str">
        <f t="shared" si="31"/>
        <v>是</v>
      </c>
      <c r="I486" s="312" t="str">
        <f t="shared" si="30"/>
        <v>项</v>
      </c>
    </row>
    <row r="487" ht="24" hidden="1" customHeight="1" spans="1:9">
      <c r="A487" s="330">
        <v>2060602</v>
      </c>
      <c r="B487" s="379" t="s">
        <v>517</v>
      </c>
      <c r="C487" s="602">
        <f>'[2]2'!E480</f>
        <v>15</v>
      </c>
      <c r="D487" s="714">
        <v>17</v>
      </c>
      <c r="E487" s="713">
        <v>-27</v>
      </c>
      <c r="F487" s="716">
        <f t="shared" si="28"/>
        <v>-2.8</v>
      </c>
      <c r="G487" s="470">
        <f t="shared" si="29"/>
        <v>-1.58823529411765</v>
      </c>
      <c r="H487" s="524" t="str">
        <f t="shared" si="31"/>
        <v>是</v>
      </c>
      <c r="I487" s="312" t="str">
        <f t="shared" si="30"/>
        <v>项</v>
      </c>
    </row>
    <row r="488" s="372" customFormat="1" ht="24" hidden="1" customHeight="1" spans="1:9">
      <c r="A488" s="330">
        <v>2060603</v>
      </c>
      <c r="B488" s="379" t="s">
        <v>518</v>
      </c>
      <c r="C488" s="602">
        <f>'[2]2'!E481</f>
        <v>0</v>
      </c>
      <c r="D488" s="714"/>
      <c r="E488" s="713">
        <v>0</v>
      </c>
      <c r="F488" s="716" t="str">
        <f t="shared" si="28"/>
        <v/>
      </c>
      <c r="G488" s="470" t="str">
        <f t="shared" si="29"/>
        <v/>
      </c>
      <c r="H488" s="524" t="str">
        <f t="shared" si="31"/>
        <v>否</v>
      </c>
      <c r="I488" s="312" t="str">
        <f t="shared" si="30"/>
        <v>项</v>
      </c>
    </row>
    <row r="489" s="372" customFormat="1" ht="24" hidden="1" customHeight="1" spans="1:9">
      <c r="A489" s="330">
        <v>2060699</v>
      </c>
      <c r="B489" s="379" t="s">
        <v>519</v>
      </c>
      <c r="C489" s="602">
        <f>'[2]2'!E482</f>
        <v>0</v>
      </c>
      <c r="D489" s="714"/>
      <c r="E489" s="713">
        <v>0</v>
      </c>
      <c r="F489" s="716" t="str">
        <f t="shared" si="28"/>
        <v/>
      </c>
      <c r="G489" s="470" t="str">
        <f t="shared" si="29"/>
        <v/>
      </c>
      <c r="H489" s="524" t="str">
        <f t="shared" si="31"/>
        <v>否</v>
      </c>
      <c r="I489" s="312" t="str">
        <f t="shared" si="30"/>
        <v>项</v>
      </c>
    </row>
    <row r="490" s="372" customFormat="1" ht="24" customHeight="1" spans="1:9">
      <c r="A490" s="330">
        <v>20607</v>
      </c>
      <c r="B490" s="379" t="s">
        <v>520</v>
      </c>
      <c r="C490" s="602">
        <f>SUM(C491:C496)</f>
        <v>829</v>
      </c>
      <c r="D490" s="713">
        <f>SUM(D491:D496)</f>
        <v>912</v>
      </c>
      <c r="E490" s="713">
        <f>SUM(E491:E496)</f>
        <v>1117</v>
      </c>
      <c r="F490" s="716">
        <f t="shared" si="28"/>
        <v>0.347406513872135</v>
      </c>
      <c r="G490" s="470">
        <f t="shared" si="29"/>
        <v>1.22478070175439</v>
      </c>
      <c r="H490" s="524" t="str">
        <f t="shared" si="31"/>
        <v>是</v>
      </c>
      <c r="I490" s="312" t="str">
        <f t="shared" si="30"/>
        <v>款</v>
      </c>
    </row>
    <row r="491" s="372" customFormat="1" ht="24" hidden="1" customHeight="1" spans="1:9">
      <c r="A491" s="330">
        <v>2060701</v>
      </c>
      <c r="B491" s="379" t="s">
        <v>494</v>
      </c>
      <c r="C491" s="602">
        <f>'[2]2'!E484</f>
        <v>543</v>
      </c>
      <c r="D491" s="714">
        <v>574</v>
      </c>
      <c r="E491" s="713">
        <v>566</v>
      </c>
      <c r="F491" s="716">
        <f t="shared" si="28"/>
        <v>0.0423572744014733</v>
      </c>
      <c r="G491" s="470">
        <f t="shared" si="29"/>
        <v>0.986062717770035</v>
      </c>
      <c r="H491" s="524" t="str">
        <f t="shared" si="31"/>
        <v>是</v>
      </c>
      <c r="I491" s="312" t="str">
        <f t="shared" si="30"/>
        <v>项</v>
      </c>
    </row>
    <row r="492" s="372" customFormat="1" ht="24" hidden="1" customHeight="1" spans="1:9">
      <c r="A492" s="330">
        <v>2060702</v>
      </c>
      <c r="B492" s="379" t="s">
        <v>521</v>
      </c>
      <c r="C492" s="602">
        <f>'[2]2'!E485</f>
        <v>169</v>
      </c>
      <c r="D492" s="714">
        <v>218</v>
      </c>
      <c r="E492" s="713">
        <v>259</v>
      </c>
      <c r="F492" s="716">
        <f t="shared" si="28"/>
        <v>0.532544378698225</v>
      </c>
      <c r="G492" s="470">
        <f t="shared" si="29"/>
        <v>1.18807339449541</v>
      </c>
      <c r="H492" s="524" t="str">
        <f t="shared" si="31"/>
        <v>是</v>
      </c>
      <c r="I492" s="312" t="str">
        <f t="shared" si="30"/>
        <v>项</v>
      </c>
    </row>
    <row r="493" ht="24" hidden="1" customHeight="1" spans="1:9">
      <c r="A493" s="330">
        <v>2060703</v>
      </c>
      <c r="B493" s="379" t="s">
        <v>522</v>
      </c>
      <c r="C493" s="602">
        <f>'[2]2'!E486</f>
        <v>0</v>
      </c>
      <c r="D493" s="714"/>
      <c r="E493" s="713">
        <v>0</v>
      </c>
      <c r="F493" s="716" t="str">
        <f t="shared" si="28"/>
        <v/>
      </c>
      <c r="G493" s="470" t="str">
        <f t="shared" si="29"/>
        <v/>
      </c>
      <c r="H493" s="524" t="str">
        <f t="shared" si="31"/>
        <v>否</v>
      </c>
      <c r="I493" s="312" t="str">
        <f t="shared" si="30"/>
        <v>项</v>
      </c>
    </row>
    <row r="494" s="372" customFormat="1" ht="24" hidden="1" customHeight="1" spans="1:9">
      <c r="A494" s="330">
        <v>2060704</v>
      </c>
      <c r="B494" s="379" t="s">
        <v>523</v>
      </c>
      <c r="C494" s="602">
        <f>'[2]2'!E487</f>
        <v>0</v>
      </c>
      <c r="D494" s="714"/>
      <c r="E494" s="713">
        <v>0</v>
      </c>
      <c r="F494" s="716" t="str">
        <f t="shared" si="28"/>
        <v/>
      </c>
      <c r="G494" s="470" t="str">
        <f t="shared" si="29"/>
        <v/>
      </c>
      <c r="H494" s="524" t="str">
        <f t="shared" si="31"/>
        <v>否</v>
      </c>
      <c r="I494" s="312" t="str">
        <f t="shared" si="30"/>
        <v>项</v>
      </c>
    </row>
    <row r="495" s="372" customFormat="1" ht="24" hidden="1" customHeight="1" spans="1:9">
      <c r="A495" s="330">
        <v>2060705</v>
      </c>
      <c r="B495" s="379" t="s">
        <v>524</v>
      </c>
      <c r="C495" s="602">
        <f>'[2]2'!E488</f>
        <v>57</v>
      </c>
      <c r="D495" s="714">
        <v>55</v>
      </c>
      <c r="E495" s="713">
        <v>143</v>
      </c>
      <c r="F495" s="716">
        <f t="shared" si="28"/>
        <v>1.50877192982456</v>
      </c>
      <c r="G495" s="470">
        <f t="shared" si="29"/>
        <v>2.6</v>
      </c>
      <c r="H495" s="524" t="str">
        <f t="shared" si="31"/>
        <v>是</v>
      </c>
      <c r="I495" s="312" t="str">
        <f t="shared" si="30"/>
        <v>项</v>
      </c>
    </row>
    <row r="496" s="372" customFormat="1" ht="24" hidden="1" customHeight="1" spans="1:9">
      <c r="A496" s="330">
        <v>2060799</v>
      </c>
      <c r="B496" s="379" t="s">
        <v>525</v>
      </c>
      <c r="C496" s="602">
        <f>'[2]2'!E489</f>
        <v>60</v>
      </c>
      <c r="D496" s="714">
        <v>65</v>
      </c>
      <c r="E496" s="713">
        <v>149</v>
      </c>
      <c r="F496" s="716">
        <f t="shared" si="28"/>
        <v>1.48333333333333</v>
      </c>
      <c r="G496" s="470">
        <f t="shared" si="29"/>
        <v>2.29230769230769</v>
      </c>
      <c r="H496" s="524" t="str">
        <f t="shared" si="31"/>
        <v>是</v>
      </c>
      <c r="I496" s="312" t="str">
        <f t="shared" si="30"/>
        <v>项</v>
      </c>
    </row>
    <row r="497" s="372" customFormat="1" ht="24" hidden="1" customHeight="1" spans="1:9">
      <c r="A497" s="330">
        <v>20608</v>
      </c>
      <c r="B497" s="379" t="s">
        <v>526</v>
      </c>
      <c r="C497" s="602">
        <f>SUM(C498:C500)</f>
        <v>0</v>
      </c>
      <c r="D497" s="713">
        <f>SUM(D498:D500)</f>
        <v>0</v>
      </c>
      <c r="E497" s="713">
        <f>SUM(E498:E500)</f>
        <v>0</v>
      </c>
      <c r="F497" s="716" t="str">
        <f t="shared" si="28"/>
        <v/>
      </c>
      <c r="G497" s="470" t="str">
        <f t="shared" si="29"/>
        <v/>
      </c>
      <c r="H497" s="524" t="str">
        <f t="shared" si="31"/>
        <v>否</v>
      </c>
      <c r="I497" s="312" t="str">
        <f t="shared" si="30"/>
        <v>款</v>
      </c>
    </row>
    <row r="498" ht="24" hidden="1" customHeight="1" spans="1:9">
      <c r="A498" s="330">
        <v>2060801</v>
      </c>
      <c r="B498" s="379" t="s">
        <v>527</v>
      </c>
      <c r="C498" s="602">
        <f>'[2]2'!E491</f>
        <v>0</v>
      </c>
      <c r="D498" s="714"/>
      <c r="E498" s="713">
        <v>0</v>
      </c>
      <c r="F498" s="716" t="str">
        <f t="shared" si="28"/>
        <v/>
      </c>
      <c r="G498" s="470" t="str">
        <f t="shared" si="29"/>
        <v/>
      </c>
      <c r="H498" s="524" t="str">
        <f t="shared" si="31"/>
        <v>否</v>
      </c>
      <c r="I498" s="312" t="str">
        <f t="shared" si="30"/>
        <v>项</v>
      </c>
    </row>
    <row r="499" s="372" customFormat="1" ht="24" hidden="1" customHeight="1" spans="1:9">
      <c r="A499" s="330">
        <v>2060802</v>
      </c>
      <c r="B499" s="379" t="s">
        <v>528</v>
      </c>
      <c r="C499" s="602">
        <f>'[2]2'!E492</f>
        <v>0</v>
      </c>
      <c r="D499" s="714"/>
      <c r="E499" s="713">
        <v>0</v>
      </c>
      <c r="F499" s="716" t="str">
        <f t="shared" si="28"/>
        <v/>
      </c>
      <c r="G499" s="470" t="str">
        <f t="shared" si="29"/>
        <v/>
      </c>
      <c r="H499" s="524" t="str">
        <f t="shared" si="31"/>
        <v>否</v>
      </c>
      <c r="I499" s="312" t="str">
        <f t="shared" si="30"/>
        <v>项</v>
      </c>
    </row>
    <row r="500" s="372" customFormat="1" ht="24" hidden="1" customHeight="1" spans="1:9">
      <c r="A500" s="330">
        <v>2060899</v>
      </c>
      <c r="B500" s="379" t="s">
        <v>529</v>
      </c>
      <c r="C500" s="602">
        <f>'[2]2'!E493</f>
        <v>0</v>
      </c>
      <c r="D500" s="714"/>
      <c r="E500" s="713">
        <v>0</v>
      </c>
      <c r="F500" s="716" t="str">
        <f t="shared" si="28"/>
        <v/>
      </c>
      <c r="G500" s="470" t="str">
        <f t="shared" si="29"/>
        <v/>
      </c>
      <c r="H500" s="524" t="str">
        <f t="shared" si="31"/>
        <v>否</v>
      </c>
      <c r="I500" s="312" t="str">
        <f t="shared" si="30"/>
        <v>项</v>
      </c>
    </row>
    <row r="501" s="372" customFormat="1" ht="24" customHeight="1" spans="1:9">
      <c r="A501" s="330">
        <v>20609</v>
      </c>
      <c r="B501" s="379" t="s">
        <v>530</v>
      </c>
      <c r="C501" s="602">
        <f>SUM(C502:C504)</f>
        <v>0</v>
      </c>
      <c r="D501" s="713">
        <f>SUM(D502:D504)</f>
        <v>0</v>
      </c>
      <c r="E501" s="713">
        <f>SUM(E502:E504)</f>
        <v>26</v>
      </c>
      <c r="F501" s="716" t="str">
        <f t="shared" si="28"/>
        <v/>
      </c>
      <c r="G501" s="470" t="str">
        <f t="shared" si="29"/>
        <v/>
      </c>
      <c r="H501" s="524" t="str">
        <f t="shared" si="31"/>
        <v>是</v>
      </c>
      <c r="I501" s="312" t="str">
        <f t="shared" si="30"/>
        <v>款</v>
      </c>
    </row>
    <row r="502" s="372" customFormat="1" ht="24" hidden="1" customHeight="1" spans="1:9">
      <c r="A502" s="330">
        <v>2060901</v>
      </c>
      <c r="B502" s="379" t="s">
        <v>531</v>
      </c>
      <c r="C502" s="602">
        <f>'[2]2'!E495</f>
        <v>0</v>
      </c>
      <c r="D502" s="714"/>
      <c r="E502" s="713">
        <v>0</v>
      </c>
      <c r="F502" s="716" t="str">
        <f t="shared" si="28"/>
        <v/>
      </c>
      <c r="G502" s="470" t="str">
        <f t="shared" si="29"/>
        <v/>
      </c>
      <c r="H502" s="524" t="str">
        <f t="shared" si="31"/>
        <v>否</v>
      </c>
      <c r="I502" s="312" t="str">
        <f t="shared" si="30"/>
        <v>项</v>
      </c>
    </row>
    <row r="503" ht="24" hidden="1" customHeight="1" spans="1:9">
      <c r="A503" s="330">
        <v>2060902</v>
      </c>
      <c r="B503" s="379" t="s">
        <v>532</v>
      </c>
      <c r="C503" s="602">
        <f>'[2]2'!E496</f>
        <v>0</v>
      </c>
      <c r="D503" s="714"/>
      <c r="E503" s="713">
        <v>25</v>
      </c>
      <c r="F503" s="716" t="str">
        <f t="shared" si="28"/>
        <v/>
      </c>
      <c r="G503" s="470" t="str">
        <f t="shared" si="29"/>
        <v/>
      </c>
      <c r="H503" s="524" t="str">
        <f t="shared" si="31"/>
        <v>是</v>
      </c>
      <c r="I503" s="312" t="str">
        <f t="shared" si="30"/>
        <v>项</v>
      </c>
    </row>
    <row r="504" s="372" customFormat="1" ht="24" hidden="1" customHeight="1" spans="1:9">
      <c r="A504" s="330">
        <v>2060999</v>
      </c>
      <c r="B504" s="379" t="s">
        <v>533</v>
      </c>
      <c r="C504" s="602">
        <f>'[2]2'!E497</f>
        <v>0</v>
      </c>
      <c r="D504" s="714"/>
      <c r="E504" s="713">
        <v>1</v>
      </c>
      <c r="F504" s="716" t="str">
        <f t="shared" si="28"/>
        <v/>
      </c>
      <c r="G504" s="470" t="str">
        <f t="shared" si="29"/>
        <v/>
      </c>
      <c r="H504" s="524" t="str">
        <f t="shared" si="31"/>
        <v>是</v>
      </c>
      <c r="I504" s="312" t="str">
        <f t="shared" si="30"/>
        <v>项</v>
      </c>
    </row>
    <row r="505" s="372" customFormat="1" ht="24" customHeight="1" spans="1:9">
      <c r="A505" s="330">
        <v>20699</v>
      </c>
      <c r="B505" s="379" t="s">
        <v>534</v>
      </c>
      <c r="C505" s="602">
        <f>SUM(C506:C509)</f>
        <v>178</v>
      </c>
      <c r="D505" s="713">
        <f>SUM(D506:D509)</f>
        <v>171</v>
      </c>
      <c r="E505" s="713">
        <f>SUM(E506:E509)</f>
        <v>587</v>
      </c>
      <c r="F505" s="716">
        <f t="shared" si="28"/>
        <v>2.29775280898876</v>
      </c>
      <c r="G505" s="470">
        <f t="shared" si="29"/>
        <v>3.4327485380117</v>
      </c>
      <c r="H505" s="524" t="str">
        <f t="shared" si="31"/>
        <v>是</v>
      </c>
      <c r="I505" s="312" t="str">
        <f t="shared" si="30"/>
        <v>款</v>
      </c>
    </row>
    <row r="506" s="372" customFormat="1" ht="24" hidden="1" customHeight="1" spans="1:9">
      <c r="A506" s="330">
        <v>2069901</v>
      </c>
      <c r="B506" s="379" t="s">
        <v>535</v>
      </c>
      <c r="C506" s="602">
        <f>'[2]2'!E499</f>
        <v>3</v>
      </c>
      <c r="D506" s="714"/>
      <c r="E506" s="713">
        <v>5</v>
      </c>
      <c r="F506" s="716">
        <f t="shared" si="28"/>
        <v>0.666666666666667</v>
      </c>
      <c r="G506" s="470" t="str">
        <f t="shared" si="29"/>
        <v/>
      </c>
      <c r="H506" s="524" t="str">
        <f t="shared" si="31"/>
        <v>是</v>
      </c>
      <c r="I506" s="312" t="str">
        <f t="shared" si="30"/>
        <v>项</v>
      </c>
    </row>
    <row r="507" s="372" customFormat="1" ht="24" hidden="1" customHeight="1" spans="1:9">
      <c r="A507" s="330">
        <v>2069902</v>
      </c>
      <c r="B507" s="379" t="s">
        <v>536</v>
      </c>
      <c r="C507" s="602">
        <f>'[2]2'!E500</f>
        <v>0</v>
      </c>
      <c r="D507" s="714"/>
      <c r="E507" s="713">
        <v>0</v>
      </c>
      <c r="F507" s="716" t="str">
        <f t="shared" si="28"/>
        <v/>
      </c>
      <c r="G507" s="470" t="str">
        <f t="shared" si="29"/>
        <v/>
      </c>
      <c r="H507" s="524" t="str">
        <f t="shared" si="31"/>
        <v>否</v>
      </c>
      <c r="I507" s="312" t="str">
        <f t="shared" si="30"/>
        <v>项</v>
      </c>
    </row>
    <row r="508" ht="24" hidden="1" customHeight="1" spans="1:9">
      <c r="A508" s="330">
        <v>2069903</v>
      </c>
      <c r="B508" s="379" t="s">
        <v>537</v>
      </c>
      <c r="C508" s="602">
        <f>'[2]2'!E501</f>
        <v>0</v>
      </c>
      <c r="D508" s="714"/>
      <c r="E508" s="713">
        <v>0</v>
      </c>
      <c r="F508" s="716" t="str">
        <f t="shared" si="28"/>
        <v/>
      </c>
      <c r="G508" s="470" t="str">
        <f t="shared" si="29"/>
        <v/>
      </c>
      <c r="H508" s="524" t="str">
        <f t="shared" si="31"/>
        <v>否</v>
      </c>
      <c r="I508" s="312" t="str">
        <f t="shared" si="30"/>
        <v>项</v>
      </c>
    </row>
    <row r="509" s="372" customFormat="1" ht="24" hidden="1" customHeight="1" spans="1:9">
      <c r="A509" s="330">
        <v>2069999</v>
      </c>
      <c r="B509" s="379" t="s">
        <v>538</v>
      </c>
      <c r="C509" s="602">
        <f>'[2]2'!E502</f>
        <v>175</v>
      </c>
      <c r="D509" s="714">
        <v>171</v>
      </c>
      <c r="E509" s="713">
        <v>582</v>
      </c>
      <c r="F509" s="716">
        <f t="shared" si="28"/>
        <v>2.32571428571429</v>
      </c>
      <c r="G509" s="470">
        <f t="shared" si="29"/>
        <v>3.40350877192982</v>
      </c>
      <c r="H509" s="524" t="str">
        <f t="shared" si="31"/>
        <v>是</v>
      </c>
      <c r="I509" s="312" t="str">
        <f t="shared" si="30"/>
        <v>项</v>
      </c>
    </row>
    <row r="510" s="372" customFormat="1" ht="24" customHeight="1" spans="1:9">
      <c r="A510" s="329">
        <v>207</v>
      </c>
      <c r="B510" s="377" t="s">
        <v>181</v>
      </c>
      <c r="C510" s="601">
        <f>C511+C527+C535+C546+C555+C563</f>
        <v>24616</v>
      </c>
      <c r="D510" s="712">
        <f>D511+D527+D535+D546+D555+D563</f>
        <v>25013</v>
      </c>
      <c r="E510" s="712">
        <f>E511+E527+E535+E546+E555+E563</f>
        <v>22563</v>
      </c>
      <c r="F510" s="715">
        <f t="shared" si="28"/>
        <v>-0.0834010399740007</v>
      </c>
      <c r="G510" s="467">
        <f t="shared" si="29"/>
        <v>0.902050933514572</v>
      </c>
      <c r="H510" s="524" t="str">
        <f t="shared" si="31"/>
        <v>是</v>
      </c>
      <c r="I510" s="312" t="str">
        <f t="shared" si="30"/>
        <v>类</v>
      </c>
    </row>
    <row r="511" s="372" customFormat="1" ht="24" customHeight="1" spans="1:9">
      <c r="A511" s="330">
        <v>20701</v>
      </c>
      <c r="B511" s="379" t="s">
        <v>539</v>
      </c>
      <c r="C511" s="602">
        <f>SUM(C512:C526)</f>
        <v>13755</v>
      </c>
      <c r="D511" s="713">
        <f>SUM(D512:D526)</f>
        <v>13998</v>
      </c>
      <c r="E511" s="713">
        <f>SUM(E512:E526)</f>
        <v>14065</v>
      </c>
      <c r="F511" s="716">
        <f t="shared" si="28"/>
        <v>0.0225372591784806</v>
      </c>
      <c r="G511" s="470">
        <f t="shared" si="29"/>
        <v>1.00478639805687</v>
      </c>
      <c r="H511" s="524" t="str">
        <f t="shared" si="31"/>
        <v>是</v>
      </c>
      <c r="I511" s="312" t="str">
        <f t="shared" si="30"/>
        <v>款</v>
      </c>
    </row>
    <row r="512" s="372" customFormat="1" ht="24" hidden="1" customHeight="1" spans="1:9">
      <c r="A512" s="330">
        <v>2070101</v>
      </c>
      <c r="B512" s="379" t="s">
        <v>212</v>
      </c>
      <c r="C512" s="602">
        <f>'[2]2'!E505</f>
        <v>2204</v>
      </c>
      <c r="D512" s="714">
        <v>2315</v>
      </c>
      <c r="E512" s="713">
        <v>2300</v>
      </c>
      <c r="F512" s="716">
        <f t="shared" si="28"/>
        <v>0.043557168784029</v>
      </c>
      <c r="G512" s="470">
        <f t="shared" si="29"/>
        <v>0.993520518358531</v>
      </c>
      <c r="H512" s="524" t="str">
        <f t="shared" si="31"/>
        <v>是</v>
      </c>
      <c r="I512" s="312" t="str">
        <f t="shared" si="30"/>
        <v>项</v>
      </c>
    </row>
    <row r="513" s="372" customFormat="1" ht="24" hidden="1" customHeight="1" spans="1:9">
      <c r="A513" s="330">
        <v>2070102</v>
      </c>
      <c r="B513" s="379" t="s">
        <v>213</v>
      </c>
      <c r="C513" s="602">
        <f>'[2]2'!E506</f>
        <v>52</v>
      </c>
      <c r="D513" s="714">
        <v>53</v>
      </c>
      <c r="E513" s="713">
        <v>87</v>
      </c>
      <c r="F513" s="716">
        <f t="shared" si="28"/>
        <v>0.673076923076923</v>
      </c>
      <c r="G513" s="470">
        <f t="shared" si="29"/>
        <v>1.64150943396226</v>
      </c>
      <c r="H513" s="524" t="str">
        <f t="shared" si="31"/>
        <v>是</v>
      </c>
      <c r="I513" s="312" t="str">
        <f t="shared" si="30"/>
        <v>项</v>
      </c>
    </row>
    <row r="514" s="372" customFormat="1" ht="24" hidden="1" customHeight="1" spans="1:9">
      <c r="A514" s="330">
        <v>2070103</v>
      </c>
      <c r="B514" s="379" t="s">
        <v>214</v>
      </c>
      <c r="C514" s="602">
        <f>'[2]2'!E507</f>
        <v>0</v>
      </c>
      <c r="D514" s="714"/>
      <c r="E514" s="713">
        <v>0</v>
      </c>
      <c r="F514" s="716" t="str">
        <f t="shared" si="28"/>
        <v/>
      </c>
      <c r="G514" s="470" t="str">
        <f t="shared" si="29"/>
        <v/>
      </c>
      <c r="H514" s="524" t="str">
        <f t="shared" si="31"/>
        <v>否</v>
      </c>
      <c r="I514" s="312" t="str">
        <f t="shared" si="30"/>
        <v>项</v>
      </c>
    </row>
    <row r="515" ht="24" hidden="1" customHeight="1" spans="1:9">
      <c r="A515" s="330">
        <v>2070104</v>
      </c>
      <c r="B515" s="379" t="s">
        <v>540</v>
      </c>
      <c r="C515" s="602">
        <f>'[2]2'!E508</f>
        <v>986</v>
      </c>
      <c r="D515" s="714">
        <v>995</v>
      </c>
      <c r="E515" s="713">
        <v>1277</v>
      </c>
      <c r="F515" s="716">
        <f t="shared" si="28"/>
        <v>0.295131845841785</v>
      </c>
      <c r="G515" s="470">
        <f t="shared" si="29"/>
        <v>1.28341708542714</v>
      </c>
      <c r="H515" s="524" t="str">
        <f t="shared" si="31"/>
        <v>是</v>
      </c>
      <c r="I515" s="312" t="str">
        <f t="shared" si="30"/>
        <v>项</v>
      </c>
    </row>
    <row r="516" s="372" customFormat="1" ht="24" hidden="1" customHeight="1" spans="1:9">
      <c r="A516" s="330">
        <v>2070105</v>
      </c>
      <c r="B516" s="379" t="s">
        <v>541</v>
      </c>
      <c r="C516" s="602">
        <f>'[2]2'!E509</f>
        <v>0</v>
      </c>
      <c r="D516" s="714"/>
      <c r="E516" s="713">
        <v>0</v>
      </c>
      <c r="F516" s="716" t="str">
        <f t="shared" si="28"/>
        <v/>
      </c>
      <c r="G516" s="470" t="str">
        <f t="shared" si="29"/>
        <v/>
      </c>
      <c r="H516" s="524" t="str">
        <f t="shared" si="31"/>
        <v>否</v>
      </c>
      <c r="I516" s="312" t="str">
        <f t="shared" si="30"/>
        <v>项</v>
      </c>
    </row>
    <row r="517" s="372" customFormat="1" ht="24" hidden="1" customHeight="1" spans="1:9">
      <c r="A517" s="330">
        <v>2070106</v>
      </c>
      <c r="B517" s="379" t="s">
        <v>542</v>
      </c>
      <c r="C517" s="602">
        <f>'[2]2'!E510</f>
        <v>0</v>
      </c>
      <c r="D517" s="714"/>
      <c r="E517" s="713">
        <v>0</v>
      </c>
      <c r="F517" s="716" t="str">
        <f t="shared" ref="F517:F580" si="32">IFERROR((E517-C517)/C517,"")</f>
        <v/>
      </c>
      <c r="G517" s="470" t="str">
        <f t="shared" ref="G517:G580" si="33">IFERROR(E517/D517,"")</f>
        <v/>
      </c>
      <c r="H517" s="524" t="str">
        <f t="shared" si="31"/>
        <v>否</v>
      </c>
      <c r="I517" s="312" t="str">
        <f t="shared" ref="I517:I580" si="34">IF(LEN(A517)=3,"类",IF(LEN(A517)=5,"款","项"))</f>
        <v>项</v>
      </c>
    </row>
    <row r="518" s="372" customFormat="1" ht="24" hidden="1" customHeight="1" spans="1:9">
      <c r="A518" s="330">
        <v>2070107</v>
      </c>
      <c r="B518" s="379" t="s">
        <v>543</v>
      </c>
      <c r="C518" s="602">
        <f>'[2]2'!E511</f>
        <v>539</v>
      </c>
      <c r="D518" s="714">
        <v>521</v>
      </c>
      <c r="E518" s="713">
        <v>616</v>
      </c>
      <c r="F518" s="716">
        <f t="shared" si="32"/>
        <v>0.142857142857143</v>
      </c>
      <c r="G518" s="470">
        <f t="shared" si="33"/>
        <v>1.18234165067178</v>
      </c>
      <c r="H518" s="524" t="str">
        <f t="shared" ref="H518:H581" si="35">IF(LEN(A518)=3,"是",IF(B518&lt;&gt;"",IF(SUM(C518:E518)&lt;&gt;0,"是","否"),"是"))</f>
        <v>是</v>
      </c>
      <c r="I518" s="312" t="str">
        <f t="shared" si="34"/>
        <v>项</v>
      </c>
    </row>
    <row r="519" ht="24" hidden="1" customHeight="1" spans="1:9">
      <c r="A519" s="330">
        <v>2070108</v>
      </c>
      <c r="B519" s="379" t="s">
        <v>544</v>
      </c>
      <c r="C519" s="602">
        <f>'[2]2'!E512</f>
        <v>18</v>
      </c>
      <c r="D519" s="714">
        <v>18</v>
      </c>
      <c r="E519" s="713">
        <v>52</v>
      </c>
      <c r="F519" s="716">
        <f t="shared" si="32"/>
        <v>1.88888888888889</v>
      </c>
      <c r="G519" s="470">
        <f t="shared" si="33"/>
        <v>2.88888888888889</v>
      </c>
      <c r="H519" s="524" t="str">
        <f t="shared" si="35"/>
        <v>是</v>
      </c>
      <c r="I519" s="312" t="str">
        <f t="shared" si="34"/>
        <v>项</v>
      </c>
    </row>
    <row r="520" s="372" customFormat="1" ht="24" hidden="1" customHeight="1" spans="1:9">
      <c r="A520" s="330">
        <v>2070109</v>
      </c>
      <c r="B520" s="379" t="s">
        <v>545</v>
      </c>
      <c r="C520" s="602">
        <f>'[2]2'!E513</f>
        <v>2299</v>
      </c>
      <c r="D520" s="714">
        <v>2412</v>
      </c>
      <c r="E520" s="713">
        <v>1484</v>
      </c>
      <c r="F520" s="716">
        <f t="shared" si="32"/>
        <v>-0.354501957372771</v>
      </c>
      <c r="G520" s="470">
        <f t="shared" si="33"/>
        <v>0.615257048092869</v>
      </c>
      <c r="H520" s="524" t="str">
        <f t="shared" si="35"/>
        <v>是</v>
      </c>
      <c r="I520" s="312" t="str">
        <f t="shared" si="34"/>
        <v>项</v>
      </c>
    </row>
    <row r="521" s="372" customFormat="1" ht="24" hidden="1" customHeight="1" spans="1:9">
      <c r="A521" s="330">
        <v>2070110</v>
      </c>
      <c r="B521" s="379" t="s">
        <v>546</v>
      </c>
      <c r="C521" s="602">
        <f>'[2]2'!E514</f>
        <v>0</v>
      </c>
      <c r="D521" s="714"/>
      <c r="E521" s="713">
        <v>0</v>
      </c>
      <c r="F521" s="716" t="str">
        <f t="shared" si="32"/>
        <v/>
      </c>
      <c r="G521" s="470" t="str">
        <f t="shared" si="33"/>
        <v/>
      </c>
      <c r="H521" s="524" t="str">
        <f t="shared" si="35"/>
        <v>否</v>
      </c>
      <c r="I521" s="312" t="str">
        <f t="shared" si="34"/>
        <v>项</v>
      </c>
    </row>
    <row r="522" s="372" customFormat="1" ht="24" hidden="1" customHeight="1" spans="1:9">
      <c r="A522" s="330">
        <v>2070111</v>
      </c>
      <c r="B522" s="379" t="s">
        <v>547</v>
      </c>
      <c r="C522" s="602">
        <f>'[2]2'!E515</f>
        <v>622</v>
      </c>
      <c r="D522" s="714">
        <v>631</v>
      </c>
      <c r="E522" s="713">
        <v>1017</v>
      </c>
      <c r="F522" s="716">
        <f t="shared" si="32"/>
        <v>0.635048231511254</v>
      </c>
      <c r="G522" s="470">
        <f t="shared" si="33"/>
        <v>1.61172741679873</v>
      </c>
      <c r="H522" s="524" t="str">
        <f t="shared" si="35"/>
        <v>是</v>
      </c>
      <c r="I522" s="312" t="str">
        <f t="shared" si="34"/>
        <v>项</v>
      </c>
    </row>
    <row r="523" ht="24" hidden="1" customHeight="1" spans="1:9">
      <c r="A523" s="330">
        <v>2070112</v>
      </c>
      <c r="B523" s="379" t="s">
        <v>548</v>
      </c>
      <c r="C523" s="602">
        <f>'[2]2'!E516</f>
        <v>1075</v>
      </c>
      <c r="D523" s="714">
        <v>1098</v>
      </c>
      <c r="E523" s="713">
        <v>950</v>
      </c>
      <c r="F523" s="716">
        <f t="shared" si="32"/>
        <v>-0.116279069767442</v>
      </c>
      <c r="G523" s="470">
        <f t="shared" si="33"/>
        <v>0.865209471766849</v>
      </c>
      <c r="H523" s="524" t="str">
        <f t="shared" si="35"/>
        <v>是</v>
      </c>
      <c r="I523" s="312" t="str">
        <f t="shared" si="34"/>
        <v>项</v>
      </c>
    </row>
    <row r="524" s="372" customFormat="1" ht="24" hidden="1" customHeight="1" spans="1:9">
      <c r="A524" s="330">
        <v>2070113</v>
      </c>
      <c r="B524" s="379" t="s">
        <v>549</v>
      </c>
      <c r="C524" s="602">
        <f>'[2]2'!E517</f>
        <v>524</v>
      </c>
      <c r="D524" s="714">
        <v>541</v>
      </c>
      <c r="E524" s="713">
        <v>154</v>
      </c>
      <c r="F524" s="716">
        <f t="shared" si="32"/>
        <v>-0.706106870229008</v>
      </c>
      <c r="G524" s="470">
        <f t="shared" si="33"/>
        <v>0.284658040665434</v>
      </c>
      <c r="H524" s="524" t="str">
        <f t="shared" si="35"/>
        <v>是</v>
      </c>
      <c r="I524" s="312" t="str">
        <f t="shared" si="34"/>
        <v>项</v>
      </c>
    </row>
    <row r="525" s="372" customFormat="1" ht="24" hidden="1" customHeight="1" spans="1:9">
      <c r="A525" s="330">
        <v>2070114</v>
      </c>
      <c r="B525" s="379" t="s">
        <v>550</v>
      </c>
      <c r="C525" s="602">
        <f>'[2]2'!E518</f>
        <v>3</v>
      </c>
      <c r="D525" s="714">
        <v>3</v>
      </c>
      <c r="E525" s="713">
        <v>1058</v>
      </c>
      <c r="F525" s="716">
        <f t="shared" si="32"/>
        <v>351.666666666667</v>
      </c>
      <c r="G525" s="470">
        <f t="shared" si="33"/>
        <v>352.666666666667</v>
      </c>
      <c r="H525" s="524" t="str">
        <f t="shared" si="35"/>
        <v>是</v>
      </c>
      <c r="I525" s="312" t="str">
        <f t="shared" si="34"/>
        <v>项</v>
      </c>
    </row>
    <row r="526" s="372" customFormat="1" ht="24" hidden="1" customHeight="1" spans="1:9">
      <c r="A526" s="330">
        <v>2070199</v>
      </c>
      <c r="B526" s="379" t="s">
        <v>551</v>
      </c>
      <c r="C526" s="602">
        <f>'[2]2'!E519</f>
        <v>5433</v>
      </c>
      <c r="D526" s="714">
        <v>5411</v>
      </c>
      <c r="E526" s="713">
        <v>5070</v>
      </c>
      <c r="F526" s="716">
        <f t="shared" si="32"/>
        <v>-0.0668139149641082</v>
      </c>
      <c r="G526" s="470">
        <f t="shared" si="33"/>
        <v>0.936980225466642</v>
      </c>
      <c r="H526" s="524" t="str">
        <f t="shared" si="35"/>
        <v>是</v>
      </c>
      <c r="I526" s="312" t="str">
        <f t="shared" si="34"/>
        <v>项</v>
      </c>
    </row>
    <row r="527" s="372" customFormat="1" ht="24" customHeight="1" spans="1:9">
      <c r="A527" s="330">
        <v>20702</v>
      </c>
      <c r="B527" s="379" t="s">
        <v>552</v>
      </c>
      <c r="C527" s="602">
        <f>SUM(C528:C534)</f>
        <v>1340</v>
      </c>
      <c r="D527" s="713">
        <f>SUM(D528:D534)</f>
        <v>1425</v>
      </c>
      <c r="E527" s="713">
        <f>SUM(E528:E534)</f>
        <v>1574</v>
      </c>
      <c r="F527" s="716">
        <f t="shared" si="32"/>
        <v>0.174626865671642</v>
      </c>
      <c r="G527" s="470">
        <f t="shared" si="33"/>
        <v>1.10456140350877</v>
      </c>
      <c r="H527" s="524" t="str">
        <f t="shared" si="35"/>
        <v>是</v>
      </c>
      <c r="I527" s="312" t="str">
        <f t="shared" si="34"/>
        <v>款</v>
      </c>
    </row>
    <row r="528" ht="24" hidden="1" customHeight="1" spans="1:9">
      <c r="A528" s="330">
        <v>2070201</v>
      </c>
      <c r="B528" s="379" t="s">
        <v>212</v>
      </c>
      <c r="C528" s="602">
        <f>'[2]2'!E521</f>
        <v>0</v>
      </c>
      <c r="D528" s="714"/>
      <c r="E528" s="713">
        <v>0</v>
      </c>
      <c r="F528" s="716" t="str">
        <f t="shared" si="32"/>
        <v/>
      </c>
      <c r="G528" s="470" t="str">
        <f t="shared" si="33"/>
        <v/>
      </c>
      <c r="H528" s="524" t="str">
        <f t="shared" si="35"/>
        <v>否</v>
      </c>
      <c r="I528" s="312" t="str">
        <f t="shared" si="34"/>
        <v>项</v>
      </c>
    </row>
    <row r="529" ht="24" hidden="1" customHeight="1" spans="1:9">
      <c r="A529" s="330">
        <v>2070202</v>
      </c>
      <c r="B529" s="379" t="s">
        <v>213</v>
      </c>
      <c r="C529" s="602">
        <f>'[2]2'!E522</f>
        <v>5</v>
      </c>
      <c r="D529" s="714">
        <v>4</v>
      </c>
      <c r="E529" s="713">
        <v>3</v>
      </c>
      <c r="F529" s="716">
        <f t="shared" si="32"/>
        <v>-0.4</v>
      </c>
      <c r="G529" s="470">
        <f t="shared" si="33"/>
        <v>0.75</v>
      </c>
      <c r="H529" s="524" t="str">
        <f t="shared" si="35"/>
        <v>是</v>
      </c>
      <c r="I529" s="312" t="str">
        <f t="shared" si="34"/>
        <v>项</v>
      </c>
    </row>
    <row r="530" s="372" customFormat="1" ht="24" hidden="1" customHeight="1" spans="1:9">
      <c r="A530" s="330">
        <v>2070203</v>
      </c>
      <c r="B530" s="379" t="s">
        <v>214</v>
      </c>
      <c r="C530" s="602">
        <f>'[2]2'!E523</f>
        <v>0</v>
      </c>
      <c r="D530" s="714"/>
      <c r="E530" s="713">
        <v>0</v>
      </c>
      <c r="F530" s="716" t="str">
        <f t="shared" si="32"/>
        <v/>
      </c>
      <c r="G530" s="470" t="str">
        <f t="shared" si="33"/>
        <v/>
      </c>
      <c r="H530" s="524" t="str">
        <f t="shared" si="35"/>
        <v>否</v>
      </c>
      <c r="I530" s="312" t="str">
        <f t="shared" si="34"/>
        <v>项</v>
      </c>
    </row>
    <row r="531" s="372" customFormat="1" ht="24" hidden="1" customHeight="1" spans="1:9">
      <c r="A531" s="330">
        <v>2070204</v>
      </c>
      <c r="B531" s="379" t="s">
        <v>553</v>
      </c>
      <c r="C531" s="602">
        <f>'[2]2'!E524</f>
        <v>361</v>
      </c>
      <c r="D531" s="714">
        <v>426</v>
      </c>
      <c r="E531" s="713">
        <v>400</v>
      </c>
      <c r="F531" s="716">
        <f t="shared" si="32"/>
        <v>0.10803324099723</v>
      </c>
      <c r="G531" s="470">
        <f t="shared" si="33"/>
        <v>0.938967136150235</v>
      </c>
      <c r="H531" s="524" t="str">
        <f t="shared" si="35"/>
        <v>是</v>
      </c>
      <c r="I531" s="312" t="str">
        <f t="shared" si="34"/>
        <v>项</v>
      </c>
    </row>
    <row r="532" s="372" customFormat="1" ht="24" hidden="1" customHeight="1" spans="1:9">
      <c r="A532" s="330">
        <v>2070205</v>
      </c>
      <c r="B532" s="379" t="s">
        <v>554</v>
      </c>
      <c r="C532" s="602">
        <f>'[2]2'!E525</f>
        <v>974</v>
      </c>
      <c r="D532" s="714">
        <v>995</v>
      </c>
      <c r="E532" s="713">
        <v>1171</v>
      </c>
      <c r="F532" s="716">
        <f t="shared" si="32"/>
        <v>0.202258726899384</v>
      </c>
      <c r="G532" s="470">
        <f t="shared" si="33"/>
        <v>1.17688442211055</v>
      </c>
      <c r="H532" s="524" t="str">
        <f t="shared" si="35"/>
        <v>是</v>
      </c>
      <c r="I532" s="312" t="str">
        <f t="shared" si="34"/>
        <v>项</v>
      </c>
    </row>
    <row r="533" s="372" customFormat="1" ht="24" hidden="1" customHeight="1" spans="1:9">
      <c r="A533" s="330">
        <v>2070206</v>
      </c>
      <c r="B533" s="379" t="s">
        <v>555</v>
      </c>
      <c r="C533" s="602">
        <f>'[2]2'!E526</f>
        <v>0</v>
      </c>
      <c r="D533" s="714"/>
      <c r="E533" s="713">
        <v>0</v>
      </c>
      <c r="F533" s="716" t="str">
        <f t="shared" si="32"/>
        <v/>
      </c>
      <c r="G533" s="470" t="str">
        <f t="shared" si="33"/>
        <v/>
      </c>
      <c r="H533" s="524" t="str">
        <f t="shared" si="35"/>
        <v>否</v>
      </c>
      <c r="I533" s="312" t="str">
        <f t="shared" si="34"/>
        <v>项</v>
      </c>
    </row>
    <row r="534" s="372" customFormat="1" ht="24" hidden="1" customHeight="1" spans="1:9">
      <c r="A534" s="330">
        <v>2070299</v>
      </c>
      <c r="B534" s="379" t="s">
        <v>556</v>
      </c>
      <c r="C534" s="602">
        <f>'[2]2'!E527</f>
        <v>0</v>
      </c>
      <c r="D534" s="714"/>
      <c r="E534" s="713">
        <v>0</v>
      </c>
      <c r="F534" s="716" t="str">
        <f t="shared" si="32"/>
        <v/>
      </c>
      <c r="G534" s="470" t="str">
        <f t="shared" si="33"/>
        <v/>
      </c>
      <c r="H534" s="524" t="str">
        <f t="shared" si="35"/>
        <v>否</v>
      </c>
      <c r="I534" s="312" t="str">
        <f t="shared" si="34"/>
        <v>项</v>
      </c>
    </row>
    <row r="535" s="372" customFormat="1" ht="24" customHeight="1" spans="1:9">
      <c r="A535" s="330">
        <v>20703</v>
      </c>
      <c r="B535" s="379" t="s">
        <v>557</v>
      </c>
      <c r="C535" s="602">
        <f>SUM(C536:C545)</f>
        <v>2472</v>
      </c>
      <c r="D535" s="713">
        <f>SUM(D536:D545)</f>
        <v>2427</v>
      </c>
      <c r="E535" s="713">
        <f>SUM(E536:E545)</f>
        <v>2053</v>
      </c>
      <c r="F535" s="716">
        <f t="shared" si="32"/>
        <v>-0.169498381877023</v>
      </c>
      <c r="G535" s="470">
        <f t="shared" si="33"/>
        <v>0.84590028842192</v>
      </c>
      <c r="H535" s="524" t="str">
        <f t="shared" si="35"/>
        <v>是</v>
      </c>
      <c r="I535" s="312" t="str">
        <f t="shared" si="34"/>
        <v>款</v>
      </c>
    </row>
    <row r="536" s="372" customFormat="1" ht="24" hidden="1" customHeight="1" spans="1:9">
      <c r="A536" s="330">
        <v>2070301</v>
      </c>
      <c r="B536" s="379" t="s">
        <v>212</v>
      </c>
      <c r="C536" s="602">
        <f>'[2]2'!E529</f>
        <v>141</v>
      </c>
      <c r="D536" s="714">
        <v>148</v>
      </c>
      <c r="E536" s="713">
        <v>149</v>
      </c>
      <c r="F536" s="716">
        <f t="shared" si="32"/>
        <v>0.0567375886524823</v>
      </c>
      <c r="G536" s="470">
        <f t="shared" si="33"/>
        <v>1.00675675675676</v>
      </c>
      <c r="H536" s="524" t="str">
        <f t="shared" si="35"/>
        <v>是</v>
      </c>
      <c r="I536" s="312" t="str">
        <f t="shared" si="34"/>
        <v>项</v>
      </c>
    </row>
    <row r="537" s="372" customFormat="1" ht="24" hidden="1" customHeight="1" spans="1:9">
      <c r="A537" s="330">
        <v>2070302</v>
      </c>
      <c r="B537" s="379" t="s">
        <v>213</v>
      </c>
      <c r="C537" s="602">
        <f>'[2]2'!E530</f>
        <v>31</v>
      </c>
      <c r="D537" s="714">
        <v>27</v>
      </c>
      <c r="E537" s="713">
        <v>2</v>
      </c>
      <c r="F537" s="716">
        <f t="shared" si="32"/>
        <v>-0.935483870967742</v>
      </c>
      <c r="G537" s="470">
        <f t="shared" si="33"/>
        <v>0.0740740740740741</v>
      </c>
      <c r="H537" s="524" t="str">
        <f t="shared" si="35"/>
        <v>是</v>
      </c>
      <c r="I537" s="312" t="str">
        <f t="shared" si="34"/>
        <v>项</v>
      </c>
    </row>
    <row r="538" s="372" customFormat="1" ht="24" hidden="1" customHeight="1" spans="1:9">
      <c r="A538" s="330">
        <v>2070303</v>
      </c>
      <c r="B538" s="379" t="s">
        <v>214</v>
      </c>
      <c r="C538" s="602">
        <f>'[2]2'!E531</f>
        <v>0</v>
      </c>
      <c r="D538" s="714"/>
      <c r="E538" s="713">
        <v>0</v>
      </c>
      <c r="F538" s="716" t="str">
        <f t="shared" si="32"/>
        <v/>
      </c>
      <c r="G538" s="470" t="str">
        <f t="shared" si="33"/>
        <v/>
      </c>
      <c r="H538" s="524" t="str">
        <f t="shared" si="35"/>
        <v>否</v>
      </c>
      <c r="I538" s="312" t="str">
        <f t="shared" si="34"/>
        <v>项</v>
      </c>
    </row>
    <row r="539" s="372" customFormat="1" ht="24" hidden="1" customHeight="1" spans="1:9">
      <c r="A539" s="330">
        <v>2070304</v>
      </c>
      <c r="B539" s="379" t="s">
        <v>558</v>
      </c>
      <c r="C539" s="602">
        <f>'[2]2'!E532</f>
        <v>157</v>
      </c>
      <c r="D539" s="714">
        <v>145</v>
      </c>
      <c r="E539" s="713">
        <v>239</v>
      </c>
      <c r="F539" s="716">
        <f t="shared" si="32"/>
        <v>0.522292993630573</v>
      </c>
      <c r="G539" s="470">
        <f t="shared" si="33"/>
        <v>1.64827586206897</v>
      </c>
      <c r="H539" s="524" t="str">
        <f t="shared" si="35"/>
        <v>是</v>
      </c>
      <c r="I539" s="312" t="str">
        <f t="shared" si="34"/>
        <v>项</v>
      </c>
    </row>
    <row r="540" s="372" customFormat="1" ht="24" hidden="1" customHeight="1" spans="1:9">
      <c r="A540" s="330">
        <v>2070305</v>
      </c>
      <c r="B540" s="379" t="s">
        <v>559</v>
      </c>
      <c r="C540" s="602">
        <f>'[2]2'!E533</f>
        <v>0</v>
      </c>
      <c r="D540" s="714"/>
      <c r="E540" s="713">
        <v>0</v>
      </c>
      <c r="F540" s="716" t="str">
        <f t="shared" si="32"/>
        <v/>
      </c>
      <c r="G540" s="470" t="str">
        <f t="shared" si="33"/>
        <v/>
      </c>
      <c r="H540" s="524" t="str">
        <f t="shared" si="35"/>
        <v>否</v>
      </c>
      <c r="I540" s="312" t="str">
        <f t="shared" si="34"/>
        <v>项</v>
      </c>
    </row>
    <row r="541" s="372" customFormat="1" ht="24" hidden="1" customHeight="1" spans="1:9">
      <c r="A541" s="330">
        <v>2070306</v>
      </c>
      <c r="B541" s="379" t="s">
        <v>560</v>
      </c>
      <c r="C541" s="602">
        <f>'[2]2'!E534</f>
        <v>21</v>
      </c>
      <c r="D541" s="714">
        <v>19</v>
      </c>
      <c r="E541" s="713">
        <v>38</v>
      </c>
      <c r="F541" s="716">
        <f t="shared" si="32"/>
        <v>0.80952380952381</v>
      </c>
      <c r="G541" s="470">
        <f t="shared" si="33"/>
        <v>2</v>
      </c>
      <c r="H541" s="524" t="str">
        <f t="shared" si="35"/>
        <v>是</v>
      </c>
      <c r="I541" s="312" t="str">
        <f t="shared" si="34"/>
        <v>项</v>
      </c>
    </row>
    <row r="542" s="372" customFormat="1" ht="24" hidden="1" customHeight="1" spans="1:9">
      <c r="A542" s="330">
        <v>2070307</v>
      </c>
      <c r="B542" s="379" t="s">
        <v>561</v>
      </c>
      <c r="C542" s="602">
        <f>'[2]2'!E535</f>
        <v>653</v>
      </c>
      <c r="D542" s="714">
        <v>648</v>
      </c>
      <c r="E542" s="713">
        <v>143</v>
      </c>
      <c r="F542" s="716">
        <f t="shared" si="32"/>
        <v>-0.781010719754977</v>
      </c>
      <c r="G542" s="470">
        <f t="shared" si="33"/>
        <v>0.220679012345679</v>
      </c>
      <c r="H542" s="524" t="str">
        <f t="shared" si="35"/>
        <v>是</v>
      </c>
      <c r="I542" s="312" t="str">
        <f t="shared" si="34"/>
        <v>项</v>
      </c>
    </row>
    <row r="543" s="372" customFormat="1" ht="24" hidden="1" customHeight="1" spans="1:9">
      <c r="A543" s="330">
        <v>2070308</v>
      </c>
      <c r="B543" s="379" t="s">
        <v>562</v>
      </c>
      <c r="C543" s="602">
        <f>'[2]2'!E536</f>
        <v>1242</v>
      </c>
      <c r="D543" s="714">
        <v>1225</v>
      </c>
      <c r="E543" s="713">
        <v>1267</v>
      </c>
      <c r="F543" s="716">
        <f t="shared" si="32"/>
        <v>0.0201288244766506</v>
      </c>
      <c r="G543" s="470">
        <f t="shared" si="33"/>
        <v>1.03428571428571</v>
      </c>
      <c r="H543" s="524" t="str">
        <f t="shared" si="35"/>
        <v>是</v>
      </c>
      <c r="I543" s="312" t="str">
        <f t="shared" si="34"/>
        <v>项</v>
      </c>
    </row>
    <row r="544" s="372" customFormat="1" ht="24" hidden="1" customHeight="1" spans="1:9">
      <c r="A544" s="330">
        <v>2070309</v>
      </c>
      <c r="B544" s="379" t="s">
        <v>563</v>
      </c>
      <c r="C544" s="602">
        <f>'[2]2'!E537</f>
        <v>83</v>
      </c>
      <c r="D544" s="714">
        <v>80</v>
      </c>
      <c r="E544" s="713">
        <v>120</v>
      </c>
      <c r="F544" s="716">
        <f t="shared" si="32"/>
        <v>0.44578313253012</v>
      </c>
      <c r="G544" s="470">
        <f t="shared" si="33"/>
        <v>1.5</v>
      </c>
      <c r="H544" s="524" t="str">
        <f t="shared" si="35"/>
        <v>是</v>
      </c>
      <c r="I544" s="312" t="str">
        <f t="shared" si="34"/>
        <v>项</v>
      </c>
    </row>
    <row r="545" ht="24" hidden="1" customHeight="1" spans="1:9">
      <c r="A545" s="330">
        <v>2070399</v>
      </c>
      <c r="B545" s="379" t="s">
        <v>564</v>
      </c>
      <c r="C545" s="602">
        <f>'[2]2'!E538</f>
        <v>144</v>
      </c>
      <c r="D545" s="714">
        <v>135</v>
      </c>
      <c r="E545" s="713">
        <v>95</v>
      </c>
      <c r="F545" s="716">
        <f t="shared" si="32"/>
        <v>-0.340277777777778</v>
      </c>
      <c r="G545" s="470">
        <f t="shared" si="33"/>
        <v>0.703703703703704</v>
      </c>
      <c r="H545" s="524" t="str">
        <f t="shared" si="35"/>
        <v>是</v>
      </c>
      <c r="I545" s="312" t="str">
        <f t="shared" si="34"/>
        <v>项</v>
      </c>
    </row>
    <row r="546" s="372" customFormat="1" ht="24" customHeight="1" spans="1:9">
      <c r="A546" s="330">
        <v>20706</v>
      </c>
      <c r="B546" s="379" t="s">
        <v>565</v>
      </c>
      <c r="C546" s="602">
        <f>SUM(C547:C554)</f>
        <v>99</v>
      </c>
      <c r="D546" s="713">
        <f>SUM(D547:D554)</f>
        <v>107</v>
      </c>
      <c r="E546" s="713">
        <f>SUM(E547:E554)</f>
        <v>46</v>
      </c>
      <c r="F546" s="716">
        <f t="shared" si="32"/>
        <v>-0.535353535353535</v>
      </c>
      <c r="G546" s="470">
        <f t="shared" si="33"/>
        <v>0.429906542056075</v>
      </c>
      <c r="H546" s="524" t="str">
        <f t="shared" si="35"/>
        <v>是</v>
      </c>
      <c r="I546" s="312" t="str">
        <f t="shared" si="34"/>
        <v>款</v>
      </c>
    </row>
    <row r="547" s="372" customFormat="1" ht="24" hidden="1" customHeight="1" spans="1:9">
      <c r="A547" s="330">
        <v>2070601</v>
      </c>
      <c r="B547" s="379" t="s">
        <v>212</v>
      </c>
      <c r="C547" s="602">
        <f>'[2]2'!E540</f>
        <v>3</v>
      </c>
      <c r="D547" s="714">
        <v>4</v>
      </c>
      <c r="E547" s="713">
        <v>2</v>
      </c>
      <c r="F547" s="716">
        <f t="shared" si="32"/>
        <v>-0.333333333333333</v>
      </c>
      <c r="G547" s="470">
        <f t="shared" si="33"/>
        <v>0.5</v>
      </c>
      <c r="H547" s="524" t="str">
        <f t="shared" si="35"/>
        <v>是</v>
      </c>
      <c r="I547" s="312" t="str">
        <f t="shared" si="34"/>
        <v>项</v>
      </c>
    </row>
    <row r="548" s="372" customFormat="1" ht="24" hidden="1" customHeight="1" spans="1:9">
      <c r="A548" s="330">
        <v>2070602</v>
      </c>
      <c r="B548" s="379" t="s">
        <v>213</v>
      </c>
      <c r="C548" s="602">
        <f>'[2]2'!E541</f>
        <v>0</v>
      </c>
      <c r="D548" s="714"/>
      <c r="E548" s="713">
        <v>0</v>
      </c>
      <c r="F548" s="716" t="str">
        <f t="shared" si="32"/>
        <v/>
      </c>
      <c r="G548" s="470" t="str">
        <f t="shared" si="33"/>
        <v/>
      </c>
      <c r="H548" s="524" t="str">
        <f t="shared" si="35"/>
        <v>否</v>
      </c>
      <c r="I548" s="312" t="str">
        <f t="shared" si="34"/>
        <v>项</v>
      </c>
    </row>
    <row r="549" s="372" customFormat="1" ht="24" hidden="1" customHeight="1" spans="1:9">
      <c r="A549" s="330">
        <v>2070603</v>
      </c>
      <c r="B549" s="379" t="s">
        <v>214</v>
      </c>
      <c r="C549" s="602">
        <f>'[2]2'!E542</f>
        <v>0</v>
      </c>
      <c r="D549" s="714"/>
      <c r="E549" s="713">
        <v>0</v>
      </c>
      <c r="F549" s="716" t="str">
        <f t="shared" si="32"/>
        <v/>
      </c>
      <c r="G549" s="470" t="str">
        <f t="shared" si="33"/>
        <v/>
      </c>
      <c r="H549" s="524" t="str">
        <f t="shared" si="35"/>
        <v>否</v>
      </c>
      <c r="I549" s="312" t="str">
        <f t="shared" si="34"/>
        <v>项</v>
      </c>
    </row>
    <row r="550" s="372" customFormat="1" ht="24" hidden="1" customHeight="1" spans="1:9">
      <c r="A550" s="330">
        <v>2070604</v>
      </c>
      <c r="B550" s="379" t="s">
        <v>566</v>
      </c>
      <c r="C550" s="602">
        <f>'[2]2'!E543</f>
        <v>0</v>
      </c>
      <c r="D550" s="714"/>
      <c r="E550" s="713">
        <v>0</v>
      </c>
      <c r="F550" s="716" t="str">
        <f t="shared" si="32"/>
        <v/>
      </c>
      <c r="G550" s="470" t="str">
        <f t="shared" si="33"/>
        <v/>
      </c>
      <c r="H550" s="524" t="str">
        <f t="shared" si="35"/>
        <v>否</v>
      </c>
      <c r="I550" s="312" t="str">
        <f t="shared" si="34"/>
        <v>项</v>
      </c>
    </row>
    <row r="551" s="372" customFormat="1" ht="24" hidden="1" customHeight="1" spans="1:9">
      <c r="A551" s="330">
        <v>2070605</v>
      </c>
      <c r="B551" s="379" t="s">
        <v>567</v>
      </c>
      <c r="C551" s="602">
        <f>'[2]2'!E544</f>
        <v>5</v>
      </c>
      <c r="D551" s="714">
        <v>7</v>
      </c>
      <c r="E551" s="713">
        <v>16</v>
      </c>
      <c r="F551" s="716">
        <f t="shared" si="32"/>
        <v>2.2</v>
      </c>
      <c r="G551" s="470">
        <f t="shared" si="33"/>
        <v>2.28571428571429</v>
      </c>
      <c r="H551" s="524" t="str">
        <f t="shared" si="35"/>
        <v>是</v>
      </c>
      <c r="I551" s="312" t="str">
        <f t="shared" si="34"/>
        <v>项</v>
      </c>
    </row>
    <row r="552" s="372" customFormat="1" ht="24" hidden="1" customHeight="1" spans="1:9">
      <c r="A552" s="330">
        <v>2070606</v>
      </c>
      <c r="B552" s="379" t="s">
        <v>568</v>
      </c>
      <c r="C552" s="602">
        <f>'[2]2'!E545</f>
        <v>0</v>
      </c>
      <c r="D552" s="714"/>
      <c r="E552" s="713">
        <v>0</v>
      </c>
      <c r="F552" s="716" t="str">
        <f t="shared" si="32"/>
        <v/>
      </c>
      <c r="G552" s="470" t="str">
        <f t="shared" si="33"/>
        <v/>
      </c>
      <c r="H552" s="524" t="str">
        <f t="shared" si="35"/>
        <v>否</v>
      </c>
      <c r="I552" s="312" t="str">
        <f t="shared" si="34"/>
        <v>项</v>
      </c>
    </row>
    <row r="553" ht="24" hidden="1" customHeight="1" spans="1:9">
      <c r="A553" s="330">
        <v>2070607</v>
      </c>
      <c r="B553" s="379" t="s">
        <v>569</v>
      </c>
      <c r="C553" s="602">
        <f>'[2]2'!E546</f>
        <v>58</v>
      </c>
      <c r="D553" s="714">
        <v>61</v>
      </c>
      <c r="E553" s="713">
        <v>28</v>
      </c>
      <c r="F553" s="716">
        <f t="shared" si="32"/>
        <v>-0.517241379310345</v>
      </c>
      <c r="G553" s="470">
        <f t="shared" si="33"/>
        <v>0.459016393442623</v>
      </c>
      <c r="H553" s="524" t="str">
        <f t="shared" si="35"/>
        <v>是</v>
      </c>
      <c r="I553" s="312" t="str">
        <f t="shared" si="34"/>
        <v>项</v>
      </c>
    </row>
    <row r="554" s="372" customFormat="1" ht="24" hidden="1" customHeight="1" spans="1:9">
      <c r="A554" s="330">
        <v>2070699</v>
      </c>
      <c r="B554" s="379" t="s">
        <v>570</v>
      </c>
      <c r="C554" s="602">
        <f>'[2]2'!E547</f>
        <v>33</v>
      </c>
      <c r="D554" s="714">
        <v>35</v>
      </c>
      <c r="E554" s="713">
        <v>0</v>
      </c>
      <c r="F554" s="716">
        <f t="shared" si="32"/>
        <v>-1</v>
      </c>
      <c r="G554" s="470">
        <f t="shared" si="33"/>
        <v>0</v>
      </c>
      <c r="H554" s="524" t="str">
        <f t="shared" si="35"/>
        <v>是</v>
      </c>
      <c r="I554" s="312" t="str">
        <f t="shared" si="34"/>
        <v>项</v>
      </c>
    </row>
    <row r="555" s="372" customFormat="1" ht="24" customHeight="1" spans="1:9">
      <c r="A555" s="330">
        <v>20708</v>
      </c>
      <c r="B555" s="379" t="s">
        <v>571</v>
      </c>
      <c r="C555" s="602">
        <f>SUM(C556:C562)</f>
        <v>6506</v>
      </c>
      <c r="D555" s="713">
        <f>SUM(D556:D562)</f>
        <v>6610</v>
      </c>
      <c r="E555" s="713">
        <f>SUM(E556:E562)</f>
        <v>4084</v>
      </c>
      <c r="F555" s="716">
        <f t="shared" si="32"/>
        <v>-0.372271749154627</v>
      </c>
      <c r="G555" s="470">
        <f t="shared" si="33"/>
        <v>0.6178517397882</v>
      </c>
      <c r="H555" s="524" t="str">
        <f t="shared" si="35"/>
        <v>是</v>
      </c>
      <c r="I555" s="312" t="str">
        <f t="shared" si="34"/>
        <v>款</v>
      </c>
    </row>
    <row r="556" s="372" customFormat="1" ht="24" hidden="1" customHeight="1" spans="1:9">
      <c r="A556" s="330">
        <v>2070801</v>
      </c>
      <c r="B556" s="379" t="s">
        <v>212</v>
      </c>
      <c r="C556" s="602">
        <f>'[2]2'!E549</f>
        <v>240</v>
      </c>
      <c r="D556" s="714">
        <v>245</v>
      </c>
      <c r="E556" s="713">
        <v>245</v>
      </c>
      <c r="F556" s="716">
        <f t="shared" si="32"/>
        <v>0.0208333333333333</v>
      </c>
      <c r="G556" s="470">
        <f t="shared" si="33"/>
        <v>1</v>
      </c>
      <c r="H556" s="524" t="str">
        <f t="shared" si="35"/>
        <v>是</v>
      </c>
      <c r="I556" s="312" t="str">
        <f t="shared" si="34"/>
        <v>项</v>
      </c>
    </row>
    <row r="557" s="372" customFormat="1" ht="24" hidden="1" customHeight="1" spans="1:9">
      <c r="A557" s="330">
        <v>2070802</v>
      </c>
      <c r="B557" s="379" t="s">
        <v>213</v>
      </c>
      <c r="C557" s="602">
        <f>'[2]2'!E550</f>
        <v>6</v>
      </c>
      <c r="D557" s="714">
        <v>8</v>
      </c>
      <c r="E557" s="713">
        <v>17</v>
      </c>
      <c r="F557" s="716">
        <f t="shared" si="32"/>
        <v>1.83333333333333</v>
      </c>
      <c r="G557" s="470">
        <f t="shared" si="33"/>
        <v>2.125</v>
      </c>
      <c r="H557" s="524" t="str">
        <f t="shared" si="35"/>
        <v>是</v>
      </c>
      <c r="I557" s="312" t="str">
        <f t="shared" si="34"/>
        <v>项</v>
      </c>
    </row>
    <row r="558" s="372" customFormat="1" ht="24" hidden="1" customHeight="1" spans="1:9">
      <c r="A558" s="330">
        <v>2070803</v>
      </c>
      <c r="B558" s="379" t="s">
        <v>214</v>
      </c>
      <c r="C558" s="602">
        <f>'[2]2'!E551</f>
        <v>0</v>
      </c>
      <c r="D558" s="714"/>
      <c r="E558" s="713">
        <v>0</v>
      </c>
      <c r="F558" s="716" t="str">
        <f t="shared" si="32"/>
        <v/>
      </c>
      <c r="G558" s="470" t="str">
        <f t="shared" si="33"/>
        <v/>
      </c>
      <c r="H558" s="524" t="str">
        <f t="shared" si="35"/>
        <v>否</v>
      </c>
      <c r="I558" s="312" t="str">
        <f t="shared" si="34"/>
        <v>项</v>
      </c>
    </row>
    <row r="559" s="372" customFormat="1" ht="24" hidden="1" customHeight="1" spans="1:9">
      <c r="A559" s="330">
        <v>2070806</v>
      </c>
      <c r="B559" s="379" t="s">
        <v>572</v>
      </c>
      <c r="C559" s="602">
        <f>'[2]2'!E552</f>
        <v>57</v>
      </c>
      <c r="D559" s="714">
        <v>65</v>
      </c>
      <c r="E559" s="713">
        <v>65</v>
      </c>
      <c r="F559" s="716">
        <f t="shared" si="32"/>
        <v>0.140350877192982</v>
      </c>
      <c r="G559" s="470">
        <f t="shared" si="33"/>
        <v>1</v>
      </c>
      <c r="H559" s="524" t="str">
        <f t="shared" si="35"/>
        <v>是</v>
      </c>
      <c r="I559" s="312" t="str">
        <f t="shared" si="34"/>
        <v>项</v>
      </c>
    </row>
    <row r="560" s="372" customFormat="1" ht="24" hidden="1" customHeight="1" spans="1:9">
      <c r="A560" s="536">
        <v>2070807</v>
      </c>
      <c r="B560" s="379" t="s">
        <v>573</v>
      </c>
      <c r="C560" s="602">
        <f>'[2]2'!E553</f>
        <v>121</v>
      </c>
      <c r="D560" s="714">
        <v>123</v>
      </c>
      <c r="E560" s="713">
        <v>160</v>
      </c>
      <c r="F560" s="716">
        <f t="shared" si="32"/>
        <v>0.322314049586777</v>
      </c>
      <c r="G560" s="470">
        <f t="shared" si="33"/>
        <v>1.30081300813008</v>
      </c>
      <c r="H560" s="524" t="str">
        <f t="shared" si="35"/>
        <v>是</v>
      </c>
      <c r="I560" s="312" t="str">
        <f t="shared" si="34"/>
        <v>项</v>
      </c>
    </row>
    <row r="561" s="372" customFormat="1" ht="24" hidden="1" customHeight="1" spans="1:9">
      <c r="A561" s="536">
        <v>2070808</v>
      </c>
      <c r="B561" s="379" t="s">
        <v>574</v>
      </c>
      <c r="C561" s="602">
        <f>'[2]2'!E554</f>
        <v>4324</v>
      </c>
      <c r="D561" s="714">
        <v>4404</v>
      </c>
      <c r="E561" s="713">
        <v>2326</v>
      </c>
      <c r="F561" s="716">
        <f t="shared" si="32"/>
        <v>-0.462072155411656</v>
      </c>
      <c r="G561" s="470">
        <f t="shared" si="33"/>
        <v>0.528156221616712</v>
      </c>
      <c r="H561" s="524" t="str">
        <f t="shared" si="35"/>
        <v>是</v>
      </c>
      <c r="I561" s="312" t="str">
        <f t="shared" si="34"/>
        <v>项</v>
      </c>
    </row>
    <row r="562" s="372" customFormat="1" ht="24" hidden="1" customHeight="1" spans="1:9">
      <c r="A562" s="330">
        <v>2070899</v>
      </c>
      <c r="B562" s="379" t="s">
        <v>575</v>
      </c>
      <c r="C562" s="602">
        <f>'[2]2'!E555</f>
        <v>1758</v>
      </c>
      <c r="D562" s="714">
        <v>1765</v>
      </c>
      <c r="E562" s="713">
        <v>1271</v>
      </c>
      <c r="F562" s="716">
        <f t="shared" si="32"/>
        <v>-0.277019340159272</v>
      </c>
      <c r="G562" s="470">
        <f t="shared" si="33"/>
        <v>0.720113314447592</v>
      </c>
      <c r="H562" s="524" t="str">
        <f t="shared" si="35"/>
        <v>是</v>
      </c>
      <c r="I562" s="312" t="str">
        <f t="shared" si="34"/>
        <v>项</v>
      </c>
    </row>
    <row r="563" s="372" customFormat="1" ht="24" customHeight="1" spans="1:9">
      <c r="A563" s="330">
        <v>20799</v>
      </c>
      <c r="B563" s="379" t="s">
        <v>576</v>
      </c>
      <c r="C563" s="602">
        <f>SUM(C564:C566)</f>
        <v>444</v>
      </c>
      <c r="D563" s="713">
        <f>SUM(D564:D566)</f>
        <v>446</v>
      </c>
      <c r="E563" s="713">
        <f>SUM(E564:E566)</f>
        <v>741</v>
      </c>
      <c r="F563" s="716">
        <f t="shared" si="32"/>
        <v>0.668918918918919</v>
      </c>
      <c r="G563" s="470">
        <f t="shared" si="33"/>
        <v>1.66143497757848</v>
      </c>
      <c r="H563" s="524" t="str">
        <f t="shared" si="35"/>
        <v>是</v>
      </c>
      <c r="I563" s="312" t="str">
        <f t="shared" si="34"/>
        <v>款</v>
      </c>
    </row>
    <row r="564" s="313" customFormat="1" ht="24" hidden="1" customHeight="1" spans="1:9">
      <c r="A564" s="331">
        <v>2079902</v>
      </c>
      <c r="B564" s="327" t="s">
        <v>577</v>
      </c>
      <c r="C564" s="608">
        <f>'[2]2'!E557</f>
        <v>8</v>
      </c>
      <c r="D564" s="709"/>
      <c r="E564" s="713"/>
      <c r="F564" s="716">
        <f t="shared" si="32"/>
        <v>-1</v>
      </c>
      <c r="G564" s="470" t="str">
        <f t="shared" si="33"/>
        <v/>
      </c>
      <c r="H564" s="524" t="str">
        <f t="shared" si="35"/>
        <v>是</v>
      </c>
      <c r="I564" s="313" t="str">
        <f t="shared" si="34"/>
        <v>项</v>
      </c>
    </row>
    <row r="565" s="372" customFormat="1" ht="24" hidden="1" customHeight="1" spans="1:9">
      <c r="A565" s="330">
        <v>2079903</v>
      </c>
      <c r="B565" s="379" t="s">
        <v>578</v>
      </c>
      <c r="C565" s="602">
        <f>'[2]2'!E558</f>
        <v>191</v>
      </c>
      <c r="D565" s="714">
        <v>195</v>
      </c>
      <c r="E565" s="713">
        <v>202</v>
      </c>
      <c r="F565" s="716">
        <f t="shared" si="32"/>
        <v>0.0575916230366492</v>
      </c>
      <c r="G565" s="470">
        <f t="shared" si="33"/>
        <v>1.03589743589744</v>
      </c>
      <c r="H565" s="524" t="str">
        <f t="shared" si="35"/>
        <v>是</v>
      </c>
      <c r="I565" s="312" t="str">
        <f t="shared" si="34"/>
        <v>项</v>
      </c>
    </row>
    <row r="566" s="372" customFormat="1" ht="24" hidden="1" customHeight="1" spans="1:9">
      <c r="A566" s="330">
        <v>2079999</v>
      </c>
      <c r="B566" s="379" t="s">
        <v>579</v>
      </c>
      <c r="C566" s="602">
        <f>'[2]2'!E559</f>
        <v>245</v>
      </c>
      <c r="D566" s="714">
        <v>251</v>
      </c>
      <c r="E566" s="713">
        <v>539</v>
      </c>
      <c r="F566" s="716">
        <f t="shared" si="32"/>
        <v>1.2</v>
      </c>
      <c r="G566" s="470">
        <f t="shared" si="33"/>
        <v>2.14741035856574</v>
      </c>
      <c r="H566" s="524" t="str">
        <f t="shared" si="35"/>
        <v>是</v>
      </c>
      <c r="I566" s="312" t="str">
        <f t="shared" si="34"/>
        <v>项</v>
      </c>
    </row>
    <row r="567" s="372" customFormat="1" ht="24" customHeight="1" spans="1:9">
      <c r="A567" s="329">
        <v>208</v>
      </c>
      <c r="B567" s="377" t="s">
        <v>182</v>
      </c>
      <c r="C567" s="601">
        <f>C568+C587+C596+C598+C607+C611+C621+C630+C637+C645+C654+C660+C663+C666+C669+C672+C675+C679+C683+C692+C695</f>
        <v>290336</v>
      </c>
      <c r="D567" s="712">
        <f>D568+D587+D596+D598+D607+D611+D621+D630+D637+D645+D654+D660+D663+D666+D669+D672+D675+D679+D683+D692+D695</f>
        <v>295265</v>
      </c>
      <c r="E567" s="712">
        <f>E568+E587+E596+E598+E607+E611+E621+E630+E637+E645+E654+E660+E663+E666+E669+E672+E675+E679+E683+E692+E695</f>
        <v>292685</v>
      </c>
      <c r="F567" s="715">
        <f t="shared" si="32"/>
        <v>0.00809062603328557</v>
      </c>
      <c r="G567" s="467">
        <f t="shared" si="33"/>
        <v>0.991262086600173</v>
      </c>
      <c r="H567" s="524" t="str">
        <f t="shared" si="35"/>
        <v>是</v>
      </c>
      <c r="I567" s="312" t="str">
        <f t="shared" si="34"/>
        <v>类</v>
      </c>
    </row>
    <row r="568" s="372" customFormat="1" ht="24" customHeight="1" spans="1:9">
      <c r="A568" s="330">
        <v>20801</v>
      </c>
      <c r="B568" s="379" t="s">
        <v>580</v>
      </c>
      <c r="C568" s="602">
        <f>SUM(C569:C586)</f>
        <v>14178</v>
      </c>
      <c r="D568" s="713">
        <f>SUM(D569:D586)</f>
        <v>14376</v>
      </c>
      <c r="E568" s="713">
        <f>SUM(E569:E586)</f>
        <v>8698</v>
      </c>
      <c r="F568" s="716">
        <f t="shared" si="32"/>
        <v>-0.386514317957399</v>
      </c>
      <c r="G568" s="470">
        <f t="shared" si="33"/>
        <v>0.605036171396772</v>
      </c>
      <c r="H568" s="524" t="str">
        <f t="shared" si="35"/>
        <v>是</v>
      </c>
      <c r="I568" s="312" t="str">
        <f t="shared" si="34"/>
        <v>款</v>
      </c>
    </row>
    <row r="569" s="372" customFormat="1" ht="24" hidden="1" customHeight="1" spans="1:9">
      <c r="A569" s="330">
        <v>2080101</v>
      </c>
      <c r="B569" s="379" t="s">
        <v>212</v>
      </c>
      <c r="C569" s="602">
        <f>'[2]2'!E562</f>
        <v>2853</v>
      </c>
      <c r="D569" s="714">
        <v>2915</v>
      </c>
      <c r="E569" s="713">
        <v>3049</v>
      </c>
      <c r="F569" s="716">
        <f t="shared" si="32"/>
        <v>0.0686996144409394</v>
      </c>
      <c r="G569" s="470">
        <f t="shared" si="33"/>
        <v>1.04596912521441</v>
      </c>
      <c r="H569" s="524" t="str">
        <f t="shared" si="35"/>
        <v>是</v>
      </c>
      <c r="I569" s="312" t="str">
        <f t="shared" si="34"/>
        <v>项</v>
      </c>
    </row>
    <row r="570" s="372" customFormat="1" ht="24" hidden="1" customHeight="1" spans="1:9">
      <c r="A570" s="330">
        <v>2080102</v>
      </c>
      <c r="B570" s="379" t="s">
        <v>213</v>
      </c>
      <c r="C570" s="602">
        <f>'[2]2'!E563</f>
        <v>120</v>
      </c>
      <c r="D570" s="714">
        <v>112</v>
      </c>
      <c r="E570" s="713">
        <v>158</v>
      </c>
      <c r="F570" s="716">
        <f t="shared" si="32"/>
        <v>0.316666666666667</v>
      </c>
      <c r="G570" s="470">
        <f t="shared" si="33"/>
        <v>1.41071428571429</v>
      </c>
      <c r="H570" s="524" t="str">
        <f t="shared" si="35"/>
        <v>是</v>
      </c>
      <c r="I570" s="312" t="str">
        <f t="shared" si="34"/>
        <v>项</v>
      </c>
    </row>
    <row r="571" s="372" customFormat="1" ht="24" hidden="1" customHeight="1" spans="1:9">
      <c r="A571" s="330">
        <v>2080103</v>
      </c>
      <c r="B571" s="379" t="s">
        <v>214</v>
      </c>
      <c r="C571" s="602">
        <f>'[2]2'!E564</f>
        <v>0</v>
      </c>
      <c r="D571" s="714"/>
      <c r="E571" s="713">
        <v>0</v>
      </c>
      <c r="F571" s="716" t="str">
        <f t="shared" si="32"/>
        <v/>
      </c>
      <c r="G571" s="470" t="str">
        <f t="shared" si="33"/>
        <v/>
      </c>
      <c r="H571" s="524" t="str">
        <f t="shared" si="35"/>
        <v>否</v>
      </c>
      <c r="I571" s="312" t="str">
        <f t="shared" si="34"/>
        <v>项</v>
      </c>
    </row>
    <row r="572" s="372" customFormat="1" ht="24" hidden="1" customHeight="1" spans="1:9">
      <c r="A572" s="330">
        <v>2080104</v>
      </c>
      <c r="B572" s="379" t="s">
        <v>581</v>
      </c>
      <c r="C572" s="602">
        <f>'[2]2'!E565</f>
        <v>337</v>
      </c>
      <c r="D572" s="714">
        <v>412</v>
      </c>
      <c r="E572" s="713">
        <v>25</v>
      </c>
      <c r="F572" s="716">
        <f t="shared" si="32"/>
        <v>-0.925816023738872</v>
      </c>
      <c r="G572" s="470">
        <f t="shared" si="33"/>
        <v>0.0606796116504854</v>
      </c>
      <c r="H572" s="524" t="str">
        <f t="shared" si="35"/>
        <v>是</v>
      </c>
      <c r="I572" s="312" t="str">
        <f t="shared" si="34"/>
        <v>项</v>
      </c>
    </row>
    <row r="573" ht="24" hidden="1" customHeight="1" spans="1:9">
      <c r="A573" s="330">
        <v>2080105</v>
      </c>
      <c r="B573" s="379" t="s">
        <v>582</v>
      </c>
      <c r="C573" s="602">
        <f>'[2]2'!E566</f>
        <v>0</v>
      </c>
      <c r="D573" s="714"/>
      <c r="E573" s="713">
        <v>19</v>
      </c>
      <c r="F573" s="716" t="str">
        <f t="shared" si="32"/>
        <v/>
      </c>
      <c r="G573" s="470" t="str">
        <f t="shared" si="33"/>
        <v/>
      </c>
      <c r="H573" s="524" t="str">
        <f t="shared" si="35"/>
        <v>是</v>
      </c>
      <c r="I573" s="312" t="str">
        <f t="shared" si="34"/>
        <v>项</v>
      </c>
    </row>
    <row r="574" s="372" customFormat="1" ht="24" hidden="1" customHeight="1" spans="1:9">
      <c r="A574" s="330">
        <v>2080106</v>
      </c>
      <c r="B574" s="379" t="s">
        <v>583</v>
      </c>
      <c r="C574" s="602">
        <f>'[2]2'!E567</f>
        <v>71</v>
      </c>
      <c r="D574" s="714">
        <v>86</v>
      </c>
      <c r="E574" s="713">
        <v>1</v>
      </c>
      <c r="F574" s="716">
        <f t="shared" si="32"/>
        <v>-0.985915492957746</v>
      </c>
      <c r="G574" s="470">
        <f t="shared" si="33"/>
        <v>0.0116279069767442</v>
      </c>
      <c r="H574" s="524" t="str">
        <f t="shared" si="35"/>
        <v>是</v>
      </c>
      <c r="I574" s="312" t="str">
        <f t="shared" si="34"/>
        <v>项</v>
      </c>
    </row>
    <row r="575" s="372" customFormat="1" ht="24" hidden="1" customHeight="1" spans="1:9">
      <c r="A575" s="330">
        <v>2080107</v>
      </c>
      <c r="B575" s="379" t="s">
        <v>584</v>
      </c>
      <c r="C575" s="602">
        <f>'[2]2'!E568</f>
        <v>3</v>
      </c>
      <c r="D575" s="714">
        <v>3</v>
      </c>
      <c r="E575" s="713">
        <v>0</v>
      </c>
      <c r="F575" s="716">
        <f t="shared" si="32"/>
        <v>-1</v>
      </c>
      <c r="G575" s="470">
        <f t="shared" si="33"/>
        <v>0</v>
      </c>
      <c r="H575" s="524" t="str">
        <f t="shared" si="35"/>
        <v>是</v>
      </c>
      <c r="I575" s="312" t="str">
        <f t="shared" si="34"/>
        <v>项</v>
      </c>
    </row>
    <row r="576" s="372" customFormat="1" ht="24" hidden="1" customHeight="1" spans="1:9">
      <c r="A576" s="330">
        <v>2080108</v>
      </c>
      <c r="B576" s="379" t="s">
        <v>252</v>
      </c>
      <c r="C576" s="602">
        <f>'[2]2'!E569</f>
        <v>5</v>
      </c>
      <c r="D576" s="714">
        <v>5</v>
      </c>
      <c r="E576" s="713">
        <v>5</v>
      </c>
      <c r="F576" s="716">
        <f t="shared" si="32"/>
        <v>0</v>
      </c>
      <c r="G576" s="470">
        <f t="shared" si="33"/>
        <v>1</v>
      </c>
      <c r="H576" s="524" t="str">
        <f t="shared" si="35"/>
        <v>是</v>
      </c>
      <c r="I576" s="312" t="str">
        <f t="shared" si="34"/>
        <v>项</v>
      </c>
    </row>
    <row r="577" s="372" customFormat="1" ht="24" hidden="1" customHeight="1" spans="1:9">
      <c r="A577" s="330">
        <v>2080109</v>
      </c>
      <c r="B577" s="379" t="s">
        <v>585</v>
      </c>
      <c r="C577" s="602">
        <f>'[2]2'!E570</f>
        <v>500</v>
      </c>
      <c r="D577" s="714">
        <v>521</v>
      </c>
      <c r="E577" s="713">
        <v>575</v>
      </c>
      <c r="F577" s="716">
        <f t="shared" si="32"/>
        <v>0.15</v>
      </c>
      <c r="G577" s="470">
        <f t="shared" si="33"/>
        <v>1.10364683301344</v>
      </c>
      <c r="H577" s="524" t="str">
        <f t="shared" si="35"/>
        <v>是</v>
      </c>
      <c r="I577" s="312" t="str">
        <f t="shared" si="34"/>
        <v>项</v>
      </c>
    </row>
    <row r="578" s="372" customFormat="1" ht="24" hidden="1" customHeight="1" spans="1:9">
      <c r="A578" s="330">
        <v>2080110</v>
      </c>
      <c r="B578" s="379" t="s">
        <v>586</v>
      </c>
      <c r="C578" s="602">
        <f>'[2]2'!E571</f>
        <v>4</v>
      </c>
      <c r="D578" s="714">
        <v>4</v>
      </c>
      <c r="E578" s="713">
        <v>100</v>
      </c>
      <c r="F578" s="716">
        <f t="shared" si="32"/>
        <v>24</v>
      </c>
      <c r="G578" s="470">
        <f t="shared" si="33"/>
        <v>25</v>
      </c>
      <c r="H578" s="524" t="str">
        <f t="shared" si="35"/>
        <v>是</v>
      </c>
      <c r="I578" s="312" t="str">
        <f t="shared" si="34"/>
        <v>项</v>
      </c>
    </row>
    <row r="579" s="372" customFormat="1" ht="24" hidden="1" customHeight="1" spans="1:9">
      <c r="A579" s="330">
        <v>2080111</v>
      </c>
      <c r="B579" s="379" t="s">
        <v>587</v>
      </c>
      <c r="C579" s="602">
        <f>'[2]2'!E572</f>
        <v>0</v>
      </c>
      <c r="D579" s="714"/>
      <c r="E579" s="713">
        <v>0</v>
      </c>
      <c r="F579" s="716" t="str">
        <f t="shared" si="32"/>
        <v/>
      </c>
      <c r="G579" s="470" t="str">
        <f t="shared" si="33"/>
        <v/>
      </c>
      <c r="H579" s="524" t="str">
        <f t="shared" si="35"/>
        <v>否</v>
      </c>
      <c r="I579" s="312" t="str">
        <f t="shared" si="34"/>
        <v>项</v>
      </c>
    </row>
    <row r="580" s="372" customFormat="1" ht="24" hidden="1" customHeight="1" spans="1:9">
      <c r="A580" s="330">
        <v>2080112</v>
      </c>
      <c r="B580" s="379" t="s">
        <v>588</v>
      </c>
      <c r="C580" s="602">
        <f>'[2]2'!E573</f>
        <v>0</v>
      </c>
      <c r="D580" s="714"/>
      <c r="E580" s="713">
        <v>2</v>
      </c>
      <c r="F580" s="716" t="str">
        <f t="shared" si="32"/>
        <v/>
      </c>
      <c r="G580" s="470" t="str">
        <f t="shared" si="33"/>
        <v/>
      </c>
      <c r="H580" s="524" t="str">
        <f t="shared" si="35"/>
        <v>是</v>
      </c>
      <c r="I580" s="312" t="str">
        <f t="shared" si="34"/>
        <v>项</v>
      </c>
    </row>
    <row r="581" ht="24" hidden="1" customHeight="1" spans="1:9">
      <c r="A581" s="717">
        <v>2080113</v>
      </c>
      <c r="B581" s="534" t="s">
        <v>589</v>
      </c>
      <c r="C581" s="602">
        <f>'[2]2'!E574</f>
        <v>2</v>
      </c>
      <c r="D581" s="714">
        <v>2</v>
      </c>
      <c r="E581" s="713">
        <v>3</v>
      </c>
      <c r="F581" s="716">
        <f t="shared" ref="F581:F644" si="36">IFERROR((E581-C581)/C581,"")</f>
        <v>0.5</v>
      </c>
      <c r="G581" s="470">
        <f t="shared" ref="G581:G644" si="37">IFERROR(E581/D581,"")</f>
        <v>1.5</v>
      </c>
      <c r="H581" s="524" t="str">
        <f t="shared" si="35"/>
        <v>是</v>
      </c>
      <c r="I581" s="312" t="str">
        <f t="shared" ref="I581:I644" si="38">IF(LEN(A581)=3,"类",IF(LEN(A581)=5,"款","项"))</f>
        <v>项</v>
      </c>
    </row>
    <row r="582" s="372" customFormat="1" ht="24" hidden="1" customHeight="1" spans="1:9">
      <c r="A582" s="717">
        <v>2080114</v>
      </c>
      <c r="B582" s="534" t="s">
        <v>590</v>
      </c>
      <c r="C582" s="602">
        <f>'[2]2'!E575</f>
        <v>0</v>
      </c>
      <c r="D582" s="714"/>
      <c r="E582" s="713">
        <v>0</v>
      </c>
      <c r="F582" s="716" t="str">
        <f t="shared" si="36"/>
        <v/>
      </c>
      <c r="G582" s="470" t="str">
        <f t="shared" si="37"/>
        <v/>
      </c>
      <c r="H582" s="524" t="str">
        <f t="shared" ref="H582:H645" si="39">IF(LEN(A582)=3,"是",IF(B582&lt;&gt;"",IF(SUM(C582:E582)&lt;&gt;0,"是","否"),"是"))</f>
        <v>否</v>
      </c>
      <c r="I582" s="312" t="str">
        <f t="shared" si="38"/>
        <v>项</v>
      </c>
    </row>
    <row r="583" s="372" customFormat="1" ht="24" hidden="1" customHeight="1" spans="1:9">
      <c r="A583" s="717">
        <v>2080115</v>
      </c>
      <c r="B583" s="534" t="s">
        <v>591</v>
      </c>
      <c r="C583" s="602">
        <f>'[2]2'!E576</f>
        <v>0</v>
      </c>
      <c r="D583" s="714"/>
      <c r="E583" s="713">
        <v>0</v>
      </c>
      <c r="F583" s="716" t="str">
        <f t="shared" si="36"/>
        <v/>
      </c>
      <c r="G583" s="470" t="str">
        <f t="shared" si="37"/>
        <v/>
      </c>
      <c r="H583" s="524" t="str">
        <f t="shared" si="39"/>
        <v>否</v>
      </c>
      <c r="I583" s="312" t="str">
        <f t="shared" si="38"/>
        <v>项</v>
      </c>
    </row>
    <row r="584" s="372" customFormat="1" ht="24" hidden="1" customHeight="1" spans="1:9">
      <c r="A584" s="717">
        <v>2080116</v>
      </c>
      <c r="B584" s="534" t="s">
        <v>592</v>
      </c>
      <c r="C584" s="602">
        <f>'[2]2'!E577</f>
        <v>10</v>
      </c>
      <c r="D584" s="714">
        <v>11</v>
      </c>
      <c r="E584" s="713">
        <v>0</v>
      </c>
      <c r="F584" s="716">
        <f t="shared" si="36"/>
        <v>-1</v>
      </c>
      <c r="G584" s="470">
        <f t="shared" si="37"/>
        <v>0</v>
      </c>
      <c r="H584" s="524" t="str">
        <f t="shared" si="39"/>
        <v>是</v>
      </c>
      <c r="I584" s="312" t="str">
        <f t="shared" si="38"/>
        <v>项</v>
      </c>
    </row>
    <row r="585" ht="24" hidden="1" customHeight="1" spans="1:9">
      <c r="A585" s="717">
        <v>2080150</v>
      </c>
      <c r="B585" s="534" t="s">
        <v>221</v>
      </c>
      <c r="C585" s="602">
        <f>'[2]2'!E578</f>
        <v>1719</v>
      </c>
      <c r="D585" s="714">
        <v>1810</v>
      </c>
      <c r="E585" s="713">
        <v>1690</v>
      </c>
      <c r="F585" s="716">
        <f t="shared" si="36"/>
        <v>-0.016870273414776</v>
      </c>
      <c r="G585" s="470">
        <f t="shared" si="37"/>
        <v>0.933701657458563</v>
      </c>
      <c r="H585" s="524" t="str">
        <f t="shared" si="39"/>
        <v>是</v>
      </c>
      <c r="I585" s="312" t="str">
        <f t="shared" si="38"/>
        <v>项</v>
      </c>
    </row>
    <row r="586" ht="24" hidden="1" customHeight="1" spans="1:9">
      <c r="A586" s="330">
        <v>2080199</v>
      </c>
      <c r="B586" s="379" t="s">
        <v>593</v>
      </c>
      <c r="C586" s="602">
        <f>'[2]2'!E579</f>
        <v>8554</v>
      </c>
      <c r="D586" s="714">
        <v>8495</v>
      </c>
      <c r="E586" s="713">
        <v>3071</v>
      </c>
      <c r="F586" s="716">
        <f t="shared" si="36"/>
        <v>-0.640986672901567</v>
      </c>
      <c r="G586" s="470">
        <f t="shared" si="37"/>
        <v>0.361506768687463</v>
      </c>
      <c r="H586" s="524" t="str">
        <f t="shared" si="39"/>
        <v>是</v>
      </c>
      <c r="I586" s="312" t="str">
        <f t="shared" si="38"/>
        <v>项</v>
      </c>
    </row>
    <row r="587" s="372" customFormat="1" ht="24" customHeight="1" spans="1:9">
      <c r="A587" s="330">
        <v>20802</v>
      </c>
      <c r="B587" s="379" t="s">
        <v>594</v>
      </c>
      <c r="C587" s="602">
        <f>SUM(C588:C595)</f>
        <v>9194</v>
      </c>
      <c r="D587" s="713">
        <f>SUM(D588:D595)</f>
        <v>6362</v>
      </c>
      <c r="E587" s="713">
        <f>SUM(E588:E595)</f>
        <v>4526</v>
      </c>
      <c r="F587" s="716">
        <f t="shared" si="36"/>
        <v>-0.50772242767022</v>
      </c>
      <c r="G587" s="470">
        <f t="shared" si="37"/>
        <v>0.711411505815781</v>
      </c>
      <c r="H587" s="524" t="str">
        <f t="shared" si="39"/>
        <v>是</v>
      </c>
      <c r="I587" s="312" t="str">
        <f t="shared" si="38"/>
        <v>款</v>
      </c>
    </row>
    <row r="588" s="372" customFormat="1" ht="24" hidden="1" customHeight="1" spans="1:9">
      <c r="A588" s="330">
        <v>2080201</v>
      </c>
      <c r="B588" s="379" t="s">
        <v>212</v>
      </c>
      <c r="C588" s="602">
        <f>'[2]2'!E581</f>
        <v>1572</v>
      </c>
      <c r="D588" s="714">
        <v>1625</v>
      </c>
      <c r="E588" s="713">
        <v>1674</v>
      </c>
      <c r="F588" s="716">
        <f t="shared" si="36"/>
        <v>0.0648854961832061</v>
      </c>
      <c r="G588" s="470">
        <f t="shared" si="37"/>
        <v>1.03015384615385</v>
      </c>
      <c r="H588" s="524" t="str">
        <f t="shared" si="39"/>
        <v>是</v>
      </c>
      <c r="I588" s="312" t="str">
        <f t="shared" si="38"/>
        <v>项</v>
      </c>
    </row>
    <row r="589" s="372" customFormat="1" ht="24" hidden="1" customHeight="1" spans="1:9">
      <c r="A589" s="330">
        <v>2080202</v>
      </c>
      <c r="B589" s="379" t="s">
        <v>213</v>
      </c>
      <c r="C589" s="602">
        <f>'[2]2'!E582</f>
        <v>11</v>
      </c>
      <c r="D589" s="714">
        <v>8</v>
      </c>
      <c r="E589" s="713">
        <v>0</v>
      </c>
      <c r="F589" s="716">
        <f t="shared" si="36"/>
        <v>-1</v>
      </c>
      <c r="G589" s="470">
        <f t="shared" si="37"/>
        <v>0</v>
      </c>
      <c r="H589" s="524" t="str">
        <f t="shared" si="39"/>
        <v>是</v>
      </c>
      <c r="I589" s="312" t="str">
        <f t="shared" si="38"/>
        <v>项</v>
      </c>
    </row>
    <row r="590" s="372" customFormat="1" ht="24" hidden="1" customHeight="1" spans="1:9">
      <c r="A590" s="330">
        <v>2080203</v>
      </c>
      <c r="B590" s="379" t="s">
        <v>214</v>
      </c>
      <c r="C590" s="602">
        <f>'[2]2'!E583</f>
        <v>0</v>
      </c>
      <c r="D590" s="714"/>
      <c r="E590" s="713">
        <v>0</v>
      </c>
      <c r="F590" s="716" t="str">
        <f t="shared" si="36"/>
        <v/>
      </c>
      <c r="G590" s="470" t="str">
        <f t="shared" si="37"/>
        <v/>
      </c>
      <c r="H590" s="524" t="str">
        <f t="shared" si="39"/>
        <v>否</v>
      </c>
      <c r="I590" s="312" t="str">
        <f t="shared" si="38"/>
        <v>项</v>
      </c>
    </row>
    <row r="591" s="372" customFormat="1" ht="24" hidden="1" customHeight="1" spans="1:9">
      <c r="A591" s="330">
        <v>2080206</v>
      </c>
      <c r="B591" s="379" t="s">
        <v>595</v>
      </c>
      <c r="C591" s="602">
        <f>'[2]2'!E584</f>
        <v>1</v>
      </c>
      <c r="D591" s="714">
        <v>2</v>
      </c>
      <c r="E591" s="713">
        <v>3</v>
      </c>
      <c r="F591" s="716">
        <f t="shared" si="36"/>
        <v>2</v>
      </c>
      <c r="G591" s="470">
        <f t="shared" si="37"/>
        <v>1.5</v>
      </c>
      <c r="H591" s="524" t="str">
        <f t="shared" si="39"/>
        <v>是</v>
      </c>
      <c r="I591" s="312" t="str">
        <f t="shared" si="38"/>
        <v>项</v>
      </c>
    </row>
    <row r="592" s="372" customFormat="1" ht="24" hidden="1" customHeight="1" spans="1:9">
      <c r="A592" s="330">
        <v>2080207</v>
      </c>
      <c r="B592" s="379" t="s">
        <v>596</v>
      </c>
      <c r="C592" s="602">
        <f>'[2]2'!E585</f>
        <v>0</v>
      </c>
      <c r="D592" s="714"/>
      <c r="E592" s="713">
        <v>11</v>
      </c>
      <c r="F592" s="716" t="str">
        <f t="shared" si="36"/>
        <v/>
      </c>
      <c r="G592" s="470" t="str">
        <f t="shared" si="37"/>
        <v/>
      </c>
      <c r="H592" s="524" t="str">
        <f t="shared" si="39"/>
        <v>是</v>
      </c>
      <c r="I592" s="312" t="str">
        <f t="shared" si="38"/>
        <v>项</v>
      </c>
    </row>
    <row r="593" s="374" customFormat="1" ht="24" hidden="1" customHeight="1" spans="1:9">
      <c r="A593" s="331">
        <v>2080208</v>
      </c>
      <c r="B593" s="327" t="s">
        <v>597</v>
      </c>
      <c r="C593" s="608">
        <f>'[2]2'!E586</f>
        <v>2951</v>
      </c>
      <c r="D593" s="709"/>
      <c r="E593" s="713"/>
      <c r="F593" s="716">
        <f t="shared" si="36"/>
        <v>-1</v>
      </c>
      <c r="G593" s="470" t="str">
        <f t="shared" si="37"/>
        <v/>
      </c>
      <c r="H593" s="524" t="str">
        <f t="shared" si="39"/>
        <v>是</v>
      </c>
      <c r="I593" s="313" t="str">
        <f t="shared" si="38"/>
        <v>项</v>
      </c>
    </row>
    <row r="594" s="374" customFormat="1" ht="24" hidden="1" customHeight="1" spans="1:9">
      <c r="A594" s="719">
        <v>2080209</v>
      </c>
      <c r="B594" s="327" t="s">
        <v>598</v>
      </c>
      <c r="C594" s="608"/>
      <c r="D594" s="709">
        <v>115</v>
      </c>
      <c r="E594" s="713">
        <v>27</v>
      </c>
      <c r="F594" s="716" t="str">
        <f t="shared" si="36"/>
        <v/>
      </c>
      <c r="G594" s="470">
        <f t="shared" si="37"/>
        <v>0.234782608695652</v>
      </c>
      <c r="H594" s="524" t="str">
        <f t="shared" si="39"/>
        <v>是</v>
      </c>
      <c r="I594" s="313" t="str">
        <f t="shared" si="38"/>
        <v>项</v>
      </c>
    </row>
    <row r="595" s="372" customFormat="1" ht="24" hidden="1" customHeight="1" spans="1:9">
      <c r="A595" s="330">
        <v>2080299</v>
      </c>
      <c r="B595" s="379" t="s">
        <v>599</v>
      </c>
      <c r="C595" s="602">
        <f>'[2]2'!E587</f>
        <v>4659</v>
      </c>
      <c r="D595" s="714">
        <v>4612</v>
      </c>
      <c r="E595" s="713">
        <v>2811</v>
      </c>
      <c r="F595" s="716">
        <f t="shared" si="36"/>
        <v>-0.396651641983258</v>
      </c>
      <c r="G595" s="470">
        <f t="shared" si="37"/>
        <v>0.60949696444059</v>
      </c>
      <c r="H595" s="524" t="str">
        <f t="shared" si="39"/>
        <v>是</v>
      </c>
      <c r="I595" s="312" t="str">
        <f t="shared" si="38"/>
        <v>项</v>
      </c>
    </row>
    <row r="596" s="372" customFormat="1" ht="24" hidden="1" customHeight="1" spans="1:9">
      <c r="A596" s="330">
        <v>20804</v>
      </c>
      <c r="B596" s="379" t="s">
        <v>600</v>
      </c>
      <c r="C596" s="602">
        <f>C597</f>
        <v>0</v>
      </c>
      <c r="D596" s="713">
        <f>D597</f>
        <v>0</v>
      </c>
      <c r="E596" s="713">
        <f>E597</f>
        <v>0</v>
      </c>
      <c r="F596" s="716" t="str">
        <f t="shared" si="36"/>
        <v/>
      </c>
      <c r="G596" s="470" t="str">
        <f t="shared" si="37"/>
        <v/>
      </c>
      <c r="H596" s="524" t="str">
        <f t="shared" si="39"/>
        <v>否</v>
      </c>
      <c r="I596" s="312" t="str">
        <f t="shared" si="38"/>
        <v>款</v>
      </c>
    </row>
    <row r="597" s="372" customFormat="1" ht="24" hidden="1" customHeight="1" spans="1:9">
      <c r="A597" s="330">
        <v>2080402</v>
      </c>
      <c r="B597" s="379" t="s">
        <v>601</v>
      </c>
      <c r="C597" s="602">
        <f>'[2]2'!E589</f>
        <v>0</v>
      </c>
      <c r="D597" s="714"/>
      <c r="E597" s="713">
        <v>0</v>
      </c>
      <c r="F597" s="716" t="str">
        <f t="shared" si="36"/>
        <v/>
      </c>
      <c r="G597" s="470" t="str">
        <f t="shared" si="37"/>
        <v/>
      </c>
      <c r="H597" s="524" t="str">
        <f t="shared" si="39"/>
        <v>否</v>
      </c>
      <c r="I597" s="312" t="str">
        <f t="shared" si="38"/>
        <v>项</v>
      </c>
    </row>
    <row r="598" s="372" customFormat="1" ht="24" customHeight="1" spans="1:9">
      <c r="A598" s="330">
        <v>20805</v>
      </c>
      <c r="B598" s="379" t="s">
        <v>602</v>
      </c>
      <c r="C598" s="602">
        <f>SUM(C599:C606)</f>
        <v>123137</v>
      </c>
      <c r="D598" s="713">
        <f>SUM(D599:D606)</f>
        <v>128360</v>
      </c>
      <c r="E598" s="713">
        <f>SUM(E599:E606)</f>
        <v>135072</v>
      </c>
      <c r="F598" s="716">
        <f t="shared" si="36"/>
        <v>0.0969245636973452</v>
      </c>
      <c r="G598" s="470">
        <f t="shared" si="37"/>
        <v>1.05229043315675</v>
      </c>
      <c r="H598" s="524" t="str">
        <f t="shared" si="39"/>
        <v>是</v>
      </c>
      <c r="I598" s="312" t="str">
        <f t="shared" si="38"/>
        <v>款</v>
      </c>
    </row>
    <row r="599" s="372" customFormat="1" ht="24" hidden="1" customHeight="1" spans="1:9">
      <c r="A599" s="330">
        <v>2080501</v>
      </c>
      <c r="B599" s="379" t="s">
        <v>603</v>
      </c>
      <c r="C599" s="602">
        <f>'[2]2'!E591</f>
        <v>15006</v>
      </c>
      <c r="D599" s="714">
        <v>16226</v>
      </c>
      <c r="E599" s="713">
        <v>20059</v>
      </c>
      <c r="F599" s="716">
        <f t="shared" si="36"/>
        <v>0.336731973877116</v>
      </c>
      <c r="G599" s="470">
        <f t="shared" si="37"/>
        <v>1.23622581042771</v>
      </c>
      <c r="H599" s="524" t="str">
        <f t="shared" si="39"/>
        <v>是</v>
      </c>
      <c r="I599" s="312" t="str">
        <f t="shared" si="38"/>
        <v>项</v>
      </c>
    </row>
    <row r="600" s="372" customFormat="1" ht="24" hidden="1" customHeight="1" spans="1:9">
      <c r="A600" s="330">
        <v>2080502</v>
      </c>
      <c r="B600" s="379" t="s">
        <v>604</v>
      </c>
      <c r="C600" s="602">
        <f>'[2]2'!E592</f>
        <v>19600</v>
      </c>
      <c r="D600" s="714">
        <v>20339</v>
      </c>
      <c r="E600" s="713">
        <v>22206</v>
      </c>
      <c r="F600" s="716">
        <f t="shared" si="36"/>
        <v>0.132959183673469</v>
      </c>
      <c r="G600" s="470">
        <f t="shared" si="37"/>
        <v>1.09179409017159</v>
      </c>
      <c r="H600" s="524" t="str">
        <f t="shared" si="39"/>
        <v>是</v>
      </c>
      <c r="I600" s="312" t="str">
        <f t="shared" si="38"/>
        <v>项</v>
      </c>
    </row>
    <row r="601" s="372" customFormat="1" ht="24" hidden="1" customHeight="1" spans="1:9">
      <c r="A601" s="330">
        <v>2080503</v>
      </c>
      <c r="B601" s="379" t="s">
        <v>605</v>
      </c>
      <c r="C601" s="602">
        <f>'[2]2'!E593</f>
        <v>252</v>
      </c>
      <c r="D601" s="714">
        <v>315</v>
      </c>
      <c r="E601" s="713">
        <v>230</v>
      </c>
      <c r="F601" s="716">
        <f t="shared" si="36"/>
        <v>-0.0873015873015873</v>
      </c>
      <c r="G601" s="470">
        <f t="shared" si="37"/>
        <v>0.73015873015873</v>
      </c>
      <c r="H601" s="524" t="str">
        <f t="shared" si="39"/>
        <v>是</v>
      </c>
      <c r="I601" s="312" t="str">
        <f t="shared" si="38"/>
        <v>项</v>
      </c>
    </row>
    <row r="602" s="372" customFormat="1" ht="24" hidden="1" customHeight="1" spans="1:9">
      <c r="A602" s="330">
        <v>2080505</v>
      </c>
      <c r="B602" s="379" t="s">
        <v>606</v>
      </c>
      <c r="C602" s="602">
        <f>'[2]2'!E594</f>
        <v>63057</v>
      </c>
      <c r="D602" s="714">
        <v>65214</v>
      </c>
      <c r="E602" s="713">
        <v>63816</v>
      </c>
      <c r="F602" s="716">
        <f t="shared" si="36"/>
        <v>0.0120367286740568</v>
      </c>
      <c r="G602" s="470">
        <f t="shared" si="37"/>
        <v>0.978562885270034</v>
      </c>
      <c r="H602" s="524" t="str">
        <f t="shared" si="39"/>
        <v>是</v>
      </c>
      <c r="I602" s="312" t="str">
        <f t="shared" si="38"/>
        <v>项</v>
      </c>
    </row>
    <row r="603" s="372" customFormat="1" ht="24" hidden="1" customHeight="1" spans="1:9">
      <c r="A603" s="330">
        <v>2080506</v>
      </c>
      <c r="B603" s="379" t="s">
        <v>607</v>
      </c>
      <c r="C603" s="602">
        <f>'[2]2'!E595</f>
        <v>10518</v>
      </c>
      <c r="D603" s="714">
        <v>11256</v>
      </c>
      <c r="E603" s="713">
        <v>11865</v>
      </c>
      <c r="F603" s="716">
        <f t="shared" si="36"/>
        <v>0.128066172276098</v>
      </c>
      <c r="G603" s="470">
        <f t="shared" si="37"/>
        <v>1.05410447761194</v>
      </c>
      <c r="H603" s="524" t="str">
        <f t="shared" si="39"/>
        <v>是</v>
      </c>
      <c r="I603" s="312" t="str">
        <f t="shared" si="38"/>
        <v>项</v>
      </c>
    </row>
    <row r="604" s="372" customFormat="1" ht="24" hidden="1" customHeight="1" spans="1:9">
      <c r="A604" s="330">
        <v>2080507</v>
      </c>
      <c r="B604" s="379" t="s">
        <v>608</v>
      </c>
      <c r="C604" s="602">
        <f>'[2]2'!E596</f>
        <v>13750</v>
      </c>
      <c r="D604" s="714">
        <v>14125</v>
      </c>
      <c r="E604" s="713">
        <v>16140</v>
      </c>
      <c r="F604" s="716">
        <f t="shared" si="36"/>
        <v>0.173818181818182</v>
      </c>
      <c r="G604" s="470">
        <f t="shared" si="37"/>
        <v>1.14265486725664</v>
      </c>
      <c r="H604" s="524" t="str">
        <f t="shared" si="39"/>
        <v>是</v>
      </c>
      <c r="I604" s="312" t="str">
        <f t="shared" si="38"/>
        <v>项</v>
      </c>
    </row>
    <row r="605" s="372" customFormat="1" ht="24" hidden="1" customHeight="1" spans="1:9">
      <c r="A605" s="717">
        <v>2080508</v>
      </c>
      <c r="B605" s="534" t="s">
        <v>609</v>
      </c>
      <c r="C605" s="602">
        <f>'[2]2'!E597</f>
        <v>0</v>
      </c>
      <c r="D605" s="714"/>
      <c r="E605" s="713">
        <v>0</v>
      </c>
      <c r="F605" s="716" t="str">
        <f t="shared" si="36"/>
        <v/>
      </c>
      <c r="G605" s="470" t="str">
        <f t="shared" si="37"/>
        <v/>
      </c>
      <c r="H605" s="524" t="str">
        <f t="shared" si="39"/>
        <v>否</v>
      </c>
      <c r="I605" s="312" t="str">
        <f t="shared" si="38"/>
        <v>项</v>
      </c>
    </row>
    <row r="606" ht="24" hidden="1" customHeight="1" spans="1:9">
      <c r="A606" s="330">
        <v>2080599</v>
      </c>
      <c r="B606" s="379" t="s">
        <v>610</v>
      </c>
      <c r="C606" s="602">
        <f>'[2]2'!E598</f>
        <v>954</v>
      </c>
      <c r="D606" s="714">
        <v>885</v>
      </c>
      <c r="E606" s="713">
        <v>756</v>
      </c>
      <c r="F606" s="716">
        <f t="shared" si="36"/>
        <v>-0.207547169811321</v>
      </c>
      <c r="G606" s="470">
        <f t="shared" si="37"/>
        <v>0.854237288135593</v>
      </c>
      <c r="H606" s="524" t="str">
        <f t="shared" si="39"/>
        <v>是</v>
      </c>
      <c r="I606" s="312" t="str">
        <f t="shared" si="38"/>
        <v>项</v>
      </c>
    </row>
    <row r="607" s="372" customFormat="1" ht="24" customHeight="1" spans="1:9">
      <c r="A607" s="330">
        <v>20806</v>
      </c>
      <c r="B607" s="379" t="s">
        <v>611</v>
      </c>
      <c r="C607" s="602">
        <f>SUM(C608:C610)</f>
        <v>398</v>
      </c>
      <c r="D607" s="713">
        <f>SUM(D608:D610)</f>
        <v>379</v>
      </c>
      <c r="E607" s="713">
        <f>SUM(E608:E610)</f>
        <v>410</v>
      </c>
      <c r="F607" s="716">
        <f t="shared" si="36"/>
        <v>0.0301507537688442</v>
      </c>
      <c r="G607" s="470">
        <f t="shared" si="37"/>
        <v>1.08179419525066</v>
      </c>
      <c r="H607" s="524" t="str">
        <f t="shared" si="39"/>
        <v>是</v>
      </c>
      <c r="I607" s="312" t="str">
        <f t="shared" si="38"/>
        <v>款</v>
      </c>
    </row>
    <row r="608" s="372" customFormat="1" ht="24" hidden="1" customHeight="1" spans="1:9">
      <c r="A608" s="330">
        <v>2080601</v>
      </c>
      <c r="B608" s="379" t="s">
        <v>612</v>
      </c>
      <c r="C608" s="602">
        <f>'[2]2'!E600</f>
        <v>1</v>
      </c>
      <c r="D608" s="714">
        <v>1</v>
      </c>
      <c r="E608" s="713">
        <v>1</v>
      </c>
      <c r="F608" s="716">
        <f t="shared" si="36"/>
        <v>0</v>
      </c>
      <c r="G608" s="470">
        <f t="shared" si="37"/>
        <v>1</v>
      </c>
      <c r="H608" s="524" t="str">
        <f t="shared" si="39"/>
        <v>是</v>
      </c>
      <c r="I608" s="312" t="str">
        <f t="shared" si="38"/>
        <v>项</v>
      </c>
    </row>
    <row r="609" s="372" customFormat="1" ht="24" hidden="1" customHeight="1" spans="1:9">
      <c r="A609" s="330">
        <v>2080602</v>
      </c>
      <c r="B609" s="379" t="s">
        <v>613</v>
      </c>
      <c r="C609" s="602">
        <f>'[2]2'!E601</f>
        <v>0</v>
      </c>
      <c r="D609" s="714"/>
      <c r="E609" s="713">
        <v>0</v>
      </c>
      <c r="F609" s="716" t="str">
        <f t="shared" si="36"/>
        <v/>
      </c>
      <c r="G609" s="470" t="str">
        <f t="shared" si="37"/>
        <v/>
      </c>
      <c r="H609" s="524" t="str">
        <f t="shared" si="39"/>
        <v>否</v>
      </c>
      <c r="I609" s="312" t="str">
        <f t="shared" si="38"/>
        <v>项</v>
      </c>
    </row>
    <row r="610" s="372" customFormat="1" ht="24" hidden="1" customHeight="1" spans="1:9">
      <c r="A610" s="330">
        <v>2080699</v>
      </c>
      <c r="B610" s="379" t="s">
        <v>614</v>
      </c>
      <c r="C610" s="602">
        <f>'[2]2'!E602</f>
        <v>397</v>
      </c>
      <c r="D610" s="714">
        <v>378</v>
      </c>
      <c r="E610" s="713">
        <v>409</v>
      </c>
      <c r="F610" s="716">
        <f t="shared" si="36"/>
        <v>0.0302267002518892</v>
      </c>
      <c r="G610" s="470">
        <f t="shared" si="37"/>
        <v>1.08201058201058</v>
      </c>
      <c r="H610" s="524" t="str">
        <f t="shared" si="39"/>
        <v>是</v>
      </c>
      <c r="I610" s="312" t="str">
        <f t="shared" si="38"/>
        <v>项</v>
      </c>
    </row>
    <row r="611" s="372" customFormat="1" ht="24" customHeight="1" spans="1:9">
      <c r="A611" s="330">
        <v>20807</v>
      </c>
      <c r="B611" s="379" t="s">
        <v>615</v>
      </c>
      <c r="C611" s="602">
        <f>SUM(C612:C620)</f>
        <v>14735</v>
      </c>
      <c r="D611" s="713">
        <f>SUM(D612:D620)</f>
        <v>14474</v>
      </c>
      <c r="E611" s="713">
        <f>SUM(E612:E620)</f>
        <v>16053</v>
      </c>
      <c r="F611" s="716">
        <f t="shared" si="36"/>
        <v>0.0894468951476077</v>
      </c>
      <c r="G611" s="470">
        <f t="shared" si="37"/>
        <v>1.10909216526185</v>
      </c>
      <c r="H611" s="524" t="str">
        <f t="shared" si="39"/>
        <v>是</v>
      </c>
      <c r="I611" s="312" t="str">
        <f t="shared" si="38"/>
        <v>款</v>
      </c>
    </row>
    <row r="612" s="374" customFormat="1" ht="24" hidden="1" customHeight="1" spans="1:9">
      <c r="A612" s="331">
        <v>2080701</v>
      </c>
      <c r="B612" s="327" t="s">
        <v>616</v>
      </c>
      <c r="C612" s="608">
        <f>'[2]2'!E604</f>
        <v>47</v>
      </c>
      <c r="D612" s="709">
        <v>47</v>
      </c>
      <c r="E612" s="713">
        <v>286</v>
      </c>
      <c r="F612" s="716">
        <f t="shared" si="36"/>
        <v>5.08510638297872</v>
      </c>
      <c r="G612" s="470">
        <f t="shared" si="37"/>
        <v>6.08510638297872</v>
      </c>
      <c r="H612" s="524" t="str">
        <f t="shared" si="39"/>
        <v>是</v>
      </c>
      <c r="I612" s="313" t="str">
        <f t="shared" si="38"/>
        <v>项</v>
      </c>
    </row>
    <row r="613" s="372" customFormat="1" ht="24" hidden="1" customHeight="1" spans="1:9">
      <c r="A613" s="330">
        <v>2080702</v>
      </c>
      <c r="B613" s="379" t="s">
        <v>617</v>
      </c>
      <c r="C613" s="602">
        <f>'[2]2'!E605</f>
        <v>247</v>
      </c>
      <c r="D613" s="714">
        <v>235</v>
      </c>
      <c r="E613" s="713">
        <v>818</v>
      </c>
      <c r="F613" s="716">
        <f t="shared" si="36"/>
        <v>2.31174089068826</v>
      </c>
      <c r="G613" s="470">
        <f t="shared" si="37"/>
        <v>3.48085106382979</v>
      </c>
      <c r="H613" s="524" t="str">
        <f t="shared" si="39"/>
        <v>是</v>
      </c>
      <c r="I613" s="312" t="str">
        <f t="shared" si="38"/>
        <v>项</v>
      </c>
    </row>
    <row r="614" s="372" customFormat="1" ht="24" hidden="1" customHeight="1" spans="1:9">
      <c r="A614" s="330">
        <v>2080704</v>
      </c>
      <c r="B614" s="379" t="s">
        <v>618</v>
      </c>
      <c r="C614" s="602">
        <f>'[2]2'!E606</f>
        <v>2172</v>
      </c>
      <c r="D614" s="714">
        <v>2015</v>
      </c>
      <c r="E614" s="713">
        <v>2348</v>
      </c>
      <c r="F614" s="716">
        <f t="shared" si="36"/>
        <v>0.0810313075506446</v>
      </c>
      <c r="G614" s="470">
        <f t="shared" si="37"/>
        <v>1.16526054590571</v>
      </c>
      <c r="H614" s="524" t="str">
        <f t="shared" si="39"/>
        <v>是</v>
      </c>
      <c r="I614" s="312" t="str">
        <f t="shared" si="38"/>
        <v>项</v>
      </c>
    </row>
    <row r="615" s="372" customFormat="1" ht="24" hidden="1" customHeight="1" spans="1:9">
      <c r="A615" s="330">
        <v>2080705</v>
      </c>
      <c r="B615" s="379" t="s">
        <v>619</v>
      </c>
      <c r="C615" s="602">
        <f>'[2]2'!E607</f>
        <v>8291</v>
      </c>
      <c r="D615" s="714">
        <v>8421</v>
      </c>
      <c r="E615" s="713">
        <v>7333</v>
      </c>
      <c r="F615" s="716">
        <f t="shared" si="36"/>
        <v>-0.11554697865155</v>
      </c>
      <c r="G615" s="470">
        <f t="shared" si="37"/>
        <v>0.870799192494953</v>
      </c>
      <c r="H615" s="524" t="str">
        <f t="shared" si="39"/>
        <v>是</v>
      </c>
      <c r="I615" s="312" t="str">
        <f t="shared" si="38"/>
        <v>项</v>
      </c>
    </row>
    <row r="616" s="313" customFormat="1" ht="24" hidden="1" customHeight="1" spans="1:10">
      <c r="A616" s="331">
        <v>2080709</v>
      </c>
      <c r="B616" s="327" t="s">
        <v>620</v>
      </c>
      <c r="C616" s="608">
        <f>'[2]2'!E608</f>
        <v>0</v>
      </c>
      <c r="D616" s="709"/>
      <c r="E616" s="713">
        <v>0</v>
      </c>
      <c r="F616" s="716" t="str">
        <f t="shared" si="36"/>
        <v/>
      </c>
      <c r="G616" s="470" t="str">
        <f t="shared" si="37"/>
        <v/>
      </c>
      <c r="H616" s="524" t="str">
        <f t="shared" si="39"/>
        <v>否</v>
      </c>
      <c r="I616" s="313" t="str">
        <f t="shared" si="38"/>
        <v>项</v>
      </c>
      <c r="J616" s="374"/>
    </row>
    <row r="617" s="372" customFormat="1" ht="24" hidden="1" customHeight="1" spans="1:9">
      <c r="A617" s="330">
        <v>2080711</v>
      </c>
      <c r="B617" s="379" t="s">
        <v>621</v>
      </c>
      <c r="C617" s="602">
        <f>'[2]2'!E609</f>
        <v>277</v>
      </c>
      <c r="D617" s="714">
        <v>256</v>
      </c>
      <c r="E617" s="713">
        <v>286</v>
      </c>
      <c r="F617" s="716">
        <f t="shared" si="36"/>
        <v>0.0324909747292419</v>
      </c>
      <c r="G617" s="470">
        <f t="shared" si="37"/>
        <v>1.1171875</v>
      </c>
      <c r="H617" s="524" t="str">
        <f t="shared" si="39"/>
        <v>是</v>
      </c>
      <c r="I617" s="312" t="str">
        <f t="shared" si="38"/>
        <v>项</v>
      </c>
    </row>
    <row r="618" s="372" customFormat="1" ht="24" hidden="1" customHeight="1" spans="1:9">
      <c r="A618" s="330">
        <v>2080712</v>
      </c>
      <c r="B618" s="379" t="s">
        <v>622</v>
      </c>
      <c r="C618" s="602">
        <f>'[2]2'!E610</f>
        <v>0</v>
      </c>
      <c r="D618" s="714"/>
      <c r="E618" s="713">
        <v>266</v>
      </c>
      <c r="F618" s="716" t="str">
        <f t="shared" si="36"/>
        <v/>
      </c>
      <c r="G618" s="470" t="str">
        <f t="shared" si="37"/>
        <v/>
      </c>
      <c r="H618" s="524" t="str">
        <f t="shared" si="39"/>
        <v>是</v>
      </c>
      <c r="I618" s="312" t="str">
        <f t="shared" si="38"/>
        <v>项</v>
      </c>
    </row>
    <row r="619" s="374" customFormat="1" ht="24" hidden="1" customHeight="1" spans="1:9">
      <c r="A619" s="331">
        <v>2080713</v>
      </c>
      <c r="B619" s="327" t="s">
        <v>623</v>
      </c>
      <c r="C619" s="608">
        <f>'[2]2'!E611</f>
        <v>406</v>
      </c>
      <c r="D619" s="709">
        <v>385</v>
      </c>
      <c r="E619" s="713">
        <v>426</v>
      </c>
      <c r="F619" s="716">
        <f t="shared" si="36"/>
        <v>0.0492610837438424</v>
      </c>
      <c r="G619" s="470">
        <f t="shared" si="37"/>
        <v>1.10649350649351</v>
      </c>
      <c r="H619" s="524" t="str">
        <f t="shared" si="39"/>
        <v>是</v>
      </c>
      <c r="I619" s="313" t="str">
        <f t="shared" si="38"/>
        <v>项</v>
      </c>
    </row>
    <row r="620" s="372" customFormat="1" ht="24" hidden="1" customHeight="1" spans="1:9">
      <c r="A620" s="330">
        <v>2080799</v>
      </c>
      <c r="B620" s="379" t="s">
        <v>624</v>
      </c>
      <c r="C620" s="602">
        <f>'[2]2'!E612</f>
        <v>3295</v>
      </c>
      <c r="D620" s="714">
        <v>3115</v>
      </c>
      <c r="E620" s="713">
        <v>4290</v>
      </c>
      <c r="F620" s="716">
        <f t="shared" si="36"/>
        <v>0.301972685887709</v>
      </c>
      <c r="G620" s="470">
        <f t="shared" si="37"/>
        <v>1.37720706260032</v>
      </c>
      <c r="H620" s="524" t="str">
        <f t="shared" si="39"/>
        <v>是</v>
      </c>
      <c r="I620" s="312" t="str">
        <f t="shared" si="38"/>
        <v>项</v>
      </c>
    </row>
    <row r="621" s="372" customFormat="1" ht="24" customHeight="1" spans="1:9">
      <c r="A621" s="330">
        <v>20808</v>
      </c>
      <c r="B621" s="379" t="s">
        <v>625</v>
      </c>
      <c r="C621" s="602">
        <f>SUM(C622:C629)</f>
        <v>16358</v>
      </c>
      <c r="D621" s="713">
        <f>SUM(D622:D629)</f>
        <v>16124</v>
      </c>
      <c r="E621" s="713">
        <f>SUM(E622:E629)</f>
        <v>17410</v>
      </c>
      <c r="F621" s="716">
        <f t="shared" si="36"/>
        <v>0.0643110404694951</v>
      </c>
      <c r="G621" s="470">
        <f t="shared" si="37"/>
        <v>1.07975688414785</v>
      </c>
      <c r="H621" s="524" t="str">
        <f t="shared" si="39"/>
        <v>是</v>
      </c>
      <c r="I621" s="312" t="str">
        <f t="shared" si="38"/>
        <v>款</v>
      </c>
    </row>
    <row r="622" s="372" customFormat="1" ht="24" hidden="1" customHeight="1" spans="1:9">
      <c r="A622" s="330">
        <v>2080801</v>
      </c>
      <c r="B622" s="379" t="s">
        <v>626</v>
      </c>
      <c r="C622" s="602">
        <f>'[2]2'!E614</f>
        <v>7412</v>
      </c>
      <c r="D622" s="714">
        <v>6859</v>
      </c>
      <c r="E622" s="713">
        <v>8130</v>
      </c>
      <c r="F622" s="716">
        <f t="shared" si="36"/>
        <v>0.0968699406368052</v>
      </c>
      <c r="G622" s="470">
        <f t="shared" si="37"/>
        <v>1.18530398017204</v>
      </c>
      <c r="H622" s="524" t="str">
        <f t="shared" si="39"/>
        <v>是</v>
      </c>
      <c r="I622" s="312" t="str">
        <f t="shared" si="38"/>
        <v>项</v>
      </c>
    </row>
    <row r="623" s="372" customFormat="1" ht="24" hidden="1" customHeight="1" spans="1:9">
      <c r="A623" s="330">
        <v>2080802</v>
      </c>
      <c r="B623" s="379" t="s">
        <v>627</v>
      </c>
      <c r="C623" s="602">
        <f>'[2]2'!E615</f>
        <v>848</v>
      </c>
      <c r="D623" s="714">
        <v>968</v>
      </c>
      <c r="E623" s="713">
        <v>866</v>
      </c>
      <c r="F623" s="716">
        <f t="shared" si="36"/>
        <v>0.0212264150943396</v>
      </c>
      <c r="G623" s="470">
        <f t="shared" si="37"/>
        <v>0.894628099173554</v>
      </c>
      <c r="H623" s="524" t="str">
        <f t="shared" si="39"/>
        <v>是</v>
      </c>
      <c r="I623" s="312" t="str">
        <f t="shared" si="38"/>
        <v>项</v>
      </c>
    </row>
    <row r="624" s="488" customFormat="1" ht="24" hidden="1" customHeight="1" spans="1:9">
      <c r="A624" s="330">
        <v>2080803</v>
      </c>
      <c r="B624" s="379" t="s">
        <v>628</v>
      </c>
      <c r="C624" s="602">
        <f>'[2]2'!E616</f>
        <v>2531</v>
      </c>
      <c r="D624" s="714">
        <v>2658</v>
      </c>
      <c r="E624" s="713">
        <v>2690</v>
      </c>
      <c r="F624" s="716">
        <f t="shared" si="36"/>
        <v>0.0628210193599368</v>
      </c>
      <c r="G624" s="470">
        <f t="shared" si="37"/>
        <v>1.01203912716328</v>
      </c>
      <c r="H624" s="524" t="str">
        <f t="shared" si="39"/>
        <v>是</v>
      </c>
      <c r="I624" s="312" t="str">
        <f t="shared" si="38"/>
        <v>项</v>
      </c>
    </row>
    <row r="625" ht="24" hidden="1" customHeight="1" spans="1:9">
      <c r="A625" s="330">
        <v>2080805</v>
      </c>
      <c r="B625" s="379" t="s">
        <v>629</v>
      </c>
      <c r="C625" s="602">
        <f>'[2]2'!E617</f>
        <v>1132</v>
      </c>
      <c r="D625" s="714">
        <v>1321</v>
      </c>
      <c r="E625" s="713">
        <v>1227</v>
      </c>
      <c r="F625" s="716">
        <f t="shared" si="36"/>
        <v>0.0839222614840989</v>
      </c>
      <c r="G625" s="470">
        <f t="shared" si="37"/>
        <v>0.92884178652536</v>
      </c>
      <c r="H625" s="524" t="str">
        <f t="shared" si="39"/>
        <v>是</v>
      </c>
      <c r="I625" s="312" t="str">
        <f t="shared" si="38"/>
        <v>项</v>
      </c>
    </row>
    <row r="626" s="372" customFormat="1" ht="24" hidden="1" customHeight="1" spans="1:9">
      <c r="A626" s="330">
        <v>2080806</v>
      </c>
      <c r="B626" s="379" t="s">
        <v>630</v>
      </c>
      <c r="C626" s="602">
        <f>'[2]2'!E618</f>
        <v>237</v>
      </c>
      <c r="D626" s="714">
        <v>251</v>
      </c>
      <c r="E626" s="713">
        <v>231</v>
      </c>
      <c r="F626" s="716">
        <f t="shared" si="36"/>
        <v>-0.0253164556962025</v>
      </c>
      <c r="G626" s="470">
        <f t="shared" si="37"/>
        <v>0.920318725099602</v>
      </c>
      <c r="H626" s="524" t="str">
        <f t="shared" si="39"/>
        <v>是</v>
      </c>
      <c r="I626" s="312" t="str">
        <f t="shared" si="38"/>
        <v>项</v>
      </c>
    </row>
    <row r="627" s="372" customFormat="1" ht="24" hidden="1" customHeight="1" spans="1:9">
      <c r="A627" s="330">
        <v>2080807</v>
      </c>
      <c r="B627" s="405" t="s">
        <v>631</v>
      </c>
      <c r="C627" s="602">
        <f>'[2]2'!E619</f>
        <v>0</v>
      </c>
      <c r="D627" s="714"/>
      <c r="E627" s="713">
        <v>0</v>
      </c>
      <c r="F627" s="716" t="str">
        <f t="shared" si="36"/>
        <v/>
      </c>
      <c r="G627" s="470" t="str">
        <f t="shared" si="37"/>
        <v/>
      </c>
      <c r="H627" s="524" t="str">
        <f t="shared" si="39"/>
        <v>否</v>
      </c>
      <c r="I627" s="312" t="str">
        <f t="shared" si="38"/>
        <v>项</v>
      </c>
    </row>
    <row r="628" s="372" customFormat="1" ht="24" hidden="1" customHeight="1" spans="1:9">
      <c r="A628" s="330">
        <v>2080808</v>
      </c>
      <c r="B628" s="405" t="s">
        <v>632</v>
      </c>
      <c r="C628" s="602">
        <f>'[2]2'!E620</f>
        <v>146</v>
      </c>
      <c r="D628" s="714">
        <v>152</v>
      </c>
      <c r="E628" s="713">
        <v>81</v>
      </c>
      <c r="F628" s="716">
        <f t="shared" si="36"/>
        <v>-0.445205479452055</v>
      </c>
      <c r="G628" s="470">
        <f t="shared" si="37"/>
        <v>0.532894736842105</v>
      </c>
      <c r="H628" s="524" t="str">
        <f t="shared" si="39"/>
        <v>是</v>
      </c>
      <c r="I628" s="312" t="str">
        <f t="shared" si="38"/>
        <v>项</v>
      </c>
    </row>
    <row r="629" s="418" customFormat="1" ht="24" hidden="1" customHeight="1" spans="1:9">
      <c r="A629" s="330">
        <v>2080899</v>
      </c>
      <c r="B629" s="379" t="s">
        <v>633</v>
      </c>
      <c r="C629" s="602">
        <f>'[2]2'!E621</f>
        <v>4052</v>
      </c>
      <c r="D629" s="714">
        <v>3915</v>
      </c>
      <c r="E629" s="713">
        <v>4185</v>
      </c>
      <c r="F629" s="716">
        <f t="shared" si="36"/>
        <v>0.0328232971372162</v>
      </c>
      <c r="G629" s="470">
        <f t="shared" si="37"/>
        <v>1.06896551724138</v>
      </c>
      <c r="H629" s="524" t="str">
        <f t="shared" si="39"/>
        <v>是</v>
      </c>
      <c r="I629" s="312" t="str">
        <f t="shared" si="38"/>
        <v>项</v>
      </c>
    </row>
    <row r="630" s="372" customFormat="1" ht="24" customHeight="1" spans="1:9">
      <c r="A630" s="330">
        <v>20809</v>
      </c>
      <c r="B630" s="379" t="s">
        <v>634</v>
      </c>
      <c r="C630" s="602">
        <f>SUM(C631:C636)</f>
        <v>2232</v>
      </c>
      <c r="D630" s="713">
        <f>SUM(D631:D636)</f>
        <v>2230</v>
      </c>
      <c r="E630" s="713">
        <f>SUM(E631:E636)</f>
        <v>2057</v>
      </c>
      <c r="F630" s="716">
        <f t="shared" si="36"/>
        <v>-0.078405017921147</v>
      </c>
      <c r="G630" s="470">
        <f t="shared" si="37"/>
        <v>0.922421524663677</v>
      </c>
      <c r="H630" s="524" t="str">
        <f t="shared" si="39"/>
        <v>是</v>
      </c>
      <c r="I630" s="312" t="str">
        <f t="shared" si="38"/>
        <v>款</v>
      </c>
    </row>
    <row r="631" s="372" customFormat="1" ht="24" hidden="1" customHeight="1" spans="1:9">
      <c r="A631" s="330">
        <v>2080901</v>
      </c>
      <c r="B631" s="379" t="s">
        <v>635</v>
      </c>
      <c r="C631" s="602">
        <f>'[2]2'!E623</f>
        <v>596</v>
      </c>
      <c r="D631" s="714">
        <v>601</v>
      </c>
      <c r="E631" s="713">
        <v>397</v>
      </c>
      <c r="F631" s="716">
        <f t="shared" si="36"/>
        <v>-0.333892617449664</v>
      </c>
      <c r="G631" s="470">
        <f t="shared" si="37"/>
        <v>0.660565723793677</v>
      </c>
      <c r="H631" s="524" t="str">
        <f t="shared" si="39"/>
        <v>是</v>
      </c>
      <c r="I631" s="312" t="str">
        <f t="shared" si="38"/>
        <v>项</v>
      </c>
    </row>
    <row r="632" s="372" customFormat="1" ht="24" hidden="1" customHeight="1" spans="1:9">
      <c r="A632" s="330">
        <v>2080902</v>
      </c>
      <c r="B632" s="379" t="s">
        <v>636</v>
      </c>
      <c r="C632" s="602">
        <f>'[2]2'!E624</f>
        <v>1225</v>
      </c>
      <c r="D632" s="714">
        <v>1198</v>
      </c>
      <c r="E632" s="713">
        <v>1255</v>
      </c>
      <c r="F632" s="716">
        <f t="shared" si="36"/>
        <v>0.0244897959183673</v>
      </c>
      <c r="G632" s="470">
        <f t="shared" si="37"/>
        <v>1.04757929883139</v>
      </c>
      <c r="H632" s="524" t="str">
        <f t="shared" si="39"/>
        <v>是</v>
      </c>
      <c r="I632" s="312" t="str">
        <f t="shared" si="38"/>
        <v>项</v>
      </c>
    </row>
    <row r="633" s="372" customFormat="1" ht="24" hidden="1" customHeight="1" spans="1:9">
      <c r="A633" s="330">
        <v>2080903</v>
      </c>
      <c r="B633" s="379" t="s">
        <v>637</v>
      </c>
      <c r="C633" s="602">
        <f>'[2]2'!E625</f>
        <v>0</v>
      </c>
      <c r="D633" s="714"/>
      <c r="E633" s="713">
        <v>33</v>
      </c>
      <c r="F633" s="716" t="str">
        <f t="shared" si="36"/>
        <v/>
      </c>
      <c r="G633" s="470" t="str">
        <f t="shared" si="37"/>
        <v/>
      </c>
      <c r="H633" s="524" t="str">
        <f t="shared" si="39"/>
        <v>是</v>
      </c>
      <c r="I633" s="312" t="str">
        <f t="shared" si="38"/>
        <v>项</v>
      </c>
    </row>
    <row r="634" s="372" customFormat="1" ht="24" hidden="1" customHeight="1" spans="1:9">
      <c r="A634" s="330">
        <v>2080904</v>
      </c>
      <c r="B634" s="379" t="s">
        <v>638</v>
      </c>
      <c r="C634" s="602">
        <f>'[2]2'!E626</f>
        <v>103</v>
      </c>
      <c r="D634" s="714">
        <v>105</v>
      </c>
      <c r="E634" s="713">
        <v>69</v>
      </c>
      <c r="F634" s="716">
        <f t="shared" si="36"/>
        <v>-0.330097087378641</v>
      </c>
      <c r="G634" s="470">
        <f t="shared" si="37"/>
        <v>0.657142857142857</v>
      </c>
      <c r="H634" s="524" t="str">
        <f t="shared" si="39"/>
        <v>是</v>
      </c>
      <c r="I634" s="312" t="str">
        <f t="shared" si="38"/>
        <v>项</v>
      </c>
    </row>
    <row r="635" s="372" customFormat="1" ht="24" hidden="1" customHeight="1" spans="1:9">
      <c r="A635" s="330">
        <v>2080905</v>
      </c>
      <c r="B635" s="379" t="s">
        <v>639</v>
      </c>
      <c r="C635" s="602">
        <f>'[2]2'!E627</f>
        <v>252</v>
      </c>
      <c r="D635" s="714">
        <v>275</v>
      </c>
      <c r="E635" s="713">
        <v>232</v>
      </c>
      <c r="F635" s="716">
        <f t="shared" si="36"/>
        <v>-0.0793650793650794</v>
      </c>
      <c r="G635" s="470">
        <f t="shared" si="37"/>
        <v>0.843636363636364</v>
      </c>
      <c r="H635" s="524" t="str">
        <f t="shared" si="39"/>
        <v>是</v>
      </c>
      <c r="I635" s="312" t="str">
        <f t="shared" si="38"/>
        <v>项</v>
      </c>
    </row>
    <row r="636" s="372" customFormat="1" ht="24" hidden="1" customHeight="1" spans="1:9">
      <c r="A636" s="330">
        <v>2080999</v>
      </c>
      <c r="B636" s="379" t="s">
        <v>640</v>
      </c>
      <c r="C636" s="602">
        <f>'[2]2'!E628</f>
        <v>56</v>
      </c>
      <c r="D636" s="714">
        <v>51</v>
      </c>
      <c r="E636" s="713">
        <v>71</v>
      </c>
      <c r="F636" s="716">
        <f t="shared" si="36"/>
        <v>0.267857142857143</v>
      </c>
      <c r="G636" s="470">
        <f t="shared" si="37"/>
        <v>1.3921568627451</v>
      </c>
      <c r="H636" s="524" t="str">
        <f t="shared" si="39"/>
        <v>是</v>
      </c>
      <c r="I636" s="312" t="str">
        <f t="shared" si="38"/>
        <v>项</v>
      </c>
    </row>
    <row r="637" s="372" customFormat="1" ht="24" customHeight="1" spans="1:9">
      <c r="A637" s="330">
        <v>20810</v>
      </c>
      <c r="B637" s="379" t="s">
        <v>641</v>
      </c>
      <c r="C637" s="602">
        <f>SUM(C638:C644)</f>
        <v>14187</v>
      </c>
      <c r="D637" s="713">
        <f>SUM(D638:D644)</f>
        <v>14654</v>
      </c>
      <c r="E637" s="713">
        <f>SUM(E638:E644)</f>
        <v>10391</v>
      </c>
      <c r="F637" s="716">
        <f t="shared" si="36"/>
        <v>-0.267568901106647</v>
      </c>
      <c r="G637" s="470">
        <f t="shared" si="37"/>
        <v>0.709089668349939</v>
      </c>
      <c r="H637" s="524" t="str">
        <f t="shared" si="39"/>
        <v>是</v>
      </c>
      <c r="I637" s="312" t="str">
        <f t="shared" si="38"/>
        <v>款</v>
      </c>
    </row>
    <row r="638" s="372" customFormat="1" ht="24" hidden="1" customHeight="1" spans="1:9">
      <c r="A638" s="330">
        <v>2081001</v>
      </c>
      <c r="B638" s="379" t="s">
        <v>642</v>
      </c>
      <c r="C638" s="602">
        <f>'[2]2'!E630</f>
        <v>1862</v>
      </c>
      <c r="D638" s="714">
        <v>1918</v>
      </c>
      <c r="E638" s="713">
        <v>1084</v>
      </c>
      <c r="F638" s="716">
        <f t="shared" si="36"/>
        <v>-0.417830290010741</v>
      </c>
      <c r="G638" s="470">
        <f t="shared" si="37"/>
        <v>0.565172054223149</v>
      </c>
      <c r="H638" s="524" t="str">
        <f t="shared" si="39"/>
        <v>是</v>
      </c>
      <c r="I638" s="312" t="str">
        <f t="shared" si="38"/>
        <v>项</v>
      </c>
    </row>
    <row r="639" ht="24" hidden="1" customHeight="1" spans="1:9">
      <c r="A639" s="330">
        <v>2081002</v>
      </c>
      <c r="B639" s="379" t="s">
        <v>643</v>
      </c>
      <c r="C639" s="602">
        <f>'[2]2'!E631</f>
        <v>7820</v>
      </c>
      <c r="D639" s="714">
        <v>7912</v>
      </c>
      <c r="E639" s="713">
        <v>4566</v>
      </c>
      <c r="F639" s="716">
        <f t="shared" si="36"/>
        <v>-0.416112531969309</v>
      </c>
      <c r="G639" s="470">
        <f t="shared" si="37"/>
        <v>0.577098078867543</v>
      </c>
      <c r="H639" s="524" t="str">
        <f t="shared" si="39"/>
        <v>是</v>
      </c>
      <c r="I639" s="312" t="str">
        <f t="shared" si="38"/>
        <v>项</v>
      </c>
    </row>
    <row r="640" s="372" customFormat="1" ht="24" hidden="1" customHeight="1" spans="1:9">
      <c r="A640" s="330">
        <v>2081003</v>
      </c>
      <c r="B640" s="379" t="s">
        <v>644</v>
      </c>
      <c r="C640" s="602">
        <f>'[2]2'!E632</f>
        <v>0</v>
      </c>
      <c r="D640" s="714"/>
      <c r="E640" s="713">
        <v>0</v>
      </c>
      <c r="F640" s="716" t="str">
        <f t="shared" si="36"/>
        <v/>
      </c>
      <c r="G640" s="470" t="str">
        <f t="shared" si="37"/>
        <v/>
      </c>
      <c r="H640" s="524" t="str">
        <f t="shared" si="39"/>
        <v>否</v>
      </c>
      <c r="I640" s="312" t="str">
        <f t="shared" si="38"/>
        <v>项</v>
      </c>
    </row>
    <row r="641" s="372" customFormat="1" ht="24" hidden="1" customHeight="1" spans="1:9">
      <c r="A641" s="330">
        <v>2081004</v>
      </c>
      <c r="B641" s="379" t="s">
        <v>645</v>
      </c>
      <c r="C641" s="602">
        <f>'[2]2'!E633</f>
        <v>2438</v>
      </c>
      <c r="D641" s="714">
        <v>2712</v>
      </c>
      <c r="E641" s="713">
        <v>3057</v>
      </c>
      <c r="F641" s="716">
        <f t="shared" si="36"/>
        <v>0.253896636587367</v>
      </c>
      <c r="G641" s="470">
        <f t="shared" si="37"/>
        <v>1.12721238938053</v>
      </c>
      <c r="H641" s="524" t="str">
        <f t="shared" si="39"/>
        <v>是</v>
      </c>
      <c r="I641" s="312" t="str">
        <f t="shared" si="38"/>
        <v>项</v>
      </c>
    </row>
    <row r="642" s="372" customFormat="1" ht="24" hidden="1" customHeight="1" spans="1:9">
      <c r="A642" s="330">
        <v>2081005</v>
      </c>
      <c r="B642" s="379" t="s">
        <v>646</v>
      </c>
      <c r="C642" s="602">
        <f>'[2]2'!E634</f>
        <v>1018</v>
      </c>
      <c r="D642" s="714">
        <v>1065</v>
      </c>
      <c r="E642" s="713">
        <v>1089</v>
      </c>
      <c r="F642" s="716">
        <f t="shared" si="36"/>
        <v>0.0697445972495088</v>
      </c>
      <c r="G642" s="470">
        <f t="shared" si="37"/>
        <v>1.02253521126761</v>
      </c>
      <c r="H642" s="524" t="str">
        <f t="shared" si="39"/>
        <v>是</v>
      </c>
      <c r="I642" s="312" t="str">
        <f t="shared" si="38"/>
        <v>项</v>
      </c>
    </row>
    <row r="643" s="372" customFormat="1" ht="24" hidden="1" customHeight="1" spans="1:9">
      <c r="A643" s="330">
        <v>2081006</v>
      </c>
      <c r="B643" s="379" t="s">
        <v>647</v>
      </c>
      <c r="C643" s="602">
        <f>'[2]2'!E635</f>
        <v>807</v>
      </c>
      <c r="D643" s="714">
        <v>812</v>
      </c>
      <c r="E643" s="713">
        <v>327</v>
      </c>
      <c r="F643" s="716">
        <f t="shared" si="36"/>
        <v>-0.594795539033457</v>
      </c>
      <c r="G643" s="470">
        <f t="shared" si="37"/>
        <v>0.402709359605911</v>
      </c>
      <c r="H643" s="524" t="str">
        <f t="shared" si="39"/>
        <v>是</v>
      </c>
      <c r="I643" s="312" t="str">
        <f t="shared" si="38"/>
        <v>项</v>
      </c>
    </row>
    <row r="644" s="372" customFormat="1" ht="24" hidden="1" customHeight="1" spans="1:9">
      <c r="A644" s="330">
        <v>2081099</v>
      </c>
      <c r="B644" s="379" t="s">
        <v>648</v>
      </c>
      <c r="C644" s="602">
        <f>'[2]2'!E636</f>
        <v>242</v>
      </c>
      <c r="D644" s="714">
        <v>235</v>
      </c>
      <c r="E644" s="713">
        <v>268</v>
      </c>
      <c r="F644" s="716">
        <f t="shared" si="36"/>
        <v>0.107438016528926</v>
      </c>
      <c r="G644" s="470">
        <f t="shared" si="37"/>
        <v>1.14042553191489</v>
      </c>
      <c r="H644" s="524" t="str">
        <f t="shared" si="39"/>
        <v>是</v>
      </c>
      <c r="I644" s="312" t="str">
        <f t="shared" si="38"/>
        <v>项</v>
      </c>
    </row>
    <row r="645" s="372" customFormat="1" ht="24" customHeight="1" spans="1:9">
      <c r="A645" s="330">
        <v>20811</v>
      </c>
      <c r="B645" s="379" t="s">
        <v>649</v>
      </c>
      <c r="C645" s="602">
        <f>SUM(C646:C653)</f>
        <v>7365</v>
      </c>
      <c r="D645" s="713">
        <f>SUM(D646:D653)</f>
        <v>7420</v>
      </c>
      <c r="E645" s="713">
        <f>SUM(E646:E653)</f>
        <v>6892</v>
      </c>
      <c r="F645" s="716">
        <f t="shared" ref="F645:F708" si="40">IFERROR((E645-C645)/C645,"")</f>
        <v>-0.0642226748133062</v>
      </c>
      <c r="G645" s="470">
        <f t="shared" ref="G645:G708" si="41">IFERROR(E645/D645,"")</f>
        <v>0.928840970350404</v>
      </c>
      <c r="H645" s="524" t="str">
        <f t="shared" si="39"/>
        <v>是</v>
      </c>
      <c r="I645" s="312" t="str">
        <f t="shared" ref="I645:I708" si="42">IF(LEN(A645)=3,"类",IF(LEN(A645)=5,"款","项"))</f>
        <v>款</v>
      </c>
    </row>
    <row r="646" s="372" customFormat="1" ht="24" hidden="1" customHeight="1" spans="1:9">
      <c r="A646" s="330">
        <v>2081101</v>
      </c>
      <c r="B646" s="379" t="s">
        <v>212</v>
      </c>
      <c r="C646" s="602">
        <f>'[2]2'!E638</f>
        <v>990</v>
      </c>
      <c r="D646" s="714">
        <v>1012</v>
      </c>
      <c r="E646" s="713">
        <v>1057</v>
      </c>
      <c r="F646" s="716">
        <f t="shared" si="40"/>
        <v>0.0676767676767677</v>
      </c>
      <c r="G646" s="470">
        <f t="shared" si="41"/>
        <v>1.04446640316206</v>
      </c>
      <c r="H646" s="524" t="str">
        <f t="shared" ref="H646:H709" si="43">IF(LEN(A646)=3,"是",IF(B646&lt;&gt;"",IF(SUM(C646:E646)&lt;&gt;0,"是","否"),"是"))</f>
        <v>是</v>
      </c>
      <c r="I646" s="312" t="str">
        <f t="shared" si="42"/>
        <v>项</v>
      </c>
    </row>
    <row r="647" s="372" customFormat="1" ht="24" hidden="1" customHeight="1" spans="1:9">
      <c r="A647" s="330">
        <v>2081102</v>
      </c>
      <c r="B647" s="379" t="s">
        <v>213</v>
      </c>
      <c r="C647" s="602">
        <f>'[2]2'!E639</f>
        <v>15</v>
      </c>
      <c r="D647" s="714">
        <v>13</v>
      </c>
      <c r="E647" s="713">
        <v>12</v>
      </c>
      <c r="F647" s="716">
        <f t="shared" si="40"/>
        <v>-0.2</v>
      </c>
      <c r="G647" s="470">
        <f t="shared" si="41"/>
        <v>0.923076923076923</v>
      </c>
      <c r="H647" s="524" t="str">
        <f t="shared" si="43"/>
        <v>是</v>
      </c>
      <c r="I647" s="312" t="str">
        <f t="shared" si="42"/>
        <v>项</v>
      </c>
    </row>
    <row r="648" s="372" customFormat="1" ht="24" hidden="1" customHeight="1" spans="1:9">
      <c r="A648" s="330">
        <v>2081103</v>
      </c>
      <c r="B648" s="379" t="s">
        <v>214</v>
      </c>
      <c r="C648" s="602">
        <f>'[2]2'!E640</f>
        <v>25</v>
      </c>
      <c r="D648" s="714">
        <v>23</v>
      </c>
      <c r="E648" s="713">
        <v>43</v>
      </c>
      <c r="F648" s="716">
        <f t="shared" si="40"/>
        <v>0.72</v>
      </c>
      <c r="G648" s="470">
        <f t="shared" si="41"/>
        <v>1.8695652173913</v>
      </c>
      <c r="H648" s="524" t="str">
        <f t="shared" si="43"/>
        <v>是</v>
      </c>
      <c r="I648" s="312" t="str">
        <f t="shared" si="42"/>
        <v>项</v>
      </c>
    </row>
    <row r="649" ht="24" hidden="1" customHeight="1" spans="1:9">
      <c r="A649" s="330">
        <v>2081104</v>
      </c>
      <c r="B649" s="379" t="s">
        <v>650</v>
      </c>
      <c r="C649" s="602">
        <f>'[2]2'!E641</f>
        <v>211</v>
      </c>
      <c r="D649" s="714">
        <v>221</v>
      </c>
      <c r="E649" s="713">
        <v>173</v>
      </c>
      <c r="F649" s="716">
        <f t="shared" si="40"/>
        <v>-0.180094786729858</v>
      </c>
      <c r="G649" s="470">
        <f t="shared" si="41"/>
        <v>0.782805429864253</v>
      </c>
      <c r="H649" s="524" t="str">
        <f t="shared" si="43"/>
        <v>是</v>
      </c>
      <c r="I649" s="312" t="str">
        <f t="shared" si="42"/>
        <v>项</v>
      </c>
    </row>
    <row r="650" s="372" customFormat="1" ht="24" hidden="1" customHeight="1" spans="1:9">
      <c r="A650" s="330">
        <v>2081105</v>
      </c>
      <c r="B650" s="405" t="s">
        <v>651</v>
      </c>
      <c r="C650" s="602">
        <f>'[2]2'!E642</f>
        <v>776</v>
      </c>
      <c r="D650" s="714">
        <v>785</v>
      </c>
      <c r="E650" s="713">
        <v>494</v>
      </c>
      <c r="F650" s="716">
        <f t="shared" si="40"/>
        <v>-0.36340206185567</v>
      </c>
      <c r="G650" s="470">
        <f t="shared" si="41"/>
        <v>0.629299363057325</v>
      </c>
      <c r="H650" s="524" t="str">
        <f t="shared" si="43"/>
        <v>是</v>
      </c>
      <c r="I650" s="312" t="str">
        <f t="shared" si="42"/>
        <v>项</v>
      </c>
    </row>
    <row r="651" s="372" customFormat="1" ht="24" hidden="1" customHeight="1" spans="1:9">
      <c r="A651" s="330">
        <v>2081106</v>
      </c>
      <c r="B651" s="379" t="s">
        <v>652</v>
      </c>
      <c r="C651" s="602">
        <f>'[2]2'!E643</f>
        <v>0</v>
      </c>
      <c r="D651" s="714"/>
      <c r="E651" s="713">
        <v>0</v>
      </c>
      <c r="F651" s="716" t="str">
        <f t="shared" si="40"/>
        <v/>
      </c>
      <c r="G651" s="470" t="str">
        <f t="shared" si="41"/>
        <v/>
      </c>
      <c r="H651" s="524" t="str">
        <f t="shared" si="43"/>
        <v>否</v>
      </c>
      <c r="I651" s="312" t="str">
        <f t="shared" si="42"/>
        <v>项</v>
      </c>
    </row>
    <row r="652" s="372" customFormat="1" ht="24" hidden="1" customHeight="1" spans="1:9">
      <c r="A652" s="330">
        <v>2081107</v>
      </c>
      <c r="B652" s="379" t="s">
        <v>653</v>
      </c>
      <c r="C652" s="602">
        <f>'[2]2'!E644</f>
        <v>4782</v>
      </c>
      <c r="D652" s="714">
        <v>4815</v>
      </c>
      <c r="E652" s="713">
        <v>4352</v>
      </c>
      <c r="F652" s="716">
        <f t="shared" si="40"/>
        <v>-0.0899205353408616</v>
      </c>
      <c r="G652" s="470">
        <f t="shared" si="41"/>
        <v>0.903842159916926</v>
      </c>
      <c r="H652" s="524" t="str">
        <f t="shared" si="43"/>
        <v>是</v>
      </c>
      <c r="I652" s="312" t="str">
        <f t="shared" si="42"/>
        <v>项</v>
      </c>
    </row>
    <row r="653" s="372" customFormat="1" ht="24" hidden="1" customHeight="1" spans="1:9">
      <c r="A653" s="330">
        <v>2081199</v>
      </c>
      <c r="B653" s="379" t="s">
        <v>654</v>
      </c>
      <c r="C653" s="602">
        <f>'[2]2'!E645</f>
        <v>566</v>
      </c>
      <c r="D653" s="714">
        <v>551</v>
      </c>
      <c r="E653" s="713">
        <v>761</v>
      </c>
      <c r="F653" s="716">
        <f t="shared" si="40"/>
        <v>0.34452296819788</v>
      </c>
      <c r="G653" s="470">
        <f t="shared" si="41"/>
        <v>1.38112522686025</v>
      </c>
      <c r="H653" s="524" t="str">
        <f t="shared" si="43"/>
        <v>是</v>
      </c>
      <c r="I653" s="312" t="str">
        <f t="shared" si="42"/>
        <v>项</v>
      </c>
    </row>
    <row r="654" s="372" customFormat="1" ht="24" customHeight="1" spans="1:9">
      <c r="A654" s="330">
        <v>20816</v>
      </c>
      <c r="B654" s="379" t="s">
        <v>655</v>
      </c>
      <c r="C654" s="602">
        <f>SUM(C655:C659)</f>
        <v>648</v>
      </c>
      <c r="D654" s="713">
        <f>SUM(D655:D659)</f>
        <v>671</v>
      </c>
      <c r="E654" s="713">
        <f>SUM(E655:E659)</f>
        <v>729</v>
      </c>
      <c r="F654" s="716">
        <f t="shared" si="40"/>
        <v>0.125</v>
      </c>
      <c r="G654" s="470">
        <f t="shared" si="41"/>
        <v>1.08643815201192</v>
      </c>
      <c r="H654" s="524" t="str">
        <f t="shared" si="43"/>
        <v>是</v>
      </c>
      <c r="I654" s="312" t="str">
        <f t="shared" si="42"/>
        <v>款</v>
      </c>
    </row>
    <row r="655" s="372" customFormat="1" ht="24" hidden="1" customHeight="1" spans="1:9">
      <c r="A655" s="330">
        <v>2081601</v>
      </c>
      <c r="B655" s="379" t="s">
        <v>212</v>
      </c>
      <c r="C655" s="602">
        <f>'[2]2'!E647</f>
        <v>604</v>
      </c>
      <c r="D655" s="714">
        <v>632</v>
      </c>
      <c r="E655" s="713">
        <v>652</v>
      </c>
      <c r="F655" s="716">
        <f t="shared" si="40"/>
        <v>0.0794701986754967</v>
      </c>
      <c r="G655" s="470">
        <f t="shared" si="41"/>
        <v>1.03164556962025</v>
      </c>
      <c r="H655" s="524" t="str">
        <f t="shared" si="43"/>
        <v>是</v>
      </c>
      <c r="I655" s="312" t="str">
        <f t="shared" si="42"/>
        <v>项</v>
      </c>
    </row>
    <row r="656" ht="24" hidden="1" customHeight="1" spans="1:9">
      <c r="A656" s="330">
        <v>2081602</v>
      </c>
      <c r="B656" s="379" t="s">
        <v>213</v>
      </c>
      <c r="C656" s="602">
        <f>'[2]2'!E648</f>
        <v>34</v>
      </c>
      <c r="D656" s="714">
        <v>31</v>
      </c>
      <c r="E656" s="713">
        <v>40</v>
      </c>
      <c r="F656" s="716">
        <f t="shared" si="40"/>
        <v>0.176470588235294</v>
      </c>
      <c r="G656" s="470">
        <f t="shared" si="41"/>
        <v>1.29032258064516</v>
      </c>
      <c r="H656" s="524" t="str">
        <f t="shared" si="43"/>
        <v>是</v>
      </c>
      <c r="I656" s="312" t="str">
        <f t="shared" si="42"/>
        <v>项</v>
      </c>
    </row>
    <row r="657" s="372" customFormat="1" ht="24" hidden="1" customHeight="1" spans="1:9">
      <c r="A657" s="330">
        <v>2081603</v>
      </c>
      <c r="B657" s="379" t="s">
        <v>214</v>
      </c>
      <c r="C657" s="602">
        <f>'[2]2'!E649</f>
        <v>0</v>
      </c>
      <c r="D657" s="714"/>
      <c r="E657" s="713">
        <v>0</v>
      </c>
      <c r="F657" s="716" t="str">
        <f t="shared" si="40"/>
        <v/>
      </c>
      <c r="G657" s="470" t="str">
        <f t="shared" si="41"/>
        <v/>
      </c>
      <c r="H657" s="524" t="str">
        <f t="shared" si="43"/>
        <v>否</v>
      </c>
      <c r="I657" s="312" t="str">
        <f t="shared" si="42"/>
        <v>项</v>
      </c>
    </row>
    <row r="658" s="372" customFormat="1" ht="24" hidden="1" customHeight="1" spans="1:9">
      <c r="A658" s="723">
        <v>2081650</v>
      </c>
      <c r="B658" s="379" t="s">
        <v>221</v>
      </c>
      <c r="C658" s="602">
        <f>'[2]2'!E650</f>
        <v>0</v>
      </c>
      <c r="D658" s="714"/>
      <c r="E658" s="713">
        <v>0</v>
      </c>
      <c r="F658" s="716" t="str">
        <f t="shared" si="40"/>
        <v/>
      </c>
      <c r="G658" s="470" t="str">
        <f t="shared" si="41"/>
        <v/>
      </c>
      <c r="H658" s="524" t="str">
        <f t="shared" si="43"/>
        <v>否</v>
      </c>
      <c r="I658" s="312" t="str">
        <f t="shared" si="42"/>
        <v>项</v>
      </c>
    </row>
    <row r="659" s="372" customFormat="1" ht="24" hidden="1" customHeight="1" spans="1:9">
      <c r="A659" s="330">
        <v>2081699</v>
      </c>
      <c r="B659" s="379" t="s">
        <v>656</v>
      </c>
      <c r="C659" s="602">
        <f>'[2]2'!E651</f>
        <v>10</v>
      </c>
      <c r="D659" s="714">
        <v>8</v>
      </c>
      <c r="E659" s="713">
        <v>37</v>
      </c>
      <c r="F659" s="716">
        <f t="shared" si="40"/>
        <v>2.7</v>
      </c>
      <c r="G659" s="470">
        <f t="shared" si="41"/>
        <v>4.625</v>
      </c>
      <c r="H659" s="524" t="str">
        <f t="shared" si="43"/>
        <v>是</v>
      </c>
      <c r="I659" s="312" t="str">
        <f t="shared" si="42"/>
        <v>项</v>
      </c>
    </row>
    <row r="660" s="372" customFormat="1" ht="24" customHeight="1" spans="1:9">
      <c r="A660" s="330">
        <v>20819</v>
      </c>
      <c r="B660" s="379" t="s">
        <v>657</v>
      </c>
      <c r="C660" s="602">
        <f>SUM(C661:C662)</f>
        <v>37917</v>
      </c>
      <c r="D660" s="713">
        <f>SUM(D661:D662)</f>
        <v>39011</v>
      </c>
      <c r="E660" s="713">
        <f>SUM(E661:E662)</f>
        <v>38012</v>
      </c>
      <c r="F660" s="716">
        <f t="shared" si="40"/>
        <v>0.00250547247936282</v>
      </c>
      <c r="G660" s="470">
        <f t="shared" si="41"/>
        <v>0.974391838199482</v>
      </c>
      <c r="H660" s="524" t="str">
        <f t="shared" si="43"/>
        <v>是</v>
      </c>
      <c r="I660" s="312" t="str">
        <f t="shared" si="42"/>
        <v>款</v>
      </c>
    </row>
    <row r="661" s="372" customFormat="1" ht="24" hidden="1" customHeight="1" spans="1:9">
      <c r="A661" s="330">
        <v>2081901</v>
      </c>
      <c r="B661" s="379" t="s">
        <v>658</v>
      </c>
      <c r="C661" s="602">
        <f>'[2]2'!E653</f>
        <v>2573</v>
      </c>
      <c r="D661" s="714">
        <v>2856</v>
      </c>
      <c r="E661" s="713">
        <v>2516</v>
      </c>
      <c r="F661" s="716">
        <f t="shared" si="40"/>
        <v>-0.0221531286436067</v>
      </c>
      <c r="G661" s="470">
        <f t="shared" si="41"/>
        <v>0.880952380952381</v>
      </c>
      <c r="H661" s="524" t="str">
        <f t="shared" si="43"/>
        <v>是</v>
      </c>
      <c r="I661" s="312" t="str">
        <f t="shared" si="42"/>
        <v>项</v>
      </c>
    </row>
    <row r="662" s="372" customFormat="1" ht="24" hidden="1" customHeight="1" spans="1:9">
      <c r="A662" s="330">
        <v>2081902</v>
      </c>
      <c r="B662" s="379" t="s">
        <v>659</v>
      </c>
      <c r="C662" s="602">
        <f>'[2]2'!E654</f>
        <v>35344</v>
      </c>
      <c r="D662" s="714">
        <v>36155</v>
      </c>
      <c r="E662" s="713">
        <v>35496</v>
      </c>
      <c r="F662" s="716">
        <f t="shared" si="40"/>
        <v>0.00430058850158443</v>
      </c>
      <c r="G662" s="470">
        <f t="shared" si="41"/>
        <v>0.981772922140783</v>
      </c>
      <c r="H662" s="524" t="str">
        <f t="shared" si="43"/>
        <v>是</v>
      </c>
      <c r="I662" s="312" t="str">
        <f t="shared" si="42"/>
        <v>项</v>
      </c>
    </row>
    <row r="663" s="372" customFormat="1" ht="24" customHeight="1" spans="1:9">
      <c r="A663" s="330">
        <v>20820</v>
      </c>
      <c r="B663" s="379" t="s">
        <v>660</v>
      </c>
      <c r="C663" s="602">
        <f>SUM(C664:C665)</f>
        <v>2159</v>
      </c>
      <c r="D663" s="713">
        <f>SUM(D664:D665)</f>
        <v>2218</v>
      </c>
      <c r="E663" s="713">
        <f>SUM(E664:E665)</f>
        <v>1969</v>
      </c>
      <c r="F663" s="716">
        <f t="shared" si="40"/>
        <v>-0.0880037054191755</v>
      </c>
      <c r="G663" s="470">
        <f t="shared" si="41"/>
        <v>0.887736699729486</v>
      </c>
      <c r="H663" s="524" t="str">
        <f t="shared" si="43"/>
        <v>是</v>
      </c>
      <c r="I663" s="312" t="str">
        <f t="shared" si="42"/>
        <v>款</v>
      </c>
    </row>
    <row r="664" ht="24" hidden="1" customHeight="1" spans="1:9">
      <c r="A664" s="330">
        <v>2082001</v>
      </c>
      <c r="B664" s="379" t="s">
        <v>661</v>
      </c>
      <c r="C664" s="602">
        <f>'[2]2'!E656</f>
        <v>1966</v>
      </c>
      <c r="D664" s="714">
        <v>2015</v>
      </c>
      <c r="E664" s="713">
        <v>1784</v>
      </c>
      <c r="F664" s="716">
        <f t="shared" si="40"/>
        <v>-0.0925737538148525</v>
      </c>
      <c r="G664" s="470">
        <f t="shared" si="41"/>
        <v>0.885359801488834</v>
      </c>
      <c r="H664" s="524" t="str">
        <f t="shared" si="43"/>
        <v>是</v>
      </c>
      <c r="I664" s="312" t="str">
        <f t="shared" si="42"/>
        <v>项</v>
      </c>
    </row>
    <row r="665" s="372" customFormat="1" ht="24" hidden="1" customHeight="1" spans="1:9">
      <c r="A665" s="330">
        <v>2082002</v>
      </c>
      <c r="B665" s="379" t="s">
        <v>662</v>
      </c>
      <c r="C665" s="602">
        <f>'[2]2'!E657</f>
        <v>193</v>
      </c>
      <c r="D665" s="714">
        <v>203</v>
      </c>
      <c r="E665" s="713">
        <v>185</v>
      </c>
      <c r="F665" s="716">
        <f t="shared" si="40"/>
        <v>-0.0414507772020725</v>
      </c>
      <c r="G665" s="470">
        <f t="shared" si="41"/>
        <v>0.911330049261084</v>
      </c>
      <c r="H665" s="524" t="str">
        <f t="shared" si="43"/>
        <v>是</v>
      </c>
      <c r="I665" s="312" t="str">
        <f t="shared" si="42"/>
        <v>项</v>
      </c>
    </row>
    <row r="666" s="372" customFormat="1" ht="24" customHeight="1" spans="1:9">
      <c r="A666" s="330">
        <v>20821</v>
      </c>
      <c r="B666" s="379" t="s">
        <v>663</v>
      </c>
      <c r="C666" s="602">
        <f>SUM(C667:C668)</f>
        <v>7352</v>
      </c>
      <c r="D666" s="713">
        <f>SUM(D667:D668)</f>
        <v>7499</v>
      </c>
      <c r="E666" s="713">
        <f>SUM(E667:E668)</f>
        <v>7509</v>
      </c>
      <c r="F666" s="716">
        <f t="shared" si="40"/>
        <v>0.021354733405876</v>
      </c>
      <c r="G666" s="470">
        <f t="shared" si="41"/>
        <v>1.00133351113482</v>
      </c>
      <c r="H666" s="524" t="str">
        <f t="shared" si="43"/>
        <v>是</v>
      </c>
      <c r="I666" s="312" t="str">
        <f t="shared" si="42"/>
        <v>款</v>
      </c>
    </row>
    <row r="667" s="372" customFormat="1" ht="24" hidden="1" customHeight="1" spans="1:9">
      <c r="A667" s="330">
        <v>2082101</v>
      </c>
      <c r="B667" s="379" t="s">
        <v>664</v>
      </c>
      <c r="C667" s="602">
        <f>'[2]2'!E659</f>
        <v>232</v>
      </c>
      <c r="D667" s="714">
        <v>241</v>
      </c>
      <c r="E667" s="713">
        <v>217</v>
      </c>
      <c r="F667" s="716">
        <f t="shared" si="40"/>
        <v>-0.0646551724137931</v>
      </c>
      <c r="G667" s="470">
        <f t="shared" si="41"/>
        <v>0.900414937759336</v>
      </c>
      <c r="H667" s="524" t="str">
        <f t="shared" si="43"/>
        <v>是</v>
      </c>
      <c r="I667" s="312" t="str">
        <f t="shared" si="42"/>
        <v>项</v>
      </c>
    </row>
    <row r="668" s="372" customFormat="1" ht="24" hidden="1" customHeight="1" spans="1:9">
      <c r="A668" s="330">
        <v>2082102</v>
      </c>
      <c r="B668" s="379" t="s">
        <v>665</v>
      </c>
      <c r="C668" s="602">
        <f>'[2]2'!E660</f>
        <v>7120</v>
      </c>
      <c r="D668" s="714">
        <v>7258</v>
      </c>
      <c r="E668" s="713">
        <v>7292</v>
      </c>
      <c r="F668" s="716">
        <f t="shared" si="40"/>
        <v>0.0241573033707865</v>
      </c>
      <c r="G668" s="470">
        <f t="shared" si="41"/>
        <v>1.00468448608432</v>
      </c>
      <c r="H668" s="524" t="str">
        <f t="shared" si="43"/>
        <v>是</v>
      </c>
      <c r="I668" s="312" t="str">
        <f t="shared" si="42"/>
        <v>项</v>
      </c>
    </row>
    <row r="669" s="372" customFormat="1" ht="24" hidden="1" customHeight="1" spans="1:9">
      <c r="A669" s="330">
        <v>20824</v>
      </c>
      <c r="B669" s="379" t="s">
        <v>666</v>
      </c>
      <c r="C669" s="602">
        <f>SUM(C670:C671)</f>
        <v>0</v>
      </c>
      <c r="D669" s="713">
        <f>SUM(D670:D671)</f>
        <v>0</v>
      </c>
      <c r="E669" s="713">
        <f>SUM(E670:E671)</f>
        <v>0</v>
      </c>
      <c r="F669" s="716" t="str">
        <f t="shared" si="40"/>
        <v/>
      </c>
      <c r="G669" s="470" t="str">
        <f t="shared" si="41"/>
        <v/>
      </c>
      <c r="H669" s="524" t="str">
        <f t="shared" si="43"/>
        <v>否</v>
      </c>
      <c r="I669" s="312" t="str">
        <f t="shared" si="42"/>
        <v>款</v>
      </c>
    </row>
    <row r="670" s="372" customFormat="1" ht="24" hidden="1" customHeight="1" spans="1:9">
      <c r="A670" s="330">
        <v>2082401</v>
      </c>
      <c r="B670" s="379" t="s">
        <v>667</v>
      </c>
      <c r="C670" s="602">
        <f>'[2]2'!E662</f>
        <v>0</v>
      </c>
      <c r="D670" s="714"/>
      <c r="E670" s="713">
        <v>0</v>
      </c>
      <c r="F670" s="716" t="str">
        <f t="shared" si="40"/>
        <v/>
      </c>
      <c r="G670" s="470" t="str">
        <f t="shared" si="41"/>
        <v/>
      </c>
      <c r="H670" s="524" t="str">
        <f t="shared" si="43"/>
        <v>否</v>
      </c>
      <c r="I670" s="312" t="str">
        <f t="shared" si="42"/>
        <v>项</v>
      </c>
    </row>
    <row r="671" s="372" customFormat="1" ht="24" hidden="1" customHeight="1" spans="1:9">
      <c r="A671" s="330">
        <v>2082402</v>
      </c>
      <c r="B671" s="379" t="s">
        <v>668</v>
      </c>
      <c r="C671" s="602">
        <f>'[2]2'!E663</f>
        <v>0</v>
      </c>
      <c r="D671" s="714"/>
      <c r="E671" s="713">
        <v>0</v>
      </c>
      <c r="F671" s="716" t="str">
        <f t="shared" si="40"/>
        <v/>
      </c>
      <c r="G671" s="470" t="str">
        <f t="shared" si="41"/>
        <v/>
      </c>
      <c r="H671" s="524" t="str">
        <f t="shared" si="43"/>
        <v>否</v>
      </c>
      <c r="I671" s="312" t="str">
        <f t="shared" si="42"/>
        <v>项</v>
      </c>
    </row>
    <row r="672" s="372" customFormat="1" ht="24" customHeight="1" spans="1:9">
      <c r="A672" s="330">
        <v>20825</v>
      </c>
      <c r="B672" s="379" t="s">
        <v>669</v>
      </c>
      <c r="C672" s="602">
        <f>SUM(C673:C674)</f>
        <v>1628</v>
      </c>
      <c r="D672" s="713">
        <f>SUM(D673:D674)</f>
        <v>1577</v>
      </c>
      <c r="E672" s="713">
        <f>SUM(E673:E674)</f>
        <v>254</v>
      </c>
      <c r="F672" s="716">
        <f t="shared" si="40"/>
        <v>-0.843980343980344</v>
      </c>
      <c r="G672" s="470">
        <f t="shared" si="41"/>
        <v>0.161065313887127</v>
      </c>
      <c r="H672" s="524" t="str">
        <f t="shared" si="43"/>
        <v>是</v>
      </c>
      <c r="I672" s="312" t="str">
        <f t="shared" si="42"/>
        <v>款</v>
      </c>
    </row>
    <row r="673" ht="24" hidden="1" customHeight="1" spans="1:9">
      <c r="A673" s="330">
        <v>2082501</v>
      </c>
      <c r="B673" s="379" t="s">
        <v>670</v>
      </c>
      <c r="C673" s="602">
        <f>'[2]2'!E665</f>
        <v>82</v>
      </c>
      <c r="D673" s="714">
        <v>79</v>
      </c>
      <c r="E673" s="713">
        <v>0</v>
      </c>
      <c r="F673" s="716">
        <f t="shared" si="40"/>
        <v>-1</v>
      </c>
      <c r="G673" s="470">
        <f t="shared" si="41"/>
        <v>0</v>
      </c>
      <c r="H673" s="524" t="str">
        <f t="shared" si="43"/>
        <v>是</v>
      </c>
      <c r="I673" s="312" t="str">
        <f t="shared" si="42"/>
        <v>项</v>
      </c>
    </row>
    <row r="674" s="372" customFormat="1" ht="24" hidden="1" customHeight="1" spans="1:9">
      <c r="A674" s="330">
        <v>2082502</v>
      </c>
      <c r="B674" s="379" t="s">
        <v>671</v>
      </c>
      <c r="C674" s="602">
        <f>'[2]2'!E666</f>
        <v>1546</v>
      </c>
      <c r="D674" s="714">
        <v>1498</v>
      </c>
      <c r="E674" s="713">
        <v>254</v>
      </c>
      <c r="F674" s="716">
        <f t="shared" si="40"/>
        <v>-0.835705045278137</v>
      </c>
      <c r="G674" s="470">
        <f t="shared" si="41"/>
        <v>0.169559412550067</v>
      </c>
      <c r="H674" s="524" t="str">
        <f t="shared" si="43"/>
        <v>是</v>
      </c>
      <c r="I674" s="312" t="str">
        <f t="shared" si="42"/>
        <v>项</v>
      </c>
    </row>
    <row r="675" s="372" customFormat="1" ht="24" customHeight="1" spans="1:9">
      <c r="A675" s="330">
        <v>20826</v>
      </c>
      <c r="B675" s="379" t="s">
        <v>672</v>
      </c>
      <c r="C675" s="602">
        <f>SUM(C676:C678)</f>
        <v>30950</v>
      </c>
      <c r="D675" s="713">
        <f>SUM(D676:D678)</f>
        <v>31852</v>
      </c>
      <c r="E675" s="713">
        <f>SUM(E676:E678)</f>
        <v>36669</v>
      </c>
      <c r="F675" s="716">
        <f t="shared" si="40"/>
        <v>0.184781906300485</v>
      </c>
      <c r="G675" s="470">
        <f t="shared" si="41"/>
        <v>1.15123069195027</v>
      </c>
      <c r="H675" s="524" t="str">
        <f t="shared" si="43"/>
        <v>是</v>
      </c>
      <c r="I675" s="312" t="str">
        <f t="shared" si="42"/>
        <v>款</v>
      </c>
    </row>
    <row r="676" s="372" customFormat="1" ht="24" hidden="1" customHeight="1" spans="1:9">
      <c r="A676" s="330">
        <v>2082601</v>
      </c>
      <c r="B676" s="379" t="s">
        <v>673</v>
      </c>
      <c r="C676" s="602">
        <f>'[2]2'!E668</f>
        <v>0</v>
      </c>
      <c r="D676" s="714"/>
      <c r="E676" s="713">
        <v>0</v>
      </c>
      <c r="F676" s="716" t="str">
        <f t="shared" si="40"/>
        <v/>
      </c>
      <c r="G676" s="470" t="str">
        <f t="shared" si="41"/>
        <v/>
      </c>
      <c r="H676" s="524" t="str">
        <f t="shared" si="43"/>
        <v>否</v>
      </c>
      <c r="I676" s="312" t="str">
        <f t="shared" si="42"/>
        <v>项</v>
      </c>
    </row>
    <row r="677" s="372" customFormat="1" ht="24" hidden="1" customHeight="1" spans="1:9">
      <c r="A677" s="330">
        <v>2082602</v>
      </c>
      <c r="B677" s="379" t="s">
        <v>674</v>
      </c>
      <c r="C677" s="602">
        <f>'[2]2'!E669</f>
        <v>30950</v>
      </c>
      <c r="D677" s="714">
        <v>31852</v>
      </c>
      <c r="E677" s="713">
        <v>36669</v>
      </c>
      <c r="F677" s="716">
        <f t="shared" si="40"/>
        <v>0.184781906300485</v>
      </c>
      <c r="G677" s="470">
        <f t="shared" si="41"/>
        <v>1.15123069195027</v>
      </c>
      <c r="H677" s="524" t="str">
        <f t="shared" si="43"/>
        <v>是</v>
      </c>
      <c r="I677" s="312" t="str">
        <f t="shared" si="42"/>
        <v>项</v>
      </c>
    </row>
    <row r="678" ht="24" hidden="1" customHeight="1" spans="1:9">
      <c r="A678" s="330">
        <v>2082699</v>
      </c>
      <c r="B678" s="379" t="s">
        <v>675</v>
      </c>
      <c r="C678" s="602">
        <f>'[2]2'!E670</f>
        <v>0</v>
      </c>
      <c r="D678" s="714"/>
      <c r="E678" s="713">
        <v>0</v>
      </c>
      <c r="F678" s="716" t="str">
        <f t="shared" si="40"/>
        <v/>
      </c>
      <c r="G678" s="470" t="str">
        <f t="shared" si="41"/>
        <v/>
      </c>
      <c r="H678" s="524" t="str">
        <f t="shared" si="43"/>
        <v>否</v>
      </c>
      <c r="I678" s="312" t="str">
        <f t="shared" si="42"/>
        <v>项</v>
      </c>
    </row>
    <row r="679" s="372" customFormat="1" ht="24" hidden="1" customHeight="1" spans="1:9">
      <c r="A679" s="330">
        <v>20827</v>
      </c>
      <c r="B679" s="379" t="s">
        <v>676</v>
      </c>
      <c r="C679" s="602">
        <f>SUM(C680:C682)</f>
        <v>0</v>
      </c>
      <c r="D679" s="713">
        <f>SUM(D680:D682)</f>
        <v>0</v>
      </c>
      <c r="E679" s="713">
        <f>SUM(E680:E682)</f>
        <v>0</v>
      </c>
      <c r="F679" s="716" t="str">
        <f t="shared" si="40"/>
        <v/>
      </c>
      <c r="G679" s="470" t="str">
        <f t="shared" si="41"/>
        <v/>
      </c>
      <c r="H679" s="524" t="str">
        <f t="shared" si="43"/>
        <v>否</v>
      </c>
      <c r="I679" s="312" t="str">
        <f t="shared" si="42"/>
        <v>款</v>
      </c>
    </row>
    <row r="680" s="372" customFormat="1" ht="24" hidden="1" customHeight="1" spans="1:9">
      <c r="A680" s="330">
        <v>2082701</v>
      </c>
      <c r="B680" s="379" t="s">
        <v>677</v>
      </c>
      <c r="C680" s="602">
        <f>'[2]2'!E672</f>
        <v>0</v>
      </c>
      <c r="D680" s="714"/>
      <c r="E680" s="713">
        <v>0</v>
      </c>
      <c r="F680" s="716" t="str">
        <f t="shared" si="40"/>
        <v/>
      </c>
      <c r="G680" s="470" t="str">
        <f t="shared" si="41"/>
        <v/>
      </c>
      <c r="H680" s="524" t="str">
        <f t="shared" si="43"/>
        <v>否</v>
      </c>
      <c r="I680" s="312" t="str">
        <f t="shared" si="42"/>
        <v>项</v>
      </c>
    </row>
    <row r="681" ht="24" hidden="1" customHeight="1" spans="1:9">
      <c r="A681" s="330">
        <v>2082702</v>
      </c>
      <c r="B681" s="379" t="s">
        <v>678</v>
      </c>
      <c r="C681" s="602">
        <f>'[2]2'!E673</f>
        <v>0</v>
      </c>
      <c r="D681" s="714"/>
      <c r="E681" s="713">
        <v>0</v>
      </c>
      <c r="F681" s="716" t="str">
        <f t="shared" si="40"/>
        <v/>
      </c>
      <c r="G681" s="470" t="str">
        <f t="shared" si="41"/>
        <v/>
      </c>
      <c r="H681" s="524" t="str">
        <f t="shared" si="43"/>
        <v>否</v>
      </c>
      <c r="I681" s="312" t="str">
        <f t="shared" si="42"/>
        <v>项</v>
      </c>
    </row>
    <row r="682" s="372" customFormat="1" ht="24" hidden="1" customHeight="1" spans="1:9">
      <c r="A682" s="330">
        <v>2082799</v>
      </c>
      <c r="B682" s="379" t="s">
        <v>679</v>
      </c>
      <c r="C682" s="602">
        <f>'[2]2'!E674</f>
        <v>0</v>
      </c>
      <c r="D682" s="714"/>
      <c r="E682" s="713">
        <v>0</v>
      </c>
      <c r="F682" s="716" t="str">
        <f t="shared" si="40"/>
        <v/>
      </c>
      <c r="G682" s="470" t="str">
        <f t="shared" si="41"/>
        <v/>
      </c>
      <c r="H682" s="524" t="str">
        <f t="shared" si="43"/>
        <v>否</v>
      </c>
      <c r="I682" s="312" t="str">
        <f t="shared" si="42"/>
        <v>项</v>
      </c>
    </row>
    <row r="683" s="372" customFormat="1" ht="24" customHeight="1" spans="1:9">
      <c r="A683" s="330">
        <v>20828</v>
      </c>
      <c r="B683" s="379" t="s">
        <v>680</v>
      </c>
      <c r="C683" s="602">
        <f>SUM(C684:C691)</f>
        <v>2306</v>
      </c>
      <c r="D683" s="713">
        <f>SUM(D684:D691)</f>
        <v>2436</v>
      </c>
      <c r="E683" s="713">
        <f>SUM(E684:E691)</f>
        <v>2060</v>
      </c>
      <c r="F683" s="716">
        <f t="shared" si="40"/>
        <v>-0.106678230702515</v>
      </c>
      <c r="G683" s="470">
        <f t="shared" si="41"/>
        <v>0.845648604269294</v>
      </c>
      <c r="H683" s="524" t="str">
        <f t="shared" si="43"/>
        <v>是</v>
      </c>
      <c r="I683" s="312" t="str">
        <f t="shared" si="42"/>
        <v>款</v>
      </c>
    </row>
    <row r="684" ht="24" hidden="1" customHeight="1" spans="1:9">
      <c r="A684" s="330">
        <v>2082801</v>
      </c>
      <c r="B684" s="379" t="s">
        <v>212</v>
      </c>
      <c r="C684" s="602">
        <f>'[2]2'!E676</f>
        <v>900</v>
      </c>
      <c r="D684" s="714">
        <v>985</v>
      </c>
      <c r="E684" s="713">
        <v>784</v>
      </c>
      <c r="F684" s="716">
        <f t="shared" si="40"/>
        <v>-0.128888888888889</v>
      </c>
      <c r="G684" s="470">
        <f t="shared" si="41"/>
        <v>0.795939086294416</v>
      </c>
      <c r="H684" s="524" t="str">
        <f t="shared" si="43"/>
        <v>是</v>
      </c>
      <c r="I684" s="312" t="str">
        <f t="shared" si="42"/>
        <v>项</v>
      </c>
    </row>
    <row r="685" s="372" customFormat="1" ht="24" hidden="1" customHeight="1" spans="1:9">
      <c r="A685" s="330">
        <v>2082802</v>
      </c>
      <c r="B685" s="379" t="s">
        <v>213</v>
      </c>
      <c r="C685" s="602">
        <f>'[2]2'!E677</f>
        <v>11</v>
      </c>
      <c r="D685" s="714">
        <v>9</v>
      </c>
      <c r="E685" s="713">
        <v>58</v>
      </c>
      <c r="F685" s="716">
        <f t="shared" si="40"/>
        <v>4.27272727272727</v>
      </c>
      <c r="G685" s="470">
        <f t="shared" si="41"/>
        <v>6.44444444444444</v>
      </c>
      <c r="H685" s="524" t="str">
        <f t="shared" si="43"/>
        <v>是</v>
      </c>
      <c r="I685" s="312" t="str">
        <f t="shared" si="42"/>
        <v>项</v>
      </c>
    </row>
    <row r="686" s="372" customFormat="1" ht="24" hidden="1" customHeight="1" spans="1:9">
      <c r="A686" s="330">
        <v>2082803</v>
      </c>
      <c r="B686" s="379" t="s">
        <v>214</v>
      </c>
      <c r="C686" s="602">
        <f>'[2]2'!E678</f>
        <v>0</v>
      </c>
      <c r="D686" s="714"/>
      <c r="E686" s="713">
        <v>0</v>
      </c>
      <c r="F686" s="716" t="str">
        <f t="shared" si="40"/>
        <v/>
      </c>
      <c r="G686" s="470" t="str">
        <f t="shared" si="41"/>
        <v/>
      </c>
      <c r="H686" s="524" t="str">
        <f t="shared" si="43"/>
        <v>否</v>
      </c>
      <c r="I686" s="312" t="str">
        <f t="shared" si="42"/>
        <v>项</v>
      </c>
    </row>
    <row r="687" s="372" customFormat="1" ht="24" hidden="1" customHeight="1" spans="1:9">
      <c r="A687" s="330">
        <v>2082804</v>
      </c>
      <c r="B687" s="379" t="s">
        <v>681</v>
      </c>
      <c r="C687" s="602">
        <f>'[2]2'!E679</f>
        <v>449</v>
      </c>
      <c r="D687" s="714">
        <v>469</v>
      </c>
      <c r="E687" s="713">
        <v>416</v>
      </c>
      <c r="F687" s="716">
        <f t="shared" si="40"/>
        <v>-0.0734966592427617</v>
      </c>
      <c r="G687" s="470">
        <f t="shared" si="41"/>
        <v>0.886993603411514</v>
      </c>
      <c r="H687" s="524" t="str">
        <f t="shared" si="43"/>
        <v>是</v>
      </c>
      <c r="I687" s="312" t="str">
        <f t="shared" si="42"/>
        <v>项</v>
      </c>
    </row>
    <row r="688" s="372" customFormat="1" ht="24" hidden="1" customHeight="1" spans="1:9">
      <c r="A688" s="330">
        <v>2082805</v>
      </c>
      <c r="B688" s="405" t="s">
        <v>682</v>
      </c>
      <c r="C688" s="602">
        <f>'[2]2'!E680</f>
        <v>23</v>
      </c>
      <c r="D688" s="714">
        <v>23</v>
      </c>
      <c r="E688" s="713">
        <v>0</v>
      </c>
      <c r="F688" s="716">
        <f t="shared" si="40"/>
        <v>-1</v>
      </c>
      <c r="G688" s="470">
        <f t="shared" si="41"/>
        <v>0</v>
      </c>
      <c r="H688" s="524" t="str">
        <f t="shared" si="43"/>
        <v>是</v>
      </c>
      <c r="I688" s="312" t="str">
        <f t="shared" si="42"/>
        <v>项</v>
      </c>
    </row>
    <row r="689" s="372" customFormat="1" ht="24" hidden="1" customHeight="1" spans="1:9">
      <c r="A689" s="330">
        <v>2082806</v>
      </c>
      <c r="B689" s="405" t="s">
        <v>252</v>
      </c>
      <c r="C689" s="602">
        <f>'[2]2'!E681</f>
        <v>0</v>
      </c>
      <c r="D689" s="714"/>
      <c r="E689" s="713">
        <v>0</v>
      </c>
      <c r="F689" s="716" t="str">
        <f t="shared" si="40"/>
        <v/>
      </c>
      <c r="G689" s="470" t="str">
        <f t="shared" si="41"/>
        <v/>
      </c>
      <c r="H689" s="524" t="str">
        <f t="shared" si="43"/>
        <v>否</v>
      </c>
      <c r="I689" s="312" t="str">
        <f t="shared" si="42"/>
        <v>项</v>
      </c>
    </row>
    <row r="690" s="372" customFormat="1" ht="24" hidden="1" customHeight="1" spans="1:9">
      <c r="A690" s="330">
        <v>2082850</v>
      </c>
      <c r="B690" s="379" t="s">
        <v>221</v>
      </c>
      <c r="C690" s="602">
        <f>'[2]2'!E682</f>
        <v>902</v>
      </c>
      <c r="D690" s="714">
        <v>932</v>
      </c>
      <c r="E690" s="713">
        <v>789</v>
      </c>
      <c r="F690" s="716">
        <f t="shared" si="40"/>
        <v>-0.125277161862528</v>
      </c>
      <c r="G690" s="470">
        <f t="shared" si="41"/>
        <v>0.84656652360515</v>
      </c>
      <c r="H690" s="524" t="str">
        <f t="shared" si="43"/>
        <v>是</v>
      </c>
      <c r="I690" s="312" t="str">
        <f t="shared" si="42"/>
        <v>项</v>
      </c>
    </row>
    <row r="691" ht="24" hidden="1" customHeight="1" spans="1:9">
      <c r="A691" s="330">
        <v>2082899</v>
      </c>
      <c r="B691" s="379" t="s">
        <v>683</v>
      </c>
      <c r="C691" s="602">
        <f>'[2]2'!E683</f>
        <v>21</v>
      </c>
      <c r="D691" s="714">
        <v>18</v>
      </c>
      <c r="E691" s="713">
        <v>13</v>
      </c>
      <c r="F691" s="716">
        <f t="shared" si="40"/>
        <v>-0.380952380952381</v>
      </c>
      <c r="G691" s="470">
        <f t="shared" si="41"/>
        <v>0.722222222222222</v>
      </c>
      <c r="H691" s="524" t="str">
        <f t="shared" si="43"/>
        <v>是</v>
      </c>
      <c r="I691" s="312" t="str">
        <f t="shared" si="42"/>
        <v>项</v>
      </c>
    </row>
    <row r="692" s="372" customFormat="1" ht="24" customHeight="1" spans="1:9">
      <c r="A692" s="330">
        <v>20830</v>
      </c>
      <c r="B692" s="379" t="s">
        <v>684</v>
      </c>
      <c r="C692" s="602">
        <f>SUM(C693:C694)</f>
        <v>1071</v>
      </c>
      <c r="D692" s="713">
        <f>SUM(D693:D694)</f>
        <v>1127</v>
      </c>
      <c r="E692" s="713">
        <f>SUM(E693:E694)</f>
        <v>1610</v>
      </c>
      <c r="F692" s="716">
        <f t="shared" si="40"/>
        <v>0.503267973856209</v>
      </c>
      <c r="G692" s="470">
        <f t="shared" si="41"/>
        <v>1.42857142857143</v>
      </c>
      <c r="H692" s="524" t="str">
        <f t="shared" si="43"/>
        <v>是</v>
      </c>
      <c r="I692" s="312" t="str">
        <f t="shared" si="42"/>
        <v>款</v>
      </c>
    </row>
    <row r="693" s="372" customFormat="1" ht="24" hidden="1" customHeight="1" spans="1:9">
      <c r="A693" s="330">
        <v>2083001</v>
      </c>
      <c r="B693" s="379" t="s">
        <v>685</v>
      </c>
      <c r="C693" s="602">
        <f>'[2]2'!E685</f>
        <v>1069</v>
      </c>
      <c r="D693" s="714">
        <v>1125</v>
      </c>
      <c r="E693" s="713">
        <v>1610</v>
      </c>
      <c r="F693" s="716">
        <f t="shared" si="40"/>
        <v>0.506080449017774</v>
      </c>
      <c r="G693" s="470">
        <f t="shared" si="41"/>
        <v>1.43111111111111</v>
      </c>
      <c r="H693" s="524" t="str">
        <f t="shared" si="43"/>
        <v>是</v>
      </c>
      <c r="I693" s="312" t="str">
        <f t="shared" si="42"/>
        <v>项</v>
      </c>
    </row>
    <row r="694" ht="24" hidden="1" customHeight="1" spans="1:9">
      <c r="A694" s="330">
        <v>2083099</v>
      </c>
      <c r="B694" s="379" t="s">
        <v>686</v>
      </c>
      <c r="C694" s="602">
        <f>'[2]2'!E686</f>
        <v>2</v>
      </c>
      <c r="D694" s="714">
        <v>2</v>
      </c>
      <c r="E694" s="713">
        <v>0</v>
      </c>
      <c r="F694" s="716">
        <f t="shared" si="40"/>
        <v>-1</v>
      </c>
      <c r="G694" s="470">
        <f t="shared" si="41"/>
        <v>0</v>
      </c>
      <c r="H694" s="524" t="str">
        <f t="shared" si="43"/>
        <v>是</v>
      </c>
      <c r="I694" s="312" t="str">
        <f t="shared" si="42"/>
        <v>项</v>
      </c>
    </row>
    <row r="695" s="372" customFormat="1" ht="24" customHeight="1" spans="1:9">
      <c r="A695" s="330">
        <v>20899</v>
      </c>
      <c r="B695" s="379" t="s">
        <v>687</v>
      </c>
      <c r="C695" s="602">
        <f>C696</f>
        <v>4521</v>
      </c>
      <c r="D695" s="713">
        <f>D696</f>
        <v>4495</v>
      </c>
      <c r="E695" s="713">
        <f>E696</f>
        <v>2364</v>
      </c>
      <c r="F695" s="716">
        <f t="shared" si="40"/>
        <v>-0.477106834771068</v>
      </c>
      <c r="G695" s="470">
        <f t="shared" si="41"/>
        <v>0.525917686318131</v>
      </c>
      <c r="H695" s="524" t="str">
        <f t="shared" si="43"/>
        <v>是</v>
      </c>
      <c r="I695" s="312" t="str">
        <f t="shared" si="42"/>
        <v>款</v>
      </c>
    </row>
    <row r="696" s="372" customFormat="1" ht="24" hidden="1" customHeight="1" spans="1:9">
      <c r="A696" s="531">
        <v>2089999</v>
      </c>
      <c r="B696" s="379" t="s">
        <v>688</v>
      </c>
      <c r="C696" s="602">
        <f>'[2]2'!E688</f>
        <v>4521</v>
      </c>
      <c r="D696" s="714">
        <v>4495</v>
      </c>
      <c r="E696" s="713">
        <v>2364</v>
      </c>
      <c r="F696" s="716">
        <f t="shared" si="40"/>
        <v>-0.477106834771068</v>
      </c>
      <c r="G696" s="470">
        <f t="shared" si="41"/>
        <v>0.525917686318131</v>
      </c>
      <c r="H696" s="524" t="str">
        <f t="shared" si="43"/>
        <v>是</v>
      </c>
      <c r="I696" s="312" t="str">
        <f t="shared" si="42"/>
        <v>项</v>
      </c>
    </row>
    <row r="697" s="372" customFormat="1" ht="24" customHeight="1" spans="1:9">
      <c r="A697" s="329">
        <v>210</v>
      </c>
      <c r="B697" s="377" t="s">
        <v>183</v>
      </c>
      <c r="C697" s="601">
        <f>C698+C703+C718+C722+C734+C738+C743+C747+C751+C754+C763+C765+C772+C780+C777</f>
        <v>196852</v>
      </c>
      <c r="D697" s="601">
        <f>D698+D703+D718+D722+D734+D738+D743+D747+D751+D754+D763+D765+D772+D780+D777</f>
        <v>201368</v>
      </c>
      <c r="E697" s="601">
        <f>E698+E703+E718+E722+E734+E738+E743+E747+E751+E754+E763+E765+E772+E780+E777</f>
        <v>214985</v>
      </c>
      <c r="F697" s="715">
        <f t="shared" si="40"/>
        <v>0.0921148883425111</v>
      </c>
      <c r="G697" s="467">
        <f t="shared" si="41"/>
        <v>1.06762246235747</v>
      </c>
      <c r="H697" s="524" t="str">
        <f t="shared" si="43"/>
        <v>是</v>
      </c>
      <c r="I697" s="312" t="str">
        <f t="shared" si="42"/>
        <v>类</v>
      </c>
    </row>
    <row r="698" ht="24" customHeight="1" spans="1:9">
      <c r="A698" s="330">
        <v>21001</v>
      </c>
      <c r="B698" s="379" t="s">
        <v>689</v>
      </c>
      <c r="C698" s="602">
        <f>SUM(C699:C702)</f>
        <v>3804</v>
      </c>
      <c r="D698" s="713">
        <f>SUM(D699:D702)</f>
        <v>3787</v>
      </c>
      <c r="E698" s="713">
        <f>SUM(E699:E702)</f>
        <v>3687</v>
      </c>
      <c r="F698" s="716">
        <f t="shared" si="40"/>
        <v>-0.0307570977917981</v>
      </c>
      <c r="G698" s="470">
        <f t="shared" si="41"/>
        <v>0.973593873778717</v>
      </c>
      <c r="H698" s="524" t="str">
        <f t="shared" si="43"/>
        <v>是</v>
      </c>
      <c r="I698" s="312" t="str">
        <f t="shared" si="42"/>
        <v>款</v>
      </c>
    </row>
    <row r="699" s="372" customFormat="1" ht="24" hidden="1" customHeight="1" spans="1:9">
      <c r="A699" s="330">
        <v>2100101</v>
      </c>
      <c r="B699" s="379" t="s">
        <v>212</v>
      </c>
      <c r="C699" s="602">
        <f>'[2]2'!E691</f>
        <v>2280</v>
      </c>
      <c r="D699" s="714">
        <v>2311</v>
      </c>
      <c r="E699" s="713">
        <v>2306</v>
      </c>
      <c r="F699" s="716">
        <f t="shared" si="40"/>
        <v>0.0114035087719298</v>
      </c>
      <c r="G699" s="470">
        <f t="shared" si="41"/>
        <v>0.997836434443964</v>
      </c>
      <c r="H699" s="524" t="str">
        <f t="shared" si="43"/>
        <v>是</v>
      </c>
      <c r="I699" s="312" t="str">
        <f t="shared" si="42"/>
        <v>项</v>
      </c>
    </row>
    <row r="700" s="372" customFormat="1" ht="24" hidden="1" customHeight="1" spans="1:9">
      <c r="A700" s="330">
        <v>2100102</v>
      </c>
      <c r="B700" s="379" t="s">
        <v>213</v>
      </c>
      <c r="C700" s="602">
        <f>'[2]2'!E692</f>
        <v>99</v>
      </c>
      <c r="D700" s="714">
        <v>91</v>
      </c>
      <c r="E700" s="713">
        <v>27</v>
      </c>
      <c r="F700" s="716">
        <f t="shared" si="40"/>
        <v>-0.727272727272727</v>
      </c>
      <c r="G700" s="470">
        <f t="shared" si="41"/>
        <v>0.296703296703297</v>
      </c>
      <c r="H700" s="524" t="str">
        <f t="shared" si="43"/>
        <v>是</v>
      </c>
      <c r="I700" s="312" t="str">
        <f t="shared" si="42"/>
        <v>项</v>
      </c>
    </row>
    <row r="701" s="372" customFormat="1" ht="24" hidden="1" customHeight="1" spans="1:9">
      <c r="A701" s="330">
        <v>2100103</v>
      </c>
      <c r="B701" s="379" t="s">
        <v>214</v>
      </c>
      <c r="C701" s="602">
        <f>'[2]2'!E693</f>
        <v>0</v>
      </c>
      <c r="D701" s="714"/>
      <c r="E701" s="713">
        <v>0</v>
      </c>
      <c r="F701" s="716" t="str">
        <f t="shared" si="40"/>
        <v/>
      </c>
      <c r="G701" s="470" t="str">
        <f t="shared" si="41"/>
        <v/>
      </c>
      <c r="H701" s="524" t="str">
        <f t="shared" si="43"/>
        <v>否</v>
      </c>
      <c r="I701" s="312" t="str">
        <f t="shared" si="42"/>
        <v>项</v>
      </c>
    </row>
    <row r="702" s="372" customFormat="1" ht="24" hidden="1" customHeight="1" spans="1:9">
      <c r="A702" s="330">
        <v>2100199</v>
      </c>
      <c r="B702" s="379" t="s">
        <v>690</v>
      </c>
      <c r="C702" s="602">
        <f>'[2]2'!E694</f>
        <v>1425</v>
      </c>
      <c r="D702" s="714">
        <v>1385</v>
      </c>
      <c r="E702" s="713">
        <v>1354</v>
      </c>
      <c r="F702" s="716">
        <f t="shared" si="40"/>
        <v>-0.0498245614035088</v>
      </c>
      <c r="G702" s="470">
        <f t="shared" si="41"/>
        <v>0.977617328519856</v>
      </c>
      <c r="H702" s="524" t="str">
        <f t="shared" si="43"/>
        <v>是</v>
      </c>
      <c r="I702" s="312" t="str">
        <f t="shared" si="42"/>
        <v>项</v>
      </c>
    </row>
    <row r="703" ht="24" customHeight="1" spans="1:9">
      <c r="A703" s="330">
        <v>21002</v>
      </c>
      <c r="B703" s="379" t="s">
        <v>691</v>
      </c>
      <c r="C703" s="602">
        <f>SUM(C704:C717)</f>
        <v>26371</v>
      </c>
      <c r="D703" s="713">
        <f>SUM(D704:D717)</f>
        <v>27334</v>
      </c>
      <c r="E703" s="713">
        <f>SUM(E704:E717)</f>
        <v>22453</v>
      </c>
      <c r="F703" s="716">
        <f t="shared" si="40"/>
        <v>-0.148572295324409</v>
      </c>
      <c r="G703" s="470">
        <f t="shared" si="41"/>
        <v>0.821431184605254</v>
      </c>
      <c r="H703" s="524" t="str">
        <f t="shared" si="43"/>
        <v>是</v>
      </c>
      <c r="I703" s="312" t="str">
        <f t="shared" si="42"/>
        <v>款</v>
      </c>
    </row>
    <row r="704" s="372" customFormat="1" ht="24" hidden="1" customHeight="1" spans="1:9">
      <c r="A704" s="330">
        <v>2100201</v>
      </c>
      <c r="B704" s="379" t="s">
        <v>692</v>
      </c>
      <c r="C704" s="602">
        <f>'[2]2'!E696</f>
        <v>15027</v>
      </c>
      <c r="D704" s="714">
        <v>15765</v>
      </c>
      <c r="E704" s="713">
        <v>14645</v>
      </c>
      <c r="F704" s="716">
        <f t="shared" si="40"/>
        <v>-0.0254209090304119</v>
      </c>
      <c r="G704" s="470">
        <f t="shared" si="41"/>
        <v>0.92895654931811</v>
      </c>
      <c r="H704" s="524" t="str">
        <f t="shared" si="43"/>
        <v>是</v>
      </c>
      <c r="I704" s="312" t="str">
        <f t="shared" si="42"/>
        <v>项</v>
      </c>
    </row>
    <row r="705" s="372" customFormat="1" ht="24" hidden="1" customHeight="1" spans="1:9">
      <c r="A705" s="330">
        <v>2100202</v>
      </c>
      <c r="B705" s="379" t="s">
        <v>693</v>
      </c>
      <c r="C705" s="602">
        <f>'[2]2'!E697</f>
        <v>4679</v>
      </c>
      <c r="D705" s="714">
        <v>4785</v>
      </c>
      <c r="E705" s="713">
        <v>5061</v>
      </c>
      <c r="F705" s="716">
        <f t="shared" si="40"/>
        <v>0.0816413763624706</v>
      </c>
      <c r="G705" s="470">
        <f t="shared" si="41"/>
        <v>1.0576802507837</v>
      </c>
      <c r="H705" s="524" t="str">
        <f t="shared" si="43"/>
        <v>是</v>
      </c>
      <c r="I705" s="312" t="str">
        <f t="shared" si="42"/>
        <v>项</v>
      </c>
    </row>
    <row r="706" s="372" customFormat="1" ht="24" hidden="1" customHeight="1" spans="1:9">
      <c r="A706" s="330">
        <v>2100203</v>
      </c>
      <c r="B706" s="379" t="s">
        <v>694</v>
      </c>
      <c r="C706" s="602">
        <f>'[2]2'!E698</f>
        <v>5204</v>
      </c>
      <c r="D706" s="714">
        <v>5321</v>
      </c>
      <c r="E706" s="713">
        <v>1158</v>
      </c>
      <c r="F706" s="716">
        <f t="shared" si="40"/>
        <v>-0.777478862413528</v>
      </c>
      <c r="G706" s="470">
        <f t="shared" si="41"/>
        <v>0.217628265363653</v>
      </c>
      <c r="H706" s="524" t="str">
        <f t="shared" si="43"/>
        <v>是</v>
      </c>
      <c r="I706" s="312" t="str">
        <f t="shared" si="42"/>
        <v>项</v>
      </c>
    </row>
    <row r="707" s="372" customFormat="1" ht="24" hidden="1" customHeight="1" spans="1:9">
      <c r="A707" s="330">
        <v>2100204</v>
      </c>
      <c r="B707" s="379" t="s">
        <v>695</v>
      </c>
      <c r="C707" s="602">
        <f>'[2]2'!E699</f>
        <v>0</v>
      </c>
      <c r="D707" s="714"/>
      <c r="E707" s="713">
        <v>0</v>
      </c>
      <c r="F707" s="716" t="str">
        <f t="shared" si="40"/>
        <v/>
      </c>
      <c r="G707" s="470" t="str">
        <f t="shared" si="41"/>
        <v/>
      </c>
      <c r="H707" s="524" t="str">
        <f t="shared" si="43"/>
        <v>否</v>
      </c>
      <c r="I707" s="312" t="str">
        <f t="shared" si="42"/>
        <v>项</v>
      </c>
    </row>
    <row r="708" s="372" customFormat="1" ht="24" hidden="1" customHeight="1" spans="1:9">
      <c r="A708" s="330">
        <v>2100205</v>
      </c>
      <c r="B708" s="379" t="s">
        <v>696</v>
      </c>
      <c r="C708" s="602">
        <f>'[2]2'!E700</f>
        <v>706</v>
      </c>
      <c r="D708" s="714">
        <v>732</v>
      </c>
      <c r="E708" s="713">
        <v>770</v>
      </c>
      <c r="F708" s="716">
        <f t="shared" si="40"/>
        <v>0.0906515580736544</v>
      </c>
      <c r="G708" s="470">
        <f t="shared" si="41"/>
        <v>1.05191256830601</v>
      </c>
      <c r="H708" s="524" t="str">
        <f t="shared" si="43"/>
        <v>是</v>
      </c>
      <c r="I708" s="312" t="str">
        <f t="shared" si="42"/>
        <v>项</v>
      </c>
    </row>
    <row r="709" s="372" customFormat="1" ht="24" hidden="1" customHeight="1" spans="1:9">
      <c r="A709" s="330">
        <v>2100206</v>
      </c>
      <c r="B709" s="379" t="s">
        <v>697</v>
      </c>
      <c r="C709" s="602">
        <f>'[2]2'!E701</f>
        <v>0</v>
      </c>
      <c r="D709" s="714"/>
      <c r="E709" s="713">
        <v>0</v>
      </c>
      <c r="F709" s="716" t="str">
        <f t="shared" ref="F709:F772" si="44">IFERROR((E709-C709)/C709,"")</f>
        <v/>
      </c>
      <c r="G709" s="470" t="str">
        <f t="shared" ref="G709:G772" si="45">IFERROR(E709/D709,"")</f>
        <v/>
      </c>
      <c r="H709" s="524" t="str">
        <f t="shared" si="43"/>
        <v>否</v>
      </c>
      <c r="I709" s="312" t="str">
        <f t="shared" ref="I709:I772" si="46">IF(LEN(A709)=3,"类",IF(LEN(A709)=5,"款","项"))</f>
        <v>项</v>
      </c>
    </row>
    <row r="710" s="372" customFormat="1" ht="24" hidden="1" customHeight="1" spans="1:9">
      <c r="A710" s="330">
        <v>2100207</v>
      </c>
      <c r="B710" s="379" t="s">
        <v>698</v>
      </c>
      <c r="C710" s="602">
        <f>'[2]2'!E702</f>
        <v>0</v>
      </c>
      <c r="D710" s="714"/>
      <c r="E710" s="713">
        <v>0</v>
      </c>
      <c r="F710" s="716" t="str">
        <f t="shared" si="44"/>
        <v/>
      </c>
      <c r="G710" s="470" t="str">
        <f t="shared" si="45"/>
        <v/>
      </c>
      <c r="H710" s="524" t="str">
        <f t="shared" ref="H710:H773" si="47">IF(LEN(A710)=3,"是",IF(B710&lt;&gt;"",IF(SUM(C710:E710)&lt;&gt;0,"是","否"),"是"))</f>
        <v>否</v>
      </c>
      <c r="I710" s="312" t="str">
        <f t="shared" si="46"/>
        <v>项</v>
      </c>
    </row>
    <row r="711" ht="24" hidden="1" customHeight="1" spans="1:9">
      <c r="A711" s="330">
        <v>2100208</v>
      </c>
      <c r="B711" s="379" t="s">
        <v>699</v>
      </c>
      <c r="C711" s="602">
        <f>'[2]2'!E703</f>
        <v>0</v>
      </c>
      <c r="D711" s="714"/>
      <c r="E711" s="713">
        <v>0</v>
      </c>
      <c r="F711" s="716" t="str">
        <f t="shared" si="44"/>
        <v/>
      </c>
      <c r="G711" s="470" t="str">
        <f t="shared" si="45"/>
        <v/>
      </c>
      <c r="H711" s="524" t="str">
        <f t="shared" si="47"/>
        <v>否</v>
      </c>
      <c r="I711" s="312" t="str">
        <f t="shared" si="46"/>
        <v>项</v>
      </c>
    </row>
    <row r="712" s="372" customFormat="1" ht="24" hidden="1" customHeight="1" spans="1:9">
      <c r="A712" s="330">
        <v>2100209</v>
      </c>
      <c r="B712" s="379" t="s">
        <v>700</v>
      </c>
      <c r="C712" s="602">
        <f>'[2]2'!E704</f>
        <v>0</v>
      </c>
      <c r="D712" s="714"/>
      <c r="E712" s="713">
        <v>0</v>
      </c>
      <c r="F712" s="716" t="str">
        <f t="shared" si="44"/>
        <v/>
      </c>
      <c r="G712" s="470" t="str">
        <f t="shared" si="45"/>
        <v/>
      </c>
      <c r="H712" s="524" t="str">
        <f t="shared" si="47"/>
        <v>否</v>
      </c>
      <c r="I712" s="312" t="str">
        <f t="shared" si="46"/>
        <v>项</v>
      </c>
    </row>
    <row r="713" s="372" customFormat="1" ht="24" hidden="1" customHeight="1" spans="1:9">
      <c r="A713" s="330">
        <v>2100210</v>
      </c>
      <c r="B713" s="379" t="s">
        <v>701</v>
      </c>
      <c r="C713" s="602">
        <f>'[2]2'!E705</f>
        <v>0</v>
      </c>
      <c r="D713" s="714"/>
      <c r="E713" s="713">
        <v>0</v>
      </c>
      <c r="F713" s="716" t="str">
        <f t="shared" si="44"/>
        <v/>
      </c>
      <c r="G713" s="470" t="str">
        <f t="shared" si="45"/>
        <v/>
      </c>
      <c r="H713" s="524" t="str">
        <f t="shared" si="47"/>
        <v>否</v>
      </c>
      <c r="I713" s="312" t="str">
        <f t="shared" si="46"/>
        <v>项</v>
      </c>
    </row>
    <row r="714" ht="24" hidden="1" customHeight="1" spans="1:9">
      <c r="A714" s="330">
        <v>2100211</v>
      </c>
      <c r="B714" s="379" t="s">
        <v>702</v>
      </c>
      <c r="C714" s="602">
        <f>'[2]2'!E706</f>
        <v>0</v>
      </c>
      <c r="D714" s="714"/>
      <c r="E714" s="713">
        <v>0</v>
      </c>
      <c r="F714" s="716" t="str">
        <f t="shared" si="44"/>
        <v/>
      </c>
      <c r="G714" s="470" t="str">
        <f t="shared" si="45"/>
        <v/>
      </c>
      <c r="H714" s="524" t="str">
        <f t="shared" si="47"/>
        <v>否</v>
      </c>
      <c r="I714" s="312" t="str">
        <f t="shared" si="46"/>
        <v>项</v>
      </c>
    </row>
    <row r="715" s="372" customFormat="1" ht="24" hidden="1" customHeight="1" spans="1:9">
      <c r="A715" s="330">
        <v>2100212</v>
      </c>
      <c r="B715" s="379" t="s">
        <v>703</v>
      </c>
      <c r="C715" s="602">
        <f>'[2]2'!E707</f>
        <v>0</v>
      </c>
      <c r="D715" s="714"/>
      <c r="E715" s="713">
        <v>0</v>
      </c>
      <c r="F715" s="716" t="str">
        <f t="shared" si="44"/>
        <v/>
      </c>
      <c r="G715" s="470" t="str">
        <f t="shared" si="45"/>
        <v/>
      </c>
      <c r="H715" s="524" t="str">
        <f t="shared" si="47"/>
        <v>否</v>
      </c>
      <c r="I715" s="312" t="str">
        <f t="shared" si="46"/>
        <v>项</v>
      </c>
    </row>
    <row r="716" ht="24" hidden="1" customHeight="1" spans="1:9">
      <c r="A716" s="330">
        <v>2100213</v>
      </c>
      <c r="B716" s="405" t="s">
        <v>704</v>
      </c>
      <c r="C716" s="602">
        <f>'[2]2'!E708</f>
        <v>0</v>
      </c>
      <c r="D716" s="714"/>
      <c r="E716" s="713">
        <v>0</v>
      </c>
      <c r="F716" s="716" t="str">
        <f t="shared" si="44"/>
        <v/>
      </c>
      <c r="G716" s="470" t="str">
        <f t="shared" si="45"/>
        <v/>
      </c>
      <c r="H716" s="524" t="str">
        <f t="shared" si="47"/>
        <v>否</v>
      </c>
      <c r="I716" s="312" t="str">
        <f t="shared" si="46"/>
        <v>项</v>
      </c>
    </row>
    <row r="717" ht="24" hidden="1" customHeight="1" spans="1:9">
      <c r="A717" s="330">
        <v>2100299</v>
      </c>
      <c r="B717" s="379" t="s">
        <v>705</v>
      </c>
      <c r="C717" s="602">
        <f>'[2]2'!E709</f>
        <v>755</v>
      </c>
      <c r="D717" s="714">
        <v>731</v>
      </c>
      <c r="E717" s="713">
        <v>819</v>
      </c>
      <c r="F717" s="716">
        <f t="shared" si="44"/>
        <v>0.0847682119205298</v>
      </c>
      <c r="G717" s="470">
        <f t="shared" si="45"/>
        <v>1.1203830369357</v>
      </c>
      <c r="H717" s="524" t="str">
        <f t="shared" si="47"/>
        <v>是</v>
      </c>
      <c r="I717" s="312" t="str">
        <f t="shared" si="46"/>
        <v>项</v>
      </c>
    </row>
    <row r="718" s="372" customFormat="1" ht="24" customHeight="1" spans="1:9">
      <c r="A718" s="330">
        <v>21003</v>
      </c>
      <c r="B718" s="379" t="s">
        <v>706</v>
      </c>
      <c r="C718" s="602">
        <f>SUM(C719:C721)</f>
        <v>17983</v>
      </c>
      <c r="D718" s="713">
        <f>SUM(D719:D721)</f>
        <v>18238</v>
      </c>
      <c r="E718" s="713">
        <f>SUM(E719:E721)</f>
        <v>19954</v>
      </c>
      <c r="F718" s="716">
        <f t="shared" si="44"/>
        <v>0.109603514430295</v>
      </c>
      <c r="G718" s="470">
        <f t="shared" si="45"/>
        <v>1.0940892641737</v>
      </c>
      <c r="H718" s="524" t="str">
        <f t="shared" si="47"/>
        <v>是</v>
      </c>
      <c r="I718" s="312" t="str">
        <f t="shared" si="46"/>
        <v>款</v>
      </c>
    </row>
    <row r="719" s="372" customFormat="1" ht="24" hidden="1" customHeight="1" spans="1:9">
      <c r="A719" s="330">
        <v>2100301</v>
      </c>
      <c r="B719" s="379" t="s">
        <v>707</v>
      </c>
      <c r="C719" s="602">
        <f>'[2]2'!E711</f>
        <v>1267</v>
      </c>
      <c r="D719" s="714">
        <v>1314</v>
      </c>
      <c r="E719" s="713">
        <v>1527</v>
      </c>
      <c r="F719" s="716">
        <f t="shared" si="44"/>
        <v>0.205209155485399</v>
      </c>
      <c r="G719" s="470">
        <f t="shared" si="45"/>
        <v>1.162100456621</v>
      </c>
      <c r="H719" s="524" t="str">
        <f t="shared" si="47"/>
        <v>是</v>
      </c>
      <c r="I719" s="312" t="str">
        <f t="shared" si="46"/>
        <v>项</v>
      </c>
    </row>
    <row r="720" s="372" customFormat="1" ht="24" hidden="1" customHeight="1" spans="1:9">
      <c r="A720" s="330">
        <v>2100302</v>
      </c>
      <c r="B720" s="379" t="s">
        <v>708</v>
      </c>
      <c r="C720" s="602">
        <f>'[2]2'!E712</f>
        <v>14637</v>
      </c>
      <c r="D720" s="714">
        <v>15013</v>
      </c>
      <c r="E720" s="713">
        <v>16108</v>
      </c>
      <c r="F720" s="716">
        <f t="shared" si="44"/>
        <v>0.100498736079798</v>
      </c>
      <c r="G720" s="470">
        <f t="shared" si="45"/>
        <v>1.07293678811697</v>
      </c>
      <c r="H720" s="524" t="str">
        <f t="shared" si="47"/>
        <v>是</v>
      </c>
      <c r="I720" s="312" t="str">
        <f t="shared" si="46"/>
        <v>项</v>
      </c>
    </row>
    <row r="721" s="372" customFormat="1" ht="24" hidden="1" customHeight="1" spans="1:9">
      <c r="A721" s="330">
        <v>2100399</v>
      </c>
      <c r="B721" s="379" t="s">
        <v>709</v>
      </c>
      <c r="C721" s="602">
        <f>'[2]2'!E713</f>
        <v>2079</v>
      </c>
      <c r="D721" s="714">
        <v>1911</v>
      </c>
      <c r="E721" s="713">
        <v>2319</v>
      </c>
      <c r="F721" s="716">
        <f t="shared" si="44"/>
        <v>0.115440115440115</v>
      </c>
      <c r="G721" s="470">
        <f t="shared" si="45"/>
        <v>1.21350078492936</v>
      </c>
      <c r="H721" s="524" t="str">
        <f t="shared" si="47"/>
        <v>是</v>
      </c>
      <c r="I721" s="312" t="str">
        <f t="shared" si="46"/>
        <v>项</v>
      </c>
    </row>
    <row r="722" ht="24" customHeight="1" spans="1:9">
      <c r="A722" s="330">
        <v>21004</v>
      </c>
      <c r="B722" s="379" t="s">
        <v>710</v>
      </c>
      <c r="C722" s="602">
        <f>SUM(C723:C733)</f>
        <v>23376</v>
      </c>
      <c r="D722" s="713">
        <f>SUM(D723:D733)</f>
        <v>24015</v>
      </c>
      <c r="E722" s="713">
        <f>SUM(E723:E733)</f>
        <v>24844</v>
      </c>
      <c r="F722" s="716">
        <f t="shared" si="44"/>
        <v>0.0627994524298426</v>
      </c>
      <c r="G722" s="470">
        <f t="shared" si="45"/>
        <v>1.03452009160941</v>
      </c>
      <c r="H722" s="524" t="str">
        <f t="shared" si="47"/>
        <v>是</v>
      </c>
      <c r="I722" s="312" t="str">
        <f t="shared" si="46"/>
        <v>款</v>
      </c>
    </row>
    <row r="723" s="372" customFormat="1" ht="24" hidden="1" customHeight="1" spans="1:9">
      <c r="A723" s="330">
        <v>2100401</v>
      </c>
      <c r="B723" s="379" t="s">
        <v>711</v>
      </c>
      <c r="C723" s="602">
        <f>'[2]2'!E715</f>
        <v>4607</v>
      </c>
      <c r="D723" s="714">
        <v>4712</v>
      </c>
      <c r="E723" s="713">
        <v>5317</v>
      </c>
      <c r="F723" s="716">
        <f t="shared" si="44"/>
        <v>0.154113305838941</v>
      </c>
      <c r="G723" s="470">
        <f t="shared" si="45"/>
        <v>1.12839558573854</v>
      </c>
      <c r="H723" s="524" t="str">
        <f t="shared" si="47"/>
        <v>是</v>
      </c>
      <c r="I723" s="312" t="str">
        <f t="shared" si="46"/>
        <v>项</v>
      </c>
    </row>
    <row r="724" s="372" customFormat="1" ht="24" hidden="1" customHeight="1" spans="1:9">
      <c r="A724" s="330">
        <v>2100402</v>
      </c>
      <c r="B724" s="379" t="s">
        <v>712</v>
      </c>
      <c r="C724" s="602">
        <f>'[2]2'!E716</f>
        <v>300</v>
      </c>
      <c r="D724" s="714">
        <v>305</v>
      </c>
      <c r="E724" s="713">
        <v>244</v>
      </c>
      <c r="F724" s="716">
        <f t="shared" si="44"/>
        <v>-0.186666666666667</v>
      </c>
      <c r="G724" s="470">
        <f t="shared" si="45"/>
        <v>0.8</v>
      </c>
      <c r="H724" s="524" t="str">
        <f t="shared" si="47"/>
        <v>是</v>
      </c>
      <c r="I724" s="312" t="str">
        <f t="shared" si="46"/>
        <v>项</v>
      </c>
    </row>
    <row r="725" s="372" customFormat="1" ht="24" hidden="1" customHeight="1" spans="1:9">
      <c r="A725" s="330">
        <v>2100403</v>
      </c>
      <c r="B725" s="379" t="s">
        <v>713</v>
      </c>
      <c r="C725" s="602">
        <f>'[2]2'!E717</f>
        <v>6300</v>
      </c>
      <c r="D725" s="714">
        <v>6451</v>
      </c>
      <c r="E725" s="713">
        <v>7405</v>
      </c>
      <c r="F725" s="716">
        <f t="shared" si="44"/>
        <v>0.175396825396825</v>
      </c>
      <c r="G725" s="470">
        <f t="shared" si="45"/>
        <v>1.14788404898465</v>
      </c>
      <c r="H725" s="524" t="str">
        <f t="shared" si="47"/>
        <v>是</v>
      </c>
      <c r="I725" s="312" t="str">
        <f t="shared" si="46"/>
        <v>项</v>
      </c>
    </row>
    <row r="726" s="372" customFormat="1" ht="24" hidden="1" customHeight="1" spans="1:9">
      <c r="A726" s="330">
        <v>2100404</v>
      </c>
      <c r="B726" s="379" t="s">
        <v>714</v>
      </c>
      <c r="C726" s="602">
        <f>'[2]2'!E718</f>
        <v>0</v>
      </c>
      <c r="D726" s="714"/>
      <c r="E726" s="713">
        <v>0</v>
      </c>
      <c r="F726" s="716" t="str">
        <f t="shared" si="44"/>
        <v/>
      </c>
      <c r="G726" s="470" t="str">
        <f t="shared" si="45"/>
        <v/>
      </c>
      <c r="H726" s="524" t="str">
        <f t="shared" si="47"/>
        <v>否</v>
      </c>
      <c r="I726" s="312" t="str">
        <f t="shared" si="46"/>
        <v>项</v>
      </c>
    </row>
    <row r="727" s="372" customFormat="1" ht="24" hidden="1" customHeight="1" spans="1:9">
      <c r="A727" s="330">
        <v>2100405</v>
      </c>
      <c r="B727" s="379" t="s">
        <v>715</v>
      </c>
      <c r="C727" s="602">
        <f>'[2]2'!E719</f>
        <v>1</v>
      </c>
      <c r="D727" s="714">
        <v>1</v>
      </c>
      <c r="E727" s="713">
        <v>2</v>
      </c>
      <c r="F727" s="716">
        <f t="shared" si="44"/>
        <v>1</v>
      </c>
      <c r="G727" s="470">
        <f t="shared" si="45"/>
        <v>2</v>
      </c>
      <c r="H727" s="524" t="str">
        <f t="shared" si="47"/>
        <v>是</v>
      </c>
      <c r="I727" s="312" t="str">
        <f t="shared" si="46"/>
        <v>项</v>
      </c>
    </row>
    <row r="728" s="372" customFormat="1" ht="24" hidden="1" customHeight="1" spans="1:9">
      <c r="A728" s="330">
        <v>2100406</v>
      </c>
      <c r="B728" s="379" t="s">
        <v>716</v>
      </c>
      <c r="C728" s="602">
        <f>'[2]2'!E720</f>
        <v>242</v>
      </c>
      <c r="D728" s="714">
        <v>239</v>
      </c>
      <c r="E728" s="713">
        <v>1221</v>
      </c>
      <c r="F728" s="716">
        <f t="shared" si="44"/>
        <v>4.04545454545455</v>
      </c>
      <c r="G728" s="470">
        <f t="shared" si="45"/>
        <v>5.10878661087866</v>
      </c>
      <c r="H728" s="524" t="str">
        <f t="shared" si="47"/>
        <v>是</v>
      </c>
      <c r="I728" s="312" t="str">
        <f t="shared" si="46"/>
        <v>项</v>
      </c>
    </row>
    <row r="729" s="372" customFormat="1" ht="24" hidden="1" customHeight="1" spans="1:9">
      <c r="A729" s="330">
        <v>2100407</v>
      </c>
      <c r="B729" s="379" t="s">
        <v>717</v>
      </c>
      <c r="C729" s="602">
        <f>'[2]2'!E721</f>
        <v>0</v>
      </c>
      <c r="D729" s="714"/>
      <c r="E729" s="713">
        <v>0</v>
      </c>
      <c r="F729" s="716" t="str">
        <f t="shared" si="44"/>
        <v/>
      </c>
      <c r="G729" s="470" t="str">
        <f t="shared" si="45"/>
        <v/>
      </c>
      <c r="H729" s="524" t="str">
        <f t="shared" si="47"/>
        <v>否</v>
      </c>
      <c r="I729" s="312" t="str">
        <f t="shared" si="46"/>
        <v>项</v>
      </c>
    </row>
    <row r="730" s="372" customFormat="1" ht="24" hidden="1" customHeight="1" spans="1:9">
      <c r="A730" s="330">
        <v>2100408</v>
      </c>
      <c r="B730" s="379" t="s">
        <v>718</v>
      </c>
      <c r="C730" s="602">
        <f>'[2]2'!E722</f>
        <v>9106</v>
      </c>
      <c r="D730" s="714">
        <v>9456</v>
      </c>
      <c r="E730" s="713">
        <v>9443</v>
      </c>
      <c r="F730" s="716">
        <f t="shared" si="44"/>
        <v>0.0370085657808039</v>
      </c>
      <c r="G730" s="470">
        <f t="shared" si="45"/>
        <v>0.998625211505922</v>
      </c>
      <c r="H730" s="524" t="str">
        <f t="shared" si="47"/>
        <v>是</v>
      </c>
      <c r="I730" s="312" t="str">
        <f t="shared" si="46"/>
        <v>项</v>
      </c>
    </row>
    <row r="731" s="372" customFormat="1" ht="24" hidden="1" customHeight="1" spans="1:9">
      <c r="A731" s="330">
        <v>2100409</v>
      </c>
      <c r="B731" s="379" t="s">
        <v>719</v>
      </c>
      <c r="C731" s="602">
        <f>'[2]2'!E723</f>
        <v>1654</v>
      </c>
      <c r="D731" s="714">
        <v>1745</v>
      </c>
      <c r="E731" s="713">
        <v>1103</v>
      </c>
      <c r="F731" s="716">
        <f t="shared" si="44"/>
        <v>-0.333131801692866</v>
      </c>
      <c r="G731" s="470">
        <f t="shared" si="45"/>
        <v>0.632091690544413</v>
      </c>
      <c r="H731" s="524" t="str">
        <f t="shared" si="47"/>
        <v>是</v>
      </c>
      <c r="I731" s="312" t="str">
        <f t="shared" si="46"/>
        <v>项</v>
      </c>
    </row>
    <row r="732" s="372" customFormat="1" ht="24" hidden="1" customHeight="1" spans="1:9">
      <c r="A732" s="330">
        <v>2100410</v>
      </c>
      <c r="B732" s="379" t="s">
        <v>720</v>
      </c>
      <c r="C732" s="602">
        <f>'[2]2'!E724</f>
        <v>988</v>
      </c>
      <c r="D732" s="714">
        <v>945</v>
      </c>
      <c r="E732" s="713">
        <v>-98</v>
      </c>
      <c r="F732" s="716">
        <f t="shared" si="44"/>
        <v>-1.09919028340081</v>
      </c>
      <c r="G732" s="470">
        <f t="shared" si="45"/>
        <v>-0.103703703703704</v>
      </c>
      <c r="H732" s="524" t="str">
        <f t="shared" si="47"/>
        <v>是</v>
      </c>
      <c r="I732" s="312" t="str">
        <f t="shared" si="46"/>
        <v>项</v>
      </c>
    </row>
    <row r="733" s="372" customFormat="1" ht="24" hidden="1" customHeight="1" spans="1:9">
      <c r="A733" s="330">
        <v>2100499</v>
      </c>
      <c r="B733" s="379" t="s">
        <v>721</v>
      </c>
      <c r="C733" s="602">
        <f>'[2]2'!E725</f>
        <v>178</v>
      </c>
      <c r="D733" s="714">
        <v>161</v>
      </c>
      <c r="E733" s="713">
        <v>207</v>
      </c>
      <c r="F733" s="716">
        <f t="shared" si="44"/>
        <v>0.162921348314607</v>
      </c>
      <c r="G733" s="470">
        <f t="shared" si="45"/>
        <v>1.28571428571429</v>
      </c>
      <c r="H733" s="524" t="str">
        <f t="shared" si="47"/>
        <v>是</v>
      </c>
      <c r="I733" s="312" t="str">
        <f t="shared" si="46"/>
        <v>项</v>
      </c>
    </row>
    <row r="734" ht="24" customHeight="1" spans="1:9">
      <c r="A734" s="330">
        <v>21007</v>
      </c>
      <c r="B734" s="379" t="s">
        <v>722</v>
      </c>
      <c r="C734" s="602">
        <f>SUM(C735:C737)</f>
        <v>4390</v>
      </c>
      <c r="D734" s="713">
        <f>SUM(D735:D737)</f>
        <v>4162</v>
      </c>
      <c r="E734" s="713">
        <f>SUM(E735:E737)</f>
        <v>5652</v>
      </c>
      <c r="F734" s="716">
        <f t="shared" si="44"/>
        <v>0.2874715261959</v>
      </c>
      <c r="G734" s="470">
        <f t="shared" si="45"/>
        <v>1.35800096107641</v>
      </c>
      <c r="H734" s="524" t="str">
        <f t="shared" si="47"/>
        <v>是</v>
      </c>
      <c r="I734" s="312" t="str">
        <f t="shared" si="46"/>
        <v>款</v>
      </c>
    </row>
    <row r="735" s="372" customFormat="1" ht="24" hidden="1" customHeight="1" spans="1:9">
      <c r="A735" s="330">
        <v>2100716</v>
      </c>
      <c r="B735" s="379" t="s">
        <v>723</v>
      </c>
      <c r="C735" s="602">
        <f>'[2]2'!E727</f>
        <v>163</v>
      </c>
      <c r="D735" s="714">
        <v>171</v>
      </c>
      <c r="E735" s="713">
        <v>127</v>
      </c>
      <c r="F735" s="716">
        <f t="shared" si="44"/>
        <v>-0.220858895705521</v>
      </c>
      <c r="G735" s="470">
        <f t="shared" si="45"/>
        <v>0.742690058479532</v>
      </c>
      <c r="H735" s="524" t="str">
        <f t="shared" si="47"/>
        <v>是</v>
      </c>
      <c r="I735" s="312" t="str">
        <f t="shared" si="46"/>
        <v>项</v>
      </c>
    </row>
    <row r="736" s="372" customFormat="1" ht="24" hidden="1" customHeight="1" spans="1:9">
      <c r="A736" s="330">
        <v>2100717</v>
      </c>
      <c r="B736" s="379" t="s">
        <v>724</v>
      </c>
      <c r="C736" s="602">
        <f>'[2]2'!E728</f>
        <v>38</v>
      </c>
      <c r="D736" s="714">
        <v>35</v>
      </c>
      <c r="E736" s="713">
        <v>44</v>
      </c>
      <c r="F736" s="716">
        <f t="shared" si="44"/>
        <v>0.157894736842105</v>
      </c>
      <c r="G736" s="470">
        <f t="shared" si="45"/>
        <v>1.25714285714286</v>
      </c>
      <c r="H736" s="524" t="str">
        <f t="shared" si="47"/>
        <v>是</v>
      </c>
      <c r="I736" s="312" t="str">
        <f t="shared" si="46"/>
        <v>项</v>
      </c>
    </row>
    <row r="737" s="372" customFormat="1" ht="24" hidden="1" customHeight="1" spans="1:9">
      <c r="A737" s="330">
        <v>2100799</v>
      </c>
      <c r="B737" s="379" t="s">
        <v>725</v>
      </c>
      <c r="C737" s="602">
        <f>'[2]2'!E729</f>
        <v>4189</v>
      </c>
      <c r="D737" s="714">
        <v>3956</v>
      </c>
      <c r="E737" s="713">
        <v>5481</v>
      </c>
      <c r="F737" s="716">
        <f t="shared" si="44"/>
        <v>0.308426832179518</v>
      </c>
      <c r="G737" s="470">
        <f t="shared" si="45"/>
        <v>1.38549039433771</v>
      </c>
      <c r="H737" s="524" t="str">
        <f t="shared" si="47"/>
        <v>是</v>
      </c>
      <c r="I737" s="312" t="str">
        <f t="shared" si="46"/>
        <v>项</v>
      </c>
    </row>
    <row r="738" ht="24" customHeight="1" spans="1:9">
      <c r="A738" s="330">
        <v>21011</v>
      </c>
      <c r="B738" s="379" t="s">
        <v>726</v>
      </c>
      <c r="C738" s="602">
        <f>SUM(C739:C742)</f>
        <v>42548</v>
      </c>
      <c r="D738" s="713">
        <f>SUM(D739:D742)</f>
        <v>44757</v>
      </c>
      <c r="E738" s="713">
        <f>SUM(E739:E742)</f>
        <v>43738</v>
      </c>
      <c r="F738" s="716">
        <f t="shared" si="44"/>
        <v>0.0279684121462818</v>
      </c>
      <c r="G738" s="470">
        <f t="shared" si="45"/>
        <v>0.977232611658511</v>
      </c>
      <c r="H738" s="524" t="str">
        <f t="shared" si="47"/>
        <v>是</v>
      </c>
      <c r="I738" s="312" t="str">
        <f t="shared" si="46"/>
        <v>款</v>
      </c>
    </row>
    <row r="739" s="372" customFormat="1" ht="24" hidden="1" customHeight="1" spans="1:9">
      <c r="A739" s="330">
        <v>2101101</v>
      </c>
      <c r="B739" s="379" t="s">
        <v>727</v>
      </c>
      <c r="C739" s="602">
        <f>'[2]2'!E731</f>
        <v>7931</v>
      </c>
      <c r="D739" s="714">
        <v>8321</v>
      </c>
      <c r="E739" s="713">
        <v>7794</v>
      </c>
      <c r="F739" s="716">
        <f t="shared" si="44"/>
        <v>-0.0172739881477746</v>
      </c>
      <c r="G739" s="470">
        <f t="shared" si="45"/>
        <v>0.936666266073789</v>
      </c>
      <c r="H739" s="524" t="str">
        <f t="shared" si="47"/>
        <v>是</v>
      </c>
      <c r="I739" s="312" t="str">
        <f t="shared" si="46"/>
        <v>项</v>
      </c>
    </row>
    <row r="740" s="372" customFormat="1" ht="24" hidden="1" customHeight="1" spans="1:9">
      <c r="A740" s="330">
        <v>2101102</v>
      </c>
      <c r="B740" s="379" t="s">
        <v>728</v>
      </c>
      <c r="C740" s="602">
        <f>'[2]2'!E732</f>
        <v>16671</v>
      </c>
      <c r="D740" s="714">
        <v>17658</v>
      </c>
      <c r="E740" s="713">
        <v>17238</v>
      </c>
      <c r="F740" s="716">
        <f t="shared" si="44"/>
        <v>0.0340111570991542</v>
      </c>
      <c r="G740" s="470">
        <f t="shared" si="45"/>
        <v>0.976214746856949</v>
      </c>
      <c r="H740" s="524" t="str">
        <f t="shared" si="47"/>
        <v>是</v>
      </c>
      <c r="I740" s="312" t="str">
        <f t="shared" si="46"/>
        <v>项</v>
      </c>
    </row>
    <row r="741" s="372" customFormat="1" ht="24" hidden="1" customHeight="1" spans="1:9">
      <c r="A741" s="330">
        <v>2101103</v>
      </c>
      <c r="B741" s="379" t="s">
        <v>729</v>
      </c>
      <c r="C741" s="602">
        <f>'[2]2'!E733</f>
        <v>16167</v>
      </c>
      <c r="D741" s="714">
        <v>17083</v>
      </c>
      <c r="E741" s="713">
        <v>16671</v>
      </c>
      <c r="F741" s="716">
        <f t="shared" si="44"/>
        <v>0.0311746149563927</v>
      </c>
      <c r="G741" s="470">
        <f t="shared" si="45"/>
        <v>0.975882456243049</v>
      </c>
      <c r="H741" s="524" t="str">
        <f t="shared" si="47"/>
        <v>是</v>
      </c>
      <c r="I741" s="312" t="str">
        <f t="shared" si="46"/>
        <v>项</v>
      </c>
    </row>
    <row r="742" s="372" customFormat="1" ht="24" hidden="1" customHeight="1" spans="1:9">
      <c r="A742" s="330">
        <v>2101199</v>
      </c>
      <c r="B742" s="379" t="s">
        <v>730</v>
      </c>
      <c r="C742" s="602">
        <f>'[2]2'!E734</f>
        <v>1779</v>
      </c>
      <c r="D742" s="714">
        <v>1695</v>
      </c>
      <c r="E742" s="713">
        <v>2035</v>
      </c>
      <c r="F742" s="716">
        <f t="shared" si="44"/>
        <v>0.143901068015739</v>
      </c>
      <c r="G742" s="470">
        <f t="shared" si="45"/>
        <v>1.20058997050147</v>
      </c>
      <c r="H742" s="524" t="str">
        <f t="shared" si="47"/>
        <v>是</v>
      </c>
      <c r="I742" s="312" t="str">
        <f t="shared" si="46"/>
        <v>项</v>
      </c>
    </row>
    <row r="743" s="372" customFormat="1" ht="24" customHeight="1" spans="1:9">
      <c r="A743" s="330">
        <v>21012</v>
      </c>
      <c r="B743" s="379" t="s">
        <v>731</v>
      </c>
      <c r="C743" s="602">
        <f>SUM(C744:C746)</f>
        <v>68506</v>
      </c>
      <c r="D743" s="713">
        <f>SUM(D744:D746)</f>
        <v>69409</v>
      </c>
      <c r="E743" s="713">
        <f>SUM(E744:E746)</f>
        <v>70408</v>
      </c>
      <c r="F743" s="716">
        <f t="shared" si="44"/>
        <v>0.0277639914751993</v>
      </c>
      <c r="G743" s="470">
        <f t="shared" si="45"/>
        <v>1.01439294615972</v>
      </c>
      <c r="H743" s="524" t="str">
        <f t="shared" si="47"/>
        <v>是</v>
      </c>
      <c r="I743" s="312" t="str">
        <f t="shared" si="46"/>
        <v>款</v>
      </c>
    </row>
    <row r="744" s="372" customFormat="1" ht="24" hidden="1" customHeight="1" spans="1:9">
      <c r="A744" s="330">
        <v>2101201</v>
      </c>
      <c r="B744" s="379" t="s">
        <v>732</v>
      </c>
      <c r="C744" s="602">
        <f>'[2]2'!E736</f>
        <v>88</v>
      </c>
      <c r="D744" s="714">
        <v>81</v>
      </c>
      <c r="E744" s="713">
        <v>22</v>
      </c>
      <c r="F744" s="716">
        <f t="shared" si="44"/>
        <v>-0.75</v>
      </c>
      <c r="G744" s="470">
        <f t="shared" si="45"/>
        <v>0.271604938271605</v>
      </c>
      <c r="H744" s="524" t="str">
        <f t="shared" si="47"/>
        <v>是</v>
      </c>
      <c r="I744" s="312" t="str">
        <f t="shared" si="46"/>
        <v>项</v>
      </c>
    </row>
    <row r="745" s="372" customFormat="1" ht="24" hidden="1" customHeight="1" spans="1:9">
      <c r="A745" s="330">
        <v>2101202</v>
      </c>
      <c r="B745" s="379" t="s">
        <v>733</v>
      </c>
      <c r="C745" s="602">
        <f>'[2]2'!E737</f>
        <v>68418</v>
      </c>
      <c r="D745" s="714">
        <v>69328</v>
      </c>
      <c r="E745" s="713">
        <v>70386</v>
      </c>
      <c r="F745" s="716">
        <f t="shared" si="44"/>
        <v>0.028764360256073</v>
      </c>
      <c r="G745" s="470">
        <f t="shared" si="45"/>
        <v>1.01526078929148</v>
      </c>
      <c r="H745" s="524" t="str">
        <f t="shared" si="47"/>
        <v>是</v>
      </c>
      <c r="I745" s="312" t="str">
        <f t="shared" si="46"/>
        <v>项</v>
      </c>
    </row>
    <row r="746" s="372" customFormat="1" ht="24" hidden="1" customHeight="1" spans="1:9">
      <c r="A746" s="330">
        <v>2101299</v>
      </c>
      <c r="B746" s="379" t="s">
        <v>734</v>
      </c>
      <c r="C746" s="602">
        <f>'[2]2'!E738</f>
        <v>0</v>
      </c>
      <c r="D746" s="714"/>
      <c r="E746" s="713">
        <v>0</v>
      </c>
      <c r="F746" s="716" t="str">
        <f t="shared" si="44"/>
        <v/>
      </c>
      <c r="G746" s="470" t="str">
        <f t="shared" si="45"/>
        <v/>
      </c>
      <c r="H746" s="524" t="str">
        <f t="shared" si="47"/>
        <v>否</v>
      </c>
      <c r="I746" s="312" t="str">
        <f t="shared" si="46"/>
        <v>项</v>
      </c>
    </row>
    <row r="747" s="372" customFormat="1" ht="24" customHeight="1" spans="1:9">
      <c r="A747" s="330">
        <v>21013</v>
      </c>
      <c r="B747" s="379" t="s">
        <v>735</v>
      </c>
      <c r="C747" s="602">
        <f>SUM(C748:C750)</f>
        <v>5449</v>
      </c>
      <c r="D747" s="713">
        <f>SUM(D748:D750)</f>
        <v>5359</v>
      </c>
      <c r="E747" s="713">
        <f>SUM(E748:E750)</f>
        <v>8176</v>
      </c>
      <c r="F747" s="716">
        <f t="shared" si="44"/>
        <v>0.500458799779776</v>
      </c>
      <c r="G747" s="470">
        <f t="shared" si="45"/>
        <v>1.52565777197238</v>
      </c>
      <c r="H747" s="524" t="str">
        <f t="shared" si="47"/>
        <v>是</v>
      </c>
      <c r="I747" s="312" t="str">
        <f t="shared" si="46"/>
        <v>款</v>
      </c>
    </row>
    <row r="748" s="372" customFormat="1" ht="24" hidden="1" customHeight="1" spans="1:9">
      <c r="A748" s="330">
        <v>2101301</v>
      </c>
      <c r="B748" s="379" t="s">
        <v>736</v>
      </c>
      <c r="C748" s="602">
        <f>'[2]2'!E740</f>
        <v>5392</v>
      </c>
      <c r="D748" s="714">
        <v>5298</v>
      </c>
      <c r="E748" s="713">
        <v>8047</v>
      </c>
      <c r="F748" s="716">
        <f t="shared" si="44"/>
        <v>0.492396142433234</v>
      </c>
      <c r="G748" s="470">
        <f t="shared" si="45"/>
        <v>1.51887504718762</v>
      </c>
      <c r="H748" s="524" t="str">
        <f t="shared" si="47"/>
        <v>是</v>
      </c>
      <c r="I748" s="312" t="str">
        <f t="shared" si="46"/>
        <v>项</v>
      </c>
    </row>
    <row r="749" s="372" customFormat="1" ht="24" hidden="1" customHeight="1" spans="1:9">
      <c r="A749" s="330">
        <v>2101302</v>
      </c>
      <c r="B749" s="379" t="s">
        <v>737</v>
      </c>
      <c r="C749" s="602">
        <f>'[2]2'!E741</f>
        <v>50</v>
      </c>
      <c r="D749" s="714">
        <v>55</v>
      </c>
      <c r="E749" s="713">
        <v>100</v>
      </c>
      <c r="F749" s="716">
        <f t="shared" si="44"/>
        <v>1</v>
      </c>
      <c r="G749" s="470">
        <f t="shared" si="45"/>
        <v>1.81818181818182</v>
      </c>
      <c r="H749" s="524" t="str">
        <f t="shared" si="47"/>
        <v>是</v>
      </c>
      <c r="I749" s="312" t="str">
        <f t="shared" si="46"/>
        <v>项</v>
      </c>
    </row>
    <row r="750" ht="24" hidden="1" customHeight="1" spans="1:9">
      <c r="A750" s="330">
        <v>2101399</v>
      </c>
      <c r="B750" s="379" t="s">
        <v>738</v>
      </c>
      <c r="C750" s="602">
        <f>'[2]2'!E742</f>
        <v>7</v>
      </c>
      <c r="D750" s="714">
        <v>6</v>
      </c>
      <c r="E750" s="713">
        <v>29</v>
      </c>
      <c r="F750" s="716">
        <f t="shared" si="44"/>
        <v>3.14285714285714</v>
      </c>
      <c r="G750" s="470">
        <f t="shared" si="45"/>
        <v>4.83333333333333</v>
      </c>
      <c r="H750" s="524" t="str">
        <f t="shared" si="47"/>
        <v>是</v>
      </c>
      <c r="I750" s="312" t="str">
        <f t="shared" si="46"/>
        <v>项</v>
      </c>
    </row>
    <row r="751" s="372" customFormat="1" ht="24" customHeight="1" spans="1:9">
      <c r="A751" s="330">
        <v>21014</v>
      </c>
      <c r="B751" s="379" t="s">
        <v>739</v>
      </c>
      <c r="C751" s="602">
        <f>SUM(C752:C753)</f>
        <v>254</v>
      </c>
      <c r="D751" s="713">
        <f>SUM(D752:D753)</f>
        <v>248</v>
      </c>
      <c r="E751" s="713">
        <f>SUM(E752:E753)</f>
        <v>277</v>
      </c>
      <c r="F751" s="716">
        <f t="shared" si="44"/>
        <v>0.0905511811023622</v>
      </c>
      <c r="G751" s="470">
        <f t="shared" si="45"/>
        <v>1.11693548387097</v>
      </c>
      <c r="H751" s="524" t="str">
        <f t="shared" si="47"/>
        <v>是</v>
      </c>
      <c r="I751" s="312" t="str">
        <f t="shared" si="46"/>
        <v>款</v>
      </c>
    </row>
    <row r="752" s="372" customFormat="1" ht="24" hidden="1" customHeight="1" spans="1:9">
      <c r="A752" s="330">
        <v>2101401</v>
      </c>
      <c r="B752" s="379" t="s">
        <v>740</v>
      </c>
      <c r="C752" s="602">
        <f>'[2]2'!E744</f>
        <v>254</v>
      </c>
      <c r="D752" s="714">
        <v>248</v>
      </c>
      <c r="E752" s="713">
        <v>277</v>
      </c>
      <c r="F752" s="716">
        <f t="shared" si="44"/>
        <v>0.0905511811023622</v>
      </c>
      <c r="G752" s="470">
        <f t="shared" si="45"/>
        <v>1.11693548387097</v>
      </c>
      <c r="H752" s="524" t="str">
        <f t="shared" si="47"/>
        <v>是</v>
      </c>
      <c r="I752" s="312" t="str">
        <f t="shared" si="46"/>
        <v>项</v>
      </c>
    </row>
    <row r="753" ht="24" hidden="1" customHeight="1" spans="1:9">
      <c r="A753" s="330">
        <v>2101499</v>
      </c>
      <c r="B753" s="379" t="s">
        <v>741</v>
      </c>
      <c r="C753" s="602">
        <f>'[2]2'!E745</f>
        <v>0</v>
      </c>
      <c r="D753" s="714"/>
      <c r="E753" s="713">
        <v>0</v>
      </c>
      <c r="F753" s="716" t="str">
        <f t="shared" si="44"/>
        <v/>
      </c>
      <c r="G753" s="470" t="str">
        <f t="shared" si="45"/>
        <v/>
      </c>
      <c r="H753" s="524" t="str">
        <f t="shared" si="47"/>
        <v>否</v>
      </c>
      <c r="I753" s="312" t="str">
        <f t="shared" si="46"/>
        <v>项</v>
      </c>
    </row>
    <row r="754" s="372" customFormat="1" ht="24" customHeight="1" spans="1:9">
      <c r="A754" s="330">
        <v>21015</v>
      </c>
      <c r="B754" s="379" t="s">
        <v>742</v>
      </c>
      <c r="C754" s="602">
        <f>SUM(C755:C762)</f>
        <v>2210</v>
      </c>
      <c r="D754" s="713">
        <f>SUM(D755:D762)</f>
        <v>2324</v>
      </c>
      <c r="E754" s="713">
        <f>SUM(E755:E762)</f>
        <v>2399</v>
      </c>
      <c r="F754" s="716">
        <f t="shared" si="44"/>
        <v>0.0855203619909502</v>
      </c>
      <c r="G754" s="470">
        <f t="shared" si="45"/>
        <v>1.03227194492255</v>
      </c>
      <c r="H754" s="524" t="str">
        <f t="shared" si="47"/>
        <v>是</v>
      </c>
      <c r="I754" s="312" t="str">
        <f t="shared" si="46"/>
        <v>款</v>
      </c>
    </row>
    <row r="755" s="372" customFormat="1" ht="24" hidden="1" customHeight="1" spans="1:9">
      <c r="A755" s="330">
        <v>2101501</v>
      </c>
      <c r="B755" s="379" t="s">
        <v>212</v>
      </c>
      <c r="C755" s="602">
        <f>'[2]2'!E747</f>
        <v>1403</v>
      </c>
      <c r="D755" s="714">
        <v>1495</v>
      </c>
      <c r="E755" s="713">
        <v>1464</v>
      </c>
      <c r="F755" s="716">
        <f t="shared" si="44"/>
        <v>0.0434782608695652</v>
      </c>
      <c r="G755" s="470">
        <f t="shared" si="45"/>
        <v>0.979264214046823</v>
      </c>
      <c r="H755" s="524" t="str">
        <f t="shared" si="47"/>
        <v>是</v>
      </c>
      <c r="I755" s="312" t="str">
        <f t="shared" si="46"/>
        <v>项</v>
      </c>
    </row>
    <row r="756" s="372" customFormat="1" ht="24" hidden="1" customHeight="1" spans="1:9">
      <c r="A756" s="330">
        <v>2101502</v>
      </c>
      <c r="B756" s="379" t="s">
        <v>213</v>
      </c>
      <c r="C756" s="602">
        <f>'[2]2'!E748</f>
        <v>62</v>
      </c>
      <c r="D756" s="714">
        <v>63</v>
      </c>
      <c r="E756" s="713">
        <v>43</v>
      </c>
      <c r="F756" s="716">
        <f t="shared" si="44"/>
        <v>-0.306451612903226</v>
      </c>
      <c r="G756" s="470">
        <f t="shared" si="45"/>
        <v>0.682539682539683</v>
      </c>
      <c r="H756" s="524" t="str">
        <f t="shared" si="47"/>
        <v>是</v>
      </c>
      <c r="I756" s="312" t="str">
        <f t="shared" si="46"/>
        <v>项</v>
      </c>
    </row>
    <row r="757" ht="24" hidden="1" customHeight="1" spans="1:9">
      <c r="A757" s="330">
        <v>2101503</v>
      </c>
      <c r="B757" s="379" t="s">
        <v>214</v>
      </c>
      <c r="C757" s="602">
        <f>'[2]2'!E749</f>
        <v>0</v>
      </c>
      <c r="D757" s="714"/>
      <c r="E757" s="713">
        <v>0</v>
      </c>
      <c r="F757" s="716" t="str">
        <f t="shared" si="44"/>
        <v/>
      </c>
      <c r="G757" s="470" t="str">
        <f t="shared" si="45"/>
        <v/>
      </c>
      <c r="H757" s="524" t="str">
        <f t="shared" si="47"/>
        <v>否</v>
      </c>
      <c r="I757" s="312" t="str">
        <f t="shared" si="46"/>
        <v>项</v>
      </c>
    </row>
    <row r="758" s="372" customFormat="1" ht="24" hidden="1" customHeight="1" spans="1:9">
      <c r="A758" s="330">
        <v>2101504</v>
      </c>
      <c r="B758" s="379" t="s">
        <v>252</v>
      </c>
      <c r="C758" s="602">
        <f>'[2]2'!E750</f>
        <v>32</v>
      </c>
      <c r="D758" s="714">
        <v>30</v>
      </c>
      <c r="E758" s="713">
        <v>18</v>
      </c>
      <c r="F758" s="716">
        <f t="shared" si="44"/>
        <v>-0.4375</v>
      </c>
      <c r="G758" s="470">
        <f t="shared" si="45"/>
        <v>0.6</v>
      </c>
      <c r="H758" s="524" t="str">
        <f t="shared" si="47"/>
        <v>是</v>
      </c>
      <c r="I758" s="312" t="str">
        <f t="shared" si="46"/>
        <v>项</v>
      </c>
    </row>
    <row r="759" s="372" customFormat="1" ht="24" hidden="1" customHeight="1" spans="1:9">
      <c r="A759" s="330">
        <v>2101505</v>
      </c>
      <c r="B759" s="379" t="s">
        <v>743</v>
      </c>
      <c r="C759" s="602">
        <f>'[2]2'!E751</f>
        <v>0</v>
      </c>
      <c r="D759" s="714"/>
      <c r="E759" s="713">
        <v>26</v>
      </c>
      <c r="F759" s="716" t="str">
        <f t="shared" si="44"/>
        <v/>
      </c>
      <c r="G759" s="470" t="str">
        <f t="shared" si="45"/>
        <v/>
      </c>
      <c r="H759" s="524" t="str">
        <f t="shared" si="47"/>
        <v>是</v>
      </c>
      <c r="I759" s="312" t="str">
        <f t="shared" si="46"/>
        <v>项</v>
      </c>
    </row>
    <row r="760" s="372" customFormat="1" ht="24" hidden="1" customHeight="1" spans="1:9">
      <c r="A760" s="330">
        <v>2101506</v>
      </c>
      <c r="B760" s="379" t="s">
        <v>744</v>
      </c>
      <c r="C760" s="602">
        <f>'[2]2'!E752</f>
        <v>175</v>
      </c>
      <c r="D760" s="714">
        <v>179</v>
      </c>
      <c r="E760" s="713">
        <v>247</v>
      </c>
      <c r="F760" s="716">
        <f t="shared" si="44"/>
        <v>0.411428571428571</v>
      </c>
      <c r="G760" s="470">
        <f t="shared" si="45"/>
        <v>1.37988826815642</v>
      </c>
      <c r="H760" s="524" t="str">
        <f t="shared" si="47"/>
        <v>是</v>
      </c>
      <c r="I760" s="312" t="str">
        <f t="shared" si="46"/>
        <v>项</v>
      </c>
    </row>
    <row r="761" s="372" customFormat="1" ht="24" hidden="1" customHeight="1" spans="1:9">
      <c r="A761" s="330">
        <v>2101550</v>
      </c>
      <c r="B761" s="379" t="s">
        <v>221</v>
      </c>
      <c r="C761" s="602">
        <f>'[2]2'!E753</f>
        <v>488</v>
      </c>
      <c r="D761" s="714">
        <v>512</v>
      </c>
      <c r="E761" s="713">
        <v>522</v>
      </c>
      <c r="F761" s="716">
        <f t="shared" si="44"/>
        <v>0.069672131147541</v>
      </c>
      <c r="G761" s="470">
        <f t="shared" si="45"/>
        <v>1.01953125</v>
      </c>
      <c r="H761" s="524" t="str">
        <f t="shared" si="47"/>
        <v>是</v>
      </c>
      <c r="I761" s="312" t="str">
        <f t="shared" si="46"/>
        <v>项</v>
      </c>
    </row>
    <row r="762" ht="24" hidden="1" customHeight="1" spans="1:9">
      <c r="A762" s="330">
        <v>2101599</v>
      </c>
      <c r="B762" s="379" t="s">
        <v>745</v>
      </c>
      <c r="C762" s="602">
        <f>'[2]2'!E754</f>
        <v>50</v>
      </c>
      <c r="D762" s="714">
        <v>45</v>
      </c>
      <c r="E762" s="713">
        <v>79</v>
      </c>
      <c r="F762" s="716">
        <f t="shared" si="44"/>
        <v>0.58</v>
      </c>
      <c r="G762" s="470">
        <f t="shared" si="45"/>
        <v>1.75555555555556</v>
      </c>
      <c r="H762" s="524" t="str">
        <f t="shared" si="47"/>
        <v>是</v>
      </c>
      <c r="I762" s="312" t="str">
        <f t="shared" si="46"/>
        <v>项</v>
      </c>
    </row>
    <row r="763" s="374" customFormat="1" ht="24" customHeight="1" spans="1:9">
      <c r="A763" s="331">
        <v>21016</v>
      </c>
      <c r="B763" s="327" t="s">
        <v>746</v>
      </c>
      <c r="C763" s="608">
        <f>C764</f>
        <v>113</v>
      </c>
      <c r="D763" s="710">
        <f>D764</f>
        <v>0</v>
      </c>
      <c r="E763" s="710">
        <f>E764</f>
        <v>0</v>
      </c>
      <c r="F763" s="716">
        <f t="shared" si="44"/>
        <v>-1</v>
      </c>
      <c r="G763" s="470" t="str">
        <f t="shared" si="45"/>
        <v/>
      </c>
      <c r="H763" s="524" t="str">
        <f t="shared" si="47"/>
        <v>是</v>
      </c>
      <c r="I763" s="313" t="str">
        <f t="shared" si="46"/>
        <v>款</v>
      </c>
    </row>
    <row r="764" s="374" customFormat="1" ht="24" hidden="1" customHeight="1" spans="1:9">
      <c r="A764" s="331">
        <v>2101601</v>
      </c>
      <c r="B764" s="327" t="s">
        <v>747</v>
      </c>
      <c r="C764" s="608">
        <f>'[2]2'!E756</f>
        <v>113</v>
      </c>
      <c r="D764" s="709"/>
      <c r="E764" s="713"/>
      <c r="F764" s="716">
        <f t="shared" si="44"/>
        <v>-1</v>
      </c>
      <c r="G764" s="470" t="str">
        <f t="shared" si="45"/>
        <v/>
      </c>
      <c r="H764" s="524" t="str">
        <f t="shared" si="47"/>
        <v>是</v>
      </c>
      <c r="I764" s="313" t="str">
        <f t="shared" si="46"/>
        <v>项</v>
      </c>
    </row>
    <row r="765" s="372" customFormat="1" ht="24" customHeight="1" spans="1:9">
      <c r="A765" s="330">
        <v>21017</v>
      </c>
      <c r="B765" s="379" t="s">
        <v>748</v>
      </c>
      <c r="C765" s="602">
        <f>SUM(C766:C771)</f>
        <v>21</v>
      </c>
      <c r="D765" s="713">
        <f>SUM(D766:D771)</f>
        <v>23</v>
      </c>
      <c r="E765" s="713">
        <f>SUM(E766:E771)</f>
        <v>137</v>
      </c>
      <c r="F765" s="716">
        <f t="shared" si="44"/>
        <v>5.52380952380952</v>
      </c>
      <c r="G765" s="470">
        <f t="shared" si="45"/>
        <v>5.95652173913043</v>
      </c>
      <c r="H765" s="524" t="str">
        <f t="shared" si="47"/>
        <v>是</v>
      </c>
      <c r="I765" s="312" t="str">
        <f t="shared" si="46"/>
        <v>款</v>
      </c>
    </row>
    <row r="766" s="372" customFormat="1" ht="24" hidden="1" customHeight="1" spans="1:9">
      <c r="A766" s="330">
        <v>2101701</v>
      </c>
      <c r="B766" s="379" t="s">
        <v>212</v>
      </c>
      <c r="C766" s="602">
        <f>'[2]2'!E758</f>
        <v>0</v>
      </c>
      <c r="D766" s="714"/>
      <c r="E766" s="713">
        <v>0</v>
      </c>
      <c r="F766" s="716" t="str">
        <f t="shared" si="44"/>
        <v/>
      </c>
      <c r="G766" s="470" t="str">
        <f t="shared" si="45"/>
        <v/>
      </c>
      <c r="H766" s="524" t="str">
        <f t="shared" si="47"/>
        <v>否</v>
      </c>
      <c r="I766" s="312" t="str">
        <f t="shared" si="46"/>
        <v>项</v>
      </c>
    </row>
    <row r="767" s="372" customFormat="1" ht="24" hidden="1" customHeight="1" spans="1:9">
      <c r="A767" s="330">
        <v>2101702</v>
      </c>
      <c r="B767" s="379" t="s">
        <v>213</v>
      </c>
      <c r="C767" s="602">
        <f>'[2]2'!E759</f>
        <v>0</v>
      </c>
      <c r="D767" s="714"/>
      <c r="E767" s="713">
        <v>0</v>
      </c>
      <c r="F767" s="716" t="str">
        <f t="shared" si="44"/>
        <v/>
      </c>
      <c r="G767" s="470" t="str">
        <f t="shared" si="45"/>
        <v/>
      </c>
      <c r="H767" s="524" t="str">
        <f t="shared" si="47"/>
        <v>否</v>
      </c>
      <c r="I767" s="312" t="str">
        <f t="shared" si="46"/>
        <v>项</v>
      </c>
    </row>
    <row r="768" s="372" customFormat="1" ht="24" hidden="1" customHeight="1" spans="1:9">
      <c r="A768" s="330">
        <v>2101703</v>
      </c>
      <c r="B768" s="379" t="s">
        <v>214</v>
      </c>
      <c r="C768" s="602">
        <f>'[2]2'!E760</f>
        <v>0</v>
      </c>
      <c r="D768" s="714"/>
      <c r="E768" s="713">
        <v>0</v>
      </c>
      <c r="F768" s="716" t="str">
        <f t="shared" si="44"/>
        <v/>
      </c>
      <c r="G768" s="470" t="str">
        <f t="shared" si="45"/>
        <v/>
      </c>
      <c r="H768" s="524" t="str">
        <f t="shared" si="47"/>
        <v>否</v>
      </c>
      <c r="I768" s="312" t="str">
        <f t="shared" si="46"/>
        <v>项</v>
      </c>
    </row>
    <row r="769" s="372" customFormat="1" ht="24" hidden="1" customHeight="1" spans="1:9">
      <c r="A769" s="330">
        <v>2101704</v>
      </c>
      <c r="B769" s="379" t="s">
        <v>749</v>
      </c>
      <c r="C769" s="602">
        <f>'[2]2'!E761</f>
        <v>21</v>
      </c>
      <c r="D769" s="714">
        <v>23</v>
      </c>
      <c r="E769" s="713">
        <v>26</v>
      </c>
      <c r="F769" s="716">
        <f t="shared" si="44"/>
        <v>0.238095238095238</v>
      </c>
      <c r="G769" s="470">
        <f t="shared" si="45"/>
        <v>1.1304347826087</v>
      </c>
      <c r="H769" s="524" t="str">
        <f t="shared" si="47"/>
        <v>是</v>
      </c>
      <c r="I769" s="312" t="str">
        <f t="shared" si="46"/>
        <v>项</v>
      </c>
    </row>
    <row r="770" s="374" customFormat="1" ht="24" hidden="1" customHeight="1" spans="1:9">
      <c r="A770" s="719">
        <v>2101750</v>
      </c>
      <c r="B770" s="327" t="s">
        <v>221</v>
      </c>
      <c r="C770" s="608"/>
      <c r="D770" s="709"/>
      <c r="E770" s="713">
        <v>0</v>
      </c>
      <c r="F770" s="716" t="str">
        <f t="shared" si="44"/>
        <v/>
      </c>
      <c r="G770" s="470" t="str">
        <f t="shared" si="45"/>
        <v/>
      </c>
      <c r="H770" s="524" t="str">
        <f t="shared" si="47"/>
        <v>否</v>
      </c>
      <c r="I770" s="313" t="str">
        <f t="shared" si="46"/>
        <v>项</v>
      </c>
    </row>
    <row r="771" s="372" customFormat="1" ht="24" hidden="1" customHeight="1" spans="1:9">
      <c r="A771" s="330">
        <v>2101799</v>
      </c>
      <c r="B771" s="379" t="s">
        <v>750</v>
      </c>
      <c r="C771" s="602">
        <f>'[2]2'!E762</f>
        <v>0</v>
      </c>
      <c r="D771" s="714"/>
      <c r="E771" s="713">
        <v>111</v>
      </c>
      <c r="F771" s="716" t="str">
        <f t="shared" si="44"/>
        <v/>
      </c>
      <c r="G771" s="470" t="str">
        <f t="shared" si="45"/>
        <v/>
      </c>
      <c r="H771" s="524" t="str">
        <f t="shared" si="47"/>
        <v>是</v>
      </c>
      <c r="I771" s="312" t="str">
        <f t="shared" si="46"/>
        <v>项</v>
      </c>
    </row>
    <row r="772" s="372" customFormat="1" ht="24" customHeight="1" spans="1:9">
      <c r="A772" s="330">
        <v>21018</v>
      </c>
      <c r="B772" s="379" t="s">
        <v>751</v>
      </c>
      <c r="C772" s="602">
        <f>SUM(C773:C776)</f>
        <v>0</v>
      </c>
      <c r="D772" s="713">
        <f>SUM(D773:D776)</f>
        <v>0</v>
      </c>
      <c r="E772" s="713">
        <f>SUM(E773:E776)</f>
        <v>10</v>
      </c>
      <c r="F772" s="716" t="str">
        <f t="shared" si="44"/>
        <v/>
      </c>
      <c r="G772" s="470" t="str">
        <f t="shared" si="45"/>
        <v/>
      </c>
      <c r="H772" s="524" t="str">
        <f t="shared" si="47"/>
        <v>是</v>
      </c>
      <c r="I772" s="312" t="str">
        <f t="shared" si="46"/>
        <v>款</v>
      </c>
    </row>
    <row r="773" s="372" customFormat="1" ht="24" hidden="1" customHeight="1" spans="1:9">
      <c r="A773" s="330">
        <v>2101801</v>
      </c>
      <c r="B773" s="379" t="s">
        <v>212</v>
      </c>
      <c r="C773" s="602">
        <f>'[2]2'!E764</f>
        <v>0</v>
      </c>
      <c r="D773" s="714"/>
      <c r="E773" s="713">
        <v>0</v>
      </c>
      <c r="F773" s="716" t="str">
        <f t="shared" ref="F773:F836" si="48">IFERROR((E773-C773)/C773,"")</f>
        <v/>
      </c>
      <c r="G773" s="470" t="str">
        <f t="shared" ref="G773:G836" si="49">IFERROR(E773/D773,"")</f>
        <v/>
      </c>
      <c r="H773" s="524" t="str">
        <f t="shared" si="47"/>
        <v>否</v>
      </c>
      <c r="I773" s="312" t="str">
        <f t="shared" ref="I773:I836" si="50">IF(LEN(A773)=3,"类",IF(LEN(A773)=5,"款","项"))</f>
        <v>项</v>
      </c>
    </row>
    <row r="774" s="372" customFormat="1" ht="24" hidden="1" customHeight="1" spans="1:9">
      <c r="A774" s="330">
        <v>2101802</v>
      </c>
      <c r="B774" s="379" t="s">
        <v>213</v>
      </c>
      <c r="C774" s="602">
        <f>'[2]2'!E765</f>
        <v>0</v>
      </c>
      <c r="D774" s="714"/>
      <c r="E774" s="713">
        <v>0</v>
      </c>
      <c r="F774" s="716" t="str">
        <f t="shared" si="48"/>
        <v/>
      </c>
      <c r="G774" s="470" t="str">
        <f t="shared" si="49"/>
        <v/>
      </c>
      <c r="H774" s="524" t="str">
        <f t="shared" ref="H774:H837" si="51">IF(LEN(A774)=3,"是",IF(B774&lt;&gt;"",IF(SUM(C774:E774)&lt;&gt;0,"是","否"),"是"))</f>
        <v>否</v>
      </c>
      <c r="I774" s="312" t="str">
        <f t="shared" si="50"/>
        <v>项</v>
      </c>
    </row>
    <row r="775" s="372" customFormat="1" ht="24" hidden="1" customHeight="1" spans="1:9">
      <c r="A775" s="330">
        <v>2101803</v>
      </c>
      <c r="B775" s="379" t="s">
        <v>214</v>
      </c>
      <c r="C775" s="602">
        <f>'[2]2'!E766</f>
        <v>0</v>
      </c>
      <c r="D775" s="714"/>
      <c r="E775" s="713">
        <v>0</v>
      </c>
      <c r="F775" s="716" t="str">
        <f t="shared" si="48"/>
        <v/>
      </c>
      <c r="G775" s="470" t="str">
        <f t="shared" si="49"/>
        <v/>
      </c>
      <c r="H775" s="524" t="str">
        <f t="shared" si="51"/>
        <v>否</v>
      </c>
      <c r="I775" s="312" t="str">
        <f t="shared" si="50"/>
        <v>项</v>
      </c>
    </row>
    <row r="776" s="372" customFormat="1" ht="24" hidden="1" customHeight="1" spans="1:9">
      <c r="A776" s="330">
        <v>2101899</v>
      </c>
      <c r="B776" s="379" t="s">
        <v>752</v>
      </c>
      <c r="C776" s="602">
        <f>'[2]2'!E767</f>
        <v>0</v>
      </c>
      <c r="D776" s="714"/>
      <c r="E776" s="713">
        <v>10</v>
      </c>
      <c r="F776" s="716" t="str">
        <f t="shared" si="48"/>
        <v/>
      </c>
      <c r="G776" s="470" t="str">
        <f t="shared" si="49"/>
        <v/>
      </c>
      <c r="H776" s="524" t="str">
        <f t="shared" si="51"/>
        <v>是</v>
      </c>
      <c r="I776" s="312" t="str">
        <f t="shared" si="50"/>
        <v>项</v>
      </c>
    </row>
    <row r="777" s="487" customFormat="1" ht="24" customHeight="1" spans="1:9">
      <c r="A777" s="724">
        <v>21019</v>
      </c>
      <c r="B777" s="350" t="s">
        <v>753</v>
      </c>
      <c r="C777" s="610">
        <f>SUM(C778:C779)</f>
        <v>0</v>
      </c>
      <c r="D777" s="610">
        <f>SUM(D778:D779)</f>
        <v>0</v>
      </c>
      <c r="E777" s="610">
        <f>SUM(E778:E779)</f>
        <v>10591</v>
      </c>
      <c r="F777" s="716" t="str">
        <f t="shared" si="48"/>
        <v/>
      </c>
      <c r="G777" s="470" t="str">
        <f t="shared" si="49"/>
        <v/>
      </c>
      <c r="H777" s="524" t="str">
        <f t="shared" si="51"/>
        <v>是</v>
      </c>
      <c r="I777" s="613" t="str">
        <f t="shared" si="50"/>
        <v>款</v>
      </c>
    </row>
    <row r="778" s="487" customFormat="1" ht="24" hidden="1" customHeight="1" spans="1:9">
      <c r="A778" s="724">
        <v>2101901</v>
      </c>
      <c r="B778" s="350" t="s">
        <v>754</v>
      </c>
      <c r="C778" s="610"/>
      <c r="D778" s="725"/>
      <c r="E778" s="713">
        <v>0</v>
      </c>
      <c r="F778" s="716" t="str">
        <f t="shared" si="48"/>
        <v/>
      </c>
      <c r="G778" s="470" t="str">
        <f t="shared" si="49"/>
        <v/>
      </c>
      <c r="H778" s="524" t="str">
        <f t="shared" si="51"/>
        <v>否</v>
      </c>
      <c r="I778" s="613" t="str">
        <f t="shared" si="50"/>
        <v>项</v>
      </c>
    </row>
    <row r="779" s="487" customFormat="1" ht="24" hidden="1" customHeight="1" spans="1:9">
      <c r="A779" s="724">
        <v>2101999</v>
      </c>
      <c r="B779" s="350" t="s">
        <v>755</v>
      </c>
      <c r="C779" s="610"/>
      <c r="D779" s="725"/>
      <c r="E779" s="713">
        <v>10591</v>
      </c>
      <c r="F779" s="716" t="str">
        <f t="shared" si="48"/>
        <v/>
      </c>
      <c r="G779" s="470" t="str">
        <f t="shared" si="49"/>
        <v/>
      </c>
      <c r="H779" s="524" t="str">
        <f t="shared" si="51"/>
        <v>是</v>
      </c>
      <c r="I779" s="613" t="str">
        <f t="shared" si="50"/>
        <v>项</v>
      </c>
    </row>
    <row r="780" s="372" customFormat="1" ht="24" customHeight="1" spans="1:9">
      <c r="A780" s="330">
        <v>21099</v>
      </c>
      <c r="B780" s="379" t="s">
        <v>756</v>
      </c>
      <c r="C780" s="602">
        <f>C781</f>
        <v>1827</v>
      </c>
      <c r="D780" s="713">
        <f>D781</f>
        <v>1712</v>
      </c>
      <c r="E780" s="713">
        <f>E781</f>
        <v>2659</v>
      </c>
      <c r="F780" s="716">
        <f t="shared" si="48"/>
        <v>0.455391351943076</v>
      </c>
      <c r="G780" s="470">
        <f t="shared" si="49"/>
        <v>1.55315420560748</v>
      </c>
      <c r="H780" s="524" t="str">
        <f t="shared" si="51"/>
        <v>是</v>
      </c>
      <c r="I780" s="312" t="str">
        <f t="shared" si="50"/>
        <v>款</v>
      </c>
    </row>
    <row r="781" ht="24" hidden="1" customHeight="1" spans="1:9">
      <c r="A781" s="718">
        <v>2109999</v>
      </c>
      <c r="B781" s="379" t="s">
        <v>757</v>
      </c>
      <c r="C781" s="602">
        <f>'[2]2'!E769</f>
        <v>1827</v>
      </c>
      <c r="D781" s="714">
        <v>1712</v>
      </c>
      <c r="E781" s="713">
        <v>2659</v>
      </c>
      <c r="F781" s="716">
        <f t="shared" si="48"/>
        <v>0.455391351943076</v>
      </c>
      <c r="G781" s="470">
        <f t="shared" si="49"/>
        <v>1.55315420560748</v>
      </c>
      <c r="H781" s="524" t="str">
        <f t="shared" si="51"/>
        <v>是</v>
      </c>
      <c r="I781" s="312" t="str">
        <f t="shared" si="50"/>
        <v>项</v>
      </c>
    </row>
    <row r="782" s="372" customFormat="1" ht="24" customHeight="1" spans="1:9">
      <c r="A782" s="329">
        <v>211</v>
      </c>
      <c r="B782" s="377" t="s">
        <v>184</v>
      </c>
      <c r="C782" s="601">
        <f>C783+C793+C797+C806+C813+C820+C823+C826+C828+C830+C836+C839+C841+C852</f>
        <v>90624</v>
      </c>
      <c r="D782" s="712">
        <f>D783+D793+D797+D806+D813+D820+D823+D826+D828+D830+D836+D839+D841+D852</f>
        <v>93216</v>
      </c>
      <c r="E782" s="712">
        <f>E783+E793+E797+E806+E813+E820+E823+E826+E828+E830+E836+E839+E841+E852</f>
        <v>109450</v>
      </c>
      <c r="F782" s="715">
        <f t="shared" si="48"/>
        <v>0.207737464689266</v>
      </c>
      <c r="G782" s="467">
        <f t="shared" si="49"/>
        <v>1.17415465156196</v>
      </c>
      <c r="H782" s="524" t="str">
        <f t="shared" si="51"/>
        <v>是</v>
      </c>
      <c r="I782" s="312" t="str">
        <f t="shared" si="50"/>
        <v>类</v>
      </c>
    </row>
    <row r="783" s="372" customFormat="1" ht="24" customHeight="1" spans="1:9">
      <c r="A783" s="330">
        <v>21101</v>
      </c>
      <c r="B783" s="379" t="s">
        <v>758</v>
      </c>
      <c r="C783" s="602">
        <f>SUM(C784:C792)</f>
        <v>4392</v>
      </c>
      <c r="D783" s="713">
        <f>SUM(D784:D792)</f>
        <v>4404</v>
      </c>
      <c r="E783" s="713">
        <f>SUM(E784:E792)</f>
        <v>4944</v>
      </c>
      <c r="F783" s="716">
        <f t="shared" si="48"/>
        <v>0.12568306010929</v>
      </c>
      <c r="G783" s="470">
        <f t="shared" si="49"/>
        <v>1.12261580381471</v>
      </c>
      <c r="H783" s="524" t="str">
        <f t="shared" si="51"/>
        <v>是</v>
      </c>
      <c r="I783" s="312" t="str">
        <f t="shared" si="50"/>
        <v>款</v>
      </c>
    </row>
    <row r="784" s="372" customFormat="1" ht="24" hidden="1" customHeight="1" spans="1:9">
      <c r="A784" s="330">
        <v>2110101</v>
      </c>
      <c r="B784" s="379" t="s">
        <v>212</v>
      </c>
      <c r="C784" s="602">
        <f>'[2]2'!E772</f>
        <v>2071</v>
      </c>
      <c r="D784" s="714">
        <v>2112</v>
      </c>
      <c r="E784" s="713">
        <v>2251</v>
      </c>
      <c r="F784" s="716">
        <f t="shared" si="48"/>
        <v>0.0869145340415258</v>
      </c>
      <c r="G784" s="470">
        <f t="shared" si="49"/>
        <v>1.06581439393939</v>
      </c>
      <c r="H784" s="524" t="str">
        <f t="shared" si="51"/>
        <v>是</v>
      </c>
      <c r="I784" s="312" t="str">
        <f t="shared" si="50"/>
        <v>项</v>
      </c>
    </row>
    <row r="785" ht="24" hidden="1" customHeight="1" spans="1:9">
      <c r="A785" s="330">
        <v>2110102</v>
      </c>
      <c r="B785" s="379" t="s">
        <v>213</v>
      </c>
      <c r="C785" s="602">
        <f>'[2]2'!E773</f>
        <v>89</v>
      </c>
      <c r="D785" s="714">
        <v>91</v>
      </c>
      <c r="E785" s="713">
        <v>96</v>
      </c>
      <c r="F785" s="716">
        <f t="shared" si="48"/>
        <v>0.0786516853932584</v>
      </c>
      <c r="G785" s="470">
        <f t="shared" si="49"/>
        <v>1.05494505494505</v>
      </c>
      <c r="H785" s="524" t="str">
        <f t="shared" si="51"/>
        <v>是</v>
      </c>
      <c r="I785" s="312" t="str">
        <f t="shared" si="50"/>
        <v>项</v>
      </c>
    </row>
    <row r="786" s="372" customFormat="1" ht="24" hidden="1" customHeight="1" spans="1:9">
      <c r="A786" s="330">
        <v>2110103</v>
      </c>
      <c r="B786" s="379" t="s">
        <v>214</v>
      </c>
      <c r="C786" s="602">
        <f>'[2]2'!E774</f>
        <v>0</v>
      </c>
      <c r="D786" s="714"/>
      <c r="E786" s="713">
        <v>0</v>
      </c>
      <c r="F786" s="716" t="str">
        <f t="shared" si="48"/>
        <v/>
      </c>
      <c r="G786" s="470" t="str">
        <f t="shared" si="49"/>
        <v/>
      </c>
      <c r="H786" s="524" t="str">
        <f t="shared" si="51"/>
        <v>否</v>
      </c>
      <c r="I786" s="312" t="str">
        <f t="shared" si="50"/>
        <v>项</v>
      </c>
    </row>
    <row r="787" s="372" customFormat="1" ht="24" hidden="1" customHeight="1" spans="1:9">
      <c r="A787" s="330">
        <v>2110104</v>
      </c>
      <c r="B787" s="379" t="s">
        <v>759</v>
      </c>
      <c r="C787" s="602">
        <f>'[2]2'!E775</f>
        <v>0</v>
      </c>
      <c r="D787" s="714"/>
      <c r="E787" s="713">
        <v>10</v>
      </c>
      <c r="F787" s="716" t="str">
        <f t="shared" si="48"/>
        <v/>
      </c>
      <c r="G787" s="470" t="str">
        <f t="shared" si="49"/>
        <v/>
      </c>
      <c r="H787" s="524" t="str">
        <f t="shared" si="51"/>
        <v>是</v>
      </c>
      <c r="I787" s="312" t="str">
        <f t="shared" si="50"/>
        <v>项</v>
      </c>
    </row>
    <row r="788" ht="24" hidden="1" customHeight="1" spans="1:9">
      <c r="A788" s="330">
        <v>2110105</v>
      </c>
      <c r="B788" s="379" t="s">
        <v>760</v>
      </c>
      <c r="C788" s="602">
        <f>'[2]2'!E776</f>
        <v>0</v>
      </c>
      <c r="D788" s="714"/>
      <c r="E788" s="713">
        <v>0</v>
      </c>
      <c r="F788" s="716" t="str">
        <f t="shared" si="48"/>
        <v/>
      </c>
      <c r="G788" s="470" t="str">
        <f t="shared" si="49"/>
        <v/>
      </c>
      <c r="H788" s="524" t="str">
        <f t="shared" si="51"/>
        <v>否</v>
      </c>
      <c r="I788" s="312" t="str">
        <f t="shared" si="50"/>
        <v>项</v>
      </c>
    </row>
    <row r="789" s="372" customFormat="1" ht="24" hidden="1" customHeight="1" spans="1:9">
      <c r="A789" s="330">
        <v>2110106</v>
      </c>
      <c r="B789" s="379" t="s">
        <v>761</v>
      </c>
      <c r="C789" s="602">
        <f>'[2]2'!E777</f>
        <v>0</v>
      </c>
      <c r="D789" s="714"/>
      <c r="E789" s="713">
        <v>0</v>
      </c>
      <c r="F789" s="716" t="str">
        <f t="shared" si="48"/>
        <v/>
      </c>
      <c r="G789" s="470" t="str">
        <f t="shared" si="49"/>
        <v/>
      </c>
      <c r="H789" s="524" t="str">
        <f t="shared" si="51"/>
        <v>否</v>
      </c>
      <c r="I789" s="312" t="str">
        <f t="shared" si="50"/>
        <v>项</v>
      </c>
    </row>
    <row r="790" s="372" customFormat="1" ht="24" hidden="1" customHeight="1" spans="1:9">
      <c r="A790" s="330">
        <v>2110107</v>
      </c>
      <c r="B790" s="379" t="s">
        <v>762</v>
      </c>
      <c r="C790" s="602">
        <f>'[2]2'!E778</f>
        <v>39</v>
      </c>
      <c r="D790" s="714">
        <v>36</v>
      </c>
      <c r="E790" s="713">
        <v>39</v>
      </c>
      <c r="F790" s="716">
        <f t="shared" si="48"/>
        <v>0</v>
      </c>
      <c r="G790" s="470">
        <f t="shared" si="49"/>
        <v>1.08333333333333</v>
      </c>
      <c r="H790" s="524" t="str">
        <f t="shared" si="51"/>
        <v>是</v>
      </c>
      <c r="I790" s="312" t="str">
        <f t="shared" si="50"/>
        <v>项</v>
      </c>
    </row>
    <row r="791" s="372" customFormat="1" ht="24" hidden="1" customHeight="1" spans="1:9">
      <c r="A791" s="330">
        <v>2110108</v>
      </c>
      <c r="B791" s="379" t="s">
        <v>763</v>
      </c>
      <c r="C791" s="602">
        <f>'[2]2'!E779</f>
        <v>0</v>
      </c>
      <c r="D791" s="714"/>
      <c r="E791" s="713">
        <v>0</v>
      </c>
      <c r="F791" s="716" t="str">
        <f t="shared" si="48"/>
        <v/>
      </c>
      <c r="G791" s="470" t="str">
        <f t="shared" si="49"/>
        <v/>
      </c>
      <c r="H791" s="524" t="str">
        <f t="shared" si="51"/>
        <v>否</v>
      </c>
      <c r="I791" s="312" t="str">
        <f t="shared" si="50"/>
        <v>项</v>
      </c>
    </row>
    <row r="792" s="372" customFormat="1" ht="24" hidden="1" customHeight="1" spans="1:9">
      <c r="A792" s="330">
        <v>2110199</v>
      </c>
      <c r="B792" s="379" t="s">
        <v>764</v>
      </c>
      <c r="C792" s="602">
        <f>'[2]2'!E780</f>
        <v>2193</v>
      </c>
      <c r="D792" s="714">
        <v>2165</v>
      </c>
      <c r="E792" s="713">
        <v>2548</v>
      </c>
      <c r="F792" s="716">
        <f t="shared" si="48"/>
        <v>0.16187870497036</v>
      </c>
      <c r="G792" s="470">
        <f t="shared" si="49"/>
        <v>1.17690531177829</v>
      </c>
      <c r="H792" s="524" t="str">
        <f t="shared" si="51"/>
        <v>是</v>
      </c>
      <c r="I792" s="312" t="str">
        <f t="shared" si="50"/>
        <v>项</v>
      </c>
    </row>
    <row r="793" s="372" customFormat="1" ht="24" customHeight="1" spans="1:9">
      <c r="A793" s="330">
        <v>21102</v>
      </c>
      <c r="B793" s="379" t="s">
        <v>765</v>
      </c>
      <c r="C793" s="602">
        <f>SUM(C794:C796)</f>
        <v>175</v>
      </c>
      <c r="D793" s="713">
        <f>SUM(D794:D796)</f>
        <v>171</v>
      </c>
      <c r="E793" s="713">
        <f>SUM(E794:E796)</f>
        <v>391</v>
      </c>
      <c r="F793" s="716">
        <f t="shared" si="48"/>
        <v>1.23428571428571</v>
      </c>
      <c r="G793" s="470">
        <f t="shared" si="49"/>
        <v>2.28654970760234</v>
      </c>
      <c r="H793" s="524" t="str">
        <f t="shared" si="51"/>
        <v>是</v>
      </c>
      <c r="I793" s="312" t="str">
        <f t="shared" si="50"/>
        <v>款</v>
      </c>
    </row>
    <row r="794" s="372" customFormat="1" ht="24" hidden="1" customHeight="1" spans="1:9">
      <c r="A794" s="330">
        <v>2110203</v>
      </c>
      <c r="B794" s="379" t="s">
        <v>766</v>
      </c>
      <c r="C794" s="602">
        <f>'[2]2'!E782</f>
        <v>0</v>
      </c>
      <c r="D794" s="714"/>
      <c r="E794" s="713">
        <v>0</v>
      </c>
      <c r="F794" s="716" t="str">
        <f t="shared" si="48"/>
        <v/>
      </c>
      <c r="G794" s="470" t="str">
        <f t="shared" si="49"/>
        <v/>
      </c>
      <c r="H794" s="524" t="str">
        <f t="shared" si="51"/>
        <v>否</v>
      </c>
      <c r="I794" s="312" t="str">
        <f t="shared" si="50"/>
        <v>项</v>
      </c>
    </row>
    <row r="795" s="372" customFormat="1" ht="24" hidden="1" customHeight="1" spans="1:9">
      <c r="A795" s="330">
        <v>2110204</v>
      </c>
      <c r="B795" s="379" t="s">
        <v>767</v>
      </c>
      <c r="C795" s="602">
        <f>'[2]2'!E783</f>
        <v>0</v>
      </c>
      <c r="D795" s="714"/>
      <c r="E795" s="713">
        <v>0</v>
      </c>
      <c r="F795" s="716" t="str">
        <f t="shared" si="48"/>
        <v/>
      </c>
      <c r="G795" s="470" t="str">
        <f t="shared" si="49"/>
        <v/>
      </c>
      <c r="H795" s="524" t="str">
        <f t="shared" si="51"/>
        <v>否</v>
      </c>
      <c r="I795" s="312" t="str">
        <f t="shared" si="50"/>
        <v>项</v>
      </c>
    </row>
    <row r="796" s="372" customFormat="1" ht="24" hidden="1" customHeight="1" spans="1:9">
      <c r="A796" s="330">
        <v>2110299</v>
      </c>
      <c r="B796" s="379" t="s">
        <v>768</v>
      </c>
      <c r="C796" s="602">
        <f>'[2]2'!E784</f>
        <v>175</v>
      </c>
      <c r="D796" s="714">
        <v>171</v>
      </c>
      <c r="E796" s="713">
        <v>391</v>
      </c>
      <c r="F796" s="716">
        <f t="shared" si="48"/>
        <v>1.23428571428571</v>
      </c>
      <c r="G796" s="470">
        <f t="shared" si="49"/>
        <v>2.28654970760234</v>
      </c>
      <c r="H796" s="524" t="str">
        <f t="shared" si="51"/>
        <v>是</v>
      </c>
      <c r="I796" s="312" t="str">
        <f t="shared" si="50"/>
        <v>项</v>
      </c>
    </row>
    <row r="797" ht="24" customHeight="1" spans="1:9">
      <c r="A797" s="330">
        <v>21103</v>
      </c>
      <c r="B797" s="379" t="s">
        <v>769</v>
      </c>
      <c r="C797" s="602">
        <f>SUM(C798:C805)</f>
        <v>17521</v>
      </c>
      <c r="D797" s="713">
        <f>SUM(D798:D805)</f>
        <v>17383</v>
      </c>
      <c r="E797" s="713">
        <f>SUM(E798:E805)</f>
        <v>21964</v>
      </c>
      <c r="F797" s="716">
        <f t="shared" si="48"/>
        <v>0.253581416585811</v>
      </c>
      <c r="G797" s="470">
        <f t="shared" si="49"/>
        <v>1.2635333371685</v>
      </c>
      <c r="H797" s="524" t="str">
        <f t="shared" si="51"/>
        <v>是</v>
      </c>
      <c r="I797" s="312" t="str">
        <f t="shared" si="50"/>
        <v>款</v>
      </c>
    </row>
    <row r="798" s="372" customFormat="1" ht="24" hidden="1" customHeight="1" spans="1:9">
      <c r="A798" s="330">
        <v>2110301</v>
      </c>
      <c r="B798" s="379" t="s">
        <v>770</v>
      </c>
      <c r="C798" s="602">
        <f>'[2]2'!E786</f>
        <v>106</v>
      </c>
      <c r="D798" s="714">
        <v>99</v>
      </c>
      <c r="E798" s="713">
        <v>540</v>
      </c>
      <c r="F798" s="716">
        <f t="shared" si="48"/>
        <v>4.09433962264151</v>
      </c>
      <c r="G798" s="470">
        <f t="shared" si="49"/>
        <v>5.45454545454545</v>
      </c>
      <c r="H798" s="524" t="str">
        <f t="shared" si="51"/>
        <v>是</v>
      </c>
      <c r="I798" s="312" t="str">
        <f t="shared" si="50"/>
        <v>项</v>
      </c>
    </row>
    <row r="799" ht="24" hidden="1" customHeight="1" spans="1:9">
      <c r="A799" s="330">
        <v>2110302</v>
      </c>
      <c r="B799" s="379" t="s">
        <v>771</v>
      </c>
      <c r="C799" s="602">
        <f>'[2]2'!E787</f>
        <v>15625</v>
      </c>
      <c r="D799" s="714">
        <v>15656</v>
      </c>
      <c r="E799" s="713">
        <v>20037</v>
      </c>
      <c r="F799" s="716">
        <f t="shared" si="48"/>
        <v>0.282368</v>
      </c>
      <c r="G799" s="470">
        <f t="shared" si="49"/>
        <v>1.27982881962187</v>
      </c>
      <c r="H799" s="524" t="str">
        <f t="shared" si="51"/>
        <v>是</v>
      </c>
      <c r="I799" s="312" t="str">
        <f t="shared" si="50"/>
        <v>项</v>
      </c>
    </row>
    <row r="800" s="372" customFormat="1" ht="24" hidden="1" customHeight="1" spans="1:9">
      <c r="A800" s="330">
        <v>2110303</v>
      </c>
      <c r="B800" s="379" t="s">
        <v>772</v>
      </c>
      <c r="C800" s="602">
        <f>'[2]2'!E788</f>
        <v>0</v>
      </c>
      <c r="D800" s="714"/>
      <c r="E800" s="713">
        <v>0</v>
      </c>
      <c r="F800" s="716" t="str">
        <f t="shared" si="48"/>
        <v/>
      </c>
      <c r="G800" s="470" t="str">
        <f t="shared" si="49"/>
        <v/>
      </c>
      <c r="H800" s="524" t="str">
        <f t="shared" si="51"/>
        <v>否</v>
      </c>
      <c r="I800" s="312" t="str">
        <f t="shared" si="50"/>
        <v>项</v>
      </c>
    </row>
    <row r="801" ht="24" hidden="1" customHeight="1" spans="1:9">
      <c r="A801" s="330">
        <v>2110304</v>
      </c>
      <c r="B801" s="379" t="s">
        <v>773</v>
      </c>
      <c r="C801" s="602">
        <f>'[2]2'!E789</f>
        <v>1153</v>
      </c>
      <c r="D801" s="714">
        <v>1012</v>
      </c>
      <c r="E801" s="713">
        <v>870</v>
      </c>
      <c r="F801" s="716">
        <f t="shared" si="48"/>
        <v>-0.245446660884649</v>
      </c>
      <c r="G801" s="470">
        <f t="shared" si="49"/>
        <v>0.859683794466403</v>
      </c>
      <c r="H801" s="524" t="str">
        <f t="shared" si="51"/>
        <v>是</v>
      </c>
      <c r="I801" s="312" t="str">
        <f t="shared" si="50"/>
        <v>项</v>
      </c>
    </row>
    <row r="802" ht="24" hidden="1" customHeight="1" spans="1:9">
      <c r="A802" s="330">
        <v>2110305</v>
      </c>
      <c r="B802" s="379" t="s">
        <v>774</v>
      </c>
      <c r="C802" s="602">
        <f>'[2]2'!E790</f>
        <v>0</v>
      </c>
      <c r="D802" s="714"/>
      <c r="E802" s="713">
        <v>0</v>
      </c>
      <c r="F802" s="716" t="str">
        <f t="shared" si="48"/>
        <v/>
      </c>
      <c r="G802" s="470" t="str">
        <f t="shared" si="49"/>
        <v/>
      </c>
      <c r="H802" s="524" t="str">
        <f t="shared" si="51"/>
        <v>否</v>
      </c>
      <c r="I802" s="312" t="str">
        <f t="shared" si="50"/>
        <v>项</v>
      </c>
    </row>
    <row r="803" s="372" customFormat="1" ht="24" hidden="1" customHeight="1" spans="1:9">
      <c r="A803" s="330">
        <v>2110306</v>
      </c>
      <c r="B803" s="379" t="s">
        <v>775</v>
      </c>
      <c r="C803" s="602">
        <f>'[2]2'!E791</f>
        <v>0</v>
      </c>
      <c r="D803" s="714"/>
      <c r="E803" s="713">
        <v>0</v>
      </c>
      <c r="F803" s="716" t="str">
        <f t="shared" si="48"/>
        <v/>
      </c>
      <c r="G803" s="470" t="str">
        <f t="shared" si="49"/>
        <v/>
      </c>
      <c r="H803" s="524" t="str">
        <f t="shared" si="51"/>
        <v>否</v>
      </c>
      <c r="I803" s="312" t="str">
        <f t="shared" si="50"/>
        <v>项</v>
      </c>
    </row>
    <row r="804" s="372" customFormat="1" ht="24" hidden="1" customHeight="1" spans="1:9">
      <c r="A804" s="356">
        <v>2110307</v>
      </c>
      <c r="B804" s="379" t="s">
        <v>776</v>
      </c>
      <c r="C804" s="602">
        <f>'[2]2'!E792</f>
        <v>479</v>
      </c>
      <c r="D804" s="714">
        <v>468</v>
      </c>
      <c r="E804" s="713">
        <v>380</v>
      </c>
      <c r="F804" s="716">
        <f t="shared" si="48"/>
        <v>-0.206680584551148</v>
      </c>
      <c r="G804" s="470">
        <f t="shared" si="49"/>
        <v>0.811965811965812</v>
      </c>
      <c r="H804" s="524" t="str">
        <f t="shared" si="51"/>
        <v>是</v>
      </c>
      <c r="I804" s="312" t="str">
        <f t="shared" si="50"/>
        <v>项</v>
      </c>
    </row>
    <row r="805" s="372" customFormat="1" ht="24" hidden="1" customHeight="1" spans="1:9">
      <c r="A805" s="330">
        <v>2110399</v>
      </c>
      <c r="B805" s="379" t="s">
        <v>777</v>
      </c>
      <c r="C805" s="602">
        <f>'[2]2'!E793</f>
        <v>158</v>
      </c>
      <c r="D805" s="714">
        <v>148</v>
      </c>
      <c r="E805" s="713">
        <v>137</v>
      </c>
      <c r="F805" s="716">
        <f t="shared" si="48"/>
        <v>-0.132911392405063</v>
      </c>
      <c r="G805" s="470">
        <f t="shared" si="49"/>
        <v>0.925675675675676</v>
      </c>
      <c r="H805" s="524" t="str">
        <f t="shared" si="51"/>
        <v>是</v>
      </c>
      <c r="I805" s="312" t="str">
        <f t="shared" si="50"/>
        <v>项</v>
      </c>
    </row>
    <row r="806" s="372" customFormat="1" ht="24" customHeight="1" spans="1:9">
      <c r="A806" s="330">
        <v>21104</v>
      </c>
      <c r="B806" s="379" t="s">
        <v>778</v>
      </c>
      <c r="C806" s="602">
        <f>SUM(C807:C812)</f>
        <v>56762</v>
      </c>
      <c r="D806" s="713">
        <f>SUM(D807:D812)</f>
        <v>59547</v>
      </c>
      <c r="E806" s="713">
        <f>SUM(E807:E812)</f>
        <v>64332</v>
      </c>
      <c r="F806" s="716">
        <f t="shared" si="48"/>
        <v>0.133363870194849</v>
      </c>
      <c r="G806" s="470">
        <f t="shared" si="49"/>
        <v>1.08035669303239</v>
      </c>
      <c r="H806" s="524" t="str">
        <f t="shared" si="51"/>
        <v>是</v>
      </c>
      <c r="I806" s="312" t="str">
        <f t="shared" si="50"/>
        <v>款</v>
      </c>
    </row>
    <row r="807" s="372" customFormat="1" ht="24" hidden="1" customHeight="1" spans="1:9">
      <c r="A807" s="330">
        <v>2110401</v>
      </c>
      <c r="B807" s="379" t="s">
        <v>779</v>
      </c>
      <c r="C807" s="602">
        <f>'[2]2'!E795</f>
        <v>51226</v>
      </c>
      <c r="D807" s="714">
        <v>53801</v>
      </c>
      <c r="E807" s="713">
        <v>61240</v>
      </c>
      <c r="F807" s="716">
        <f t="shared" si="48"/>
        <v>0.195486666926951</v>
      </c>
      <c r="G807" s="470">
        <f t="shared" si="49"/>
        <v>1.13826880541254</v>
      </c>
      <c r="H807" s="524" t="str">
        <f t="shared" si="51"/>
        <v>是</v>
      </c>
      <c r="I807" s="312" t="str">
        <f t="shared" si="50"/>
        <v>项</v>
      </c>
    </row>
    <row r="808" s="372" customFormat="1" ht="24" hidden="1" customHeight="1" spans="1:9">
      <c r="A808" s="330">
        <v>2110402</v>
      </c>
      <c r="B808" s="379" t="s">
        <v>780</v>
      </c>
      <c r="C808" s="602">
        <f>'[2]2'!E796</f>
        <v>605</v>
      </c>
      <c r="D808" s="714">
        <v>715</v>
      </c>
      <c r="E808" s="713">
        <v>380</v>
      </c>
      <c r="F808" s="716">
        <f t="shared" si="48"/>
        <v>-0.371900826446281</v>
      </c>
      <c r="G808" s="470">
        <f t="shared" si="49"/>
        <v>0.531468531468531</v>
      </c>
      <c r="H808" s="524" t="str">
        <f t="shared" si="51"/>
        <v>是</v>
      </c>
      <c r="I808" s="312" t="str">
        <f t="shared" si="50"/>
        <v>项</v>
      </c>
    </row>
    <row r="809" s="372" customFormat="1" ht="24" hidden="1" customHeight="1" spans="1:9">
      <c r="A809" s="330">
        <v>2110404</v>
      </c>
      <c r="B809" s="379" t="s">
        <v>781</v>
      </c>
      <c r="C809" s="602">
        <f>'[2]2'!E797</f>
        <v>4034</v>
      </c>
      <c r="D809" s="714">
        <v>4156</v>
      </c>
      <c r="E809" s="713">
        <v>700</v>
      </c>
      <c r="F809" s="716">
        <f t="shared" si="48"/>
        <v>-0.826474962816063</v>
      </c>
      <c r="G809" s="470">
        <f t="shared" si="49"/>
        <v>0.168431183830606</v>
      </c>
      <c r="H809" s="524" t="str">
        <f t="shared" si="51"/>
        <v>是</v>
      </c>
      <c r="I809" s="312" t="str">
        <f t="shared" si="50"/>
        <v>项</v>
      </c>
    </row>
    <row r="810" s="372" customFormat="1" ht="24" hidden="1" customHeight="1" spans="1:9">
      <c r="A810" s="330">
        <v>2110405</v>
      </c>
      <c r="B810" s="405" t="s">
        <v>782</v>
      </c>
      <c r="C810" s="602">
        <f>'[2]2'!E798</f>
        <v>1</v>
      </c>
      <c r="D810" s="714"/>
      <c r="E810" s="713">
        <v>42</v>
      </c>
      <c r="F810" s="716">
        <f t="shared" si="48"/>
        <v>41</v>
      </c>
      <c r="G810" s="470" t="str">
        <f t="shared" si="49"/>
        <v/>
      </c>
      <c r="H810" s="524" t="str">
        <f t="shared" si="51"/>
        <v>是</v>
      </c>
      <c r="I810" s="312" t="str">
        <f t="shared" si="50"/>
        <v>项</v>
      </c>
    </row>
    <row r="811" s="372" customFormat="1" ht="24" hidden="1" customHeight="1" spans="1:9">
      <c r="A811" s="330">
        <v>2110406</v>
      </c>
      <c r="B811" s="405" t="s">
        <v>783</v>
      </c>
      <c r="C811" s="602">
        <f>'[2]2'!E799</f>
        <v>59</v>
      </c>
      <c r="D811" s="714">
        <v>60</v>
      </c>
      <c r="E811" s="713">
        <v>52</v>
      </c>
      <c r="F811" s="716">
        <f t="shared" si="48"/>
        <v>-0.11864406779661</v>
      </c>
      <c r="G811" s="470">
        <f t="shared" si="49"/>
        <v>0.866666666666667</v>
      </c>
      <c r="H811" s="524" t="str">
        <f t="shared" si="51"/>
        <v>是</v>
      </c>
      <c r="I811" s="312" t="str">
        <f t="shared" si="50"/>
        <v>项</v>
      </c>
    </row>
    <row r="812" ht="24" hidden="1" customHeight="1" spans="1:9">
      <c r="A812" s="330">
        <v>2110499</v>
      </c>
      <c r="B812" s="379" t="s">
        <v>784</v>
      </c>
      <c r="C812" s="602">
        <f>'[2]2'!E800</f>
        <v>837</v>
      </c>
      <c r="D812" s="714">
        <v>815</v>
      </c>
      <c r="E812" s="713">
        <v>1918</v>
      </c>
      <c r="F812" s="716">
        <f t="shared" si="48"/>
        <v>1.29151732377539</v>
      </c>
      <c r="G812" s="470">
        <f t="shared" si="49"/>
        <v>2.35337423312883</v>
      </c>
      <c r="H812" s="524" t="str">
        <f t="shared" si="51"/>
        <v>是</v>
      </c>
      <c r="I812" s="312" t="str">
        <f t="shared" si="50"/>
        <v>项</v>
      </c>
    </row>
    <row r="813" s="372" customFormat="1" ht="24" customHeight="1" spans="1:9">
      <c r="A813" s="330">
        <v>21105</v>
      </c>
      <c r="B813" s="379" t="s">
        <v>785</v>
      </c>
      <c r="C813" s="602">
        <f>SUM(C814:C819)</f>
        <v>10905</v>
      </c>
      <c r="D813" s="713">
        <f>SUM(D814:D819)</f>
        <v>10833</v>
      </c>
      <c r="E813" s="713">
        <f>SUM(E814:E819)</f>
        <v>16089</v>
      </c>
      <c r="F813" s="716">
        <f t="shared" si="48"/>
        <v>0.475378266850069</v>
      </c>
      <c r="G813" s="470">
        <f t="shared" si="49"/>
        <v>1.4851841595126</v>
      </c>
      <c r="H813" s="524" t="str">
        <f t="shared" si="51"/>
        <v>是</v>
      </c>
      <c r="I813" s="312" t="str">
        <f t="shared" si="50"/>
        <v>款</v>
      </c>
    </row>
    <row r="814" s="372" customFormat="1" ht="24" hidden="1" customHeight="1" spans="1:9">
      <c r="A814" s="330">
        <v>2110501</v>
      </c>
      <c r="B814" s="379" t="s">
        <v>786</v>
      </c>
      <c r="C814" s="602">
        <f>'[2]2'!E802</f>
        <v>7363</v>
      </c>
      <c r="D814" s="714">
        <v>7215</v>
      </c>
      <c r="E814" s="713">
        <v>13132</v>
      </c>
      <c r="F814" s="716">
        <f t="shared" si="48"/>
        <v>0.783512155371452</v>
      </c>
      <c r="G814" s="470">
        <f t="shared" si="49"/>
        <v>1.82009702009702</v>
      </c>
      <c r="H814" s="524" t="str">
        <f t="shared" si="51"/>
        <v>是</v>
      </c>
      <c r="I814" s="312" t="str">
        <f t="shared" si="50"/>
        <v>项</v>
      </c>
    </row>
    <row r="815" s="372" customFormat="1" ht="24" hidden="1" customHeight="1" spans="1:9">
      <c r="A815" s="330">
        <v>2110502</v>
      </c>
      <c r="B815" s="379" t="s">
        <v>787</v>
      </c>
      <c r="C815" s="602">
        <f>'[2]2'!E803</f>
        <v>2859</v>
      </c>
      <c r="D815" s="714">
        <v>2958</v>
      </c>
      <c r="E815" s="713">
        <v>2043</v>
      </c>
      <c r="F815" s="716">
        <f t="shared" si="48"/>
        <v>-0.285414480587618</v>
      </c>
      <c r="G815" s="470">
        <f t="shared" si="49"/>
        <v>0.690669371196755</v>
      </c>
      <c r="H815" s="524" t="str">
        <f t="shared" si="51"/>
        <v>是</v>
      </c>
      <c r="I815" s="312" t="str">
        <f t="shared" si="50"/>
        <v>项</v>
      </c>
    </row>
    <row r="816" ht="24" hidden="1" customHeight="1" spans="1:9">
      <c r="A816" s="330">
        <v>2110503</v>
      </c>
      <c r="B816" s="379" t="s">
        <v>788</v>
      </c>
      <c r="C816" s="602">
        <f>'[2]2'!E804</f>
        <v>0</v>
      </c>
      <c r="D816" s="714"/>
      <c r="E816" s="713">
        <v>0</v>
      </c>
      <c r="F816" s="716" t="str">
        <f t="shared" si="48"/>
        <v/>
      </c>
      <c r="G816" s="470" t="str">
        <f t="shared" si="49"/>
        <v/>
      </c>
      <c r="H816" s="524" t="str">
        <f t="shared" si="51"/>
        <v>否</v>
      </c>
      <c r="I816" s="312" t="str">
        <f t="shared" si="50"/>
        <v>项</v>
      </c>
    </row>
    <row r="817" s="372" customFormat="1" ht="24" hidden="1" customHeight="1" spans="1:9">
      <c r="A817" s="330">
        <v>2110506</v>
      </c>
      <c r="B817" s="379" t="s">
        <v>789</v>
      </c>
      <c r="C817" s="602">
        <f>'[2]2'!E805</f>
        <v>180</v>
      </c>
      <c r="D817" s="714">
        <v>175</v>
      </c>
      <c r="E817" s="713">
        <v>2</v>
      </c>
      <c r="F817" s="716">
        <f t="shared" si="48"/>
        <v>-0.988888888888889</v>
      </c>
      <c r="G817" s="470">
        <f t="shared" si="49"/>
        <v>0.0114285714285714</v>
      </c>
      <c r="H817" s="524" t="str">
        <f t="shared" si="51"/>
        <v>是</v>
      </c>
      <c r="I817" s="312" t="str">
        <f t="shared" si="50"/>
        <v>项</v>
      </c>
    </row>
    <row r="818" s="372" customFormat="1" ht="24" hidden="1" customHeight="1" spans="1:9">
      <c r="A818" s="330">
        <v>2110507</v>
      </c>
      <c r="B818" s="379" t="s">
        <v>790</v>
      </c>
      <c r="C818" s="602">
        <f>'[2]2'!E806</f>
        <v>0</v>
      </c>
      <c r="D818" s="714"/>
      <c r="E818" s="713">
        <v>360</v>
      </c>
      <c r="F818" s="716" t="str">
        <f t="shared" si="48"/>
        <v/>
      </c>
      <c r="G818" s="470" t="str">
        <f t="shared" si="49"/>
        <v/>
      </c>
      <c r="H818" s="524" t="str">
        <f t="shared" si="51"/>
        <v>是</v>
      </c>
      <c r="I818" s="312" t="str">
        <f t="shared" si="50"/>
        <v>项</v>
      </c>
    </row>
    <row r="819" s="372" customFormat="1" ht="24" hidden="1" customHeight="1" spans="1:9">
      <c r="A819" s="330">
        <v>2110599</v>
      </c>
      <c r="B819" s="379" t="s">
        <v>791</v>
      </c>
      <c r="C819" s="602">
        <f>'[2]2'!E807</f>
        <v>503</v>
      </c>
      <c r="D819" s="714">
        <v>485</v>
      </c>
      <c r="E819" s="713">
        <v>552</v>
      </c>
      <c r="F819" s="716">
        <f t="shared" si="48"/>
        <v>0.0974155069582505</v>
      </c>
      <c r="G819" s="470">
        <f t="shared" si="49"/>
        <v>1.13814432989691</v>
      </c>
      <c r="H819" s="524" t="str">
        <f t="shared" si="51"/>
        <v>是</v>
      </c>
      <c r="I819" s="312" t="str">
        <f t="shared" si="50"/>
        <v>项</v>
      </c>
    </row>
    <row r="820" s="372" customFormat="1" ht="24" customHeight="1" spans="1:9">
      <c r="A820" s="330">
        <v>21107</v>
      </c>
      <c r="B820" s="379" t="s">
        <v>792</v>
      </c>
      <c r="C820" s="602">
        <f>SUM(C821:C822)</f>
        <v>0</v>
      </c>
      <c r="D820" s="713">
        <f>SUM(D821:D822)</f>
        <v>0</v>
      </c>
      <c r="E820" s="713">
        <f>SUM(E821:E822)</f>
        <v>19</v>
      </c>
      <c r="F820" s="716" t="str">
        <f t="shared" si="48"/>
        <v/>
      </c>
      <c r="G820" s="470" t="str">
        <f t="shared" si="49"/>
        <v/>
      </c>
      <c r="H820" s="524" t="str">
        <f t="shared" si="51"/>
        <v>是</v>
      </c>
      <c r="I820" s="312" t="str">
        <f t="shared" si="50"/>
        <v>款</v>
      </c>
    </row>
    <row r="821" s="372" customFormat="1" ht="24" hidden="1" customHeight="1" spans="1:9">
      <c r="A821" s="330">
        <v>2110704</v>
      </c>
      <c r="B821" s="379" t="s">
        <v>793</v>
      </c>
      <c r="C821" s="602">
        <f>'[2]2'!E809</f>
        <v>0</v>
      </c>
      <c r="D821" s="714"/>
      <c r="E821" s="713">
        <v>0</v>
      </c>
      <c r="F821" s="716" t="str">
        <f t="shared" si="48"/>
        <v/>
      </c>
      <c r="G821" s="470" t="str">
        <f t="shared" si="49"/>
        <v/>
      </c>
      <c r="H821" s="524" t="str">
        <f t="shared" si="51"/>
        <v>否</v>
      </c>
      <c r="I821" s="312" t="str">
        <f t="shared" si="50"/>
        <v>项</v>
      </c>
    </row>
    <row r="822" s="372" customFormat="1" ht="24" hidden="1" customHeight="1" spans="1:9">
      <c r="A822" s="330">
        <v>2110799</v>
      </c>
      <c r="B822" s="379" t="s">
        <v>794</v>
      </c>
      <c r="C822" s="602">
        <f>'[2]2'!E810</f>
        <v>0</v>
      </c>
      <c r="D822" s="714"/>
      <c r="E822" s="713">
        <v>19</v>
      </c>
      <c r="F822" s="716" t="str">
        <f t="shared" si="48"/>
        <v/>
      </c>
      <c r="G822" s="470" t="str">
        <f t="shared" si="49"/>
        <v/>
      </c>
      <c r="H822" s="524" t="str">
        <f t="shared" si="51"/>
        <v>是</v>
      </c>
      <c r="I822" s="312" t="str">
        <f t="shared" si="50"/>
        <v>项</v>
      </c>
    </row>
    <row r="823" s="372" customFormat="1" ht="24" hidden="1" customHeight="1" spans="1:9">
      <c r="A823" s="330">
        <v>21108</v>
      </c>
      <c r="B823" s="379" t="s">
        <v>795</v>
      </c>
      <c r="C823" s="602">
        <f>SUM(C824:C825)</f>
        <v>0</v>
      </c>
      <c r="D823" s="713">
        <f>SUM(D824:D825)</f>
        <v>0</v>
      </c>
      <c r="E823" s="713">
        <f>SUM(E824:E825)</f>
        <v>0</v>
      </c>
      <c r="F823" s="716" t="str">
        <f t="shared" si="48"/>
        <v/>
      </c>
      <c r="G823" s="470" t="str">
        <f t="shared" si="49"/>
        <v/>
      </c>
      <c r="H823" s="524" t="str">
        <f t="shared" si="51"/>
        <v>否</v>
      </c>
      <c r="I823" s="312" t="str">
        <f t="shared" si="50"/>
        <v>款</v>
      </c>
    </row>
    <row r="824" s="372" customFormat="1" ht="24" hidden="1" customHeight="1" spans="1:9">
      <c r="A824" s="330">
        <v>2110804</v>
      </c>
      <c r="B824" s="379" t="s">
        <v>796</v>
      </c>
      <c r="C824" s="602">
        <f>'[2]2'!E812</f>
        <v>0</v>
      </c>
      <c r="D824" s="714"/>
      <c r="E824" s="713">
        <v>0</v>
      </c>
      <c r="F824" s="716" t="str">
        <f t="shared" si="48"/>
        <v/>
      </c>
      <c r="G824" s="470" t="str">
        <f t="shared" si="49"/>
        <v/>
      </c>
      <c r="H824" s="524" t="str">
        <f t="shared" si="51"/>
        <v>否</v>
      </c>
      <c r="I824" s="312" t="str">
        <f t="shared" si="50"/>
        <v>项</v>
      </c>
    </row>
    <row r="825" s="372" customFormat="1" ht="24" hidden="1" customHeight="1" spans="1:9">
      <c r="A825" s="330">
        <v>2110899</v>
      </c>
      <c r="B825" s="379" t="s">
        <v>797</v>
      </c>
      <c r="C825" s="602">
        <f>'[2]2'!E813</f>
        <v>0</v>
      </c>
      <c r="D825" s="714"/>
      <c r="E825" s="713">
        <v>0</v>
      </c>
      <c r="F825" s="716" t="str">
        <f t="shared" si="48"/>
        <v/>
      </c>
      <c r="G825" s="470" t="str">
        <f t="shared" si="49"/>
        <v/>
      </c>
      <c r="H825" s="524" t="str">
        <f t="shared" si="51"/>
        <v>否</v>
      </c>
      <c r="I825" s="312" t="str">
        <f t="shared" si="50"/>
        <v>项</v>
      </c>
    </row>
    <row r="826" ht="24" hidden="1" customHeight="1" spans="1:9">
      <c r="A826" s="330">
        <v>21109</v>
      </c>
      <c r="B826" s="379" t="s">
        <v>798</v>
      </c>
      <c r="C826" s="602">
        <f>C827</f>
        <v>0</v>
      </c>
      <c r="D826" s="713">
        <f>D827</f>
        <v>0</v>
      </c>
      <c r="E826" s="713">
        <f>E827</f>
        <v>0</v>
      </c>
      <c r="F826" s="716" t="str">
        <f t="shared" si="48"/>
        <v/>
      </c>
      <c r="G826" s="470" t="str">
        <f t="shared" si="49"/>
        <v/>
      </c>
      <c r="H826" s="524" t="str">
        <f t="shared" si="51"/>
        <v>否</v>
      </c>
      <c r="I826" s="312" t="str">
        <f t="shared" si="50"/>
        <v>款</v>
      </c>
    </row>
    <row r="827" s="372" customFormat="1" ht="24" hidden="1" customHeight="1" spans="1:9">
      <c r="A827" s="718">
        <v>2110901</v>
      </c>
      <c r="B827" s="534" t="s">
        <v>799</v>
      </c>
      <c r="C827" s="602">
        <f>'[2]2'!E815</f>
        <v>0</v>
      </c>
      <c r="D827" s="714"/>
      <c r="E827" s="713">
        <v>0</v>
      </c>
      <c r="F827" s="716" t="str">
        <f t="shared" si="48"/>
        <v/>
      </c>
      <c r="G827" s="470" t="str">
        <f t="shared" si="49"/>
        <v/>
      </c>
      <c r="H827" s="524" t="str">
        <f t="shared" si="51"/>
        <v>否</v>
      </c>
      <c r="I827" s="312" t="str">
        <f t="shared" si="50"/>
        <v>项</v>
      </c>
    </row>
    <row r="828" s="372" customFormat="1" ht="24" customHeight="1" spans="1:9">
      <c r="A828" s="330">
        <v>21110</v>
      </c>
      <c r="B828" s="379" t="s">
        <v>800</v>
      </c>
      <c r="C828" s="602">
        <f>C829</f>
        <v>20</v>
      </c>
      <c r="D828" s="713">
        <f>D829</f>
        <v>17</v>
      </c>
      <c r="E828" s="713">
        <f>E829</f>
        <v>0</v>
      </c>
      <c r="F828" s="716">
        <f t="shared" si="48"/>
        <v>-1</v>
      </c>
      <c r="G828" s="470">
        <f t="shared" si="49"/>
        <v>0</v>
      </c>
      <c r="H828" s="524" t="str">
        <f t="shared" si="51"/>
        <v>是</v>
      </c>
      <c r="I828" s="312" t="str">
        <f t="shared" si="50"/>
        <v>款</v>
      </c>
    </row>
    <row r="829" s="372" customFormat="1" ht="24" hidden="1" customHeight="1" spans="1:9">
      <c r="A829" s="718">
        <v>2111001</v>
      </c>
      <c r="B829" s="534" t="s">
        <v>801</v>
      </c>
      <c r="C829" s="602">
        <f>'[2]2'!E817</f>
        <v>20</v>
      </c>
      <c r="D829" s="714">
        <v>17</v>
      </c>
      <c r="E829" s="713">
        <v>0</v>
      </c>
      <c r="F829" s="716">
        <f t="shared" si="48"/>
        <v>-1</v>
      </c>
      <c r="G829" s="470">
        <f t="shared" si="49"/>
        <v>0</v>
      </c>
      <c r="H829" s="524" t="str">
        <f t="shared" si="51"/>
        <v>是</v>
      </c>
      <c r="I829" s="312" t="str">
        <f t="shared" si="50"/>
        <v>项</v>
      </c>
    </row>
    <row r="830" s="372" customFormat="1" ht="24" customHeight="1" spans="1:9">
      <c r="A830" s="330">
        <v>21111</v>
      </c>
      <c r="B830" s="379" t="s">
        <v>802</v>
      </c>
      <c r="C830" s="602">
        <f>SUM(C831:C835)</f>
        <v>725</v>
      </c>
      <c r="D830" s="713">
        <f>SUM(D831:D835)</f>
        <v>737</v>
      </c>
      <c r="E830" s="713">
        <f>SUM(E831:E835)</f>
        <v>249</v>
      </c>
      <c r="F830" s="716">
        <f t="shared" si="48"/>
        <v>-0.656551724137931</v>
      </c>
      <c r="G830" s="470">
        <f t="shared" si="49"/>
        <v>0.337856173677069</v>
      </c>
      <c r="H830" s="524" t="str">
        <f t="shared" si="51"/>
        <v>是</v>
      </c>
      <c r="I830" s="312" t="str">
        <f t="shared" si="50"/>
        <v>款</v>
      </c>
    </row>
    <row r="831" s="372" customFormat="1" ht="24" hidden="1" customHeight="1" spans="1:9">
      <c r="A831" s="330">
        <v>2111101</v>
      </c>
      <c r="B831" s="379" t="s">
        <v>803</v>
      </c>
      <c r="C831" s="602">
        <f>'[2]2'!E819</f>
        <v>421</v>
      </c>
      <c r="D831" s="714">
        <v>412</v>
      </c>
      <c r="E831" s="713">
        <v>0</v>
      </c>
      <c r="F831" s="716">
        <f t="shared" si="48"/>
        <v>-1</v>
      </c>
      <c r="G831" s="470">
        <f t="shared" si="49"/>
        <v>0</v>
      </c>
      <c r="H831" s="524" t="str">
        <f t="shared" si="51"/>
        <v>是</v>
      </c>
      <c r="I831" s="312" t="str">
        <f t="shared" si="50"/>
        <v>项</v>
      </c>
    </row>
    <row r="832" s="372" customFormat="1" ht="24" hidden="1" customHeight="1" spans="1:9">
      <c r="A832" s="330">
        <v>2111102</v>
      </c>
      <c r="B832" s="379" t="s">
        <v>804</v>
      </c>
      <c r="C832" s="602">
        <f>'[2]2'!E820</f>
        <v>304</v>
      </c>
      <c r="D832" s="714">
        <v>325</v>
      </c>
      <c r="E832" s="713">
        <v>249</v>
      </c>
      <c r="F832" s="716">
        <f t="shared" si="48"/>
        <v>-0.180921052631579</v>
      </c>
      <c r="G832" s="470">
        <f t="shared" si="49"/>
        <v>0.766153846153846</v>
      </c>
      <c r="H832" s="524" t="str">
        <f t="shared" si="51"/>
        <v>是</v>
      </c>
      <c r="I832" s="312" t="str">
        <f t="shared" si="50"/>
        <v>项</v>
      </c>
    </row>
    <row r="833" ht="24" hidden="1" customHeight="1" spans="1:9">
      <c r="A833" s="330">
        <v>2111103</v>
      </c>
      <c r="B833" s="379" t="s">
        <v>805</v>
      </c>
      <c r="C833" s="602">
        <f>'[2]2'!E821</f>
        <v>0</v>
      </c>
      <c r="D833" s="714"/>
      <c r="E833" s="713">
        <v>0</v>
      </c>
      <c r="F833" s="716" t="str">
        <f t="shared" si="48"/>
        <v/>
      </c>
      <c r="G833" s="470" t="str">
        <f t="shared" si="49"/>
        <v/>
      </c>
      <c r="H833" s="524" t="str">
        <f t="shared" si="51"/>
        <v>否</v>
      </c>
      <c r="I833" s="312" t="str">
        <f t="shared" si="50"/>
        <v>项</v>
      </c>
    </row>
    <row r="834" s="372" customFormat="1" ht="24" hidden="1" customHeight="1" spans="1:9">
      <c r="A834" s="330">
        <v>2111104</v>
      </c>
      <c r="B834" s="379" t="s">
        <v>806</v>
      </c>
      <c r="C834" s="602">
        <f>'[2]2'!E822</f>
        <v>0</v>
      </c>
      <c r="D834" s="714"/>
      <c r="E834" s="713">
        <v>0</v>
      </c>
      <c r="F834" s="716" t="str">
        <f t="shared" si="48"/>
        <v/>
      </c>
      <c r="G834" s="470" t="str">
        <f t="shared" si="49"/>
        <v/>
      </c>
      <c r="H834" s="524" t="str">
        <f t="shared" si="51"/>
        <v>否</v>
      </c>
      <c r="I834" s="312" t="str">
        <f t="shared" si="50"/>
        <v>项</v>
      </c>
    </row>
    <row r="835" s="372" customFormat="1" ht="24" hidden="1" customHeight="1" spans="1:9">
      <c r="A835" s="330">
        <v>2111199</v>
      </c>
      <c r="B835" s="379" t="s">
        <v>807</v>
      </c>
      <c r="C835" s="602">
        <f>'[2]2'!E823</f>
        <v>0</v>
      </c>
      <c r="D835" s="714"/>
      <c r="E835" s="713">
        <v>0</v>
      </c>
      <c r="F835" s="716" t="str">
        <f t="shared" si="48"/>
        <v/>
      </c>
      <c r="G835" s="470" t="str">
        <f t="shared" si="49"/>
        <v/>
      </c>
      <c r="H835" s="524" t="str">
        <f t="shared" si="51"/>
        <v>否</v>
      </c>
      <c r="I835" s="312" t="str">
        <f t="shared" si="50"/>
        <v>项</v>
      </c>
    </row>
    <row r="836" s="374" customFormat="1" ht="24" hidden="1" customHeight="1" spans="1:9">
      <c r="A836" s="331">
        <v>21112</v>
      </c>
      <c r="B836" s="327" t="s">
        <v>808</v>
      </c>
      <c r="C836" s="608">
        <f>C837</f>
        <v>0</v>
      </c>
      <c r="D836" s="710">
        <f>D837</f>
        <v>0</v>
      </c>
      <c r="E836" s="710">
        <f>E837</f>
        <v>0</v>
      </c>
      <c r="F836" s="716" t="str">
        <f t="shared" si="48"/>
        <v/>
      </c>
      <c r="G836" s="470" t="str">
        <f t="shared" si="49"/>
        <v/>
      </c>
      <c r="H836" s="524" t="str">
        <f t="shared" si="51"/>
        <v>否</v>
      </c>
      <c r="I836" s="313" t="str">
        <f t="shared" si="50"/>
        <v>款</v>
      </c>
    </row>
    <row r="837" s="372" customFormat="1" ht="24" hidden="1" customHeight="1" spans="1:9">
      <c r="A837" s="356">
        <v>2111201</v>
      </c>
      <c r="B837" s="379" t="s">
        <v>809</v>
      </c>
      <c r="C837" s="602">
        <f>'[2]2'!E825</f>
        <v>0</v>
      </c>
      <c r="D837" s="714"/>
      <c r="E837" s="713">
        <v>0</v>
      </c>
      <c r="F837" s="716" t="str">
        <f t="shared" ref="F837:F900" si="52">IFERROR((E837-C837)/C837,"")</f>
        <v/>
      </c>
      <c r="G837" s="470" t="str">
        <f t="shared" ref="G837:G900" si="53">IFERROR(E837/D837,"")</f>
        <v/>
      </c>
      <c r="H837" s="524" t="str">
        <f t="shared" si="51"/>
        <v>否</v>
      </c>
      <c r="I837" s="312" t="str">
        <f t="shared" ref="I837:I900" si="54">IF(LEN(A837)=3,"类",IF(LEN(A837)=5,"款","项"))</f>
        <v>项</v>
      </c>
    </row>
    <row r="838" s="374" customFormat="1" ht="24" hidden="1" customHeight="1" spans="1:9">
      <c r="A838" s="540">
        <v>2111299</v>
      </c>
      <c r="B838" s="327" t="s">
        <v>810</v>
      </c>
      <c r="C838" s="608"/>
      <c r="D838" s="709"/>
      <c r="E838" s="713">
        <v>0</v>
      </c>
      <c r="F838" s="716" t="str">
        <f t="shared" si="52"/>
        <v/>
      </c>
      <c r="G838" s="470" t="str">
        <f t="shared" si="53"/>
        <v/>
      </c>
      <c r="H838" s="524" t="str">
        <f t="shared" ref="H838:H901" si="55">IF(LEN(A838)=3,"是",IF(B838&lt;&gt;"",IF(SUM(C838:E838)&lt;&gt;0,"是","否"),"是"))</f>
        <v>否</v>
      </c>
      <c r="I838" s="313" t="str">
        <f t="shared" si="54"/>
        <v>项</v>
      </c>
    </row>
    <row r="839" s="372" customFormat="1" ht="24" hidden="1" customHeight="1" spans="1:9">
      <c r="A839" s="330">
        <v>21113</v>
      </c>
      <c r="B839" s="379" t="s">
        <v>811</v>
      </c>
      <c r="C839" s="602">
        <f>C840</f>
        <v>0</v>
      </c>
      <c r="D839" s="713">
        <f>D840</f>
        <v>0</v>
      </c>
      <c r="E839" s="713">
        <f>E840</f>
        <v>0</v>
      </c>
      <c r="F839" s="716" t="str">
        <f t="shared" si="52"/>
        <v/>
      </c>
      <c r="G839" s="470" t="str">
        <f t="shared" si="53"/>
        <v/>
      </c>
      <c r="H839" s="524" t="str">
        <f t="shared" si="55"/>
        <v>否</v>
      </c>
      <c r="I839" s="312" t="str">
        <f t="shared" si="54"/>
        <v>款</v>
      </c>
    </row>
    <row r="840" ht="24" hidden="1" customHeight="1" spans="1:9">
      <c r="A840" s="356">
        <v>2111301</v>
      </c>
      <c r="B840" s="379" t="s">
        <v>812</v>
      </c>
      <c r="C840" s="602">
        <f>'[2]2'!E827</f>
        <v>0</v>
      </c>
      <c r="D840" s="714"/>
      <c r="E840" s="713">
        <v>0</v>
      </c>
      <c r="F840" s="716" t="str">
        <f t="shared" si="52"/>
        <v/>
      </c>
      <c r="G840" s="470" t="str">
        <f t="shared" si="53"/>
        <v/>
      </c>
      <c r="H840" s="524" t="str">
        <f t="shared" si="55"/>
        <v>否</v>
      </c>
      <c r="I840" s="312" t="str">
        <f t="shared" si="54"/>
        <v>项</v>
      </c>
    </row>
    <row r="841" s="372" customFormat="1" ht="24" customHeight="1" spans="1:9">
      <c r="A841" s="330">
        <v>21114</v>
      </c>
      <c r="B841" s="379" t="s">
        <v>813</v>
      </c>
      <c r="C841" s="602">
        <f>SUM(C842:C851)</f>
        <v>72</v>
      </c>
      <c r="D841" s="713">
        <f>SUM(D842:D851)</f>
        <v>76</v>
      </c>
      <c r="E841" s="713">
        <f>SUM(E842:E851)</f>
        <v>81</v>
      </c>
      <c r="F841" s="716">
        <f t="shared" si="52"/>
        <v>0.125</v>
      </c>
      <c r="G841" s="470">
        <f t="shared" si="53"/>
        <v>1.06578947368421</v>
      </c>
      <c r="H841" s="524" t="str">
        <f t="shared" si="55"/>
        <v>是</v>
      </c>
      <c r="I841" s="312" t="str">
        <f t="shared" si="54"/>
        <v>款</v>
      </c>
    </row>
    <row r="842" s="372" customFormat="1" ht="24" hidden="1" customHeight="1" spans="1:9">
      <c r="A842" s="330">
        <v>2111401</v>
      </c>
      <c r="B842" s="379" t="s">
        <v>212</v>
      </c>
      <c r="C842" s="602">
        <f>'[2]2'!E829</f>
        <v>0</v>
      </c>
      <c r="D842" s="714"/>
      <c r="E842" s="713">
        <v>0</v>
      </c>
      <c r="F842" s="716" t="str">
        <f t="shared" si="52"/>
        <v/>
      </c>
      <c r="G842" s="470" t="str">
        <f t="shared" si="53"/>
        <v/>
      </c>
      <c r="H842" s="524" t="str">
        <f t="shared" si="55"/>
        <v>否</v>
      </c>
      <c r="I842" s="312" t="str">
        <f t="shared" si="54"/>
        <v>项</v>
      </c>
    </row>
    <row r="843" ht="24" hidden="1" customHeight="1" spans="1:9">
      <c r="A843" s="330">
        <v>2111402</v>
      </c>
      <c r="B843" s="379" t="s">
        <v>213</v>
      </c>
      <c r="C843" s="602">
        <f>'[2]2'!E830</f>
        <v>0</v>
      </c>
      <c r="D843" s="714"/>
      <c r="E843" s="713">
        <v>0</v>
      </c>
      <c r="F843" s="716" t="str">
        <f t="shared" si="52"/>
        <v/>
      </c>
      <c r="G843" s="470" t="str">
        <f t="shared" si="53"/>
        <v/>
      </c>
      <c r="H843" s="524" t="str">
        <f t="shared" si="55"/>
        <v>否</v>
      </c>
      <c r="I843" s="312" t="str">
        <f t="shared" si="54"/>
        <v>项</v>
      </c>
    </row>
    <row r="844" s="372" customFormat="1" ht="24" hidden="1" customHeight="1" spans="1:9">
      <c r="A844" s="330">
        <v>2111403</v>
      </c>
      <c r="B844" s="379" t="s">
        <v>214</v>
      </c>
      <c r="C844" s="602">
        <f>'[2]2'!E831</f>
        <v>0</v>
      </c>
      <c r="D844" s="714"/>
      <c r="E844" s="713">
        <v>0</v>
      </c>
      <c r="F844" s="716" t="str">
        <f t="shared" si="52"/>
        <v/>
      </c>
      <c r="G844" s="470" t="str">
        <f t="shared" si="53"/>
        <v/>
      </c>
      <c r="H844" s="524" t="str">
        <f t="shared" si="55"/>
        <v>否</v>
      </c>
      <c r="I844" s="312" t="str">
        <f t="shared" si="54"/>
        <v>项</v>
      </c>
    </row>
    <row r="845" s="372" customFormat="1" ht="24" hidden="1" customHeight="1" spans="1:9">
      <c r="A845" s="330">
        <v>2111406</v>
      </c>
      <c r="B845" s="379" t="s">
        <v>814</v>
      </c>
      <c r="C845" s="602">
        <f>'[2]2'!E832</f>
        <v>0</v>
      </c>
      <c r="D845" s="714"/>
      <c r="E845" s="713">
        <v>0</v>
      </c>
      <c r="F845" s="716" t="str">
        <f t="shared" si="52"/>
        <v/>
      </c>
      <c r="G845" s="470" t="str">
        <f t="shared" si="53"/>
        <v/>
      </c>
      <c r="H845" s="524" t="str">
        <f t="shared" si="55"/>
        <v>否</v>
      </c>
      <c r="I845" s="312" t="str">
        <f t="shared" si="54"/>
        <v>项</v>
      </c>
    </row>
    <row r="846" ht="24" hidden="1" customHeight="1" spans="1:9">
      <c r="A846" s="330">
        <v>2111407</v>
      </c>
      <c r="B846" s="379" t="s">
        <v>815</v>
      </c>
      <c r="C846" s="602">
        <f>'[2]2'!E833</f>
        <v>0</v>
      </c>
      <c r="D846" s="714"/>
      <c r="E846" s="713">
        <v>0</v>
      </c>
      <c r="F846" s="716" t="str">
        <f t="shared" si="52"/>
        <v/>
      </c>
      <c r="G846" s="470" t="str">
        <f t="shared" si="53"/>
        <v/>
      </c>
      <c r="H846" s="524" t="str">
        <f t="shared" si="55"/>
        <v>否</v>
      </c>
      <c r="I846" s="312" t="str">
        <f t="shared" si="54"/>
        <v>项</v>
      </c>
    </row>
    <row r="847" s="372" customFormat="1" ht="24" hidden="1" customHeight="1" spans="1:9">
      <c r="A847" s="330">
        <v>2111408</v>
      </c>
      <c r="B847" s="379" t="s">
        <v>816</v>
      </c>
      <c r="C847" s="602">
        <f>'[2]2'!E834</f>
        <v>0</v>
      </c>
      <c r="D847" s="714"/>
      <c r="E847" s="713">
        <v>0</v>
      </c>
      <c r="F847" s="716" t="str">
        <f t="shared" si="52"/>
        <v/>
      </c>
      <c r="G847" s="470" t="str">
        <f t="shared" si="53"/>
        <v/>
      </c>
      <c r="H847" s="524" t="str">
        <f t="shared" si="55"/>
        <v>否</v>
      </c>
      <c r="I847" s="312" t="str">
        <f t="shared" si="54"/>
        <v>项</v>
      </c>
    </row>
    <row r="848" ht="24" hidden="1" customHeight="1" spans="1:9">
      <c r="A848" s="330">
        <v>2111411</v>
      </c>
      <c r="B848" s="379" t="s">
        <v>252</v>
      </c>
      <c r="C848" s="602">
        <f>'[2]2'!E835</f>
        <v>0</v>
      </c>
      <c r="D848" s="714"/>
      <c r="E848" s="713">
        <v>0</v>
      </c>
      <c r="F848" s="716" t="str">
        <f t="shared" si="52"/>
        <v/>
      </c>
      <c r="G848" s="470" t="str">
        <f t="shared" si="53"/>
        <v/>
      </c>
      <c r="H848" s="524" t="str">
        <f t="shared" si="55"/>
        <v>否</v>
      </c>
      <c r="I848" s="312" t="str">
        <f t="shared" si="54"/>
        <v>项</v>
      </c>
    </row>
    <row r="849" s="372" customFormat="1" ht="24" hidden="1" customHeight="1" spans="1:9">
      <c r="A849" s="330">
        <v>2111413</v>
      </c>
      <c r="B849" s="379" t="s">
        <v>817</v>
      </c>
      <c r="C849" s="602">
        <f>'[2]2'!E836</f>
        <v>0</v>
      </c>
      <c r="D849" s="714"/>
      <c r="E849" s="713">
        <v>0</v>
      </c>
      <c r="F849" s="716" t="str">
        <f t="shared" si="52"/>
        <v/>
      </c>
      <c r="G849" s="470" t="str">
        <f t="shared" si="53"/>
        <v/>
      </c>
      <c r="H849" s="524" t="str">
        <f t="shared" si="55"/>
        <v>否</v>
      </c>
      <c r="I849" s="312" t="str">
        <f t="shared" si="54"/>
        <v>项</v>
      </c>
    </row>
    <row r="850" ht="24" hidden="1" customHeight="1" spans="1:9">
      <c r="A850" s="330">
        <v>2111450</v>
      </c>
      <c r="B850" s="379" t="s">
        <v>221</v>
      </c>
      <c r="C850" s="602">
        <f>'[2]2'!E837</f>
        <v>72</v>
      </c>
      <c r="D850" s="714">
        <v>76</v>
      </c>
      <c r="E850" s="713">
        <v>81</v>
      </c>
      <c r="F850" s="716">
        <f t="shared" si="52"/>
        <v>0.125</v>
      </c>
      <c r="G850" s="470">
        <f t="shared" si="53"/>
        <v>1.06578947368421</v>
      </c>
      <c r="H850" s="524" t="str">
        <f t="shared" si="55"/>
        <v>是</v>
      </c>
      <c r="I850" s="312" t="str">
        <f t="shared" si="54"/>
        <v>项</v>
      </c>
    </row>
    <row r="851" s="372" customFormat="1" ht="24" hidden="1" customHeight="1" spans="1:9">
      <c r="A851" s="330">
        <v>2111499</v>
      </c>
      <c r="B851" s="379" t="s">
        <v>818</v>
      </c>
      <c r="C851" s="602">
        <f>'[2]2'!E838</f>
        <v>0</v>
      </c>
      <c r="D851" s="714"/>
      <c r="E851" s="713">
        <v>0</v>
      </c>
      <c r="F851" s="716" t="str">
        <f t="shared" si="52"/>
        <v/>
      </c>
      <c r="G851" s="470" t="str">
        <f t="shared" si="53"/>
        <v/>
      </c>
      <c r="H851" s="524" t="str">
        <f t="shared" si="55"/>
        <v>否</v>
      </c>
      <c r="I851" s="312" t="str">
        <f t="shared" si="54"/>
        <v>项</v>
      </c>
    </row>
    <row r="852" s="372" customFormat="1" ht="24" customHeight="1" spans="1:9">
      <c r="A852" s="330">
        <v>21199</v>
      </c>
      <c r="B852" s="379" t="s">
        <v>819</v>
      </c>
      <c r="C852" s="602">
        <f>C853</f>
        <v>52</v>
      </c>
      <c r="D852" s="713">
        <f>D853</f>
        <v>48</v>
      </c>
      <c r="E852" s="713">
        <f>E853</f>
        <v>1381</v>
      </c>
      <c r="F852" s="716">
        <f t="shared" si="52"/>
        <v>25.5576923076923</v>
      </c>
      <c r="G852" s="470">
        <f t="shared" si="53"/>
        <v>28.7708333333333</v>
      </c>
      <c r="H852" s="524" t="str">
        <f t="shared" si="55"/>
        <v>是</v>
      </c>
      <c r="I852" s="312" t="str">
        <f t="shared" si="54"/>
        <v>款</v>
      </c>
    </row>
    <row r="853" s="372" customFormat="1" ht="24" hidden="1" customHeight="1" spans="1:9">
      <c r="A853" s="614">
        <v>2119999</v>
      </c>
      <c r="B853" s="542" t="s">
        <v>820</v>
      </c>
      <c r="C853" s="602">
        <f>'[2]2'!E840</f>
        <v>52</v>
      </c>
      <c r="D853" s="714">
        <v>48</v>
      </c>
      <c r="E853" s="713">
        <v>1381</v>
      </c>
      <c r="F853" s="716">
        <f t="shared" si="52"/>
        <v>25.5576923076923</v>
      </c>
      <c r="G853" s="470">
        <f t="shared" si="53"/>
        <v>28.7708333333333</v>
      </c>
      <c r="H853" s="524" t="str">
        <f t="shared" si="55"/>
        <v>是</v>
      </c>
      <c r="I853" s="312" t="str">
        <f t="shared" si="54"/>
        <v>项</v>
      </c>
    </row>
    <row r="854" s="372" customFormat="1" ht="24" customHeight="1" spans="1:9">
      <c r="A854" s="329">
        <v>212</v>
      </c>
      <c r="B854" s="377" t="s">
        <v>185</v>
      </c>
      <c r="C854" s="601">
        <f>C855+C866+C868+C871+C873+C875</f>
        <v>70334</v>
      </c>
      <c r="D854" s="712">
        <f>D855+D866+D868+D871+D873+D875</f>
        <v>68458</v>
      </c>
      <c r="E854" s="712">
        <f>E855+E866+E868+E871+E873+E875</f>
        <v>73971</v>
      </c>
      <c r="F854" s="715">
        <f t="shared" si="52"/>
        <v>0.0517104103278642</v>
      </c>
      <c r="G854" s="467">
        <f t="shared" si="53"/>
        <v>1.08053112857518</v>
      </c>
      <c r="H854" s="524" t="str">
        <f t="shared" si="55"/>
        <v>是</v>
      </c>
      <c r="I854" s="312" t="str">
        <f t="shared" si="54"/>
        <v>类</v>
      </c>
    </row>
    <row r="855" s="372" customFormat="1" ht="24" customHeight="1" spans="1:9">
      <c r="A855" s="330">
        <v>21201</v>
      </c>
      <c r="B855" s="379" t="s">
        <v>821</v>
      </c>
      <c r="C855" s="602">
        <f>SUM(C856:C865)</f>
        <v>13796</v>
      </c>
      <c r="D855" s="713">
        <f>SUM(D856:D865)</f>
        <v>13243</v>
      </c>
      <c r="E855" s="713">
        <f>SUM(E856:E865)</f>
        <v>17237</v>
      </c>
      <c r="F855" s="716">
        <f t="shared" si="52"/>
        <v>0.249420121774427</v>
      </c>
      <c r="G855" s="470">
        <f t="shared" si="53"/>
        <v>1.30159329457072</v>
      </c>
      <c r="H855" s="524" t="str">
        <f t="shared" si="55"/>
        <v>是</v>
      </c>
      <c r="I855" s="312" t="str">
        <f t="shared" si="54"/>
        <v>款</v>
      </c>
    </row>
    <row r="856" ht="24" hidden="1" customHeight="1" spans="1:9">
      <c r="A856" s="330">
        <v>2120101</v>
      </c>
      <c r="B856" s="379" t="s">
        <v>212</v>
      </c>
      <c r="C856" s="602">
        <f>'[2]2'!E843</f>
        <v>2276</v>
      </c>
      <c r="D856" s="714">
        <v>2356</v>
      </c>
      <c r="E856" s="713">
        <v>2682</v>
      </c>
      <c r="F856" s="716">
        <f t="shared" si="52"/>
        <v>0.178383128295255</v>
      </c>
      <c r="G856" s="470">
        <f t="shared" si="53"/>
        <v>1.1383701188455</v>
      </c>
      <c r="H856" s="524" t="str">
        <f t="shared" si="55"/>
        <v>是</v>
      </c>
      <c r="I856" s="312" t="str">
        <f t="shared" si="54"/>
        <v>项</v>
      </c>
    </row>
    <row r="857" s="372" customFormat="1" ht="24" hidden="1" customHeight="1" spans="1:9">
      <c r="A857" s="330">
        <v>2120102</v>
      </c>
      <c r="B857" s="379" t="s">
        <v>213</v>
      </c>
      <c r="C857" s="602">
        <f>'[2]2'!E844</f>
        <v>229</v>
      </c>
      <c r="D857" s="714">
        <v>215</v>
      </c>
      <c r="E857" s="713">
        <v>345</v>
      </c>
      <c r="F857" s="716">
        <f t="shared" si="52"/>
        <v>0.506550218340611</v>
      </c>
      <c r="G857" s="470">
        <f t="shared" si="53"/>
        <v>1.6046511627907</v>
      </c>
      <c r="H857" s="524" t="str">
        <f t="shared" si="55"/>
        <v>是</v>
      </c>
      <c r="I857" s="312" t="str">
        <f t="shared" si="54"/>
        <v>项</v>
      </c>
    </row>
    <row r="858" ht="24" hidden="1" customHeight="1" spans="1:9">
      <c r="A858" s="330">
        <v>2120103</v>
      </c>
      <c r="B858" s="379" t="s">
        <v>214</v>
      </c>
      <c r="C858" s="602">
        <f>'[2]2'!E845</f>
        <v>0</v>
      </c>
      <c r="D858" s="714"/>
      <c r="E858" s="713">
        <v>0</v>
      </c>
      <c r="F858" s="716" t="str">
        <f t="shared" si="52"/>
        <v/>
      </c>
      <c r="G858" s="470" t="str">
        <f t="shared" si="53"/>
        <v/>
      </c>
      <c r="H858" s="524" t="str">
        <f t="shared" si="55"/>
        <v>否</v>
      </c>
      <c r="I858" s="312" t="str">
        <f t="shared" si="54"/>
        <v>项</v>
      </c>
    </row>
    <row r="859" s="372" customFormat="1" ht="24" hidden="1" customHeight="1" spans="1:9">
      <c r="A859" s="330">
        <v>2120104</v>
      </c>
      <c r="B859" s="379" t="s">
        <v>822</v>
      </c>
      <c r="C859" s="602">
        <f>'[2]2'!E846</f>
        <v>1333</v>
      </c>
      <c r="D859" s="714">
        <v>1211</v>
      </c>
      <c r="E859" s="713">
        <v>1430</v>
      </c>
      <c r="F859" s="716">
        <f t="shared" si="52"/>
        <v>0.072768192048012</v>
      </c>
      <c r="G859" s="470">
        <f t="shared" si="53"/>
        <v>1.18084227910817</v>
      </c>
      <c r="H859" s="524" t="str">
        <f t="shared" si="55"/>
        <v>是</v>
      </c>
      <c r="I859" s="312" t="str">
        <f t="shared" si="54"/>
        <v>项</v>
      </c>
    </row>
    <row r="860" ht="24" hidden="1" customHeight="1" spans="1:9">
      <c r="A860" s="330">
        <v>2120105</v>
      </c>
      <c r="B860" s="379" t="s">
        <v>823</v>
      </c>
      <c r="C860" s="602">
        <f>'[2]2'!E847</f>
        <v>0</v>
      </c>
      <c r="D860" s="714"/>
      <c r="E860" s="713">
        <v>0</v>
      </c>
      <c r="F860" s="716" t="str">
        <f t="shared" si="52"/>
        <v/>
      </c>
      <c r="G860" s="470" t="str">
        <f t="shared" si="53"/>
        <v/>
      </c>
      <c r="H860" s="524" t="str">
        <f t="shared" si="55"/>
        <v>否</v>
      </c>
      <c r="I860" s="312" t="str">
        <f t="shared" si="54"/>
        <v>项</v>
      </c>
    </row>
    <row r="861" s="372" customFormat="1" ht="24" hidden="1" customHeight="1" spans="1:9">
      <c r="A861" s="330">
        <v>2120106</v>
      </c>
      <c r="B861" s="379" t="s">
        <v>824</v>
      </c>
      <c r="C861" s="602">
        <f>'[2]2'!E848</f>
        <v>717</v>
      </c>
      <c r="D861" s="714">
        <v>695</v>
      </c>
      <c r="E861" s="713">
        <v>739</v>
      </c>
      <c r="F861" s="716">
        <f t="shared" si="52"/>
        <v>0.0306834030683403</v>
      </c>
      <c r="G861" s="470">
        <f t="shared" si="53"/>
        <v>1.06330935251799</v>
      </c>
      <c r="H861" s="524" t="str">
        <f t="shared" si="55"/>
        <v>是</v>
      </c>
      <c r="I861" s="312" t="str">
        <f t="shared" si="54"/>
        <v>项</v>
      </c>
    </row>
    <row r="862" s="372" customFormat="1" ht="24" hidden="1" customHeight="1" spans="1:9">
      <c r="A862" s="330">
        <v>2120107</v>
      </c>
      <c r="B862" s="379" t="s">
        <v>825</v>
      </c>
      <c r="C862" s="602">
        <f>'[2]2'!E849</f>
        <v>0</v>
      </c>
      <c r="D862" s="714"/>
      <c r="E862" s="713">
        <v>0</v>
      </c>
      <c r="F862" s="716" t="str">
        <f t="shared" si="52"/>
        <v/>
      </c>
      <c r="G862" s="470" t="str">
        <f t="shared" si="53"/>
        <v/>
      </c>
      <c r="H862" s="524" t="str">
        <f t="shared" si="55"/>
        <v>否</v>
      </c>
      <c r="I862" s="312" t="str">
        <f t="shared" si="54"/>
        <v>项</v>
      </c>
    </row>
    <row r="863" s="372" customFormat="1" ht="24" hidden="1" customHeight="1" spans="1:9">
      <c r="A863" s="330">
        <v>2120109</v>
      </c>
      <c r="B863" s="379" t="s">
        <v>826</v>
      </c>
      <c r="C863" s="602">
        <f>'[2]2'!E850</f>
        <v>180</v>
      </c>
      <c r="D863" s="714">
        <v>115</v>
      </c>
      <c r="E863" s="713">
        <v>186</v>
      </c>
      <c r="F863" s="716">
        <f t="shared" si="52"/>
        <v>0.0333333333333333</v>
      </c>
      <c r="G863" s="470">
        <f t="shared" si="53"/>
        <v>1.61739130434783</v>
      </c>
      <c r="H863" s="524" t="str">
        <f t="shared" si="55"/>
        <v>是</v>
      </c>
      <c r="I863" s="312" t="str">
        <f t="shared" si="54"/>
        <v>项</v>
      </c>
    </row>
    <row r="864" s="372" customFormat="1" ht="24" hidden="1" customHeight="1" spans="1:9">
      <c r="A864" s="330">
        <v>2120110</v>
      </c>
      <c r="B864" s="379" t="s">
        <v>827</v>
      </c>
      <c r="C864" s="602">
        <f>'[2]2'!E851</f>
        <v>0</v>
      </c>
      <c r="D864" s="714"/>
      <c r="E864" s="713">
        <v>0</v>
      </c>
      <c r="F864" s="716" t="str">
        <f t="shared" si="52"/>
        <v/>
      </c>
      <c r="G864" s="470" t="str">
        <f t="shared" si="53"/>
        <v/>
      </c>
      <c r="H864" s="524" t="str">
        <f t="shared" si="55"/>
        <v>否</v>
      </c>
      <c r="I864" s="312" t="str">
        <f t="shared" si="54"/>
        <v>项</v>
      </c>
    </row>
    <row r="865" s="372" customFormat="1" ht="24" hidden="1" customHeight="1" spans="1:9">
      <c r="A865" s="330">
        <v>2120199</v>
      </c>
      <c r="B865" s="379" t="s">
        <v>828</v>
      </c>
      <c r="C865" s="602">
        <f>'[2]2'!E852</f>
        <v>9061</v>
      </c>
      <c r="D865" s="714">
        <v>8651</v>
      </c>
      <c r="E865" s="713">
        <v>11855</v>
      </c>
      <c r="F865" s="716">
        <f t="shared" si="52"/>
        <v>0.308354486259795</v>
      </c>
      <c r="G865" s="470">
        <f t="shared" si="53"/>
        <v>1.37036180788348</v>
      </c>
      <c r="H865" s="524" t="str">
        <f t="shared" si="55"/>
        <v>是</v>
      </c>
      <c r="I865" s="312" t="str">
        <f t="shared" si="54"/>
        <v>项</v>
      </c>
    </row>
    <row r="866" s="372" customFormat="1" ht="24" customHeight="1" spans="1:9">
      <c r="A866" s="330">
        <v>21202</v>
      </c>
      <c r="B866" s="379" t="s">
        <v>829</v>
      </c>
      <c r="C866" s="602">
        <f>C867</f>
        <v>11642</v>
      </c>
      <c r="D866" s="713">
        <f>D867</f>
        <v>11234</v>
      </c>
      <c r="E866" s="713">
        <f>E867</f>
        <v>14052</v>
      </c>
      <c r="F866" s="716">
        <f t="shared" si="52"/>
        <v>0.207009104964783</v>
      </c>
      <c r="G866" s="470">
        <f t="shared" si="53"/>
        <v>1.2508456471426</v>
      </c>
      <c r="H866" s="524" t="str">
        <f t="shared" si="55"/>
        <v>是</v>
      </c>
      <c r="I866" s="312" t="str">
        <f t="shared" si="54"/>
        <v>款</v>
      </c>
    </row>
    <row r="867" s="372" customFormat="1" ht="24" hidden="1" customHeight="1" spans="1:9">
      <c r="A867" s="718">
        <v>2120201</v>
      </c>
      <c r="B867" s="534" t="s">
        <v>830</v>
      </c>
      <c r="C867" s="602">
        <f>'[2]2'!E854</f>
        <v>11642</v>
      </c>
      <c r="D867" s="714">
        <v>11234</v>
      </c>
      <c r="E867" s="713">
        <v>14052</v>
      </c>
      <c r="F867" s="716">
        <f t="shared" si="52"/>
        <v>0.207009104964783</v>
      </c>
      <c r="G867" s="470">
        <f t="shared" si="53"/>
        <v>1.2508456471426</v>
      </c>
      <c r="H867" s="524" t="str">
        <f t="shared" si="55"/>
        <v>是</v>
      </c>
      <c r="I867" s="312" t="str">
        <f t="shared" si="54"/>
        <v>项</v>
      </c>
    </row>
    <row r="868" s="372" customFormat="1" ht="24" customHeight="1" spans="1:9">
      <c r="A868" s="330">
        <v>21203</v>
      </c>
      <c r="B868" s="379" t="s">
        <v>831</v>
      </c>
      <c r="C868" s="602">
        <f>SUM(C869:C870)</f>
        <v>19443</v>
      </c>
      <c r="D868" s="713">
        <f>SUM(D869:D870)</f>
        <v>19153</v>
      </c>
      <c r="E868" s="713">
        <f>SUM(E869:E870)</f>
        <v>16974</v>
      </c>
      <c r="F868" s="716">
        <f t="shared" si="52"/>
        <v>-0.126986576145657</v>
      </c>
      <c r="G868" s="470">
        <f t="shared" si="53"/>
        <v>0.886231921892132</v>
      </c>
      <c r="H868" s="524" t="str">
        <f t="shared" si="55"/>
        <v>是</v>
      </c>
      <c r="I868" s="312" t="str">
        <f t="shared" si="54"/>
        <v>款</v>
      </c>
    </row>
    <row r="869" s="372" customFormat="1" ht="24" hidden="1" customHeight="1" spans="1:9">
      <c r="A869" s="330">
        <v>2120303</v>
      </c>
      <c r="B869" s="379" t="s">
        <v>832</v>
      </c>
      <c r="C869" s="602">
        <f>'[2]2'!E856</f>
        <v>4238</v>
      </c>
      <c r="D869" s="714">
        <v>4158</v>
      </c>
      <c r="E869" s="713">
        <v>5525</v>
      </c>
      <c r="F869" s="716">
        <f t="shared" si="52"/>
        <v>0.303680981595092</v>
      </c>
      <c r="G869" s="470">
        <f t="shared" si="53"/>
        <v>1.32876382876383</v>
      </c>
      <c r="H869" s="524" t="str">
        <f t="shared" si="55"/>
        <v>是</v>
      </c>
      <c r="I869" s="312" t="str">
        <f t="shared" si="54"/>
        <v>项</v>
      </c>
    </row>
    <row r="870" s="372" customFormat="1" ht="24" hidden="1" customHeight="1" spans="1:9">
      <c r="A870" s="330">
        <v>2120399</v>
      </c>
      <c r="B870" s="379" t="s">
        <v>833</v>
      </c>
      <c r="C870" s="602">
        <f>'[2]2'!E857</f>
        <v>15205</v>
      </c>
      <c r="D870" s="714">
        <v>14995</v>
      </c>
      <c r="E870" s="713">
        <v>11449</v>
      </c>
      <c r="F870" s="716">
        <f t="shared" si="52"/>
        <v>-0.247024005261427</v>
      </c>
      <c r="G870" s="470">
        <f t="shared" si="53"/>
        <v>0.763521173724575</v>
      </c>
      <c r="H870" s="524" t="str">
        <f t="shared" si="55"/>
        <v>是</v>
      </c>
      <c r="I870" s="312" t="str">
        <f t="shared" si="54"/>
        <v>项</v>
      </c>
    </row>
    <row r="871" s="372" customFormat="1" ht="24" customHeight="1" spans="1:9">
      <c r="A871" s="330">
        <v>21205</v>
      </c>
      <c r="B871" s="379" t="s">
        <v>834</v>
      </c>
      <c r="C871" s="602">
        <f t="shared" ref="C871:C875" si="56">C872</f>
        <v>14806</v>
      </c>
      <c r="D871" s="713">
        <f t="shared" ref="D871:D875" si="57">D872</f>
        <v>14705</v>
      </c>
      <c r="E871" s="713">
        <f>E872</f>
        <v>16821</v>
      </c>
      <c r="F871" s="716">
        <f t="shared" si="52"/>
        <v>0.136093475617993</v>
      </c>
      <c r="G871" s="470">
        <f t="shared" si="53"/>
        <v>1.14389663379803</v>
      </c>
      <c r="H871" s="524" t="str">
        <f t="shared" si="55"/>
        <v>是</v>
      </c>
      <c r="I871" s="312" t="str">
        <f t="shared" si="54"/>
        <v>款</v>
      </c>
    </row>
    <row r="872" s="372" customFormat="1" ht="24" hidden="1" customHeight="1" spans="1:9">
      <c r="A872" s="718">
        <v>2120501</v>
      </c>
      <c r="B872" s="534" t="s">
        <v>835</v>
      </c>
      <c r="C872" s="602">
        <f>'[2]2'!E859</f>
        <v>14806</v>
      </c>
      <c r="D872" s="714">
        <v>14705</v>
      </c>
      <c r="E872" s="713">
        <v>16821</v>
      </c>
      <c r="F872" s="716">
        <f t="shared" si="52"/>
        <v>0.136093475617993</v>
      </c>
      <c r="G872" s="470">
        <f t="shared" si="53"/>
        <v>1.14389663379803</v>
      </c>
      <c r="H872" s="524" t="str">
        <f t="shared" si="55"/>
        <v>是</v>
      </c>
      <c r="I872" s="312" t="str">
        <f t="shared" si="54"/>
        <v>项</v>
      </c>
    </row>
    <row r="873" s="372" customFormat="1" ht="24" hidden="1" customHeight="1" spans="1:9">
      <c r="A873" s="330">
        <v>21206</v>
      </c>
      <c r="B873" s="379" t="s">
        <v>836</v>
      </c>
      <c r="C873" s="602">
        <f t="shared" si="56"/>
        <v>0</v>
      </c>
      <c r="D873" s="713">
        <f t="shared" si="57"/>
        <v>0</v>
      </c>
      <c r="E873" s="713">
        <f>E874</f>
        <v>0</v>
      </c>
      <c r="F873" s="716" t="str">
        <f t="shared" si="52"/>
        <v/>
      </c>
      <c r="G873" s="470" t="str">
        <f t="shared" si="53"/>
        <v/>
      </c>
      <c r="H873" s="524" t="str">
        <f t="shared" si="55"/>
        <v>否</v>
      </c>
      <c r="I873" s="312" t="str">
        <f t="shared" si="54"/>
        <v>款</v>
      </c>
    </row>
    <row r="874" s="372" customFormat="1" ht="24" hidden="1" customHeight="1" spans="1:9">
      <c r="A874" s="718">
        <v>2120601</v>
      </c>
      <c r="B874" s="534" t="s">
        <v>837</v>
      </c>
      <c r="C874" s="602">
        <f>'[2]2'!E861</f>
        <v>0</v>
      </c>
      <c r="D874" s="714"/>
      <c r="E874" s="713">
        <v>0</v>
      </c>
      <c r="F874" s="716" t="str">
        <f t="shared" si="52"/>
        <v/>
      </c>
      <c r="G874" s="470" t="str">
        <f t="shared" si="53"/>
        <v/>
      </c>
      <c r="H874" s="524" t="str">
        <f t="shared" si="55"/>
        <v>否</v>
      </c>
      <c r="I874" s="312" t="str">
        <f t="shared" si="54"/>
        <v>项</v>
      </c>
    </row>
    <row r="875" ht="24" customHeight="1" spans="1:9">
      <c r="A875" s="330">
        <v>21299</v>
      </c>
      <c r="B875" s="379" t="s">
        <v>838</v>
      </c>
      <c r="C875" s="602">
        <f t="shared" si="56"/>
        <v>10647</v>
      </c>
      <c r="D875" s="713">
        <f t="shared" si="57"/>
        <v>10123</v>
      </c>
      <c r="E875" s="713">
        <f>E876</f>
        <v>8887</v>
      </c>
      <c r="F875" s="716">
        <f t="shared" si="52"/>
        <v>-0.165304780689396</v>
      </c>
      <c r="G875" s="470">
        <f t="shared" si="53"/>
        <v>0.877901807764497</v>
      </c>
      <c r="H875" s="524" t="str">
        <f t="shared" si="55"/>
        <v>是</v>
      </c>
      <c r="I875" s="312" t="str">
        <f t="shared" si="54"/>
        <v>款</v>
      </c>
    </row>
    <row r="876" s="372" customFormat="1" ht="24" hidden="1" customHeight="1" spans="1:9">
      <c r="A876" s="718">
        <v>2129999</v>
      </c>
      <c r="B876" s="534" t="s">
        <v>839</v>
      </c>
      <c r="C876" s="602">
        <f>'[2]2'!E863</f>
        <v>10647</v>
      </c>
      <c r="D876" s="714">
        <v>10123</v>
      </c>
      <c r="E876" s="713">
        <v>8887</v>
      </c>
      <c r="F876" s="716">
        <f t="shared" si="52"/>
        <v>-0.165304780689396</v>
      </c>
      <c r="G876" s="470">
        <f t="shared" si="53"/>
        <v>0.877901807764497</v>
      </c>
      <c r="H876" s="524" t="str">
        <f t="shared" si="55"/>
        <v>是</v>
      </c>
      <c r="I876" s="312" t="str">
        <f t="shared" si="54"/>
        <v>项</v>
      </c>
    </row>
    <row r="877" ht="24" customHeight="1" spans="1:9">
      <c r="A877" s="329">
        <v>213</v>
      </c>
      <c r="B877" s="377" t="s">
        <v>186</v>
      </c>
      <c r="C877" s="601">
        <f>C878+C904+C927+C955+C966+C972+C978+C981</f>
        <v>377451</v>
      </c>
      <c r="D877" s="712">
        <f>D878+D904+D927+D955+D966+D972+D978+D981</f>
        <v>359895</v>
      </c>
      <c r="E877" s="712">
        <f>E878+E904+E927+E955+E966+E972+E978+E981</f>
        <v>239253</v>
      </c>
      <c r="F877" s="715">
        <f t="shared" si="52"/>
        <v>-0.366134942018964</v>
      </c>
      <c r="G877" s="467">
        <f t="shared" si="53"/>
        <v>0.664785562455716</v>
      </c>
      <c r="H877" s="524" t="str">
        <f t="shared" si="55"/>
        <v>是</v>
      </c>
      <c r="I877" s="312" t="str">
        <f t="shared" si="54"/>
        <v>类</v>
      </c>
    </row>
    <row r="878" ht="24" customHeight="1" spans="1:9">
      <c r="A878" s="330">
        <v>21301</v>
      </c>
      <c r="B878" s="379" t="s">
        <v>840</v>
      </c>
      <c r="C878" s="602">
        <f>SUM(C879:C903)</f>
        <v>72206</v>
      </c>
      <c r="D878" s="713">
        <f>SUM(D879:D903)</f>
        <v>72714</v>
      </c>
      <c r="E878" s="713">
        <f>SUM(E879:E903)</f>
        <v>70576</v>
      </c>
      <c r="F878" s="716">
        <f t="shared" si="52"/>
        <v>-0.0225743013046007</v>
      </c>
      <c r="G878" s="470">
        <f t="shared" si="53"/>
        <v>0.970597133976951</v>
      </c>
      <c r="H878" s="524" t="str">
        <f t="shared" si="55"/>
        <v>是</v>
      </c>
      <c r="I878" s="312" t="str">
        <f t="shared" si="54"/>
        <v>款</v>
      </c>
    </row>
    <row r="879" s="372" customFormat="1" ht="24" hidden="1" customHeight="1" spans="1:9">
      <c r="A879" s="330">
        <v>2130101</v>
      </c>
      <c r="B879" s="379" t="s">
        <v>212</v>
      </c>
      <c r="C879" s="602">
        <f>'[2]2'!E866</f>
        <v>3407</v>
      </c>
      <c r="D879" s="714">
        <v>3615</v>
      </c>
      <c r="E879" s="713">
        <v>3914</v>
      </c>
      <c r="F879" s="716">
        <f t="shared" si="52"/>
        <v>0.148811270912827</v>
      </c>
      <c r="G879" s="470">
        <f t="shared" si="53"/>
        <v>1.08271092669433</v>
      </c>
      <c r="H879" s="524" t="str">
        <f t="shared" si="55"/>
        <v>是</v>
      </c>
      <c r="I879" s="312" t="str">
        <f t="shared" si="54"/>
        <v>项</v>
      </c>
    </row>
    <row r="880" s="372" customFormat="1" ht="24" hidden="1" customHeight="1" spans="1:9">
      <c r="A880" s="330">
        <v>2130102</v>
      </c>
      <c r="B880" s="379" t="s">
        <v>213</v>
      </c>
      <c r="C880" s="602">
        <f>'[2]2'!E867</f>
        <v>29</v>
      </c>
      <c r="D880" s="714">
        <v>41</v>
      </c>
      <c r="E880" s="713">
        <v>107</v>
      </c>
      <c r="F880" s="716">
        <f t="shared" si="52"/>
        <v>2.68965517241379</v>
      </c>
      <c r="G880" s="470">
        <f t="shared" si="53"/>
        <v>2.60975609756098</v>
      </c>
      <c r="H880" s="524" t="str">
        <f t="shared" si="55"/>
        <v>是</v>
      </c>
      <c r="I880" s="312" t="str">
        <f t="shared" si="54"/>
        <v>项</v>
      </c>
    </row>
    <row r="881" s="372" customFormat="1" ht="24" hidden="1" customHeight="1" spans="1:9">
      <c r="A881" s="330">
        <v>2130103</v>
      </c>
      <c r="B881" s="379" t="s">
        <v>214</v>
      </c>
      <c r="C881" s="602">
        <f>'[2]2'!E868</f>
        <v>0</v>
      </c>
      <c r="D881" s="714"/>
      <c r="E881" s="713">
        <v>0</v>
      </c>
      <c r="F881" s="716" t="str">
        <f t="shared" si="52"/>
        <v/>
      </c>
      <c r="G881" s="470" t="str">
        <f t="shared" si="53"/>
        <v/>
      </c>
      <c r="H881" s="524" t="str">
        <f t="shared" si="55"/>
        <v>否</v>
      </c>
      <c r="I881" s="312" t="str">
        <f t="shared" si="54"/>
        <v>项</v>
      </c>
    </row>
    <row r="882" s="372" customFormat="1" ht="24" hidden="1" customHeight="1" spans="1:9">
      <c r="A882" s="330">
        <v>2130104</v>
      </c>
      <c r="B882" s="379" t="s">
        <v>221</v>
      </c>
      <c r="C882" s="602">
        <f>'[2]2'!E869</f>
        <v>23124</v>
      </c>
      <c r="D882" s="714">
        <v>23358</v>
      </c>
      <c r="E882" s="713">
        <v>20274</v>
      </c>
      <c r="F882" s="716">
        <f t="shared" si="52"/>
        <v>-0.123248572911261</v>
      </c>
      <c r="G882" s="470">
        <f t="shared" si="53"/>
        <v>0.867968147957873</v>
      </c>
      <c r="H882" s="524" t="str">
        <f t="shared" si="55"/>
        <v>是</v>
      </c>
      <c r="I882" s="312" t="str">
        <f t="shared" si="54"/>
        <v>项</v>
      </c>
    </row>
    <row r="883" s="372" customFormat="1" ht="24" hidden="1" customHeight="1" spans="1:9">
      <c r="A883" s="330">
        <v>2130105</v>
      </c>
      <c r="B883" s="379" t="s">
        <v>841</v>
      </c>
      <c r="C883" s="602">
        <f>'[2]2'!E870</f>
        <v>0</v>
      </c>
      <c r="D883" s="714"/>
      <c r="E883" s="713">
        <v>-7</v>
      </c>
      <c r="F883" s="716" t="str">
        <f t="shared" si="52"/>
        <v/>
      </c>
      <c r="G883" s="470" t="str">
        <f t="shared" si="53"/>
        <v/>
      </c>
      <c r="H883" s="524" t="str">
        <f t="shared" si="55"/>
        <v>是</v>
      </c>
      <c r="I883" s="312" t="str">
        <f t="shared" si="54"/>
        <v>项</v>
      </c>
    </row>
    <row r="884" s="372" customFormat="1" ht="24" hidden="1" customHeight="1" spans="1:9">
      <c r="A884" s="330">
        <v>2130106</v>
      </c>
      <c r="B884" s="379" t="s">
        <v>842</v>
      </c>
      <c r="C884" s="602">
        <f>'[2]2'!E871</f>
        <v>1222</v>
      </c>
      <c r="D884" s="714">
        <v>1125</v>
      </c>
      <c r="E884" s="713">
        <v>1082</v>
      </c>
      <c r="F884" s="716">
        <f t="shared" si="52"/>
        <v>-0.114566284779051</v>
      </c>
      <c r="G884" s="470">
        <f t="shared" si="53"/>
        <v>0.961777777777778</v>
      </c>
      <c r="H884" s="524" t="str">
        <f t="shared" si="55"/>
        <v>是</v>
      </c>
      <c r="I884" s="312" t="str">
        <f t="shared" si="54"/>
        <v>项</v>
      </c>
    </row>
    <row r="885" s="372" customFormat="1" ht="24" hidden="1" customHeight="1" spans="1:9">
      <c r="A885" s="330">
        <v>2130108</v>
      </c>
      <c r="B885" s="379" t="s">
        <v>843</v>
      </c>
      <c r="C885" s="602">
        <f>'[2]2'!E872</f>
        <v>3304</v>
      </c>
      <c r="D885" s="714">
        <v>3312</v>
      </c>
      <c r="E885" s="713">
        <v>783</v>
      </c>
      <c r="F885" s="716">
        <f t="shared" si="52"/>
        <v>-0.763014527845036</v>
      </c>
      <c r="G885" s="470">
        <f t="shared" si="53"/>
        <v>0.236413043478261</v>
      </c>
      <c r="H885" s="524" t="str">
        <f t="shared" si="55"/>
        <v>是</v>
      </c>
      <c r="I885" s="312" t="str">
        <f t="shared" si="54"/>
        <v>项</v>
      </c>
    </row>
    <row r="886" s="372" customFormat="1" ht="24" hidden="1" customHeight="1" spans="1:9">
      <c r="A886" s="330">
        <v>2130109</v>
      </c>
      <c r="B886" s="379" t="s">
        <v>844</v>
      </c>
      <c r="C886" s="602">
        <f>'[2]2'!E873</f>
        <v>56</v>
      </c>
      <c r="D886" s="714">
        <v>53</v>
      </c>
      <c r="E886" s="713">
        <v>17</v>
      </c>
      <c r="F886" s="716">
        <f t="shared" si="52"/>
        <v>-0.696428571428571</v>
      </c>
      <c r="G886" s="470">
        <f t="shared" si="53"/>
        <v>0.320754716981132</v>
      </c>
      <c r="H886" s="524" t="str">
        <f t="shared" si="55"/>
        <v>是</v>
      </c>
      <c r="I886" s="312" t="str">
        <f t="shared" si="54"/>
        <v>项</v>
      </c>
    </row>
    <row r="887" s="372" customFormat="1" ht="24" hidden="1" customHeight="1" spans="1:9">
      <c r="A887" s="330">
        <v>2130110</v>
      </c>
      <c r="B887" s="379" t="s">
        <v>845</v>
      </c>
      <c r="C887" s="602">
        <f>'[2]2'!E874</f>
        <v>16</v>
      </c>
      <c r="D887" s="714">
        <v>17</v>
      </c>
      <c r="E887" s="713">
        <v>13</v>
      </c>
      <c r="F887" s="716">
        <f t="shared" si="52"/>
        <v>-0.1875</v>
      </c>
      <c r="G887" s="470">
        <f t="shared" si="53"/>
        <v>0.764705882352941</v>
      </c>
      <c r="H887" s="524" t="str">
        <f t="shared" si="55"/>
        <v>是</v>
      </c>
      <c r="I887" s="312" t="str">
        <f t="shared" si="54"/>
        <v>项</v>
      </c>
    </row>
    <row r="888" s="372" customFormat="1" ht="24" hidden="1" customHeight="1" spans="1:9">
      <c r="A888" s="330">
        <v>2130111</v>
      </c>
      <c r="B888" s="379" t="s">
        <v>846</v>
      </c>
      <c r="C888" s="602">
        <f>'[2]2'!E875</f>
        <v>51</v>
      </c>
      <c r="D888" s="714">
        <v>48</v>
      </c>
      <c r="E888" s="713">
        <v>53</v>
      </c>
      <c r="F888" s="716">
        <f t="shared" si="52"/>
        <v>0.0392156862745098</v>
      </c>
      <c r="G888" s="470">
        <f t="shared" si="53"/>
        <v>1.10416666666667</v>
      </c>
      <c r="H888" s="524" t="str">
        <f t="shared" si="55"/>
        <v>是</v>
      </c>
      <c r="I888" s="312" t="str">
        <f t="shared" si="54"/>
        <v>项</v>
      </c>
    </row>
    <row r="889" ht="24" hidden="1" customHeight="1" spans="1:9">
      <c r="A889" s="330">
        <v>2130112</v>
      </c>
      <c r="B889" s="379" t="s">
        <v>847</v>
      </c>
      <c r="C889" s="602">
        <f>'[2]2'!E876</f>
        <v>11</v>
      </c>
      <c r="D889" s="714">
        <v>9</v>
      </c>
      <c r="E889" s="713">
        <v>24</v>
      </c>
      <c r="F889" s="716">
        <f t="shared" si="52"/>
        <v>1.18181818181818</v>
      </c>
      <c r="G889" s="470">
        <f t="shared" si="53"/>
        <v>2.66666666666667</v>
      </c>
      <c r="H889" s="524" t="str">
        <f t="shared" si="55"/>
        <v>是</v>
      </c>
      <c r="I889" s="312" t="str">
        <f t="shared" si="54"/>
        <v>项</v>
      </c>
    </row>
    <row r="890" s="372" customFormat="1" ht="24" hidden="1" customHeight="1" spans="1:9">
      <c r="A890" s="330">
        <v>2130114</v>
      </c>
      <c r="B890" s="379" t="s">
        <v>848</v>
      </c>
      <c r="C890" s="602">
        <f>'[2]2'!E877</f>
        <v>0</v>
      </c>
      <c r="D890" s="714"/>
      <c r="E890" s="713">
        <v>0</v>
      </c>
      <c r="F890" s="716" t="str">
        <f t="shared" si="52"/>
        <v/>
      </c>
      <c r="G890" s="470" t="str">
        <f t="shared" si="53"/>
        <v/>
      </c>
      <c r="H890" s="524" t="str">
        <f t="shared" si="55"/>
        <v>否</v>
      </c>
      <c r="I890" s="312" t="str">
        <f t="shared" si="54"/>
        <v>项</v>
      </c>
    </row>
    <row r="891" ht="24" hidden="1" customHeight="1" spans="1:9">
      <c r="A891" s="330">
        <v>2130119</v>
      </c>
      <c r="B891" s="379" t="s">
        <v>849</v>
      </c>
      <c r="C891" s="602">
        <f>'[2]2'!E878</f>
        <v>236</v>
      </c>
      <c r="D891" s="714">
        <v>245</v>
      </c>
      <c r="E891" s="713">
        <v>158</v>
      </c>
      <c r="F891" s="716">
        <f t="shared" si="52"/>
        <v>-0.330508474576271</v>
      </c>
      <c r="G891" s="470">
        <f t="shared" si="53"/>
        <v>0.644897959183673</v>
      </c>
      <c r="H891" s="524" t="str">
        <f t="shared" si="55"/>
        <v>是</v>
      </c>
      <c r="I891" s="312" t="str">
        <f t="shared" si="54"/>
        <v>项</v>
      </c>
    </row>
    <row r="892" s="372" customFormat="1" ht="24" hidden="1" customHeight="1" spans="1:9">
      <c r="A892" s="330">
        <v>2130120</v>
      </c>
      <c r="B892" s="379" t="s">
        <v>850</v>
      </c>
      <c r="C892" s="602">
        <f>'[2]2'!E879</f>
        <v>9718</v>
      </c>
      <c r="D892" s="714">
        <v>9786</v>
      </c>
      <c r="E892" s="713">
        <v>6438</v>
      </c>
      <c r="F892" s="716">
        <f t="shared" si="52"/>
        <v>-0.337518007820539</v>
      </c>
      <c r="G892" s="470">
        <f t="shared" si="53"/>
        <v>0.657878602084611</v>
      </c>
      <c r="H892" s="524" t="str">
        <f t="shared" si="55"/>
        <v>是</v>
      </c>
      <c r="I892" s="312" t="str">
        <f t="shared" si="54"/>
        <v>项</v>
      </c>
    </row>
    <row r="893" s="372" customFormat="1" ht="24" hidden="1" customHeight="1" spans="1:9">
      <c r="A893" s="330">
        <v>2130121</v>
      </c>
      <c r="B893" s="379" t="s">
        <v>851</v>
      </c>
      <c r="C893" s="602">
        <f>'[2]2'!E880</f>
        <v>0</v>
      </c>
      <c r="D893" s="714"/>
      <c r="E893" s="713">
        <v>0</v>
      </c>
      <c r="F893" s="716" t="str">
        <f t="shared" si="52"/>
        <v/>
      </c>
      <c r="G893" s="470" t="str">
        <f t="shared" si="53"/>
        <v/>
      </c>
      <c r="H893" s="524" t="str">
        <f t="shared" si="55"/>
        <v>否</v>
      </c>
      <c r="I893" s="312" t="str">
        <f t="shared" si="54"/>
        <v>项</v>
      </c>
    </row>
    <row r="894" ht="24" hidden="1" customHeight="1" spans="1:9">
      <c r="A894" s="330">
        <v>2130122</v>
      </c>
      <c r="B894" s="379" t="s">
        <v>852</v>
      </c>
      <c r="C894" s="602">
        <f>'[2]2'!E881</f>
        <v>6130</v>
      </c>
      <c r="D894" s="714">
        <v>6215</v>
      </c>
      <c r="E894" s="713">
        <v>16238</v>
      </c>
      <c r="F894" s="716">
        <f t="shared" si="52"/>
        <v>1.6489396411093</v>
      </c>
      <c r="G894" s="470">
        <f t="shared" si="53"/>
        <v>2.61271118262269</v>
      </c>
      <c r="H894" s="524" t="str">
        <f t="shared" si="55"/>
        <v>是</v>
      </c>
      <c r="I894" s="312" t="str">
        <f t="shared" si="54"/>
        <v>项</v>
      </c>
    </row>
    <row r="895" s="372" customFormat="1" ht="24" hidden="1" customHeight="1" spans="1:9">
      <c r="A895" s="330">
        <v>2130124</v>
      </c>
      <c r="B895" s="379" t="s">
        <v>853</v>
      </c>
      <c r="C895" s="602">
        <f>'[2]2'!E882</f>
        <v>-1</v>
      </c>
      <c r="D895" s="714"/>
      <c r="E895" s="713">
        <v>16</v>
      </c>
      <c r="F895" s="716">
        <f>-IFERROR((E895-C895)/C895,"")</f>
        <v>17</v>
      </c>
      <c r="G895" s="470" t="str">
        <f t="shared" si="53"/>
        <v/>
      </c>
      <c r="H895" s="524" t="str">
        <f t="shared" si="55"/>
        <v>是</v>
      </c>
      <c r="I895" s="312" t="str">
        <f t="shared" si="54"/>
        <v>项</v>
      </c>
    </row>
    <row r="896" ht="24" hidden="1" customHeight="1" spans="1:9">
      <c r="A896" s="330">
        <v>2130125</v>
      </c>
      <c r="B896" s="379" t="s">
        <v>854</v>
      </c>
      <c r="C896" s="602">
        <f>'[2]2'!E883</f>
        <v>13</v>
      </c>
      <c r="D896" s="714">
        <v>12</v>
      </c>
      <c r="E896" s="713">
        <v>38</v>
      </c>
      <c r="F896" s="716">
        <f t="shared" si="52"/>
        <v>1.92307692307692</v>
      </c>
      <c r="G896" s="470">
        <f t="shared" si="53"/>
        <v>3.16666666666667</v>
      </c>
      <c r="H896" s="524" t="str">
        <f t="shared" si="55"/>
        <v>是</v>
      </c>
      <c r="I896" s="312" t="str">
        <f t="shared" si="54"/>
        <v>项</v>
      </c>
    </row>
    <row r="897" s="372" customFormat="1" ht="24" hidden="1" customHeight="1" spans="1:9">
      <c r="A897" s="330">
        <v>2130126</v>
      </c>
      <c r="B897" s="379" t="s">
        <v>855</v>
      </c>
      <c r="C897" s="602">
        <f>'[2]2'!E884</f>
        <v>1766</v>
      </c>
      <c r="D897" s="714">
        <v>1685</v>
      </c>
      <c r="E897" s="713">
        <v>660</v>
      </c>
      <c r="F897" s="716">
        <f t="shared" si="52"/>
        <v>-0.626274065685164</v>
      </c>
      <c r="G897" s="470">
        <f t="shared" si="53"/>
        <v>0.391691394658754</v>
      </c>
      <c r="H897" s="524" t="str">
        <f t="shared" si="55"/>
        <v>是</v>
      </c>
      <c r="I897" s="312" t="str">
        <f t="shared" si="54"/>
        <v>项</v>
      </c>
    </row>
    <row r="898" ht="24" hidden="1" customHeight="1" spans="1:9">
      <c r="A898" s="330">
        <v>2130135</v>
      </c>
      <c r="B898" s="379" t="s">
        <v>856</v>
      </c>
      <c r="C898" s="602">
        <f>'[2]2'!E885</f>
        <v>5741</v>
      </c>
      <c r="D898" s="714">
        <v>5786</v>
      </c>
      <c r="E898" s="713">
        <v>5151</v>
      </c>
      <c r="F898" s="716">
        <f t="shared" si="52"/>
        <v>-0.102769552342797</v>
      </c>
      <c r="G898" s="470">
        <f t="shared" si="53"/>
        <v>0.890252333218113</v>
      </c>
      <c r="H898" s="524" t="str">
        <f t="shared" si="55"/>
        <v>是</v>
      </c>
      <c r="I898" s="312" t="str">
        <f t="shared" si="54"/>
        <v>项</v>
      </c>
    </row>
    <row r="899" s="372" customFormat="1" ht="24" hidden="1" customHeight="1" spans="1:9">
      <c r="A899" s="330">
        <v>2130142</v>
      </c>
      <c r="B899" s="379" t="s">
        <v>857</v>
      </c>
      <c r="C899" s="602">
        <f>'[2]2'!E886</f>
        <v>0</v>
      </c>
      <c r="D899" s="714"/>
      <c r="E899" s="713">
        <v>11</v>
      </c>
      <c r="F899" s="716" t="str">
        <f t="shared" si="52"/>
        <v/>
      </c>
      <c r="G899" s="470" t="str">
        <f t="shared" si="53"/>
        <v/>
      </c>
      <c r="H899" s="524" t="str">
        <f t="shared" si="55"/>
        <v>是</v>
      </c>
      <c r="I899" s="312" t="str">
        <f t="shared" si="54"/>
        <v>项</v>
      </c>
    </row>
    <row r="900" ht="24" hidden="1" customHeight="1" spans="1:9">
      <c r="A900" s="330">
        <v>2130148</v>
      </c>
      <c r="B900" s="405" t="s">
        <v>858</v>
      </c>
      <c r="C900" s="602">
        <f>'[2]2'!E887</f>
        <v>3</v>
      </c>
      <c r="D900" s="714">
        <v>3</v>
      </c>
      <c r="E900" s="713">
        <v>177</v>
      </c>
      <c r="F900" s="716">
        <f t="shared" si="52"/>
        <v>58</v>
      </c>
      <c r="G900" s="470">
        <f t="shared" si="53"/>
        <v>59</v>
      </c>
      <c r="H900" s="524" t="str">
        <f t="shared" si="55"/>
        <v>是</v>
      </c>
      <c r="I900" s="312" t="str">
        <f t="shared" si="54"/>
        <v>项</v>
      </c>
    </row>
    <row r="901" ht="24" hidden="1" customHeight="1" spans="1:9">
      <c r="A901" s="330">
        <v>2130152</v>
      </c>
      <c r="B901" s="379" t="s">
        <v>859</v>
      </c>
      <c r="C901" s="602">
        <f>'[2]2'!E888</f>
        <v>4</v>
      </c>
      <c r="D901" s="714">
        <v>4</v>
      </c>
      <c r="E901" s="713">
        <v>5</v>
      </c>
      <c r="F901" s="716">
        <f t="shared" ref="F901:F964" si="58">IFERROR((E901-C901)/C901,"")</f>
        <v>0.25</v>
      </c>
      <c r="G901" s="470">
        <f t="shared" ref="G901:G964" si="59">IFERROR(E901/D901,"")</f>
        <v>1.25</v>
      </c>
      <c r="H901" s="524" t="str">
        <f t="shared" si="55"/>
        <v>是</v>
      </c>
      <c r="I901" s="312" t="str">
        <f t="shared" ref="I901:I964" si="60">IF(LEN(A901)=3,"类",IF(LEN(A901)=5,"款","项"))</f>
        <v>项</v>
      </c>
    </row>
    <row r="902" s="372" customFormat="1" ht="24" hidden="1" customHeight="1" spans="1:9">
      <c r="A902" s="330">
        <v>2130153</v>
      </c>
      <c r="B902" s="379" t="s">
        <v>860</v>
      </c>
      <c r="C902" s="602">
        <f>'[2]2'!E889</f>
        <v>11651</v>
      </c>
      <c r="D902" s="714">
        <v>11715</v>
      </c>
      <c r="E902" s="713">
        <v>10290</v>
      </c>
      <c r="F902" s="716">
        <f t="shared" si="58"/>
        <v>-0.116814007381341</v>
      </c>
      <c r="G902" s="470">
        <f t="shared" si="59"/>
        <v>0.878361075544174</v>
      </c>
      <c r="H902" s="524" t="str">
        <f t="shared" ref="H902:H965" si="61">IF(LEN(A902)=3,"是",IF(B902&lt;&gt;"",IF(SUM(C902:E902)&lt;&gt;0,"是","否"),"是"))</f>
        <v>是</v>
      </c>
      <c r="I902" s="312" t="str">
        <f t="shared" si="60"/>
        <v>项</v>
      </c>
    </row>
    <row r="903" s="372" customFormat="1" ht="24" hidden="1" customHeight="1" spans="1:9">
      <c r="A903" s="330">
        <v>2130199</v>
      </c>
      <c r="B903" s="379" t="s">
        <v>861</v>
      </c>
      <c r="C903" s="602">
        <f>'[2]2'!E890</f>
        <v>5725</v>
      </c>
      <c r="D903" s="714">
        <v>5685</v>
      </c>
      <c r="E903" s="713">
        <v>5134</v>
      </c>
      <c r="F903" s="716">
        <f t="shared" si="58"/>
        <v>-0.103231441048035</v>
      </c>
      <c r="G903" s="470">
        <f t="shared" si="59"/>
        <v>0.903078276165347</v>
      </c>
      <c r="H903" s="524" t="str">
        <f t="shared" si="61"/>
        <v>是</v>
      </c>
      <c r="I903" s="312" t="str">
        <f t="shared" si="60"/>
        <v>项</v>
      </c>
    </row>
    <row r="904" s="372" customFormat="1" ht="24" customHeight="1" spans="1:9">
      <c r="A904" s="330">
        <v>21302</v>
      </c>
      <c r="B904" s="379" t="s">
        <v>862</v>
      </c>
      <c r="C904" s="602">
        <f>SUM(C905:C926)</f>
        <v>92488</v>
      </c>
      <c r="D904" s="713">
        <f>SUM(D905:D926)</f>
        <v>75862</v>
      </c>
      <c r="E904" s="713">
        <f>SUM(E905:E926)</f>
        <v>27251</v>
      </c>
      <c r="F904" s="716">
        <f t="shared" si="58"/>
        <v>-0.70535637055618</v>
      </c>
      <c r="G904" s="470">
        <f t="shared" si="59"/>
        <v>0.359218053834594</v>
      </c>
      <c r="H904" s="524" t="str">
        <f t="shared" si="61"/>
        <v>是</v>
      </c>
      <c r="I904" s="312" t="str">
        <f t="shared" si="60"/>
        <v>款</v>
      </c>
    </row>
    <row r="905" s="372" customFormat="1" ht="24" hidden="1" customHeight="1" spans="1:9">
      <c r="A905" s="330">
        <v>2130201</v>
      </c>
      <c r="B905" s="379" t="s">
        <v>212</v>
      </c>
      <c r="C905" s="602">
        <f>'[2]2'!E892</f>
        <v>2054</v>
      </c>
      <c r="D905" s="714">
        <v>2115</v>
      </c>
      <c r="E905" s="713">
        <v>1868</v>
      </c>
      <c r="F905" s="716">
        <f t="shared" si="58"/>
        <v>-0.0905550146056475</v>
      </c>
      <c r="G905" s="470">
        <f t="shared" si="59"/>
        <v>0.883215130023641</v>
      </c>
      <c r="H905" s="524" t="str">
        <f t="shared" si="61"/>
        <v>是</v>
      </c>
      <c r="I905" s="312" t="str">
        <f t="shared" si="60"/>
        <v>项</v>
      </c>
    </row>
    <row r="906" s="372" customFormat="1" ht="24" hidden="1" customHeight="1" spans="1:9">
      <c r="A906" s="330">
        <v>2130202</v>
      </c>
      <c r="B906" s="379" t="s">
        <v>213</v>
      </c>
      <c r="C906" s="602">
        <f>'[2]2'!E893</f>
        <v>4</v>
      </c>
      <c r="D906" s="714">
        <v>5</v>
      </c>
      <c r="E906" s="713">
        <v>0</v>
      </c>
      <c r="F906" s="716">
        <f t="shared" si="58"/>
        <v>-1</v>
      </c>
      <c r="G906" s="470">
        <f t="shared" si="59"/>
        <v>0</v>
      </c>
      <c r="H906" s="524" t="str">
        <f t="shared" si="61"/>
        <v>是</v>
      </c>
      <c r="I906" s="312" t="str">
        <f t="shared" si="60"/>
        <v>项</v>
      </c>
    </row>
    <row r="907" s="372" customFormat="1" ht="24" hidden="1" customHeight="1" spans="1:9">
      <c r="A907" s="330">
        <v>2130203</v>
      </c>
      <c r="B907" s="379" t="s">
        <v>214</v>
      </c>
      <c r="C907" s="602">
        <f>'[2]2'!E894</f>
        <v>53</v>
      </c>
      <c r="D907" s="714">
        <v>48</v>
      </c>
      <c r="E907" s="713">
        <v>83</v>
      </c>
      <c r="F907" s="716">
        <f t="shared" si="58"/>
        <v>0.566037735849057</v>
      </c>
      <c r="G907" s="470">
        <f t="shared" si="59"/>
        <v>1.72916666666667</v>
      </c>
      <c r="H907" s="524" t="str">
        <f t="shared" si="61"/>
        <v>是</v>
      </c>
      <c r="I907" s="312" t="str">
        <f t="shared" si="60"/>
        <v>项</v>
      </c>
    </row>
    <row r="908" s="372" customFormat="1" ht="24" hidden="1" customHeight="1" spans="1:9">
      <c r="A908" s="330">
        <v>2130204</v>
      </c>
      <c r="B908" s="379" t="s">
        <v>863</v>
      </c>
      <c r="C908" s="602">
        <f>'[2]2'!E895</f>
        <v>4830</v>
      </c>
      <c r="D908" s="714">
        <v>4921</v>
      </c>
      <c r="E908" s="713">
        <v>5064</v>
      </c>
      <c r="F908" s="716">
        <f t="shared" si="58"/>
        <v>0.0484472049689441</v>
      </c>
      <c r="G908" s="470">
        <f t="shared" si="59"/>
        <v>1.02905913432229</v>
      </c>
      <c r="H908" s="524" t="str">
        <f t="shared" si="61"/>
        <v>是</v>
      </c>
      <c r="I908" s="312" t="str">
        <f t="shared" si="60"/>
        <v>项</v>
      </c>
    </row>
    <row r="909" s="372" customFormat="1" ht="24" hidden="1" customHeight="1" spans="1:9">
      <c r="A909" s="330">
        <v>2130205</v>
      </c>
      <c r="B909" s="379" t="s">
        <v>864</v>
      </c>
      <c r="C909" s="602">
        <f>'[2]2'!E896</f>
        <v>2636</v>
      </c>
      <c r="D909" s="714">
        <v>2568</v>
      </c>
      <c r="E909" s="713">
        <v>2033</v>
      </c>
      <c r="F909" s="716">
        <f t="shared" si="58"/>
        <v>-0.228755690440061</v>
      </c>
      <c r="G909" s="470">
        <f t="shared" si="59"/>
        <v>0.791666666666667</v>
      </c>
      <c r="H909" s="524" t="str">
        <f t="shared" si="61"/>
        <v>是</v>
      </c>
      <c r="I909" s="312" t="str">
        <f t="shared" si="60"/>
        <v>项</v>
      </c>
    </row>
    <row r="910" s="372" customFormat="1" ht="24" hidden="1" customHeight="1" spans="1:9">
      <c r="A910" s="330">
        <v>2130206</v>
      </c>
      <c r="B910" s="379" t="s">
        <v>865</v>
      </c>
      <c r="C910" s="602">
        <f>'[2]2'!E897</f>
        <v>39</v>
      </c>
      <c r="D910" s="714">
        <v>41</v>
      </c>
      <c r="E910" s="713">
        <v>77</v>
      </c>
      <c r="F910" s="716">
        <f t="shared" si="58"/>
        <v>0.974358974358974</v>
      </c>
      <c r="G910" s="470">
        <f t="shared" si="59"/>
        <v>1.8780487804878</v>
      </c>
      <c r="H910" s="524" t="str">
        <f t="shared" si="61"/>
        <v>是</v>
      </c>
      <c r="I910" s="312" t="str">
        <f t="shared" si="60"/>
        <v>项</v>
      </c>
    </row>
    <row r="911" s="372" customFormat="1" ht="24" hidden="1" customHeight="1" spans="1:9">
      <c r="A911" s="330">
        <v>2130207</v>
      </c>
      <c r="B911" s="379" t="s">
        <v>866</v>
      </c>
      <c r="C911" s="602">
        <f>'[2]2'!E898</f>
        <v>635</v>
      </c>
      <c r="D911" s="714">
        <v>641</v>
      </c>
      <c r="E911" s="713">
        <v>583</v>
      </c>
      <c r="F911" s="716">
        <f t="shared" si="58"/>
        <v>-0.0818897637795276</v>
      </c>
      <c r="G911" s="470">
        <f t="shared" si="59"/>
        <v>0.909516380655226</v>
      </c>
      <c r="H911" s="524" t="str">
        <f t="shared" si="61"/>
        <v>是</v>
      </c>
      <c r="I911" s="312" t="str">
        <f t="shared" si="60"/>
        <v>项</v>
      </c>
    </row>
    <row r="912" s="372" customFormat="1" ht="24" hidden="1" customHeight="1" spans="1:9">
      <c r="A912" s="330">
        <v>2130209</v>
      </c>
      <c r="B912" s="379" t="s">
        <v>867</v>
      </c>
      <c r="C912" s="602">
        <f>'[2]2'!E899</f>
        <v>6201</v>
      </c>
      <c r="D912" s="714">
        <v>6245</v>
      </c>
      <c r="E912" s="713">
        <v>6301</v>
      </c>
      <c r="F912" s="716">
        <f t="shared" si="58"/>
        <v>0.0161264312207708</v>
      </c>
      <c r="G912" s="470">
        <f t="shared" si="59"/>
        <v>1.00896717373899</v>
      </c>
      <c r="H912" s="524" t="str">
        <f t="shared" si="61"/>
        <v>是</v>
      </c>
      <c r="I912" s="312" t="str">
        <f t="shared" si="60"/>
        <v>项</v>
      </c>
    </row>
    <row r="913" s="372" customFormat="1" ht="24" hidden="1" customHeight="1" spans="1:9">
      <c r="A913" s="330">
        <v>2130211</v>
      </c>
      <c r="B913" s="379" t="s">
        <v>868</v>
      </c>
      <c r="C913" s="602">
        <f>'[2]2'!E900</f>
        <v>5</v>
      </c>
      <c r="D913" s="714">
        <v>6</v>
      </c>
      <c r="E913" s="713">
        <v>9</v>
      </c>
      <c r="F913" s="716">
        <f t="shared" si="58"/>
        <v>0.8</v>
      </c>
      <c r="G913" s="470">
        <f t="shared" si="59"/>
        <v>1.5</v>
      </c>
      <c r="H913" s="524" t="str">
        <f t="shared" si="61"/>
        <v>是</v>
      </c>
      <c r="I913" s="312" t="str">
        <f t="shared" si="60"/>
        <v>项</v>
      </c>
    </row>
    <row r="914" s="372" customFormat="1" ht="24" hidden="1" customHeight="1" spans="1:9">
      <c r="A914" s="330">
        <v>2130212</v>
      </c>
      <c r="B914" s="379" t="s">
        <v>869</v>
      </c>
      <c r="C914" s="602">
        <f>'[2]2'!E901</f>
        <v>755</v>
      </c>
      <c r="D914" s="714">
        <v>765</v>
      </c>
      <c r="E914" s="713">
        <v>761</v>
      </c>
      <c r="F914" s="716">
        <f t="shared" si="58"/>
        <v>0.00794701986754967</v>
      </c>
      <c r="G914" s="470">
        <f t="shared" si="59"/>
        <v>0.994771241830065</v>
      </c>
      <c r="H914" s="524" t="str">
        <f t="shared" si="61"/>
        <v>是</v>
      </c>
      <c r="I914" s="312" t="str">
        <f t="shared" si="60"/>
        <v>项</v>
      </c>
    </row>
    <row r="915" s="372" customFormat="1" ht="24" hidden="1" customHeight="1" spans="1:9">
      <c r="A915" s="330">
        <v>2130213</v>
      </c>
      <c r="B915" s="379" t="s">
        <v>870</v>
      </c>
      <c r="C915" s="602">
        <f>'[2]2'!E902</f>
        <v>0</v>
      </c>
      <c r="D915" s="714"/>
      <c r="E915" s="713">
        <v>0</v>
      </c>
      <c r="F915" s="716" t="str">
        <f t="shared" si="58"/>
        <v/>
      </c>
      <c r="G915" s="470" t="str">
        <f t="shared" si="59"/>
        <v/>
      </c>
      <c r="H915" s="524" t="str">
        <f t="shared" si="61"/>
        <v>否</v>
      </c>
      <c r="I915" s="312" t="str">
        <f t="shared" si="60"/>
        <v>项</v>
      </c>
    </row>
    <row r="916" s="372" customFormat="1" ht="24" hidden="1" customHeight="1" spans="1:9">
      <c r="A916" s="330">
        <v>2130217</v>
      </c>
      <c r="B916" s="379" t="s">
        <v>871</v>
      </c>
      <c r="C916" s="602">
        <f>'[2]2'!E903</f>
        <v>3</v>
      </c>
      <c r="D916" s="714">
        <v>0</v>
      </c>
      <c r="E916" s="713">
        <v>0</v>
      </c>
      <c r="F916" s="716">
        <f t="shared" si="58"/>
        <v>-1</v>
      </c>
      <c r="G916" s="470" t="str">
        <f t="shared" si="59"/>
        <v/>
      </c>
      <c r="H916" s="524" t="str">
        <f t="shared" si="61"/>
        <v>是</v>
      </c>
      <c r="I916" s="312" t="str">
        <f t="shared" si="60"/>
        <v>项</v>
      </c>
    </row>
    <row r="917" s="372" customFormat="1" ht="24" hidden="1" customHeight="1" spans="1:9">
      <c r="A917" s="330">
        <v>2130220</v>
      </c>
      <c r="B917" s="379" t="s">
        <v>872</v>
      </c>
      <c r="C917" s="602">
        <f>'[2]2'!E904</f>
        <v>0</v>
      </c>
      <c r="D917" s="714"/>
      <c r="E917" s="713">
        <v>0</v>
      </c>
      <c r="F917" s="716" t="str">
        <f t="shared" si="58"/>
        <v/>
      </c>
      <c r="G917" s="470" t="str">
        <f t="shared" si="59"/>
        <v/>
      </c>
      <c r="H917" s="524" t="str">
        <f t="shared" si="61"/>
        <v>否</v>
      </c>
      <c r="I917" s="312" t="str">
        <f t="shared" si="60"/>
        <v>项</v>
      </c>
    </row>
    <row r="918" s="372" customFormat="1" ht="24" hidden="1" customHeight="1" spans="1:9">
      <c r="A918" s="330">
        <v>2130221</v>
      </c>
      <c r="B918" s="379" t="s">
        <v>873</v>
      </c>
      <c r="C918" s="602">
        <f>'[2]2'!E905</f>
        <v>0</v>
      </c>
      <c r="D918" s="714"/>
      <c r="E918" s="713">
        <v>0</v>
      </c>
      <c r="F918" s="716" t="str">
        <f t="shared" si="58"/>
        <v/>
      </c>
      <c r="G918" s="470" t="str">
        <f t="shared" si="59"/>
        <v/>
      </c>
      <c r="H918" s="524" t="str">
        <f t="shared" si="61"/>
        <v>否</v>
      </c>
      <c r="I918" s="312" t="str">
        <f t="shared" si="60"/>
        <v>项</v>
      </c>
    </row>
    <row r="919" s="372" customFormat="1" ht="24" hidden="1" customHeight="1" spans="1:9">
      <c r="A919" s="330">
        <v>2130223</v>
      </c>
      <c r="B919" s="379" t="s">
        <v>874</v>
      </c>
      <c r="C919" s="602">
        <f>'[2]2'!E906</f>
        <v>0</v>
      </c>
      <c r="D919" s="714"/>
      <c r="E919" s="713">
        <v>0</v>
      </c>
      <c r="F919" s="716" t="str">
        <f t="shared" si="58"/>
        <v/>
      </c>
      <c r="G919" s="470" t="str">
        <f t="shared" si="59"/>
        <v/>
      </c>
      <c r="H919" s="524" t="str">
        <f t="shared" si="61"/>
        <v>否</v>
      </c>
      <c r="I919" s="312" t="str">
        <f t="shared" si="60"/>
        <v>项</v>
      </c>
    </row>
    <row r="920" s="372" customFormat="1" ht="24" hidden="1" customHeight="1" spans="1:9">
      <c r="A920" s="330">
        <v>2130226</v>
      </c>
      <c r="B920" s="379" t="s">
        <v>875</v>
      </c>
      <c r="C920" s="602">
        <f>'[2]2'!E907</f>
        <v>0</v>
      </c>
      <c r="D920" s="714"/>
      <c r="E920" s="713">
        <v>0</v>
      </c>
      <c r="F920" s="716" t="str">
        <f t="shared" si="58"/>
        <v/>
      </c>
      <c r="G920" s="470" t="str">
        <f t="shared" si="59"/>
        <v/>
      </c>
      <c r="H920" s="524" t="str">
        <f t="shared" si="61"/>
        <v>否</v>
      </c>
      <c r="I920" s="312" t="str">
        <f t="shared" si="60"/>
        <v>项</v>
      </c>
    </row>
    <row r="921" s="372" customFormat="1" ht="24" hidden="1" customHeight="1" spans="1:9">
      <c r="A921" s="330">
        <v>2130227</v>
      </c>
      <c r="B921" s="379" t="s">
        <v>876</v>
      </c>
      <c r="C921" s="602">
        <f>'[2]2'!E908</f>
        <v>0</v>
      </c>
      <c r="D921" s="714"/>
      <c r="E921" s="713">
        <v>262</v>
      </c>
      <c r="F921" s="716" t="str">
        <f t="shared" si="58"/>
        <v/>
      </c>
      <c r="G921" s="470" t="str">
        <f t="shared" si="59"/>
        <v/>
      </c>
      <c r="H921" s="524" t="str">
        <f t="shared" si="61"/>
        <v>是</v>
      </c>
      <c r="I921" s="312" t="str">
        <f t="shared" si="60"/>
        <v>项</v>
      </c>
    </row>
    <row r="922" s="372" customFormat="1" ht="24" hidden="1" customHeight="1" spans="1:9">
      <c r="A922" s="330">
        <v>2130234</v>
      </c>
      <c r="B922" s="379" t="s">
        <v>877</v>
      </c>
      <c r="C922" s="602">
        <f>'[2]2'!E909</f>
        <v>62593</v>
      </c>
      <c r="D922" s="714">
        <v>45937</v>
      </c>
      <c r="E922" s="713">
        <v>2120</v>
      </c>
      <c r="F922" s="716">
        <f t="shared" si="58"/>
        <v>-0.966130397967824</v>
      </c>
      <c r="G922" s="470">
        <f t="shared" si="59"/>
        <v>0.046150162178636</v>
      </c>
      <c r="H922" s="524" t="str">
        <f t="shared" si="61"/>
        <v>是</v>
      </c>
      <c r="I922" s="312" t="str">
        <f t="shared" si="60"/>
        <v>项</v>
      </c>
    </row>
    <row r="923" s="372" customFormat="1" ht="24" hidden="1" customHeight="1" spans="1:9">
      <c r="A923" s="330">
        <v>2130236</v>
      </c>
      <c r="B923" s="379" t="s">
        <v>878</v>
      </c>
      <c r="C923" s="602">
        <f>'[2]2'!E910</f>
        <v>0</v>
      </c>
      <c r="D923" s="714"/>
      <c r="E923" s="713">
        <v>44</v>
      </c>
      <c r="F923" s="716" t="str">
        <f t="shared" si="58"/>
        <v/>
      </c>
      <c r="G923" s="470" t="str">
        <f t="shared" si="59"/>
        <v/>
      </c>
      <c r="H923" s="524" t="str">
        <f t="shared" si="61"/>
        <v>是</v>
      </c>
      <c r="I923" s="312" t="str">
        <f t="shared" si="60"/>
        <v>项</v>
      </c>
    </row>
    <row r="924" s="372" customFormat="1" ht="24" hidden="1" customHeight="1" spans="1:9">
      <c r="A924" s="330">
        <v>2130237</v>
      </c>
      <c r="B924" s="379" t="s">
        <v>847</v>
      </c>
      <c r="C924" s="602">
        <f>'[2]2'!E911</f>
        <v>0</v>
      </c>
      <c r="D924" s="714"/>
      <c r="E924" s="713">
        <v>30</v>
      </c>
      <c r="F924" s="716" t="str">
        <f t="shared" si="58"/>
        <v/>
      </c>
      <c r="G924" s="470" t="str">
        <f t="shared" si="59"/>
        <v/>
      </c>
      <c r="H924" s="524" t="str">
        <f t="shared" si="61"/>
        <v>是</v>
      </c>
      <c r="I924" s="312" t="str">
        <f t="shared" si="60"/>
        <v>项</v>
      </c>
    </row>
    <row r="925" s="372" customFormat="1" ht="24" hidden="1" customHeight="1" spans="1:9">
      <c r="A925" s="723">
        <v>2130238</v>
      </c>
      <c r="B925" s="379" t="s">
        <v>879</v>
      </c>
      <c r="C925" s="602">
        <f>'[2]2'!E912</f>
        <v>9604</v>
      </c>
      <c r="D925" s="714">
        <v>9585</v>
      </c>
      <c r="E925" s="713">
        <v>3468</v>
      </c>
      <c r="F925" s="716">
        <f t="shared" si="58"/>
        <v>-0.638900458142441</v>
      </c>
      <c r="G925" s="470">
        <f t="shared" si="59"/>
        <v>0.361815336463224</v>
      </c>
      <c r="H925" s="524" t="str">
        <f t="shared" si="61"/>
        <v>是</v>
      </c>
      <c r="I925" s="312" t="str">
        <f t="shared" si="60"/>
        <v>项</v>
      </c>
    </row>
    <row r="926" s="372" customFormat="1" ht="24" hidden="1" customHeight="1" spans="1:9">
      <c r="A926" s="330">
        <v>2130299</v>
      </c>
      <c r="B926" s="379" t="s">
        <v>880</v>
      </c>
      <c r="C926" s="602">
        <f>'[2]2'!E913</f>
        <v>3076</v>
      </c>
      <c r="D926" s="714">
        <v>2985</v>
      </c>
      <c r="E926" s="713">
        <v>4548</v>
      </c>
      <c r="F926" s="716">
        <f t="shared" si="58"/>
        <v>0.478543563068921</v>
      </c>
      <c r="G926" s="470">
        <f t="shared" si="59"/>
        <v>1.52361809045226</v>
      </c>
      <c r="H926" s="524" t="str">
        <f t="shared" si="61"/>
        <v>是</v>
      </c>
      <c r="I926" s="312" t="str">
        <f t="shared" si="60"/>
        <v>项</v>
      </c>
    </row>
    <row r="927" s="372" customFormat="1" ht="24" customHeight="1" spans="1:9">
      <c r="A927" s="330">
        <v>21303</v>
      </c>
      <c r="B927" s="379" t="s">
        <v>881</v>
      </c>
      <c r="C927" s="602">
        <f>SUM(C928:C954)</f>
        <v>60260</v>
      </c>
      <c r="D927" s="713">
        <f>SUM(D928:D954)</f>
        <v>59619</v>
      </c>
      <c r="E927" s="713">
        <f>SUM(E928:E954)</f>
        <v>22459</v>
      </c>
      <c r="F927" s="716">
        <f t="shared" si="58"/>
        <v>-0.627298373713906</v>
      </c>
      <c r="G927" s="470">
        <f t="shared" si="59"/>
        <v>0.376708767339271</v>
      </c>
      <c r="H927" s="524" t="str">
        <f t="shared" si="61"/>
        <v>是</v>
      </c>
      <c r="I927" s="312" t="str">
        <f t="shared" si="60"/>
        <v>款</v>
      </c>
    </row>
    <row r="928" ht="24" hidden="1" customHeight="1" spans="1:9">
      <c r="A928" s="330">
        <v>2130301</v>
      </c>
      <c r="B928" s="379" t="s">
        <v>212</v>
      </c>
      <c r="C928" s="602">
        <f>'[2]2'!E915</f>
        <v>1957</v>
      </c>
      <c r="D928" s="714">
        <v>2018</v>
      </c>
      <c r="E928" s="713">
        <v>2104</v>
      </c>
      <c r="F928" s="716">
        <f t="shared" si="58"/>
        <v>0.0751149718957588</v>
      </c>
      <c r="G928" s="470">
        <f t="shared" si="59"/>
        <v>1.04261645193261</v>
      </c>
      <c r="H928" s="524" t="str">
        <f t="shared" si="61"/>
        <v>是</v>
      </c>
      <c r="I928" s="312" t="str">
        <f t="shared" si="60"/>
        <v>项</v>
      </c>
    </row>
    <row r="929" s="372" customFormat="1" ht="24" hidden="1" customHeight="1" spans="1:9">
      <c r="A929" s="330">
        <v>2130302</v>
      </c>
      <c r="B929" s="379" t="s">
        <v>213</v>
      </c>
      <c r="C929" s="602">
        <f>'[2]2'!E916</f>
        <v>281</v>
      </c>
      <c r="D929" s="714">
        <v>275</v>
      </c>
      <c r="E929" s="713">
        <v>174</v>
      </c>
      <c r="F929" s="716">
        <f t="shared" si="58"/>
        <v>-0.380782918149466</v>
      </c>
      <c r="G929" s="470">
        <f t="shared" si="59"/>
        <v>0.632727272727273</v>
      </c>
      <c r="H929" s="524" t="str">
        <f t="shared" si="61"/>
        <v>是</v>
      </c>
      <c r="I929" s="312" t="str">
        <f t="shared" si="60"/>
        <v>项</v>
      </c>
    </row>
    <row r="930" s="372" customFormat="1" ht="24" hidden="1" customHeight="1" spans="1:9">
      <c r="A930" s="330">
        <v>2130303</v>
      </c>
      <c r="B930" s="379" t="s">
        <v>214</v>
      </c>
      <c r="C930" s="602">
        <f>'[2]2'!E917</f>
        <v>0</v>
      </c>
      <c r="D930" s="714"/>
      <c r="E930" s="713">
        <v>0</v>
      </c>
      <c r="F930" s="716" t="str">
        <f t="shared" si="58"/>
        <v/>
      </c>
      <c r="G930" s="470" t="str">
        <f t="shared" si="59"/>
        <v/>
      </c>
      <c r="H930" s="524" t="str">
        <f t="shared" si="61"/>
        <v>否</v>
      </c>
      <c r="I930" s="312" t="str">
        <f t="shared" si="60"/>
        <v>项</v>
      </c>
    </row>
    <row r="931" s="372" customFormat="1" ht="24" hidden="1" customHeight="1" spans="1:9">
      <c r="A931" s="330">
        <v>2130304</v>
      </c>
      <c r="B931" s="379" t="s">
        <v>882</v>
      </c>
      <c r="C931" s="602">
        <f>'[2]2'!E918</f>
        <v>1064</v>
      </c>
      <c r="D931" s="714">
        <v>986</v>
      </c>
      <c r="E931" s="713">
        <v>1242</v>
      </c>
      <c r="F931" s="716">
        <f t="shared" si="58"/>
        <v>0.167293233082707</v>
      </c>
      <c r="G931" s="470">
        <f t="shared" si="59"/>
        <v>1.25963488843813</v>
      </c>
      <c r="H931" s="524" t="str">
        <f t="shared" si="61"/>
        <v>是</v>
      </c>
      <c r="I931" s="312" t="str">
        <f t="shared" si="60"/>
        <v>项</v>
      </c>
    </row>
    <row r="932" s="372" customFormat="1" ht="24" hidden="1" customHeight="1" spans="1:9">
      <c r="A932" s="330">
        <v>2130305</v>
      </c>
      <c r="B932" s="379" t="s">
        <v>883</v>
      </c>
      <c r="C932" s="602">
        <f>'[2]2'!E919</f>
        <v>16928</v>
      </c>
      <c r="D932" s="714">
        <v>16985</v>
      </c>
      <c r="E932" s="713">
        <v>9231</v>
      </c>
      <c r="F932" s="716">
        <f t="shared" si="58"/>
        <v>-0.4546904536862</v>
      </c>
      <c r="G932" s="470">
        <f t="shared" si="59"/>
        <v>0.543479540771269</v>
      </c>
      <c r="H932" s="524" t="str">
        <f t="shared" si="61"/>
        <v>是</v>
      </c>
      <c r="I932" s="312" t="str">
        <f t="shared" si="60"/>
        <v>项</v>
      </c>
    </row>
    <row r="933" s="372" customFormat="1" ht="24" hidden="1" customHeight="1" spans="1:9">
      <c r="A933" s="330">
        <v>2130306</v>
      </c>
      <c r="B933" s="379" t="s">
        <v>884</v>
      </c>
      <c r="C933" s="602">
        <f>'[2]2'!E920</f>
        <v>132</v>
      </c>
      <c r="D933" s="714">
        <v>132</v>
      </c>
      <c r="E933" s="713">
        <v>551</v>
      </c>
      <c r="F933" s="716">
        <f t="shared" si="58"/>
        <v>3.17424242424242</v>
      </c>
      <c r="G933" s="470">
        <f t="shared" si="59"/>
        <v>4.17424242424242</v>
      </c>
      <c r="H933" s="524" t="str">
        <f t="shared" si="61"/>
        <v>是</v>
      </c>
      <c r="I933" s="312" t="str">
        <f t="shared" si="60"/>
        <v>项</v>
      </c>
    </row>
    <row r="934" s="372" customFormat="1" ht="24" hidden="1" customHeight="1" spans="1:9">
      <c r="A934" s="330">
        <v>2130307</v>
      </c>
      <c r="B934" s="379" t="s">
        <v>885</v>
      </c>
      <c r="C934" s="602">
        <f>'[2]2'!E921</f>
        <v>0</v>
      </c>
      <c r="D934" s="714"/>
      <c r="E934" s="713">
        <v>0</v>
      </c>
      <c r="F934" s="716" t="str">
        <f t="shared" si="58"/>
        <v/>
      </c>
      <c r="G934" s="470" t="str">
        <f t="shared" si="59"/>
        <v/>
      </c>
      <c r="H934" s="524" t="str">
        <f t="shared" si="61"/>
        <v>否</v>
      </c>
      <c r="I934" s="312" t="str">
        <f t="shared" si="60"/>
        <v>项</v>
      </c>
    </row>
    <row r="935" s="372" customFormat="1" ht="24" hidden="1" customHeight="1" spans="1:9">
      <c r="A935" s="330">
        <v>2130308</v>
      </c>
      <c r="B935" s="379" t="s">
        <v>886</v>
      </c>
      <c r="C935" s="602">
        <f>'[2]2'!E922</f>
        <v>212</v>
      </c>
      <c r="D935" s="714">
        <v>213</v>
      </c>
      <c r="E935" s="713">
        <v>1630</v>
      </c>
      <c r="F935" s="716">
        <f t="shared" si="58"/>
        <v>6.68867924528302</v>
      </c>
      <c r="G935" s="470">
        <f t="shared" si="59"/>
        <v>7.65258215962441</v>
      </c>
      <c r="H935" s="524" t="str">
        <f t="shared" si="61"/>
        <v>是</v>
      </c>
      <c r="I935" s="312" t="str">
        <f t="shared" si="60"/>
        <v>项</v>
      </c>
    </row>
    <row r="936" s="372" customFormat="1" ht="24" hidden="1" customHeight="1" spans="1:9">
      <c r="A936" s="330">
        <v>2130309</v>
      </c>
      <c r="B936" s="379" t="s">
        <v>887</v>
      </c>
      <c r="C936" s="602">
        <f>'[2]2'!E923</f>
        <v>16</v>
      </c>
      <c r="D936" s="714">
        <v>18</v>
      </c>
      <c r="E936" s="713">
        <v>0</v>
      </c>
      <c r="F936" s="716">
        <f t="shared" si="58"/>
        <v>-1</v>
      </c>
      <c r="G936" s="470">
        <f t="shared" si="59"/>
        <v>0</v>
      </c>
      <c r="H936" s="524" t="str">
        <f t="shared" si="61"/>
        <v>是</v>
      </c>
      <c r="I936" s="312" t="str">
        <f t="shared" si="60"/>
        <v>项</v>
      </c>
    </row>
    <row r="937" s="372" customFormat="1" ht="24" hidden="1" customHeight="1" spans="1:9">
      <c r="A937" s="330">
        <v>2130310</v>
      </c>
      <c r="B937" s="379" t="s">
        <v>888</v>
      </c>
      <c r="C937" s="602">
        <f>'[2]2'!E924</f>
        <v>2235</v>
      </c>
      <c r="D937" s="714">
        <v>2251</v>
      </c>
      <c r="E937" s="713">
        <v>1551</v>
      </c>
      <c r="F937" s="716">
        <f t="shared" si="58"/>
        <v>-0.306040268456376</v>
      </c>
      <c r="G937" s="470">
        <f t="shared" si="59"/>
        <v>0.689027099067081</v>
      </c>
      <c r="H937" s="524" t="str">
        <f t="shared" si="61"/>
        <v>是</v>
      </c>
      <c r="I937" s="312" t="str">
        <f t="shared" si="60"/>
        <v>项</v>
      </c>
    </row>
    <row r="938" s="372" customFormat="1" ht="24" hidden="1" customHeight="1" spans="1:9">
      <c r="A938" s="330">
        <v>2130311</v>
      </c>
      <c r="B938" s="379" t="s">
        <v>889</v>
      </c>
      <c r="C938" s="602">
        <f>'[2]2'!E925</f>
        <v>231</v>
      </c>
      <c r="D938" s="714">
        <v>238</v>
      </c>
      <c r="E938" s="713">
        <v>208</v>
      </c>
      <c r="F938" s="716">
        <f t="shared" si="58"/>
        <v>-0.0995670995670996</v>
      </c>
      <c r="G938" s="470">
        <f t="shared" si="59"/>
        <v>0.873949579831933</v>
      </c>
      <c r="H938" s="524" t="str">
        <f t="shared" si="61"/>
        <v>是</v>
      </c>
      <c r="I938" s="312" t="str">
        <f t="shared" si="60"/>
        <v>项</v>
      </c>
    </row>
    <row r="939" s="372" customFormat="1" ht="24" hidden="1" customHeight="1" spans="1:9">
      <c r="A939" s="330">
        <v>2130312</v>
      </c>
      <c r="B939" s="379" t="s">
        <v>890</v>
      </c>
      <c r="C939" s="602">
        <f>'[2]2'!E926</f>
        <v>0</v>
      </c>
      <c r="D939" s="714"/>
      <c r="E939" s="713">
        <v>0</v>
      </c>
      <c r="F939" s="716" t="str">
        <f t="shared" si="58"/>
        <v/>
      </c>
      <c r="G939" s="470" t="str">
        <f t="shared" si="59"/>
        <v/>
      </c>
      <c r="H939" s="524" t="str">
        <f t="shared" si="61"/>
        <v>否</v>
      </c>
      <c r="I939" s="312" t="str">
        <f t="shared" si="60"/>
        <v>项</v>
      </c>
    </row>
    <row r="940" s="372" customFormat="1" ht="24" hidden="1" customHeight="1" spans="1:9">
      <c r="A940" s="330">
        <v>2130313</v>
      </c>
      <c r="B940" s="379" t="s">
        <v>891</v>
      </c>
      <c r="C940" s="602">
        <f>'[2]2'!E927</f>
        <v>10</v>
      </c>
      <c r="D940" s="714">
        <v>11</v>
      </c>
      <c r="E940" s="713">
        <v>25</v>
      </c>
      <c r="F940" s="716">
        <f t="shared" si="58"/>
        <v>1.5</v>
      </c>
      <c r="G940" s="470">
        <f t="shared" si="59"/>
        <v>2.27272727272727</v>
      </c>
      <c r="H940" s="524" t="str">
        <f t="shared" si="61"/>
        <v>是</v>
      </c>
      <c r="I940" s="312" t="str">
        <f t="shared" si="60"/>
        <v>项</v>
      </c>
    </row>
    <row r="941" s="372" customFormat="1" ht="24" hidden="1" customHeight="1" spans="1:9">
      <c r="A941" s="330">
        <v>2130314</v>
      </c>
      <c r="B941" s="379" t="s">
        <v>892</v>
      </c>
      <c r="C941" s="602">
        <f>'[2]2'!E928</f>
        <v>81</v>
      </c>
      <c r="D941" s="714">
        <v>95</v>
      </c>
      <c r="E941" s="713">
        <v>218</v>
      </c>
      <c r="F941" s="716">
        <f t="shared" si="58"/>
        <v>1.69135802469136</v>
      </c>
      <c r="G941" s="470">
        <f t="shared" si="59"/>
        <v>2.29473684210526</v>
      </c>
      <c r="H941" s="524" t="str">
        <f t="shared" si="61"/>
        <v>是</v>
      </c>
      <c r="I941" s="312" t="str">
        <f t="shared" si="60"/>
        <v>项</v>
      </c>
    </row>
    <row r="942" s="372" customFormat="1" ht="24" hidden="1" customHeight="1" spans="1:9">
      <c r="A942" s="330">
        <v>2130315</v>
      </c>
      <c r="B942" s="379" t="s">
        <v>893</v>
      </c>
      <c r="C942" s="602">
        <f>'[2]2'!E929</f>
        <v>703</v>
      </c>
      <c r="D942" s="714">
        <v>721</v>
      </c>
      <c r="E942" s="713">
        <v>147</v>
      </c>
      <c r="F942" s="716">
        <f t="shared" si="58"/>
        <v>-0.790896159317212</v>
      </c>
      <c r="G942" s="470">
        <f t="shared" si="59"/>
        <v>0.203883495145631</v>
      </c>
      <c r="H942" s="524" t="str">
        <f t="shared" si="61"/>
        <v>是</v>
      </c>
      <c r="I942" s="312" t="str">
        <f t="shared" si="60"/>
        <v>项</v>
      </c>
    </row>
    <row r="943" s="372" customFormat="1" ht="24" hidden="1" customHeight="1" spans="1:9">
      <c r="A943" s="330">
        <v>2130316</v>
      </c>
      <c r="B943" s="379" t="s">
        <v>894</v>
      </c>
      <c r="C943" s="602">
        <f>'[2]2'!E930</f>
        <v>562</v>
      </c>
      <c r="D943" s="714">
        <v>516</v>
      </c>
      <c r="E943" s="713">
        <v>620</v>
      </c>
      <c r="F943" s="716">
        <f t="shared" si="58"/>
        <v>0.103202846975089</v>
      </c>
      <c r="G943" s="470">
        <f t="shared" si="59"/>
        <v>1.2015503875969</v>
      </c>
      <c r="H943" s="524" t="str">
        <f t="shared" si="61"/>
        <v>是</v>
      </c>
      <c r="I943" s="312" t="str">
        <f t="shared" si="60"/>
        <v>项</v>
      </c>
    </row>
    <row r="944" s="372" customFormat="1" ht="24" hidden="1" customHeight="1" spans="1:9">
      <c r="A944" s="330">
        <v>2130317</v>
      </c>
      <c r="B944" s="379" t="s">
        <v>895</v>
      </c>
      <c r="C944" s="602">
        <f>'[2]2'!E931</f>
        <v>1390</v>
      </c>
      <c r="D944" s="714">
        <v>1423</v>
      </c>
      <c r="E944" s="713">
        <v>1557</v>
      </c>
      <c r="F944" s="716">
        <f t="shared" si="58"/>
        <v>0.120143884892086</v>
      </c>
      <c r="G944" s="470">
        <f t="shared" si="59"/>
        <v>1.09416725228391</v>
      </c>
      <c r="H944" s="524" t="str">
        <f t="shared" si="61"/>
        <v>是</v>
      </c>
      <c r="I944" s="312" t="str">
        <f t="shared" si="60"/>
        <v>项</v>
      </c>
    </row>
    <row r="945" s="372" customFormat="1" ht="24" hidden="1" customHeight="1" spans="1:9">
      <c r="A945" s="330">
        <v>2130318</v>
      </c>
      <c r="B945" s="379" t="s">
        <v>896</v>
      </c>
      <c r="C945" s="602">
        <f>'[2]2'!E932</f>
        <v>0</v>
      </c>
      <c r="D945" s="714"/>
      <c r="E945" s="713">
        <v>0</v>
      </c>
      <c r="F945" s="716" t="str">
        <f t="shared" si="58"/>
        <v/>
      </c>
      <c r="G945" s="470" t="str">
        <f t="shared" si="59"/>
        <v/>
      </c>
      <c r="H945" s="524" t="str">
        <f t="shared" si="61"/>
        <v>否</v>
      </c>
      <c r="I945" s="312" t="str">
        <f t="shared" si="60"/>
        <v>项</v>
      </c>
    </row>
    <row r="946" s="372" customFormat="1" ht="24" hidden="1" customHeight="1" spans="1:9">
      <c r="A946" s="330">
        <v>2130319</v>
      </c>
      <c r="B946" s="379" t="s">
        <v>897</v>
      </c>
      <c r="C946" s="602">
        <f>'[2]2'!E933</f>
        <v>116</v>
      </c>
      <c r="D946" s="714">
        <v>121</v>
      </c>
      <c r="E946" s="713">
        <v>48</v>
      </c>
      <c r="F946" s="716">
        <f t="shared" si="58"/>
        <v>-0.586206896551724</v>
      </c>
      <c r="G946" s="470">
        <f t="shared" si="59"/>
        <v>0.396694214876033</v>
      </c>
      <c r="H946" s="524" t="str">
        <f t="shared" si="61"/>
        <v>是</v>
      </c>
      <c r="I946" s="312" t="str">
        <f t="shared" si="60"/>
        <v>项</v>
      </c>
    </row>
    <row r="947" s="372" customFormat="1" ht="24" hidden="1" customHeight="1" spans="1:9">
      <c r="A947" s="330">
        <v>2130321</v>
      </c>
      <c r="B947" s="379" t="s">
        <v>898</v>
      </c>
      <c r="C947" s="602">
        <f>'[2]2'!E934</f>
        <v>159</v>
      </c>
      <c r="D947" s="714">
        <v>152</v>
      </c>
      <c r="E947" s="713">
        <v>507</v>
      </c>
      <c r="F947" s="716">
        <f t="shared" si="58"/>
        <v>2.18867924528302</v>
      </c>
      <c r="G947" s="470">
        <f t="shared" si="59"/>
        <v>3.33552631578947</v>
      </c>
      <c r="H947" s="524" t="str">
        <f t="shared" si="61"/>
        <v>是</v>
      </c>
      <c r="I947" s="312" t="str">
        <f t="shared" si="60"/>
        <v>项</v>
      </c>
    </row>
    <row r="948" s="372" customFormat="1" ht="24" hidden="1" customHeight="1" spans="1:9">
      <c r="A948" s="330">
        <v>2130322</v>
      </c>
      <c r="B948" s="379" t="s">
        <v>899</v>
      </c>
      <c r="C948" s="602">
        <f>'[2]2'!E935</f>
        <v>0</v>
      </c>
      <c r="D948" s="714"/>
      <c r="E948" s="713">
        <v>0</v>
      </c>
      <c r="F948" s="716" t="str">
        <f t="shared" si="58"/>
        <v/>
      </c>
      <c r="G948" s="470" t="str">
        <f t="shared" si="59"/>
        <v/>
      </c>
      <c r="H948" s="524" t="str">
        <f t="shared" si="61"/>
        <v>否</v>
      </c>
      <c r="I948" s="312" t="str">
        <f t="shared" si="60"/>
        <v>项</v>
      </c>
    </row>
    <row r="949" s="372" customFormat="1" ht="24" hidden="1" customHeight="1" spans="1:9">
      <c r="A949" s="330">
        <v>2130333</v>
      </c>
      <c r="B949" s="379" t="s">
        <v>874</v>
      </c>
      <c r="C949" s="602">
        <f>'[2]2'!E936</f>
        <v>0</v>
      </c>
      <c r="D949" s="714"/>
      <c r="E949" s="713">
        <v>0</v>
      </c>
      <c r="F949" s="716" t="str">
        <f t="shared" si="58"/>
        <v/>
      </c>
      <c r="G949" s="470" t="str">
        <f t="shared" si="59"/>
        <v/>
      </c>
      <c r="H949" s="524" t="str">
        <f t="shared" si="61"/>
        <v>否</v>
      </c>
      <c r="I949" s="312" t="str">
        <f t="shared" si="60"/>
        <v>项</v>
      </c>
    </row>
    <row r="950" s="372" customFormat="1" ht="24" hidden="1" customHeight="1" spans="1:9">
      <c r="A950" s="330">
        <v>2130334</v>
      </c>
      <c r="B950" s="379" t="s">
        <v>900</v>
      </c>
      <c r="C950" s="602">
        <f>'[2]2'!E937</f>
        <v>80</v>
      </c>
      <c r="D950" s="714"/>
      <c r="E950" s="713">
        <v>86</v>
      </c>
      <c r="F950" s="716">
        <f t="shared" si="58"/>
        <v>0.075</v>
      </c>
      <c r="G950" s="470" t="str">
        <f t="shared" si="59"/>
        <v/>
      </c>
      <c r="H950" s="524" t="str">
        <f t="shared" si="61"/>
        <v>是</v>
      </c>
      <c r="I950" s="312" t="str">
        <f t="shared" si="60"/>
        <v>项</v>
      </c>
    </row>
    <row r="951" s="372" customFormat="1" ht="24" hidden="1" customHeight="1" spans="1:9">
      <c r="A951" s="330">
        <v>2130335</v>
      </c>
      <c r="B951" s="379" t="s">
        <v>901</v>
      </c>
      <c r="C951" s="602">
        <f>'[2]2'!E938</f>
        <v>4</v>
      </c>
      <c r="D951" s="714">
        <v>6</v>
      </c>
      <c r="E951" s="713">
        <v>164</v>
      </c>
      <c r="F951" s="716">
        <f t="shared" si="58"/>
        <v>40</v>
      </c>
      <c r="G951" s="470">
        <f t="shared" si="59"/>
        <v>27.3333333333333</v>
      </c>
      <c r="H951" s="524" t="str">
        <f t="shared" si="61"/>
        <v>是</v>
      </c>
      <c r="I951" s="312" t="str">
        <f t="shared" si="60"/>
        <v>项</v>
      </c>
    </row>
    <row r="952" s="372" customFormat="1" ht="24" hidden="1" customHeight="1" spans="1:9">
      <c r="A952" s="330">
        <v>2130336</v>
      </c>
      <c r="B952" s="379" t="s">
        <v>902</v>
      </c>
      <c r="C952" s="602">
        <f>'[2]2'!E939</f>
        <v>0</v>
      </c>
      <c r="D952" s="714"/>
      <c r="E952" s="713">
        <v>0</v>
      </c>
      <c r="F952" s="716" t="str">
        <f t="shared" si="58"/>
        <v/>
      </c>
      <c r="G952" s="470" t="str">
        <f t="shared" si="59"/>
        <v/>
      </c>
      <c r="H952" s="524" t="str">
        <f t="shared" si="61"/>
        <v>否</v>
      </c>
      <c r="I952" s="312" t="str">
        <f t="shared" si="60"/>
        <v>项</v>
      </c>
    </row>
    <row r="953" ht="24" hidden="1" customHeight="1" spans="1:9">
      <c r="A953" s="330">
        <v>2130337</v>
      </c>
      <c r="B953" s="379" t="s">
        <v>903</v>
      </c>
      <c r="C953" s="602">
        <f>'[2]2'!E940</f>
        <v>0</v>
      </c>
      <c r="D953" s="714"/>
      <c r="E953" s="713">
        <v>0</v>
      </c>
      <c r="F953" s="716" t="str">
        <f t="shared" si="58"/>
        <v/>
      </c>
      <c r="G953" s="470" t="str">
        <f t="shared" si="59"/>
        <v/>
      </c>
      <c r="H953" s="524" t="str">
        <f t="shared" si="61"/>
        <v>否</v>
      </c>
      <c r="I953" s="312" t="str">
        <f t="shared" si="60"/>
        <v>项</v>
      </c>
    </row>
    <row r="954" s="372" customFormat="1" ht="24" hidden="1" customHeight="1" spans="1:9">
      <c r="A954" s="330">
        <v>2130399</v>
      </c>
      <c r="B954" s="379" t="s">
        <v>904</v>
      </c>
      <c r="C954" s="602">
        <f>'[2]2'!E941</f>
        <v>34099</v>
      </c>
      <c r="D954" s="714">
        <v>33458</v>
      </c>
      <c r="E954" s="713">
        <v>2396</v>
      </c>
      <c r="F954" s="716">
        <f t="shared" si="58"/>
        <v>-0.929734009795009</v>
      </c>
      <c r="G954" s="470">
        <f t="shared" si="59"/>
        <v>0.0716121704823958</v>
      </c>
      <c r="H954" s="524" t="str">
        <f t="shared" si="61"/>
        <v>是</v>
      </c>
      <c r="I954" s="312" t="str">
        <f t="shared" si="60"/>
        <v>项</v>
      </c>
    </row>
    <row r="955" s="372" customFormat="1" ht="24" customHeight="1" spans="1:9">
      <c r="A955" s="330">
        <v>21305</v>
      </c>
      <c r="B955" s="405" t="s">
        <v>905</v>
      </c>
      <c r="C955" s="602">
        <f>SUM(C956:C965)</f>
        <v>111335</v>
      </c>
      <c r="D955" s="713">
        <f>SUM(D956:D965)</f>
        <v>111056</v>
      </c>
      <c r="E955" s="713">
        <f>SUM(E956:E965)</f>
        <v>93339</v>
      </c>
      <c r="F955" s="716">
        <f t="shared" si="58"/>
        <v>-0.161638298827862</v>
      </c>
      <c r="G955" s="470">
        <f t="shared" si="59"/>
        <v>0.840467872064544</v>
      </c>
      <c r="H955" s="524" t="str">
        <f t="shared" si="61"/>
        <v>是</v>
      </c>
      <c r="I955" s="312" t="str">
        <f t="shared" si="60"/>
        <v>款</v>
      </c>
    </row>
    <row r="956" s="374" customFormat="1" ht="24" hidden="1" customHeight="1" spans="1:9">
      <c r="A956" s="331">
        <v>2130501</v>
      </c>
      <c r="B956" s="327" t="s">
        <v>212</v>
      </c>
      <c r="C956" s="608">
        <f>'[2]2'!E943</f>
        <v>560</v>
      </c>
      <c r="D956" s="709"/>
      <c r="E956" s="713"/>
      <c r="F956" s="716">
        <f t="shared" si="58"/>
        <v>-1</v>
      </c>
      <c r="G956" s="470" t="str">
        <f t="shared" si="59"/>
        <v/>
      </c>
      <c r="H956" s="524" t="str">
        <f t="shared" si="61"/>
        <v>是</v>
      </c>
      <c r="I956" s="313" t="str">
        <f t="shared" si="60"/>
        <v>项</v>
      </c>
    </row>
    <row r="957" s="374" customFormat="1" ht="24" hidden="1" customHeight="1" spans="1:9">
      <c r="A957" s="331">
        <v>2130502</v>
      </c>
      <c r="B957" s="327" t="s">
        <v>213</v>
      </c>
      <c r="C957" s="608">
        <f>'[2]2'!E944</f>
        <v>472</v>
      </c>
      <c r="D957" s="709"/>
      <c r="E957" s="713"/>
      <c r="F957" s="716">
        <f t="shared" si="58"/>
        <v>-1</v>
      </c>
      <c r="G957" s="470" t="str">
        <f t="shared" si="59"/>
        <v/>
      </c>
      <c r="H957" s="524" t="str">
        <f t="shared" si="61"/>
        <v>是</v>
      </c>
      <c r="I957" s="313" t="str">
        <f t="shared" si="60"/>
        <v>项</v>
      </c>
    </row>
    <row r="958" s="374" customFormat="1" ht="24" hidden="1" customHeight="1" spans="1:9">
      <c r="A958" s="331">
        <v>2130503</v>
      </c>
      <c r="B958" s="327" t="s">
        <v>214</v>
      </c>
      <c r="C958" s="608">
        <f>'[2]2'!E945</f>
        <v>0</v>
      </c>
      <c r="D958" s="709"/>
      <c r="E958" s="713"/>
      <c r="F958" s="716" t="str">
        <f t="shared" si="58"/>
        <v/>
      </c>
      <c r="G958" s="470" t="str">
        <f t="shared" si="59"/>
        <v/>
      </c>
      <c r="H958" s="524" t="str">
        <f t="shared" si="61"/>
        <v>否</v>
      </c>
      <c r="I958" s="313" t="str">
        <f t="shared" si="60"/>
        <v>项</v>
      </c>
    </row>
    <row r="959" s="372" customFormat="1" ht="24" hidden="1" customHeight="1" spans="1:9">
      <c r="A959" s="330">
        <v>2130504</v>
      </c>
      <c r="B959" s="379" t="s">
        <v>906</v>
      </c>
      <c r="C959" s="602">
        <f>'[2]2'!E946</f>
        <v>17114</v>
      </c>
      <c r="D959" s="714">
        <v>17325</v>
      </c>
      <c r="E959" s="713">
        <v>21390</v>
      </c>
      <c r="F959" s="716">
        <f t="shared" si="58"/>
        <v>0.249853920766624</v>
      </c>
      <c r="G959" s="470">
        <f t="shared" si="59"/>
        <v>1.23463203463203</v>
      </c>
      <c r="H959" s="524" t="str">
        <f t="shared" si="61"/>
        <v>是</v>
      </c>
      <c r="I959" s="312" t="str">
        <f t="shared" si="60"/>
        <v>项</v>
      </c>
    </row>
    <row r="960" s="372" customFormat="1" ht="24" hidden="1" customHeight="1" spans="1:9">
      <c r="A960" s="330">
        <v>2130505</v>
      </c>
      <c r="B960" s="379" t="s">
        <v>907</v>
      </c>
      <c r="C960" s="602">
        <f>'[2]2'!E947</f>
        <v>23871</v>
      </c>
      <c r="D960" s="714">
        <v>24158</v>
      </c>
      <c r="E960" s="713">
        <v>21792</v>
      </c>
      <c r="F960" s="716">
        <f t="shared" si="58"/>
        <v>-0.0870931255498303</v>
      </c>
      <c r="G960" s="470">
        <f t="shared" si="59"/>
        <v>0.902061428926236</v>
      </c>
      <c r="H960" s="524" t="str">
        <f t="shared" si="61"/>
        <v>是</v>
      </c>
      <c r="I960" s="312" t="str">
        <f t="shared" si="60"/>
        <v>项</v>
      </c>
    </row>
    <row r="961" s="372" customFormat="1" ht="24" hidden="1" customHeight="1" spans="1:9">
      <c r="A961" s="330">
        <v>2130506</v>
      </c>
      <c r="B961" s="379" t="s">
        <v>908</v>
      </c>
      <c r="C961" s="602">
        <f>'[2]2'!E948</f>
        <v>428</v>
      </c>
      <c r="D961" s="714">
        <v>415</v>
      </c>
      <c r="E961" s="713">
        <v>1058</v>
      </c>
      <c r="F961" s="716">
        <f t="shared" si="58"/>
        <v>1.47196261682243</v>
      </c>
      <c r="G961" s="470">
        <f t="shared" si="59"/>
        <v>2.54939759036145</v>
      </c>
      <c r="H961" s="524" t="str">
        <f t="shared" si="61"/>
        <v>是</v>
      </c>
      <c r="I961" s="312" t="str">
        <f t="shared" si="60"/>
        <v>项</v>
      </c>
    </row>
    <row r="962" s="372" customFormat="1" ht="24" hidden="1" customHeight="1" spans="1:9">
      <c r="A962" s="330">
        <v>2130507</v>
      </c>
      <c r="B962" s="405" t="s">
        <v>909</v>
      </c>
      <c r="C962" s="602">
        <f>'[2]2'!E949</f>
        <v>816</v>
      </c>
      <c r="D962" s="714">
        <v>835</v>
      </c>
      <c r="E962" s="713">
        <v>-514</v>
      </c>
      <c r="F962" s="716">
        <f t="shared" si="58"/>
        <v>-1.62990196078431</v>
      </c>
      <c r="G962" s="470">
        <f t="shared" si="59"/>
        <v>-0.615568862275449</v>
      </c>
      <c r="H962" s="524" t="str">
        <f t="shared" si="61"/>
        <v>是</v>
      </c>
      <c r="I962" s="312" t="str">
        <f t="shared" si="60"/>
        <v>项</v>
      </c>
    </row>
    <row r="963" s="372" customFormat="1" ht="24" hidden="1" customHeight="1" spans="1:9">
      <c r="A963" s="330">
        <v>2130508</v>
      </c>
      <c r="B963" s="379" t="s">
        <v>910</v>
      </c>
      <c r="C963" s="602">
        <f>'[2]2'!E950</f>
        <v>0</v>
      </c>
      <c r="D963" s="714"/>
      <c r="E963" s="713">
        <v>0</v>
      </c>
      <c r="F963" s="716" t="str">
        <f t="shared" si="58"/>
        <v/>
      </c>
      <c r="G963" s="470" t="str">
        <f t="shared" si="59"/>
        <v/>
      </c>
      <c r="H963" s="524" t="str">
        <f t="shared" si="61"/>
        <v>否</v>
      </c>
      <c r="I963" s="312" t="str">
        <f t="shared" si="60"/>
        <v>项</v>
      </c>
    </row>
    <row r="964" s="374" customFormat="1" ht="24" hidden="1" customHeight="1" spans="1:9">
      <c r="A964" s="331">
        <v>2130550</v>
      </c>
      <c r="B964" s="350" t="s">
        <v>221</v>
      </c>
      <c r="C964" s="608">
        <f>'[2]2'!E951</f>
        <v>70</v>
      </c>
      <c r="D964" s="709"/>
      <c r="E964" s="713"/>
      <c r="F964" s="716">
        <f t="shared" si="58"/>
        <v>-1</v>
      </c>
      <c r="G964" s="470" t="str">
        <f t="shared" si="59"/>
        <v/>
      </c>
      <c r="H964" s="524" t="str">
        <f t="shared" si="61"/>
        <v>是</v>
      </c>
      <c r="I964" s="313" t="str">
        <f t="shared" si="60"/>
        <v>项</v>
      </c>
    </row>
    <row r="965" s="372" customFormat="1" ht="24" hidden="1" customHeight="1" spans="1:9">
      <c r="A965" s="330">
        <v>2130599</v>
      </c>
      <c r="B965" s="405" t="s">
        <v>911</v>
      </c>
      <c r="C965" s="602">
        <f>'[2]2'!E952</f>
        <v>68004</v>
      </c>
      <c r="D965" s="714">
        <v>68323</v>
      </c>
      <c r="E965" s="713">
        <v>49613</v>
      </c>
      <c r="F965" s="716">
        <f t="shared" ref="F965:F1028" si="62">IFERROR((E965-C965)/C965,"")</f>
        <v>-0.270439974119169</v>
      </c>
      <c r="G965" s="470">
        <f t="shared" ref="G965:G1028" si="63">IFERROR(E965/D965,"")</f>
        <v>0.726153711048988</v>
      </c>
      <c r="H965" s="524" t="str">
        <f t="shared" si="61"/>
        <v>是</v>
      </c>
      <c r="I965" s="312" t="str">
        <f t="shared" ref="I965:I1028" si="64">IF(LEN(A965)=3,"类",IF(LEN(A965)=5,"款","项"))</f>
        <v>项</v>
      </c>
    </row>
    <row r="966" s="372" customFormat="1" ht="24" customHeight="1" spans="1:9">
      <c r="A966" s="330">
        <v>21307</v>
      </c>
      <c r="B966" s="379" t="s">
        <v>912</v>
      </c>
      <c r="C966" s="602">
        <f>SUM(C967:C971)</f>
        <v>20556</v>
      </c>
      <c r="D966" s="713">
        <f>SUM(D967:D971)</f>
        <v>19974</v>
      </c>
      <c r="E966" s="713">
        <f>SUM(E967:E971)</f>
        <v>16943</v>
      </c>
      <c r="F966" s="716">
        <f t="shared" si="62"/>
        <v>-0.175763767269897</v>
      </c>
      <c r="G966" s="470">
        <f t="shared" si="63"/>
        <v>0.848252728547111</v>
      </c>
      <c r="H966" s="524" t="str">
        <f t="shared" ref="H966:H1029" si="65">IF(LEN(A966)=3,"是",IF(B966&lt;&gt;"",IF(SUM(C966:E966)&lt;&gt;0,"是","否"),"是"))</f>
        <v>是</v>
      </c>
      <c r="I966" s="312" t="str">
        <f t="shared" si="64"/>
        <v>款</v>
      </c>
    </row>
    <row r="967" s="372" customFormat="1" ht="24" hidden="1" customHeight="1" spans="1:9">
      <c r="A967" s="330">
        <v>2130701</v>
      </c>
      <c r="B967" s="379" t="s">
        <v>913</v>
      </c>
      <c r="C967" s="602">
        <f>'[2]2'!E954</f>
        <v>1882</v>
      </c>
      <c r="D967" s="714">
        <v>1852</v>
      </c>
      <c r="E967" s="713">
        <v>2218</v>
      </c>
      <c r="F967" s="716">
        <f t="shared" si="62"/>
        <v>0.178533475026567</v>
      </c>
      <c r="G967" s="470">
        <f t="shared" si="63"/>
        <v>1.19762419006479</v>
      </c>
      <c r="H967" s="524" t="str">
        <f t="shared" si="65"/>
        <v>是</v>
      </c>
      <c r="I967" s="312" t="str">
        <f t="shared" si="64"/>
        <v>项</v>
      </c>
    </row>
    <row r="968" s="372" customFormat="1" ht="24" hidden="1" customHeight="1" spans="1:9">
      <c r="A968" s="330">
        <v>2130705</v>
      </c>
      <c r="B968" s="379" t="s">
        <v>914</v>
      </c>
      <c r="C968" s="602">
        <f>'[2]2'!E956</f>
        <v>13747</v>
      </c>
      <c r="D968" s="714">
        <v>13453</v>
      </c>
      <c r="E968" s="713">
        <v>14312</v>
      </c>
      <c r="F968" s="716">
        <f t="shared" si="62"/>
        <v>0.0410998763366553</v>
      </c>
      <c r="G968" s="470">
        <f t="shared" si="63"/>
        <v>1.06385192893778</v>
      </c>
      <c r="H968" s="524" t="str">
        <f t="shared" si="65"/>
        <v>是</v>
      </c>
      <c r="I968" s="312" t="str">
        <f t="shared" si="64"/>
        <v>项</v>
      </c>
    </row>
    <row r="969" s="372" customFormat="1" ht="24" hidden="1" customHeight="1" spans="1:9">
      <c r="A969" s="330">
        <v>2130706</v>
      </c>
      <c r="B969" s="379" t="s">
        <v>915</v>
      </c>
      <c r="C969" s="602">
        <f>'[2]2'!E957</f>
        <v>222</v>
      </c>
      <c r="D969" s="714">
        <v>258</v>
      </c>
      <c r="E969" s="713">
        <v>10</v>
      </c>
      <c r="F969" s="716">
        <f t="shared" si="62"/>
        <v>-0.954954954954955</v>
      </c>
      <c r="G969" s="470">
        <f t="shared" si="63"/>
        <v>0.0387596899224806</v>
      </c>
      <c r="H969" s="524" t="str">
        <f t="shared" si="65"/>
        <v>是</v>
      </c>
      <c r="I969" s="312" t="str">
        <f t="shared" si="64"/>
        <v>项</v>
      </c>
    </row>
    <row r="970" s="372" customFormat="1" ht="24" hidden="1" customHeight="1" spans="1:9">
      <c r="A970" s="330">
        <v>2130707</v>
      </c>
      <c r="B970" s="379" t="s">
        <v>916</v>
      </c>
      <c r="C970" s="602">
        <f>'[2]2'!E958</f>
        <v>3407</v>
      </c>
      <c r="D970" s="714">
        <v>3215</v>
      </c>
      <c r="E970" s="713">
        <v>152</v>
      </c>
      <c r="F970" s="716">
        <f t="shared" si="62"/>
        <v>-0.955385970061638</v>
      </c>
      <c r="G970" s="470">
        <f t="shared" si="63"/>
        <v>0.0472783825816485</v>
      </c>
      <c r="H970" s="524" t="str">
        <f t="shared" si="65"/>
        <v>是</v>
      </c>
      <c r="I970" s="312" t="str">
        <f t="shared" si="64"/>
        <v>项</v>
      </c>
    </row>
    <row r="971" s="372" customFormat="1" ht="24" hidden="1" customHeight="1" spans="1:9">
      <c r="A971" s="330">
        <v>2130799</v>
      </c>
      <c r="B971" s="379" t="s">
        <v>917</v>
      </c>
      <c r="C971" s="602">
        <f>'[2]2'!E959</f>
        <v>1298</v>
      </c>
      <c r="D971" s="714">
        <v>1196</v>
      </c>
      <c r="E971" s="713">
        <v>251</v>
      </c>
      <c r="F971" s="716">
        <f t="shared" si="62"/>
        <v>-0.806625577812018</v>
      </c>
      <c r="G971" s="470">
        <f t="shared" si="63"/>
        <v>0.209866220735786</v>
      </c>
      <c r="H971" s="524" t="str">
        <f t="shared" si="65"/>
        <v>是</v>
      </c>
      <c r="I971" s="312" t="str">
        <f t="shared" si="64"/>
        <v>项</v>
      </c>
    </row>
    <row r="972" s="372" customFormat="1" ht="24" customHeight="1" spans="1:9">
      <c r="A972" s="330">
        <v>21308</v>
      </c>
      <c r="B972" s="379" t="s">
        <v>918</v>
      </c>
      <c r="C972" s="602">
        <f>SUM(C973:C977)</f>
        <v>6595</v>
      </c>
      <c r="D972" s="713">
        <f>SUM(D973:D977)</f>
        <v>6814</v>
      </c>
      <c r="E972" s="713">
        <f>SUM(E973:E977)</f>
        <v>6998</v>
      </c>
      <c r="F972" s="716">
        <f t="shared" si="62"/>
        <v>0.0611068991660349</v>
      </c>
      <c r="G972" s="470">
        <f t="shared" si="63"/>
        <v>1.0270032286469</v>
      </c>
      <c r="H972" s="524" t="str">
        <f t="shared" si="65"/>
        <v>是</v>
      </c>
      <c r="I972" s="312" t="str">
        <f t="shared" si="64"/>
        <v>款</v>
      </c>
    </row>
    <row r="973" s="372" customFormat="1" ht="24" hidden="1" customHeight="1" spans="1:9">
      <c r="A973" s="330">
        <v>2130801</v>
      </c>
      <c r="B973" s="379" t="s">
        <v>919</v>
      </c>
      <c r="C973" s="602">
        <f>'[2]2'!E961</f>
        <v>0</v>
      </c>
      <c r="D973" s="714"/>
      <c r="E973" s="713">
        <v>156</v>
      </c>
      <c r="F973" s="716" t="str">
        <f t="shared" si="62"/>
        <v/>
      </c>
      <c r="G973" s="470" t="str">
        <f t="shared" si="63"/>
        <v/>
      </c>
      <c r="H973" s="524" t="str">
        <f t="shared" si="65"/>
        <v>是</v>
      </c>
      <c r="I973" s="312" t="str">
        <f t="shared" si="64"/>
        <v>项</v>
      </c>
    </row>
    <row r="974" s="372" customFormat="1" ht="24" hidden="1" customHeight="1" spans="1:9">
      <c r="A974" s="330">
        <v>2130803</v>
      </c>
      <c r="B974" s="379" t="s">
        <v>920</v>
      </c>
      <c r="C974" s="602">
        <f>'[2]2'!E962</f>
        <v>1850</v>
      </c>
      <c r="D974" s="714">
        <v>1958</v>
      </c>
      <c r="E974" s="713">
        <v>3984</v>
      </c>
      <c r="F974" s="716">
        <f t="shared" si="62"/>
        <v>1.15351351351351</v>
      </c>
      <c r="G974" s="470">
        <f t="shared" si="63"/>
        <v>2.03472931562819</v>
      </c>
      <c r="H974" s="524" t="str">
        <f t="shared" si="65"/>
        <v>是</v>
      </c>
      <c r="I974" s="312" t="str">
        <f t="shared" si="64"/>
        <v>项</v>
      </c>
    </row>
    <row r="975" s="372" customFormat="1" ht="24" hidden="1" customHeight="1" spans="1:9">
      <c r="A975" s="330">
        <v>2130804</v>
      </c>
      <c r="B975" s="405" t="s">
        <v>921</v>
      </c>
      <c r="C975" s="602">
        <f>'[2]2'!E963</f>
        <v>4745</v>
      </c>
      <c r="D975" s="714">
        <v>4856</v>
      </c>
      <c r="E975" s="713">
        <v>2858</v>
      </c>
      <c r="F975" s="716">
        <f t="shared" si="62"/>
        <v>-0.39768177028451</v>
      </c>
      <c r="G975" s="470">
        <f t="shared" si="63"/>
        <v>0.588550247116969</v>
      </c>
      <c r="H975" s="524" t="str">
        <f t="shared" si="65"/>
        <v>是</v>
      </c>
      <c r="I975" s="312" t="str">
        <f t="shared" si="64"/>
        <v>项</v>
      </c>
    </row>
    <row r="976" s="372" customFormat="1" ht="24" hidden="1" customHeight="1" spans="1:9">
      <c r="A976" s="330">
        <v>2130805</v>
      </c>
      <c r="B976" s="379" t="s">
        <v>922</v>
      </c>
      <c r="C976" s="602">
        <f>'[2]2'!E964</f>
        <v>0</v>
      </c>
      <c r="D976" s="714"/>
      <c r="E976" s="713">
        <v>0</v>
      </c>
      <c r="F976" s="716" t="str">
        <f t="shared" si="62"/>
        <v/>
      </c>
      <c r="G976" s="470" t="str">
        <f t="shared" si="63"/>
        <v/>
      </c>
      <c r="H976" s="524" t="str">
        <f t="shared" si="65"/>
        <v>否</v>
      </c>
      <c r="I976" s="312" t="str">
        <f t="shared" si="64"/>
        <v>项</v>
      </c>
    </row>
    <row r="977" s="372" customFormat="1" ht="24" hidden="1" customHeight="1" spans="1:9">
      <c r="A977" s="330">
        <v>2130899</v>
      </c>
      <c r="B977" s="379" t="s">
        <v>923</v>
      </c>
      <c r="C977" s="602">
        <f>'[2]2'!E965</f>
        <v>0</v>
      </c>
      <c r="D977" s="714"/>
      <c r="E977" s="713">
        <v>0</v>
      </c>
      <c r="F977" s="716" t="str">
        <f t="shared" si="62"/>
        <v/>
      </c>
      <c r="G977" s="470" t="str">
        <f t="shared" si="63"/>
        <v/>
      </c>
      <c r="H977" s="524" t="str">
        <f t="shared" si="65"/>
        <v>否</v>
      </c>
      <c r="I977" s="312" t="str">
        <f t="shared" si="64"/>
        <v>项</v>
      </c>
    </row>
    <row r="978" s="372" customFormat="1" ht="24" hidden="1" customHeight="1" spans="1:9">
      <c r="A978" s="330">
        <v>21309</v>
      </c>
      <c r="B978" s="379" t="s">
        <v>924</v>
      </c>
      <c r="C978" s="602">
        <f>SUM(C979:C980)</f>
        <v>0</v>
      </c>
      <c r="D978" s="713">
        <f>SUM(D979:D980)</f>
        <v>0</v>
      </c>
      <c r="E978" s="713">
        <f>SUM(E979:E980)</f>
        <v>0</v>
      </c>
      <c r="F978" s="716" t="str">
        <f t="shared" si="62"/>
        <v/>
      </c>
      <c r="G978" s="470" t="str">
        <f t="shared" si="63"/>
        <v/>
      </c>
      <c r="H978" s="524" t="str">
        <f t="shared" si="65"/>
        <v>否</v>
      </c>
      <c r="I978" s="312" t="str">
        <f t="shared" si="64"/>
        <v>款</v>
      </c>
    </row>
    <row r="979" s="372" customFormat="1" ht="24" hidden="1" customHeight="1" spans="1:9">
      <c r="A979" s="330">
        <v>2130901</v>
      </c>
      <c r="B979" s="379" t="s">
        <v>925</v>
      </c>
      <c r="C979" s="602">
        <f>'[2]2'!E967</f>
        <v>0</v>
      </c>
      <c r="D979" s="714"/>
      <c r="E979" s="713">
        <v>0</v>
      </c>
      <c r="F979" s="716" t="str">
        <f t="shared" si="62"/>
        <v/>
      </c>
      <c r="G979" s="470" t="str">
        <f t="shared" si="63"/>
        <v/>
      </c>
      <c r="H979" s="524" t="str">
        <f t="shared" si="65"/>
        <v>否</v>
      </c>
      <c r="I979" s="312" t="str">
        <f t="shared" si="64"/>
        <v>项</v>
      </c>
    </row>
    <row r="980" ht="24" hidden="1" customHeight="1" spans="1:9">
      <c r="A980" s="330">
        <v>2130999</v>
      </c>
      <c r="B980" s="379" t="s">
        <v>926</v>
      </c>
      <c r="C980" s="602">
        <f>'[2]2'!E968</f>
        <v>0</v>
      </c>
      <c r="D980" s="714"/>
      <c r="E980" s="713">
        <v>0</v>
      </c>
      <c r="F980" s="716" t="str">
        <f t="shared" si="62"/>
        <v/>
      </c>
      <c r="G980" s="470" t="str">
        <f t="shared" si="63"/>
        <v/>
      </c>
      <c r="H980" s="524" t="str">
        <f t="shared" si="65"/>
        <v>否</v>
      </c>
      <c r="I980" s="312" t="str">
        <f t="shared" si="64"/>
        <v>项</v>
      </c>
    </row>
    <row r="981" s="372" customFormat="1" ht="24" customHeight="1" spans="1:9">
      <c r="A981" s="330">
        <v>21399</v>
      </c>
      <c r="B981" s="379" t="s">
        <v>927</v>
      </c>
      <c r="C981" s="602">
        <f>SUM(C982:C983)</f>
        <v>14011</v>
      </c>
      <c r="D981" s="713">
        <f>SUM(D982:D983)</f>
        <v>13856</v>
      </c>
      <c r="E981" s="713">
        <f>SUM(E982:E983)</f>
        <v>1687</v>
      </c>
      <c r="F981" s="716">
        <f t="shared" si="62"/>
        <v>-0.879594604239526</v>
      </c>
      <c r="G981" s="470">
        <f t="shared" si="63"/>
        <v>0.121752309468822</v>
      </c>
      <c r="H981" s="524" t="str">
        <f t="shared" si="65"/>
        <v>是</v>
      </c>
      <c r="I981" s="312" t="str">
        <f t="shared" si="64"/>
        <v>款</v>
      </c>
    </row>
    <row r="982" s="372" customFormat="1" ht="24" hidden="1" customHeight="1" spans="1:9">
      <c r="A982" s="330">
        <v>2139901</v>
      </c>
      <c r="B982" s="379" t="s">
        <v>928</v>
      </c>
      <c r="C982" s="602">
        <f>'[2]2'!E970</f>
        <v>0</v>
      </c>
      <c r="D982" s="714"/>
      <c r="E982" s="713">
        <v>0</v>
      </c>
      <c r="F982" s="716" t="str">
        <f t="shared" si="62"/>
        <v/>
      </c>
      <c r="G982" s="470" t="str">
        <f t="shared" si="63"/>
        <v/>
      </c>
      <c r="H982" s="524" t="str">
        <f t="shared" si="65"/>
        <v>否</v>
      </c>
      <c r="I982" s="312" t="str">
        <f t="shared" si="64"/>
        <v>项</v>
      </c>
    </row>
    <row r="983" s="372" customFormat="1" ht="24" hidden="1" customHeight="1" spans="1:9">
      <c r="A983" s="330">
        <v>2139999</v>
      </c>
      <c r="B983" s="379" t="s">
        <v>929</v>
      </c>
      <c r="C983" s="602">
        <f>'[2]2'!E971</f>
        <v>14011</v>
      </c>
      <c r="D983" s="714">
        <v>13856</v>
      </c>
      <c r="E983" s="713">
        <v>1687</v>
      </c>
      <c r="F983" s="716">
        <f t="shared" si="62"/>
        <v>-0.879594604239526</v>
      </c>
      <c r="G983" s="470">
        <f t="shared" si="63"/>
        <v>0.121752309468822</v>
      </c>
      <c r="H983" s="524" t="str">
        <f t="shared" si="65"/>
        <v>是</v>
      </c>
      <c r="I983" s="312" t="str">
        <f t="shared" si="64"/>
        <v>项</v>
      </c>
    </row>
    <row r="984" s="372" customFormat="1" ht="24" customHeight="1" spans="1:9">
      <c r="A984" s="329">
        <v>214</v>
      </c>
      <c r="B984" s="377" t="s">
        <v>187</v>
      </c>
      <c r="C984" s="601">
        <f>C985+C1006+C1016+C1026+C1033</f>
        <v>51669</v>
      </c>
      <c r="D984" s="601">
        <f>D985+D1006+D1016+D1026+D1033</f>
        <v>52184</v>
      </c>
      <c r="E984" s="601">
        <f>E985+E1006+E1016+E1026+E1033</f>
        <v>66230</v>
      </c>
      <c r="F984" s="715">
        <f t="shared" si="62"/>
        <v>0.281813079409317</v>
      </c>
      <c r="G984" s="467">
        <f t="shared" si="63"/>
        <v>1.26916296182738</v>
      </c>
      <c r="H984" s="524" t="str">
        <f t="shared" si="65"/>
        <v>是</v>
      </c>
      <c r="I984" s="312" t="str">
        <f t="shared" si="64"/>
        <v>类</v>
      </c>
    </row>
    <row r="985" s="372" customFormat="1" ht="24" customHeight="1" spans="1:9">
      <c r="A985" s="330">
        <v>21401</v>
      </c>
      <c r="B985" s="379" t="s">
        <v>930</v>
      </c>
      <c r="C985" s="602">
        <f>SUM(C986:C1005)</f>
        <v>41164</v>
      </c>
      <c r="D985" s="713">
        <f>SUM(D986:D1005)</f>
        <v>41861</v>
      </c>
      <c r="E985" s="713">
        <f>SUM(E986:E1005)</f>
        <v>52189</v>
      </c>
      <c r="F985" s="716">
        <f t="shared" si="62"/>
        <v>0.267831114566126</v>
      </c>
      <c r="G985" s="470">
        <f t="shared" si="63"/>
        <v>1.2467212918946</v>
      </c>
      <c r="H985" s="524" t="str">
        <f t="shared" si="65"/>
        <v>是</v>
      </c>
      <c r="I985" s="312" t="str">
        <f t="shared" si="64"/>
        <v>款</v>
      </c>
    </row>
    <row r="986" s="372" customFormat="1" ht="24" hidden="1" customHeight="1" spans="1:9">
      <c r="A986" s="330">
        <v>2140101</v>
      </c>
      <c r="B986" s="379" t="s">
        <v>212</v>
      </c>
      <c r="C986" s="602">
        <f>'[2]2'!E974</f>
        <v>1191</v>
      </c>
      <c r="D986" s="714">
        <v>1234</v>
      </c>
      <c r="E986" s="713">
        <v>4830</v>
      </c>
      <c r="F986" s="716">
        <f t="shared" si="62"/>
        <v>3.05541561712846</v>
      </c>
      <c r="G986" s="470">
        <f t="shared" si="63"/>
        <v>3.91410048622366</v>
      </c>
      <c r="H986" s="524" t="str">
        <f t="shared" si="65"/>
        <v>是</v>
      </c>
      <c r="I986" s="312" t="str">
        <f t="shared" si="64"/>
        <v>项</v>
      </c>
    </row>
    <row r="987" s="372" customFormat="1" ht="24" hidden="1" customHeight="1" spans="1:9">
      <c r="A987" s="330">
        <v>2140102</v>
      </c>
      <c r="B987" s="379" t="s">
        <v>213</v>
      </c>
      <c r="C987" s="602">
        <f>'[2]2'!E975</f>
        <v>0</v>
      </c>
      <c r="D987" s="714"/>
      <c r="E987" s="713">
        <v>82</v>
      </c>
      <c r="F987" s="716" t="str">
        <f t="shared" si="62"/>
        <v/>
      </c>
      <c r="G987" s="470" t="str">
        <f t="shared" si="63"/>
        <v/>
      </c>
      <c r="H987" s="524" t="str">
        <f t="shared" si="65"/>
        <v>是</v>
      </c>
      <c r="I987" s="312" t="str">
        <f t="shared" si="64"/>
        <v>项</v>
      </c>
    </row>
    <row r="988" s="372" customFormat="1" ht="24" hidden="1" customHeight="1" spans="1:9">
      <c r="A988" s="330">
        <v>2140103</v>
      </c>
      <c r="B988" s="379" t="s">
        <v>214</v>
      </c>
      <c r="C988" s="602">
        <f>'[2]2'!E976</f>
        <v>0</v>
      </c>
      <c r="D988" s="714"/>
      <c r="E988" s="713">
        <v>0</v>
      </c>
      <c r="F988" s="716" t="str">
        <f t="shared" si="62"/>
        <v/>
      </c>
      <c r="G988" s="470" t="str">
        <f t="shared" si="63"/>
        <v/>
      </c>
      <c r="H988" s="524" t="str">
        <f t="shared" si="65"/>
        <v>否</v>
      </c>
      <c r="I988" s="312" t="str">
        <f t="shared" si="64"/>
        <v>项</v>
      </c>
    </row>
    <row r="989" s="372" customFormat="1" ht="24" hidden="1" customHeight="1" spans="1:9">
      <c r="A989" s="330">
        <v>2140104</v>
      </c>
      <c r="B989" s="379" t="s">
        <v>931</v>
      </c>
      <c r="C989" s="602">
        <f>'[2]2'!E977</f>
        <v>31331</v>
      </c>
      <c r="D989" s="714">
        <v>31658</v>
      </c>
      <c r="E989" s="713">
        <v>29659</v>
      </c>
      <c r="F989" s="716">
        <f t="shared" si="62"/>
        <v>-0.0533656761673742</v>
      </c>
      <c r="G989" s="470">
        <f t="shared" si="63"/>
        <v>0.936856402804978</v>
      </c>
      <c r="H989" s="524" t="str">
        <f t="shared" si="65"/>
        <v>是</v>
      </c>
      <c r="I989" s="312" t="str">
        <f t="shared" si="64"/>
        <v>项</v>
      </c>
    </row>
    <row r="990" s="372" customFormat="1" ht="24" hidden="1" customHeight="1" spans="1:9">
      <c r="A990" s="330">
        <v>2140106</v>
      </c>
      <c r="B990" s="379" t="s">
        <v>932</v>
      </c>
      <c r="C990" s="602">
        <f>'[2]2'!E978</f>
        <v>4844</v>
      </c>
      <c r="D990" s="714">
        <v>5102</v>
      </c>
      <c r="E990" s="713">
        <v>5516</v>
      </c>
      <c r="F990" s="716">
        <f t="shared" si="62"/>
        <v>0.138728323699422</v>
      </c>
      <c r="G990" s="470">
        <f t="shared" si="63"/>
        <v>1.08114464915719</v>
      </c>
      <c r="H990" s="524" t="str">
        <f t="shared" si="65"/>
        <v>是</v>
      </c>
      <c r="I990" s="312" t="str">
        <f t="shared" si="64"/>
        <v>项</v>
      </c>
    </row>
    <row r="991" ht="24" hidden="1" customHeight="1" spans="1:9">
      <c r="A991" s="330">
        <v>2140109</v>
      </c>
      <c r="B991" s="379" t="s">
        <v>933</v>
      </c>
      <c r="C991" s="602">
        <f>'[2]2'!E979</f>
        <v>0</v>
      </c>
      <c r="D991" s="714"/>
      <c r="E991" s="713">
        <v>0</v>
      </c>
      <c r="F991" s="716" t="str">
        <f t="shared" si="62"/>
        <v/>
      </c>
      <c r="G991" s="470" t="str">
        <f t="shared" si="63"/>
        <v/>
      </c>
      <c r="H991" s="524" t="str">
        <f t="shared" si="65"/>
        <v>否</v>
      </c>
      <c r="I991" s="312" t="str">
        <f t="shared" si="64"/>
        <v>项</v>
      </c>
    </row>
    <row r="992" s="372" customFormat="1" ht="24" hidden="1" customHeight="1" spans="1:9">
      <c r="A992" s="330">
        <v>2140110</v>
      </c>
      <c r="B992" s="379" t="s">
        <v>934</v>
      </c>
      <c r="C992" s="602">
        <f>'[2]2'!E980</f>
        <v>86</v>
      </c>
      <c r="D992" s="714">
        <v>88</v>
      </c>
      <c r="E992" s="713">
        <v>208</v>
      </c>
      <c r="F992" s="716">
        <f t="shared" si="62"/>
        <v>1.41860465116279</v>
      </c>
      <c r="G992" s="470">
        <f t="shared" si="63"/>
        <v>2.36363636363636</v>
      </c>
      <c r="H992" s="524" t="str">
        <f t="shared" si="65"/>
        <v>是</v>
      </c>
      <c r="I992" s="312" t="str">
        <f t="shared" si="64"/>
        <v>项</v>
      </c>
    </row>
    <row r="993" s="372" customFormat="1" ht="24" hidden="1" customHeight="1" spans="1:9">
      <c r="A993" s="330">
        <v>2140112</v>
      </c>
      <c r="B993" s="379" t="s">
        <v>935</v>
      </c>
      <c r="C993" s="602">
        <f>'[2]2'!E981</f>
        <v>2858</v>
      </c>
      <c r="D993" s="714">
        <v>2929</v>
      </c>
      <c r="E993" s="713">
        <v>3563</v>
      </c>
      <c r="F993" s="716">
        <f t="shared" si="62"/>
        <v>0.24667599720084</v>
      </c>
      <c r="G993" s="470">
        <f t="shared" si="63"/>
        <v>1.21645612837146</v>
      </c>
      <c r="H993" s="524" t="str">
        <f t="shared" si="65"/>
        <v>是</v>
      </c>
      <c r="I993" s="312" t="str">
        <f t="shared" si="64"/>
        <v>项</v>
      </c>
    </row>
    <row r="994" s="372" customFormat="1" ht="24" hidden="1" customHeight="1" spans="1:9">
      <c r="A994" s="330">
        <v>2140114</v>
      </c>
      <c r="B994" s="379" t="s">
        <v>936</v>
      </c>
      <c r="C994" s="602">
        <f>'[2]2'!E982</f>
        <v>0</v>
      </c>
      <c r="D994" s="714"/>
      <c r="E994" s="713">
        <v>0</v>
      </c>
      <c r="F994" s="716" t="str">
        <f t="shared" si="62"/>
        <v/>
      </c>
      <c r="G994" s="470" t="str">
        <f t="shared" si="63"/>
        <v/>
      </c>
      <c r="H994" s="524" t="str">
        <f t="shared" si="65"/>
        <v>否</v>
      </c>
      <c r="I994" s="312" t="str">
        <f t="shared" si="64"/>
        <v>项</v>
      </c>
    </row>
    <row r="995" s="372" customFormat="1" ht="24" hidden="1" customHeight="1" spans="1:9">
      <c r="A995" s="330">
        <v>2140122</v>
      </c>
      <c r="B995" s="379" t="s">
        <v>937</v>
      </c>
      <c r="C995" s="602">
        <f>'[2]2'!E983</f>
        <v>0</v>
      </c>
      <c r="D995" s="714"/>
      <c r="E995" s="713">
        <v>0</v>
      </c>
      <c r="F995" s="716" t="str">
        <f t="shared" si="62"/>
        <v/>
      </c>
      <c r="G995" s="470" t="str">
        <f t="shared" si="63"/>
        <v/>
      </c>
      <c r="H995" s="524" t="str">
        <f t="shared" si="65"/>
        <v>否</v>
      </c>
      <c r="I995" s="312" t="str">
        <f t="shared" si="64"/>
        <v>项</v>
      </c>
    </row>
    <row r="996" s="372" customFormat="1" ht="24" hidden="1" customHeight="1" spans="1:9">
      <c r="A996" s="330">
        <v>2140123</v>
      </c>
      <c r="B996" s="379" t="s">
        <v>938</v>
      </c>
      <c r="C996" s="602">
        <f>'[2]2'!E984</f>
        <v>0</v>
      </c>
      <c r="D996" s="714"/>
      <c r="E996" s="713">
        <v>1</v>
      </c>
      <c r="F996" s="716" t="str">
        <f t="shared" si="62"/>
        <v/>
      </c>
      <c r="G996" s="470" t="str">
        <f t="shared" si="63"/>
        <v/>
      </c>
      <c r="H996" s="524" t="str">
        <f t="shared" si="65"/>
        <v>是</v>
      </c>
      <c r="I996" s="312" t="str">
        <f t="shared" si="64"/>
        <v>项</v>
      </c>
    </row>
    <row r="997" ht="24" hidden="1" customHeight="1" spans="1:9">
      <c r="A997" s="330">
        <v>2140127</v>
      </c>
      <c r="B997" s="379" t="s">
        <v>939</v>
      </c>
      <c r="C997" s="602">
        <f>'[2]2'!E985</f>
        <v>0</v>
      </c>
      <c r="D997" s="714"/>
      <c r="E997" s="713">
        <v>0</v>
      </c>
      <c r="F997" s="716" t="str">
        <f t="shared" si="62"/>
        <v/>
      </c>
      <c r="G997" s="470" t="str">
        <f t="shared" si="63"/>
        <v/>
      </c>
      <c r="H997" s="524" t="str">
        <f t="shared" si="65"/>
        <v>否</v>
      </c>
      <c r="I997" s="312" t="str">
        <f t="shared" si="64"/>
        <v>项</v>
      </c>
    </row>
    <row r="998" s="372" customFormat="1" ht="24" hidden="1" customHeight="1" spans="1:9">
      <c r="A998" s="330">
        <v>2140128</v>
      </c>
      <c r="B998" s="379" t="s">
        <v>940</v>
      </c>
      <c r="C998" s="602">
        <f>'[2]2'!E986</f>
        <v>0</v>
      </c>
      <c r="D998" s="714"/>
      <c r="E998" s="713">
        <v>0</v>
      </c>
      <c r="F998" s="716" t="str">
        <f t="shared" si="62"/>
        <v/>
      </c>
      <c r="G998" s="470" t="str">
        <f t="shared" si="63"/>
        <v/>
      </c>
      <c r="H998" s="524" t="str">
        <f t="shared" si="65"/>
        <v>否</v>
      </c>
      <c r="I998" s="312" t="str">
        <f t="shared" si="64"/>
        <v>项</v>
      </c>
    </row>
    <row r="999" s="372" customFormat="1" ht="24" hidden="1" customHeight="1" spans="1:9">
      <c r="A999" s="330">
        <v>2140129</v>
      </c>
      <c r="B999" s="379" t="s">
        <v>941</v>
      </c>
      <c r="C999" s="602">
        <f>'[2]2'!E987</f>
        <v>0</v>
      </c>
      <c r="D999" s="714"/>
      <c r="E999" s="713">
        <v>0</v>
      </c>
      <c r="F999" s="716" t="str">
        <f t="shared" si="62"/>
        <v/>
      </c>
      <c r="G999" s="470" t="str">
        <f t="shared" si="63"/>
        <v/>
      </c>
      <c r="H999" s="524" t="str">
        <f t="shared" si="65"/>
        <v>否</v>
      </c>
      <c r="I999" s="312" t="str">
        <f t="shared" si="64"/>
        <v>项</v>
      </c>
    </row>
    <row r="1000" s="372" customFormat="1" ht="24" hidden="1" customHeight="1" spans="1:9">
      <c r="A1000" s="330">
        <v>2140130</v>
      </c>
      <c r="B1000" s="379" t="s">
        <v>942</v>
      </c>
      <c r="C1000" s="602">
        <f>'[2]2'!E988</f>
        <v>0</v>
      </c>
      <c r="D1000" s="714"/>
      <c r="E1000" s="713">
        <v>0</v>
      </c>
      <c r="F1000" s="716" t="str">
        <f t="shared" si="62"/>
        <v/>
      </c>
      <c r="G1000" s="470" t="str">
        <f t="shared" si="63"/>
        <v/>
      </c>
      <c r="H1000" s="524" t="str">
        <f t="shared" si="65"/>
        <v>否</v>
      </c>
      <c r="I1000" s="312" t="str">
        <f t="shared" si="64"/>
        <v>项</v>
      </c>
    </row>
    <row r="1001" s="372" customFormat="1" ht="24" hidden="1" customHeight="1" spans="1:9">
      <c r="A1001" s="330">
        <v>2140131</v>
      </c>
      <c r="B1001" s="379" t="s">
        <v>943</v>
      </c>
      <c r="C1001" s="602">
        <f>'[2]2'!E989</f>
        <v>165</v>
      </c>
      <c r="D1001" s="714">
        <v>158</v>
      </c>
      <c r="E1001" s="713">
        <v>23</v>
      </c>
      <c r="F1001" s="716">
        <f t="shared" si="62"/>
        <v>-0.860606060606061</v>
      </c>
      <c r="G1001" s="470">
        <f t="shared" si="63"/>
        <v>0.145569620253165</v>
      </c>
      <c r="H1001" s="524" t="str">
        <f t="shared" si="65"/>
        <v>是</v>
      </c>
      <c r="I1001" s="312" t="str">
        <f t="shared" si="64"/>
        <v>项</v>
      </c>
    </row>
    <row r="1002" s="372" customFormat="1" ht="24" hidden="1" customHeight="1" spans="1:9">
      <c r="A1002" s="330">
        <v>2140133</v>
      </c>
      <c r="B1002" s="379" t="s">
        <v>944</v>
      </c>
      <c r="C1002" s="602">
        <f>'[2]2'!E990</f>
        <v>0</v>
      </c>
      <c r="D1002" s="714"/>
      <c r="E1002" s="713">
        <v>0</v>
      </c>
      <c r="F1002" s="716" t="str">
        <f t="shared" si="62"/>
        <v/>
      </c>
      <c r="G1002" s="470" t="str">
        <f t="shared" si="63"/>
        <v/>
      </c>
      <c r="H1002" s="524" t="str">
        <f t="shared" si="65"/>
        <v>否</v>
      </c>
      <c r="I1002" s="312" t="str">
        <f t="shared" si="64"/>
        <v>项</v>
      </c>
    </row>
    <row r="1003" s="372" customFormat="1" ht="24" hidden="1" customHeight="1" spans="1:9">
      <c r="A1003" s="330">
        <v>2140136</v>
      </c>
      <c r="B1003" s="379" t="s">
        <v>945</v>
      </c>
      <c r="C1003" s="602">
        <f>'[2]2'!E991</f>
        <v>2</v>
      </c>
      <c r="D1003" s="714"/>
      <c r="E1003" s="713">
        <v>4</v>
      </c>
      <c r="F1003" s="716">
        <f t="shared" si="62"/>
        <v>1</v>
      </c>
      <c r="G1003" s="470" t="str">
        <f t="shared" si="63"/>
        <v/>
      </c>
      <c r="H1003" s="524" t="str">
        <f t="shared" si="65"/>
        <v>是</v>
      </c>
      <c r="I1003" s="312" t="str">
        <f t="shared" si="64"/>
        <v>项</v>
      </c>
    </row>
    <row r="1004" ht="24" hidden="1" customHeight="1" spans="1:9">
      <c r="A1004" s="330">
        <v>2140138</v>
      </c>
      <c r="B1004" s="379" t="s">
        <v>946</v>
      </c>
      <c r="C1004" s="602">
        <f>'[2]2'!E992</f>
        <v>119</v>
      </c>
      <c r="D1004" s="714">
        <v>121</v>
      </c>
      <c r="E1004" s="713">
        <v>156</v>
      </c>
      <c r="F1004" s="716">
        <f t="shared" si="62"/>
        <v>0.310924369747899</v>
      </c>
      <c r="G1004" s="470">
        <f t="shared" si="63"/>
        <v>1.28925619834711</v>
      </c>
      <c r="H1004" s="524" t="str">
        <f t="shared" si="65"/>
        <v>是</v>
      </c>
      <c r="I1004" s="312" t="str">
        <f t="shared" si="64"/>
        <v>项</v>
      </c>
    </row>
    <row r="1005" s="372" customFormat="1" ht="24" hidden="1" customHeight="1" spans="1:9">
      <c r="A1005" s="330">
        <v>2140199</v>
      </c>
      <c r="B1005" s="379" t="s">
        <v>947</v>
      </c>
      <c r="C1005" s="602">
        <f>'[2]2'!E993</f>
        <v>568</v>
      </c>
      <c r="D1005" s="714">
        <v>571</v>
      </c>
      <c r="E1005" s="713">
        <v>8147</v>
      </c>
      <c r="F1005" s="716">
        <f t="shared" si="62"/>
        <v>13.3433098591549</v>
      </c>
      <c r="G1005" s="470">
        <f t="shared" si="63"/>
        <v>14.2679509632224</v>
      </c>
      <c r="H1005" s="524" t="str">
        <f t="shared" si="65"/>
        <v>是</v>
      </c>
      <c r="I1005" s="312" t="str">
        <f t="shared" si="64"/>
        <v>项</v>
      </c>
    </row>
    <row r="1006" s="372" customFormat="1" ht="24" customHeight="1" spans="1:9">
      <c r="A1006" s="330">
        <v>21402</v>
      </c>
      <c r="B1006" s="379" t="s">
        <v>948</v>
      </c>
      <c r="C1006" s="602">
        <f>SUM(C1007:C1015)</f>
        <v>309</v>
      </c>
      <c r="D1006" s="713">
        <f>SUM(D1007:D1015)</f>
        <v>306</v>
      </c>
      <c r="E1006" s="713">
        <f>SUM(E1007:E1015)</f>
        <v>172</v>
      </c>
      <c r="F1006" s="716">
        <f t="shared" si="62"/>
        <v>-0.44336569579288</v>
      </c>
      <c r="G1006" s="470">
        <f t="shared" si="63"/>
        <v>0.562091503267974</v>
      </c>
      <c r="H1006" s="524" t="str">
        <f t="shared" si="65"/>
        <v>是</v>
      </c>
      <c r="I1006" s="312" t="str">
        <f t="shared" si="64"/>
        <v>款</v>
      </c>
    </row>
    <row r="1007" ht="24" hidden="1" customHeight="1" spans="1:9">
      <c r="A1007" s="330">
        <v>2140201</v>
      </c>
      <c r="B1007" s="379" t="s">
        <v>212</v>
      </c>
      <c r="C1007" s="602">
        <f>'[2]2'!E995</f>
        <v>0</v>
      </c>
      <c r="D1007" s="714"/>
      <c r="E1007" s="713">
        <v>0</v>
      </c>
      <c r="F1007" s="716" t="str">
        <f t="shared" si="62"/>
        <v/>
      </c>
      <c r="G1007" s="470" t="str">
        <f t="shared" si="63"/>
        <v/>
      </c>
      <c r="H1007" s="524" t="str">
        <f t="shared" si="65"/>
        <v>否</v>
      </c>
      <c r="I1007" s="312" t="str">
        <f t="shared" si="64"/>
        <v>项</v>
      </c>
    </row>
    <row r="1008" s="372" customFormat="1" ht="24" hidden="1" customHeight="1" spans="1:9">
      <c r="A1008" s="330">
        <v>2140202</v>
      </c>
      <c r="B1008" s="379" t="s">
        <v>213</v>
      </c>
      <c r="C1008" s="602">
        <f>'[2]2'!E996</f>
        <v>0</v>
      </c>
      <c r="D1008" s="714"/>
      <c r="E1008" s="713">
        <v>0</v>
      </c>
      <c r="F1008" s="716" t="str">
        <f t="shared" si="62"/>
        <v/>
      </c>
      <c r="G1008" s="470" t="str">
        <f t="shared" si="63"/>
        <v/>
      </c>
      <c r="H1008" s="524" t="str">
        <f t="shared" si="65"/>
        <v>否</v>
      </c>
      <c r="I1008" s="312" t="str">
        <f t="shared" si="64"/>
        <v>项</v>
      </c>
    </row>
    <row r="1009" s="372" customFormat="1" ht="24" hidden="1" customHeight="1" spans="1:9">
      <c r="A1009" s="330">
        <v>2140203</v>
      </c>
      <c r="B1009" s="379" t="s">
        <v>214</v>
      </c>
      <c r="C1009" s="602">
        <f>'[2]2'!E997</f>
        <v>0</v>
      </c>
      <c r="D1009" s="714"/>
      <c r="E1009" s="713">
        <v>0</v>
      </c>
      <c r="F1009" s="716" t="str">
        <f t="shared" si="62"/>
        <v/>
      </c>
      <c r="G1009" s="470" t="str">
        <f t="shared" si="63"/>
        <v/>
      </c>
      <c r="H1009" s="524" t="str">
        <f t="shared" si="65"/>
        <v>否</v>
      </c>
      <c r="I1009" s="312" t="str">
        <f t="shared" si="64"/>
        <v>项</v>
      </c>
    </row>
    <row r="1010" ht="24" hidden="1" customHeight="1" spans="1:9">
      <c r="A1010" s="330">
        <v>2140204</v>
      </c>
      <c r="B1010" s="379" t="s">
        <v>949</v>
      </c>
      <c r="C1010" s="602">
        <f>'[2]2'!E998</f>
        <v>0</v>
      </c>
      <c r="D1010" s="714"/>
      <c r="E1010" s="713">
        <v>0</v>
      </c>
      <c r="F1010" s="716" t="str">
        <f t="shared" si="62"/>
        <v/>
      </c>
      <c r="G1010" s="470" t="str">
        <f t="shared" si="63"/>
        <v/>
      </c>
      <c r="H1010" s="524" t="str">
        <f t="shared" si="65"/>
        <v>否</v>
      </c>
      <c r="I1010" s="312" t="str">
        <f t="shared" si="64"/>
        <v>项</v>
      </c>
    </row>
    <row r="1011" ht="24" hidden="1" customHeight="1" spans="1:9">
      <c r="A1011" s="330">
        <v>2140205</v>
      </c>
      <c r="B1011" s="379" t="s">
        <v>950</v>
      </c>
      <c r="C1011" s="602">
        <f>'[2]2'!E999</f>
        <v>0</v>
      </c>
      <c r="D1011" s="714"/>
      <c r="E1011" s="713">
        <v>0</v>
      </c>
      <c r="F1011" s="716" t="str">
        <f t="shared" si="62"/>
        <v/>
      </c>
      <c r="G1011" s="470" t="str">
        <f t="shared" si="63"/>
        <v/>
      </c>
      <c r="H1011" s="524" t="str">
        <f t="shared" si="65"/>
        <v>否</v>
      </c>
      <c r="I1011" s="312" t="str">
        <f t="shared" si="64"/>
        <v>项</v>
      </c>
    </row>
    <row r="1012" s="372" customFormat="1" ht="24" hidden="1" customHeight="1" spans="1:9">
      <c r="A1012" s="330">
        <v>2140206</v>
      </c>
      <c r="B1012" s="379" t="s">
        <v>951</v>
      </c>
      <c r="C1012" s="602">
        <f>'[2]2'!E1000</f>
        <v>0</v>
      </c>
      <c r="D1012" s="714"/>
      <c r="E1012" s="713">
        <v>0</v>
      </c>
      <c r="F1012" s="716" t="str">
        <f t="shared" si="62"/>
        <v/>
      </c>
      <c r="G1012" s="470" t="str">
        <f t="shared" si="63"/>
        <v/>
      </c>
      <c r="H1012" s="524" t="str">
        <f t="shared" si="65"/>
        <v>否</v>
      </c>
      <c r="I1012" s="312" t="str">
        <f t="shared" si="64"/>
        <v>项</v>
      </c>
    </row>
    <row r="1013" s="372" customFormat="1" ht="24" hidden="1" customHeight="1" spans="1:9">
      <c r="A1013" s="330">
        <v>2140207</v>
      </c>
      <c r="B1013" s="379" t="s">
        <v>952</v>
      </c>
      <c r="C1013" s="602">
        <f>'[2]2'!E1001</f>
        <v>0</v>
      </c>
      <c r="D1013" s="714"/>
      <c r="E1013" s="713">
        <v>0</v>
      </c>
      <c r="F1013" s="716" t="str">
        <f t="shared" si="62"/>
        <v/>
      </c>
      <c r="G1013" s="470" t="str">
        <f t="shared" si="63"/>
        <v/>
      </c>
      <c r="H1013" s="524" t="str">
        <f t="shared" si="65"/>
        <v>否</v>
      </c>
      <c r="I1013" s="312" t="str">
        <f t="shared" si="64"/>
        <v>项</v>
      </c>
    </row>
    <row r="1014" s="372" customFormat="1" ht="24" hidden="1" customHeight="1" spans="1:9">
      <c r="A1014" s="330">
        <v>2140208</v>
      </c>
      <c r="B1014" s="379" t="s">
        <v>953</v>
      </c>
      <c r="C1014" s="602">
        <f>'[2]2'!E1002</f>
        <v>0</v>
      </c>
      <c r="D1014" s="714"/>
      <c r="E1014" s="713">
        <v>0</v>
      </c>
      <c r="F1014" s="716" t="str">
        <f t="shared" si="62"/>
        <v/>
      </c>
      <c r="G1014" s="470" t="str">
        <f t="shared" si="63"/>
        <v/>
      </c>
      <c r="H1014" s="524" t="str">
        <f t="shared" si="65"/>
        <v>否</v>
      </c>
      <c r="I1014" s="312" t="str">
        <f t="shared" si="64"/>
        <v>项</v>
      </c>
    </row>
    <row r="1015" s="372" customFormat="1" ht="24" hidden="1" customHeight="1" spans="1:9">
      <c r="A1015" s="330">
        <v>2140299</v>
      </c>
      <c r="B1015" s="379" t="s">
        <v>954</v>
      </c>
      <c r="C1015" s="602">
        <f>'[2]2'!E1003</f>
        <v>309</v>
      </c>
      <c r="D1015" s="714">
        <v>306</v>
      </c>
      <c r="E1015" s="713">
        <v>172</v>
      </c>
      <c r="F1015" s="716">
        <f t="shared" si="62"/>
        <v>-0.44336569579288</v>
      </c>
      <c r="G1015" s="470">
        <f t="shared" si="63"/>
        <v>0.562091503267974</v>
      </c>
      <c r="H1015" s="524" t="str">
        <f t="shared" si="65"/>
        <v>是</v>
      </c>
      <c r="I1015" s="312" t="str">
        <f t="shared" si="64"/>
        <v>项</v>
      </c>
    </row>
    <row r="1016" s="372" customFormat="1" ht="24" customHeight="1" spans="1:9">
      <c r="A1016" s="330">
        <v>21403</v>
      </c>
      <c r="B1016" s="379" t="s">
        <v>955</v>
      </c>
      <c r="C1016" s="602">
        <f>SUM(C1017:C1025)</f>
        <v>7911</v>
      </c>
      <c r="D1016" s="713">
        <f>SUM(D1017:D1025)</f>
        <v>7807</v>
      </c>
      <c r="E1016" s="713">
        <f>SUM(E1017:E1025)</f>
        <v>10861</v>
      </c>
      <c r="F1016" s="716">
        <f t="shared" si="62"/>
        <v>0.37289849576539</v>
      </c>
      <c r="G1016" s="470">
        <f t="shared" si="63"/>
        <v>1.39118739592673</v>
      </c>
      <c r="H1016" s="524" t="str">
        <f t="shared" si="65"/>
        <v>是</v>
      </c>
      <c r="I1016" s="312" t="str">
        <f t="shared" si="64"/>
        <v>款</v>
      </c>
    </row>
    <row r="1017" s="372" customFormat="1" ht="24" hidden="1" customHeight="1" spans="1:9">
      <c r="A1017" s="330">
        <v>2140301</v>
      </c>
      <c r="B1017" s="379" t="s">
        <v>212</v>
      </c>
      <c r="C1017" s="602">
        <f>'[2]2'!E1005</f>
        <v>0</v>
      </c>
      <c r="D1017" s="714"/>
      <c r="E1017" s="713">
        <v>9</v>
      </c>
      <c r="F1017" s="716" t="str">
        <f t="shared" si="62"/>
        <v/>
      </c>
      <c r="G1017" s="470" t="str">
        <f t="shared" si="63"/>
        <v/>
      </c>
      <c r="H1017" s="524" t="str">
        <f t="shared" si="65"/>
        <v>是</v>
      </c>
      <c r="I1017" s="312" t="str">
        <f t="shared" si="64"/>
        <v>项</v>
      </c>
    </row>
    <row r="1018" s="372" customFormat="1" ht="24" hidden="1" customHeight="1" spans="1:9">
      <c r="A1018" s="330">
        <v>2140302</v>
      </c>
      <c r="B1018" s="379" t="s">
        <v>213</v>
      </c>
      <c r="C1018" s="602">
        <f>'[2]2'!E1006</f>
        <v>0</v>
      </c>
      <c r="D1018" s="714"/>
      <c r="E1018" s="713">
        <v>0</v>
      </c>
      <c r="F1018" s="716" t="str">
        <f t="shared" si="62"/>
        <v/>
      </c>
      <c r="G1018" s="470" t="str">
        <f t="shared" si="63"/>
        <v/>
      </c>
      <c r="H1018" s="524" t="str">
        <f t="shared" si="65"/>
        <v>否</v>
      </c>
      <c r="I1018" s="312" t="str">
        <f t="shared" si="64"/>
        <v>项</v>
      </c>
    </row>
    <row r="1019" s="372" customFormat="1" ht="24" hidden="1" customHeight="1" spans="1:9">
      <c r="A1019" s="330">
        <v>2140303</v>
      </c>
      <c r="B1019" s="379" t="s">
        <v>214</v>
      </c>
      <c r="C1019" s="602">
        <f>'[2]2'!E1007</f>
        <v>0</v>
      </c>
      <c r="D1019" s="714"/>
      <c r="E1019" s="713">
        <v>0</v>
      </c>
      <c r="F1019" s="716" t="str">
        <f t="shared" si="62"/>
        <v/>
      </c>
      <c r="G1019" s="470" t="str">
        <f t="shared" si="63"/>
        <v/>
      </c>
      <c r="H1019" s="524" t="str">
        <f t="shared" si="65"/>
        <v>否</v>
      </c>
      <c r="I1019" s="312" t="str">
        <f t="shared" si="64"/>
        <v>项</v>
      </c>
    </row>
    <row r="1020" s="372" customFormat="1" ht="24" hidden="1" customHeight="1" spans="1:9">
      <c r="A1020" s="330">
        <v>2140304</v>
      </c>
      <c r="B1020" s="379" t="s">
        <v>956</v>
      </c>
      <c r="C1020" s="602">
        <f>'[2]2'!E1008</f>
        <v>217</v>
      </c>
      <c r="D1020" s="714">
        <v>209</v>
      </c>
      <c r="E1020" s="713">
        <v>80</v>
      </c>
      <c r="F1020" s="716">
        <f t="shared" si="62"/>
        <v>-0.631336405529954</v>
      </c>
      <c r="G1020" s="470">
        <f t="shared" si="63"/>
        <v>0.382775119617225</v>
      </c>
      <c r="H1020" s="524" t="str">
        <f t="shared" si="65"/>
        <v>是</v>
      </c>
      <c r="I1020" s="312" t="str">
        <f t="shared" si="64"/>
        <v>项</v>
      </c>
    </row>
    <row r="1021" s="372" customFormat="1" ht="24" hidden="1" customHeight="1" spans="1:9">
      <c r="A1021" s="330">
        <v>2140305</v>
      </c>
      <c r="B1021" s="379" t="s">
        <v>957</v>
      </c>
      <c r="C1021" s="602">
        <f>'[2]2'!E1009</f>
        <v>0</v>
      </c>
      <c r="D1021" s="714"/>
      <c r="E1021" s="713">
        <v>0</v>
      </c>
      <c r="F1021" s="716" t="str">
        <f t="shared" si="62"/>
        <v/>
      </c>
      <c r="G1021" s="470" t="str">
        <f t="shared" si="63"/>
        <v/>
      </c>
      <c r="H1021" s="524" t="str">
        <f t="shared" si="65"/>
        <v>否</v>
      </c>
      <c r="I1021" s="312" t="str">
        <f t="shared" si="64"/>
        <v>项</v>
      </c>
    </row>
    <row r="1022" s="372" customFormat="1" ht="24" hidden="1" customHeight="1" spans="1:9">
      <c r="A1022" s="330">
        <v>2140306</v>
      </c>
      <c r="B1022" s="379" t="s">
        <v>958</v>
      </c>
      <c r="C1022" s="602">
        <f>'[2]2'!E1010</f>
        <v>0</v>
      </c>
      <c r="D1022" s="714"/>
      <c r="E1022" s="713">
        <v>0</v>
      </c>
      <c r="F1022" s="716" t="str">
        <f t="shared" si="62"/>
        <v/>
      </c>
      <c r="G1022" s="470" t="str">
        <f t="shared" si="63"/>
        <v/>
      </c>
      <c r="H1022" s="524" t="str">
        <f t="shared" si="65"/>
        <v>否</v>
      </c>
      <c r="I1022" s="312" t="str">
        <f t="shared" si="64"/>
        <v>项</v>
      </c>
    </row>
    <row r="1023" s="372" customFormat="1" ht="24" hidden="1" customHeight="1" spans="1:9">
      <c r="A1023" s="330">
        <v>2140307</v>
      </c>
      <c r="B1023" s="379" t="s">
        <v>959</v>
      </c>
      <c r="C1023" s="602">
        <f>'[2]2'!E1011</f>
        <v>0</v>
      </c>
      <c r="D1023" s="714"/>
      <c r="E1023" s="713">
        <v>0</v>
      </c>
      <c r="F1023" s="716" t="str">
        <f t="shared" si="62"/>
        <v/>
      </c>
      <c r="G1023" s="470" t="str">
        <f t="shared" si="63"/>
        <v/>
      </c>
      <c r="H1023" s="524" t="str">
        <f t="shared" si="65"/>
        <v>否</v>
      </c>
      <c r="I1023" s="312" t="str">
        <f t="shared" si="64"/>
        <v>项</v>
      </c>
    </row>
    <row r="1024" s="372" customFormat="1" ht="24" hidden="1" customHeight="1" spans="1:9">
      <c r="A1024" s="330">
        <v>2140308</v>
      </c>
      <c r="B1024" s="379" t="s">
        <v>960</v>
      </c>
      <c r="C1024" s="602">
        <f>'[2]2'!E1012</f>
        <v>0</v>
      </c>
      <c r="D1024" s="714"/>
      <c r="E1024" s="713">
        <v>0</v>
      </c>
      <c r="F1024" s="716" t="str">
        <f t="shared" si="62"/>
        <v/>
      </c>
      <c r="G1024" s="470" t="str">
        <f t="shared" si="63"/>
        <v/>
      </c>
      <c r="H1024" s="524" t="str">
        <f t="shared" si="65"/>
        <v>否</v>
      </c>
      <c r="I1024" s="312" t="str">
        <f t="shared" si="64"/>
        <v>项</v>
      </c>
    </row>
    <row r="1025" s="372" customFormat="1" ht="24" hidden="1" customHeight="1" spans="1:9">
      <c r="A1025" s="330">
        <v>2140399</v>
      </c>
      <c r="B1025" s="379" t="s">
        <v>961</v>
      </c>
      <c r="C1025" s="602">
        <f>'[2]2'!E1013</f>
        <v>7694</v>
      </c>
      <c r="D1025" s="714">
        <v>7598</v>
      </c>
      <c r="E1025" s="713">
        <v>10772</v>
      </c>
      <c r="F1025" s="716">
        <f t="shared" si="62"/>
        <v>0.400051988562516</v>
      </c>
      <c r="G1025" s="470">
        <f t="shared" si="63"/>
        <v>1.41774151092393</v>
      </c>
      <c r="H1025" s="524" t="str">
        <f t="shared" si="65"/>
        <v>是</v>
      </c>
      <c r="I1025" s="312" t="str">
        <f t="shared" si="64"/>
        <v>项</v>
      </c>
    </row>
    <row r="1026" s="372" customFormat="1" ht="24" customHeight="1" spans="1:9">
      <c r="A1026" s="330">
        <v>21405</v>
      </c>
      <c r="B1026" s="379" t="s">
        <v>962</v>
      </c>
      <c r="C1026" s="602">
        <f>SUM(C1027:C1032)</f>
        <v>150</v>
      </c>
      <c r="D1026" s="713">
        <f>SUM(D1027:D1032)</f>
        <v>149</v>
      </c>
      <c r="E1026" s="713">
        <f>SUM(E1027:E1032)</f>
        <v>240</v>
      </c>
      <c r="F1026" s="716">
        <f t="shared" si="62"/>
        <v>0.6</v>
      </c>
      <c r="G1026" s="470">
        <f t="shared" si="63"/>
        <v>1.61073825503356</v>
      </c>
      <c r="H1026" s="524" t="str">
        <f t="shared" si="65"/>
        <v>是</v>
      </c>
      <c r="I1026" s="312" t="str">
        <f t="shared" si="64"/>
        <v>款</v>
      </c>
    </row>
    <row r="1027" s="372" customFormat="1" ht="24" hidden="1" customHeight="1" spans="1:9">
      <c r="A1027" s="330">
        <v>2140501</v>
      </c>
      <c r="B1027" s="379" t="s">
        <v>212</v>
      </c>
      <c r="C1027" s="602">
        <f>'[2]2'!E1015</f>
        <v>140</v>
      </c>
      <c r="D1027" s="714">
        <v>141</v>
      </c>
      <c r="E1027" s="713">
        <v>240</v>
      </c>
      <c r="F1027" s="716">
        <f t="shared" si="62"/>
        <v>0.714285714285714</v>
      </c>
      <c r="G1027" s="470">
        <f t="shared" si="63"/>
        <v>1.70212765957447</v>
      </c>
      <c r="H1027" s="524" t="str">
        <f t="shared" si="65"/>
        <v>是</v>
      </c>
      <c r="I1027" s="312" t="str">
        <f t="shared" si="64"/>
        <v>项</v>
      </c>
    </row>
    <row r="1028" s="372" customFormat="1" ht="24" hidden="1" customHeight="1" spans="1:9">
      <c r="A1028" s="330">
        <v>2140502</v>
      </c>
      <c r="B1028" s="379" t="s">
        <v>213</v>
      </c>
      <c r="C1028" s="602">
        <f>'[2]2'!E1016</f>
        <v>0</v>
      </c>
      <c r="D1028" s="714"/>
      <c r="E1028" s="713">
        <v>0</v>
      </c>
      <c r="F1028" s="716" t="str">
        <f t="shared" si="62"/>
        <v/>
      </c>
      <c r="G1028" s="470" t="str">
        <f t="shared" si="63"/>
        <v/>
      </c>
      <c r="H1028" s="524" t="str">
        <f t="shared" si="65"/>
        <v>否</v>
      </c>
      <c r="I1028" s="312" t="str">
        <f t="shared" si="64"/>
        <v>项</v>
      </c>
    </row>
    <row r="1029" s="372" customFormat="1" ht="24" hidden="1" customHeight="1" spans="1:9">
      <c r="A1029" s="330">
        <v>2140503</v>
      </c>
      <c r="B1029" s="379" t="s">
        <v>214</v>
      </c>
      <c r="C1029" s="602">
        <f>'[2]2'!E1017</f>
        <v>0</v>
      </c>
      <c r="D1029" s="714"/>
      <c r="E1029" s="713">
        <v>0</v>
      </c>
      <c r="F1029" s="716" t="str">
        <f t="shared" ref="F1029:F1092" si="66">IFERROR((E1029-C1029)/C1029,"")</f>
        <v/>
      </c>
      <c r="G1029" s="470" t="str">
        <f t="shared" ref="G1029:G1092" si="67">IFERROR(E1029/D1029,"")</f>
        <v/>
      </c>
      <c r="H1029" s="524" t="str">
        <f t="shared" si="65"/>
        <v>否</v>
      </c>
      <c r="I1029" s="312" t="str">
        <f t="shared" ref="I1029:I1092" si="68">IF(LEN(A1029)=3,"类",IF(LEN(A1029)=5,"款","项"))</f>
        <v>项</v>
      </c>
    </row>
    <row r="1030" s="372" customFormat="1" ht="24" hidden="1" customHeight="1" spans="1:9">
      <c r="A1030" s="330">
        <v>2140504</v>
      </c>
      <c r="B1030" s="379" t="s">
        <v>953</v>
      </c>
      <c r="C1030" s="602">
        <f>'[2]2'!E1018</f>
        <v>0</v>
      </c>
      <c r="D1030" s="714"/>
      <c r="E1030" s="713">
        <v>0</v>
      </c>
      <c r="F1030" s="716" t="str">
        <f t="shared" si="66"/>
        <v/>
      </c>
      <c r="G1030" s="470" t="str">
        <f t="shared" si="67"/>
        <v/>
      </c>
      <c r="H1030" s="524" t="str">
        <f t="shared" ref="H1030:H1093" si="69">IF(LEN(A1030)=3,"是",IF(B1030&lt;&gt;"",IF(SUM(C1030:E1030)&lt;&gt;0,"是","否"),"是"))</f>
        <v>否</v>
      </c>
      <c r="I1030" s="312" t="str">
        <f t="shared" si="68"/>
        <v>项</v>
      </c>
    </row>
    <row r="1031" s="372" customFormat="1" ht="24" hidden="1" customHeight="1" spans="1:9">
      <c r="A1031" s="330">
        <v>2140505</v>
      </c>
      <c r="B1031" s="379" t="s">
        <v>963</v>
      </c>
      <c r="C1031" s="602">
        <f>'[2]2'!E1019</f>
        <v>0</v>
      </c>
      <c r="D1031" s="714"/>
      <c r="E1031" s="713">
        <v>0</v>
      </c>
      <c r="F1031" s="716" t="str">
        <f t="shared" si="66"/>
        <v/>
      </c>
      <c r="G1031" s="470" t="str">
        <f t="shared" si="67"/>
        <v/>
      </c>
      <c r="H1031" s="524" t="str">
        <f t="shared" si="69"/>
        <v>否</v>
      </c>
      <c r="I1031" s="312" t="str">
        <f t="shared" si="68"/>
        <v>项</v>
      </c>
    </row>
    <row r="1032" s="372" customFormat="1" ht="24" hidden="1" customHeight="1" spans="1:9">
      <c r="A1032" s="330">
        <v>2140599</v>
      </c>
      <c r="B1032" s="379" t="s">
        <v>964</v>
      </c>
      <c r="C1032" s="602">
        <f>'[2]2'!E1020</f>
        <v>10</v>
      </c>
      <c r="D1032" s="714">
        <v>8</v>
      </c>
      <c r="E1032" s="713">
        <v>0</v>
      </c>
      <c r="F1032" s="716">
        <f t="shared" si="66"/>
        <v>-1</v>
      </c>
      <c r="G1032" s="470">
        <f t="shared" si="67"/>
        <v>0</v>
      </c>
      <c r="H1032" s="524" t="str">
        <f t="shared" si="69"/>
        <v>是</v>
      </c>
      <c r="I1032" s="312" t="str">
        <f t="shared" si="68"/>
        <v>项</v>
      </c>
    </row>
    <row r="1033" s="372" customFormat="1" ht="24" customHeight="1" spans="1:9">
      <c r="A1033" s="330">
        <v>21499</v>
      </c>
      <c r="B1033" s="379" t="s">
        <v>965</v>
      </c>
      <c r="C1033" s="602">
        <f>SUM(C1034:C1035)</f>
        <v>2135</v>
      </c>
      <c r="D1033" s="713">
        <f>SUM(D1034:D1035)</f>
        <v>2061</v>
      </c>
      <c r="E1033" s="713">
        <f>SUM(E1034:E1035)</f>
        <v>2768</v>
      </c>
      <c r="F1033" s="716">
        <f t="shared" si="66"/>
        <v>0.296487119437939</v>
      </c>
      <c r="G1033" s="470">
        <f t="shared" si="67"/>
        <v>1.34303736050461</v>
      </c>
      <c r="H1033" s="524" t="str">
        <f t="shared" si="69"/>
        <v>是</v>
      </c>
      <c r="I1033" s="312" t="str">
        <f t="shared" si="68"/>
        <v>款</v>
      </c>
    </row>
    <row r="1034" s="372" customFormat="1" ht="24" hidden="1" customHeight="1" spans="1:9">
      <c r="A1034" s="330">
        <v>2149901</v>
      </c>
      <c r="B1034" s="379" t="s">
        <v>966</v>
      </c>
      <c r="C1034" s="602">
        <f>'[2]2'!E1027</f>
        <v>991</v>
      </c>
      <c r="D1034" s="714">
        <v>972</v>
      </c>
      <c r="E1034" s="713">
        <v>798</v>
      </c>
      <c r="F1034" s="716">
        <f t="shared" si="66"/>
        <v>-0.194752774974773</v>
      </c>
      <c r="G1034" s="470">
        <f t="shared" si="67"/>
        <v>0.820987654320988</v>
      </c>
      <c r="H1034" s="524" t="str">
        <f t="shared" si="69"/>
        <v>是</v>
      </c>
      <c r="I1034" s="312" t="str">
        <f t="shared" si="68"/>
        <v>项</v>
      </c>
    </row>
    <row r="1035" s="372" customFormat="1" ht="24" hidden="1" customHeight="1" spans="1:9">
      <c r="A1035" s="330">
        <v>2149999</v>
      </c>
      <c r="B1035" s="379" t="s">
        <v>967</v>
      </c>
      <c r="C1035" s="602">
        <f>'[2]2'!E1028</f>
        <v>1144</v>
      </c>
      <c r="D1035" s="714">
        <v>1089</v>
      </c>
      <c r="E1035" s="713">
        <v>1970</v>
      </c>
      <c r="F1035" s="716">
        <f t="shared" si="66"/>
        <v>0.722027972027972</v>
      </c>
      <c r="G1035" s="470">
        <f t="shared" si="67"/>
        <v>1.80899908172635</v>
      </c>
      <c r="H1035" s="524" t="str">
        <f t="shared" si="69"/>
        <v>是</v>
      </c>
      <c r="I1035" s="312" t="str">
        <f t="shared" si="68"/>
        <v>项</v>
      </c>
    </row>
    <row r="1036" s="372" customFormat="1" ht="24" customHeight="1" spans="1:9">
      <c r="A1036" s="329">
        <v>215</v>
      </c>
      <c r="B1036" s="377" t="s">
        <v>188</v>
      </c>
      <c r="C1036" s="601">
        <f>C1037+C1047+C1063+C1068+C1079+C1086+C1094</f>
        <v>75263</v>
      </c>
      <c r="D1036" s="712">
        <f>D1037+D1047+D1063+D1068+D1079+D1086+D1094</f>
        <v>69853</v>
      </c>
      <c r="E1036" s="712">
        <f>E1037+E1047+E1063+E1068+E1079+E1086+E1094</f>
        <v>76311</v>
      </c>
      <c r="F1036" s="715">
        <f t="shared" si="66"/>
        <v>0.0139245047367232</v>
      </c>
      <c r="G1036" s="467">
        <f t="shared" si="67"/>
        <v>1.09245129056733</v>
      </c>
      <c r="H1036" s="524" t="str">
        <f t="shared" si="69"/>
        <v>是</v>
      </c>
      <c r="I1036" s="312" t="str">
        <f t="shared" si="68"/>
        <v>类</v>
      </c>
    </row>
    <row r="1037" s="372" customFormat="1" ht="24" customHeight="1" spans="1:9">
      <c r="A1037" s="330">
        <v>21501</v>
      </c>
      <c r="B1037" s="379" t="s">
        <v>968</v>
      </c>
      <c r="C1037" s="602">
        <f>SUM(C1038:C1046)</f>
        <v>279</v>
      </c>
      <c r="D1037" s="713">
        <f>SUM(D1038:D1046)</f>
        <v>261</v>
      </c>
      <c r="E1037" s="713">
        <f>SUM(E1038:E1046)</f>
        <v>190</v>
      </c>
      <c r="F1037" s="716">
        <f t="shared" si="66"/>
        <v>-0.318996415770609</v>
      </c>
      <c r="G1037" s="470">
        <f t="shared" si="67"/>
        <v>0.727969348659004</v>
      </c>
      <c r="H1037" s="524" t="str">
        <f t="shared" si="69"/>
        <v>是</v>
      </c>
      <c r="I1037" s="312" t="str">
        <f t="shared" si="68"/>
        <v>款</v>
      </c>
    </row>
    <row r="1038" s="372" customFormat="1" ht="24" hidden="1" customHeight="1" spans="1:9">
      <c r="A1038" s="330">
        <v>2150101</v>
      </c>
      <c r="B1038" s="379" t="s">
        <v>212</v>
      </c>
      <c r="C1038" s="602">
        <f>'[2]2'!E1031</f>
        <v>3</v>
      </c>
      <c r="D1038" s="714"/>
      <c r="E1038" s="713">
        <v>0</v>
      </c>
      <c r="F1038" s="716">
        <f t="shared" si="66"/>
        <v>-1</v>
      </c>
      <c r="G1038" s="470" t="str">
        <f t="shared" si="67"/>
        <v/>
      </c>
      <c r="H1038" s="524" t="str">
        <f t="shared" si="69"/>
        <v>是</v>
      </c>
      <c r="I1038" s="312" t="str">
        <f t="shared" si="68"/>
        <v>项</v>
      </c>
    </row>
    <row r="1039" ht="24" hidden="1" customHeight="1" spans="1:9">
      <c r="A1039" s="330">
        <v>2150102</v>
      </c>
      <c r="B1039" s="379" t="s">
        <v>213</v>
      </c>
      <c r="C1039" s="602">
        <f>'[2]2'!E1032</f>
        <v>0</v>
      </c>
      <c r="D1039" s="714"/>
      <c r="E1039" s="713">
        <v>0</v>
      </c>
      <c r="F1039" s="716" t="str">
        <f t="shared" si="66"/>
        <v/>
      </c>
      <c r="G1039" s="470" t="str">
        <f t="shared" si="67"/>
        <v/>
      </c>
      <c r="H1039" s="524" t="str">
        <f t="shared" si="69"/>
        <v>否</v>
      </c>
      <c r="I1039" s="312" t="str">
        <f t="shared" si="68"/>
        <v>项</v>
      </c>
    </row>
    <row r="1040" s="372" customFormat="1" ht="24" hidden="1" customHeight="1" spans="1:9">
      <c r="A1040" s="330">
        <v>2150103</v>
      </c>
      <c r="B1040" s="379" t="s">
        <v>214</v>
      </c>
      <c r="C1040" s="602">
        <f>'[2]2'!E1033</f>
        <v>0</v>
      </c>
      <c r="D1040" s="714"/>
      <c r="E1040" s="713">
        <v>0</v>
      </c>
      <c r="F1040" s="716" t="str">
        <f t="shared" si="66"/>
        <v/>
      </c>
      <c r="G1040" s="470" t="str">
        <f t="shared" si="67"/>
        <v/>
      </c>
      <c r="H1040" s="524" t="str">
        <f t="shared" si="69"/>
        <v>否</v>
      </c>
      <c r="I1040" s="312" t="str">
        <f t="shared" si="68"/>
        <v>项</v>
      </c>
    </row>
    <row r="1041" s="372" customFormat="1" ht="24" hidden="1" customHeight="1" spans="1:9">
      <c r="A1041" s="330">
        <v>2150104</v>
      </c>
      <c r="B1041" s="379" t="s">
        <v>969</v>
      </c>
      <c r="C1041" s="602">
        <f>'[2]2'!E1034</f>
        <v>0</v>
      </c>
      <c r="D1041" s="714"/>
      <c r="E1041" s="713">
        <v>0</v>
      </c>
      <c r="F1041" s="716" t="str">
        <f t="shared" si="66"/>
        <v/>
      </c>
      <c r="G1041" s="470" t="str">
        <f t="shared" si="67"/>
        <v/>
      </c>
      <c r="H1041" s="524" t="str">
        <f t="shared" si="69"/>
        <v>否</v>
      </c>
      <c r="I1041" s="312" t="str">
        <f t="shared" si="68"/>
        <v>项</v>
      </c>
    </row>
    <row r="1042" s="372" customFormat="1" ht="24" hidden="1" customHeight="1" spans="1:9">
      <c r="A1042" s="330">
        <v>2150105</v>
      </c>
      <c r="B1042" s="379" t="s">
        <v>970</v>
      </c>
      <c r="C1042" s="602">
        <f>'[2]2'!E1035</f>
        <v>0</v>
      </c>
      <c r="D1042" s="714"/>
      <c r="E1042" s="713">
        <v>0</v>
      </c>
      <c r="F1042" s="716" t="str">
        <f t="shared" si="66"/>
        <v/>
      </c>
      <c r="G1042" s="470" t="str">
        <f t="shared" si="67"/>
        <v/>
      </c>
      <c r="H1042" s="524" t="str">
        <f t="shared" si="69"/>
        <v>否</v>
      </c>
      <c r="I1042" s="312" t="str">
        <f t="shared" si="68"/>
        <v>项</v>
      </c>
    </row>
    <row r="1043" s="372" customFormat="1" ht="24" hidden="1" customHeight="1" spans="1:9">
      <c r="A1043" s="330">
        <v>2150106</v>
      </c>
      <c r="B1043" s="379" t="s">
        <v>971</v>
      </c>
      <c r="C1043" s="602">
        <f>'[2]2'!E1036</f>
        <v>0</v>
      </c>
      <c r="D1043" s="714"/>
      <c r="E1043" s="713">
        <v>0</v>
      </c>
      <c r="F1043" s="716" t="str">
        <f t="shared" si="66"/>
        <v/>
      </c>
      <c r="G1043" s="470" t="str">
        <f t="shared" si="67"/>
        <v/>
      </c>
      <c r="H1043" s="524" t="str">
        <f t="shared" si="69"/>
        <v>否</v>
      </c>
      <c r="I1043" s="312" t="str">
        <f t="shared" si="68"/>
        <v>项</v>
      </c>
    </row>
    <row r="1044" s="372" customFormat="1" ht="24" hidden="1" customHeight="1" spans="1:9">
      <c r="A1044" s="330">
        <v>2150107</v>
      </c>
      <c r="B1044" s="379" t="s">
        <v>972</v>
      </c>
      <c r="C1044" s="602">
        <f>'[2]2'!E1037</f>
        <v>0</v>
      </c>
      <c r="D1044" s="714"/>
      <c r="E1044" s="713">
        <v>0</v>
      </c>
      <c r="F1044" s="716" t="str">
        <f t="shared" si="66"/>
        <v/>
      </c>
      <c r="G1044" s="470" t="str">
        <f t="shared" si="67"/>
        <v/>
      </c>
      <c r="H1044" s="524" t="str">
        <f t="shared" si="69"/>
        <v>否</v>
      </c>
      <c r="I1044" s="312" t="str">
        <f t="shared" si="68"/>
        <v>项</v>
      </c>
    </row>
    <row r="1045" s="372" customFormat="1" ht="24" hidden="1" customHeight="1" spans="1:9">
      <c r="A1045" s="330">
        <v>2150108</v>
      </c>
      <c r="B1045" s="379" t="s">
        <v>973</v>
      </c>
      <c r="C1045" s="602">
        <f>'[2]2'!E1038</f>
        <v>0</v>
      </c>
      <c r="D1045" s="714"/>
      <c r="E1045" s="713">
        <v>0</v>
      </c>
      <c r="F1045" s="716" t="str">
        <f t="shared" si="66"/>
        <v/>
      </c>
      <c r="G1045" s="470" t="str">
        <f t="shared" si="67"/>
        <v/>
      </c>
      <c r="H1045" s="524" t="str">
        <f t="shared" si="69"/>
        <v>否</v>
      </c>
      <c r="I1045" s="312" t="str">
        <f t="shared" si="68"/>
        <v>项</v>
      </c>
    </row>
    <row r="1046" s="372" customFormat="1" ht="24" hidden="1" customHeight="1" spans="1:9">
      <c r="A1046" s="330">
        <v>2150199</v>
      </c>
      <c r="B1046" s="379" t="s">
        <v>974</v>
      </c>
      <c r="C1046" s="602">
        <f>'[2]2'!E1039</f>
        <v>276</v>
      </c>
      <c r="D1046" s="714">
        <v>261</v>
      </c>
      <c r="E1046" s="713">
        <v>190</v>
      </c>
      <c r="F1046" s="716">
        <f t="shared" si="66"/>
        <v>-0.311594202898551</v>
      </c>
      <c r="G1046" s="470">
        <f t="shared" si="67"/>
        <v>0.727969348659004</v>
      </c>
      <c r="H1046" s="524" t="str">
        <f t="shared" si="69"/>
        <v>是</v>
      </c>
      <c r="I1046" s="312" t="str">
        <f t="shared" si="68"/>
        <v>项</v>
      </c>
    </row>
    <row r="1047" s="372" customFormat="1" ht="24" hidden="1" customHeight="1" spans="1:9">
      <c r="A1047" s="330">
        <v>21502</v>
      </c>
      <c r="B1047" s="379" t="s">
        <v>975</v>
      </c>
      <c r="C1047" s="602">
        <f>SUM(C1048:C1062)</f>
        <v>0</v>
      </c>
      <c r="D1047" s="713">
        <f>SUM(D1048:D1062)</f>
        <v>0</v>
      </c>
      <c r="E1047" s="713">
        <f>SUM(E1048:E1062)</f>
        <v>0</v>
      </c>
      <c r="F1047" s="716" t="str">
        <f t="shared" si="66"/>
        <v/>
      </c>
      <c r="G1047" s="470" t="str">
        <f t="shared" si="67"/>
        <v/>
      </c>
      <c r="H1047" s="524" t="str">
        <f t="shared" si="69"/>
        <v>否</v>
      </c>
      <c r="I1047" s="312" t="str">
        <f t="shared" si="68"/>
        <v>款</v>
      </c>
    </row>
    <row r="1048" s="372" customFormat="1" ht="24" hidden="1" customHeight="1" spans="1:9">
      <c r="A1048" s="330">
        <v>2150201</v>
      </c>
      <c r="B1048" s="379" t="s">
        <v>212</v>
      </c>
      <c r="C1048" s="602">
        <f>'[2]2'!E1041</f>
        <v>0</v>
      </c>
      <c r="D1048" s="714"/>
      <c r="E1048" s="713">
        <v>0</v>
      </c>
      <c r="F1048" s="716" t="str">
        <f t="shared" si="66"/>
        <v/>
      </c>
      <c r="G1048" s="470" t="str">
        <f t="shared" si="67"/>
        <v/>
      </c>
      <c r="H1048" s="524" t="str">
        <f t="shared" si="69"/>
        <v>否</v>
      </c>
      <c r="I1048" s="312" t="str">
        <f t="shared" si="68"/>
        <v>项</v>
      </c>
    </row>
    <row r="1049" ht="24" hidden="1" customHeight="1" spans="1:9">
      <c r="A1049" s="330">
        <v>2150202</v>
      </c>
      <c r="B1049" s="379" t="s">
        <v>213</v>
      </c>
      <c r="C1049" s="602">
        <f>'[2]2'!E1042</f>
        <v>0</v>
      </c>
      <c r="D1049" s="714"/>
      <c r="E1049" s="713">
        <v>0</v>
      </c>
      <c r="F1049" s="716" t="str">
        <f t="shared" si="66"/>
        <v/>
      </c>
      <c r="G1049" s="470" t="str">
        <f t="shared" si="67"/>
        <v/>
      </c>
      <c r="H1049" s="524" t="str">
        <f t="shared" si="69"/>
        <v>否</v>
      </c>
      <c r="I1049" s="312" t="str">
        <f t="shared" si="68"/>
        <v>项</v>
      </c>
    </row>
    <row r="1050" s="372" customFormat="1" ht="24" hidden="1" customHeight="1" spans="1:9">
      <c r="A1050" s="330">
        <v>2150203</v>
      </c>
      <c r="B1050" s="379" t="s">
        <v>214</v>
      </c>
      <c r="C1050" s="602">
        <f>'[2]2'!E1043</f>
        <v>0</v>
      </c>
      <c r="D1050" s="714"/>
      <c r="E1050" s="713">
        <v>0</v>
      </c>
      <c r="F1050" s="716" t="str">
        <f t="shared" si="66"/>
        <v/>
      </c>
      <c r="G1050" s="470" t="str">
        <f t="shared" si="67"/>
        <v/>
      </c>
      <c r="H1050" s="524" t="str">
        <f t="shared" si="69"/>
        <v>否</v>
      </c>
      <c r="I1050" s="312" t="str">
        <f t="shared" si="68"/>
        <v>项</v>
      </c>
    </row>
    <row r="1051" s="372" customFormat="1" ht="24" hidden="1" customHeight="1" spans="1:9">
      <c r="A1051" s="330">
        <v>2150204</v>
      </c>
      <c r="B1051" s="379" t="s">
        <v>976</v>
      </c>
      <c r="C1051" s="602">
        <f>'[2]2'!E1044</f>
        <v>0</v>
      </c>
      <c r="D1051" s="714"/>
      <c r="E1051" s="713">
        <v>0</v>
      </c>
      <c r="F1051" s="716" t="str">
        <f t="shared" si="66"/>
        <v/>
      </c>
      <c r="G1051" s="470" t="str">
        <f t="shared" si="67"/>
        <v/>
      </c>
      <c r="H1051" s="524" t="str">
        <f t="shared" si="69"/>
        <v>否</v>
      </c>
      <c r="I1051" s="312" t="str">
        <f t="shared" si="68"/>
        <v>项</v>
      </c>
    </row>
    <row r="1052" s="372" customFormat="1" ht="24" hidden="1" customHeight="1" spans="1:9">
      <c r="A1052" s="330">
        <v>2150205</v>
      </c>
      <c r="B1052" s="379" t="s">
        <v>977</v>
      </c>
      <c r="C1052" s="602">
        <f>'[2]2'!E1045</f>
        <v>0</v>
      </c>
      <c r="D1052" s="714"/>
      <c r="E1052" s="713">
        <v>0</v>
      </c>
      <c r="F1052" s="716" t="str">
        <f t="shared" si="66"/>
        <v/>
      </c>
      <c r="G1052" s="470" t="str">
        <f t="shared" si="67"/>
        <v/>
      </c>
      <c r="H1052" s="524" t="str">
        <f t="shared" si="69"/>
        <v>否</v>
      </c>
      <c r="I1052" s="312" t="str">
        <f t="shared" si="68"/>
        <v>项</v>
      </c>
    </row>
    <row r="1053" s="372" customFormat="1" ht="24" hidden="1" customHeight="1" spans="1:9">
      <c r="A1053" s="330">
        <v>2150206</v>
      </c>
      <c r="B1053" s="379" t="s">
        <v>978</v>
      </c>
      <c r="C1053" s="602">
        <f>'[2]2'!E1046</f>
        <v>0</v>
      </c>
      <c r="D1053" s="714"/>
      <c r="E1053" s="713">
        <v>0</v>
      </c>
      <c r="F1053" s="716" t="str">
        <f t="shared" si="66"/>
        <v/>
      </c>
      <c r="G1053" s="470" t="str">
        <f t="shared" si="67"/>
        <v/>
      </c>
      <c r="H1053" s="524" t="str">
        <f t="shared" si="69"/>
        <v>否</v>
      </c>
      <c r="I1053" s="312" t="str">
        <f t="shared" si="68"/>
        <v>项</v>
      </c>
    </row>
    <row r="1054" ht="24" hidden="1" customHeight="1" spans="1:9">
      <c r="A1054" s="330">
        <v>2150207</v>
      </c>
      <c r="B1054" s="379" t="s">
        <v>979</v>
      </c>
      <c r="C1054" s="602">
        <f>'[2]2'!E1047</f>
        <v>0</v>
      </c>
      <c r="D1054" s="714"/>
      <c r="E1054" s="713">
        <v>0</v>
      </c>
      <c r="F1054" s="716" t="str">
        <f t="shared" si="66"/>
        <v/>
      </c>
      <c r="G1054" s="470" t="str">
        <f t="shared" si="67"/>
        <v/>
      </c>
      <c r="H1054" s="524" t="str">
        <f t="shared" si="69"/>
        <v>否</v>
      </c>
      <c r="I1054" s="312" t="str">
        <f t="shared" si="68"/>
        <v>项</v>
      </c>
    </row>
    <row r="1055" s="372" customFormat="1" ht="24" hidden="1" customHeight="1" spans="1:9">
      <c r="A1055" s="330">
        <v>2150208</v>
      </c>
      <c r="B1055" s="379" t="s">
        <v>980</v>
      </c>
      <c r="C1055" s="602">
        <f>'[2]2'!E1048</f>
        <v>0</v>
      </c>
      <c r="D1055" s="714"/>
      <c r="E1055" s="713">
        <v>0</v>
      </c>
      <c r="F1055" s="716" t="str">
        <f t="shared" si="66"/>
        <v/>
      </c>
      <c r="G1055" s="470" t="str">
        <f t="shared" si="67"/>
        <v/>
      </c>
      <c r="H1055" s="524" t="str">
        <f t="shared" si="69"/>
        <v>否</v>
      </c>
      <c r="I1055" s="312" t="str">
        <f t="shared" si="68"/>
        <v>项</v>
      </c>
    </row>
    <row r="1056" s="372" customFormat="1" ht="24" hidden="1" customHeight="1" spans="1:9">
      <c r="A1056" s="330">
        <v>2150209</v>
      </c>
      <c r="B1056" s="379" t="s">
        <v>981</v>
      </c>
      <c r="C1056" s="602">
        <f>'[2]2'!E1049</f>
        <v>0</v>
      </c>
      <c r="D1056" s="714"/>
      <c r="E1056" s="713">
        <v>0</v>
      </c>
      <c r="F1056" s="716" t="str">
        <f t="shared" si="66"/>
        <v/>
      </c>
      <c r="G1056" s="470" t="str">
        <f t="shared" si="67"/>
        <v/>
      </c>
      <c r="H1056" s="524" t="str">
        <f t="shared" si="69"/>
        <v>否</v>
      </c>
      <c r="I1056" s="312" t="str">
        <f t="shared" si="68"/>
        <v>项</v>
      </c>
    </row>
    <row r="1057" s="372" customFormat="1" ht="24" hidden="1" customHeight="1" spans="1:9">
      <c r="A1057" s="330">
        <v>2150210</v>
      </c>
      <c r="B1057" s="379" t="s">
        <v>982</v>
      </c>
      <c r="C1057" s="602">
        <f>'[2]2'!E1050</f>
        <v>0</v>
      </c>
      <c r="D1057" s="714"/>
      <c r="E1057" s="713">
        <v>0</v>
      </c>
      <c r="F1057" s="716" t="str">
        <f t="shared" si="66"/>
        <v/>
      </c>
      <c r="G1057" s="470" t="str">
        <f t="shared" si="67"/>
        <v/>
      </c>
      <c r="H1057" s="524" t="str">
        <f t="shared" si="69"/>
        <v>否</v>
      </c>
      <c r="I1057" s="312" t="str">
        <f t="shared" si="68"/>
        <v>项</v>
      </c>
    </row>
    <row r="1058" s="372" customFormat="1" ht="24" hidden="1" customHeight="1" spans="1:9">
      <c r="A1058" s="330">
        <v>2150212</v>
      </c>
      <c r="B1058" s="379" t="s">
        <v>983</v>
      </c>
      <c r="C1058" s="602">
        <f>'[2]2'!E1051</f>
        <v>0</v>
      </c>
      <c r="D1058" s="714"/>
      <c r="E1058" s="713">
        <v>0</v>
      </c>
      <c r="F1058" s="716" t="str">
        <f t="shared" si="66"/>
        <v/>
      </c>
      <c r="G1058" s="470" t="str">
        <f t="shared" si="67"/>
        <v/>
      </c>
      <c r="H1058" s="524" t="str">
        <f t="shared" si="69"/>
        <v>否</v>
      </c>
      <c r="I1058" s="312" t="str">
        <f t="shared" si="68"/>
        <v>项</v>
      </c>
    </row>
    <row r="1059" s="372" customFormat="1" ht="24" hidden="1" customHeight="1" spans="1:9">
      <c r="A1059" s="330">
        <v>2150213</v>
      </c>
      <c r="B1059" s="379" t="s">
        <v>984</v>
      </c>
      <c r="C1059" s="602">
        <f>'[2]2'!E1052</f>
        <v>0</v>
      </c>
      <c r="D1059" s="714"/>
      <c r="E1059" s="713">
        <v>0</v>
      </c>
      <c r="F1059" s="716" t="str">
        <f t="shared" si="66"/>
        <v/>
      </c>
      <c r="G1059" s="470" t="str">
        <f t="shared" si="67"/>
        <v/>
      </c>
      <c r="H1059" s="524" t="str">
        <f t="shared" si="69"/>
        <v>否</v>
      </c>
      <c r="I1059" s="312" t="str">
        <f t="shared" si="68"/>
        <v>项</v>
      </c>
    </row>
    <row r="1060" s="372" customFormat="1" ht="24" hidden="1" customHeight="1" spans="1:9">
      <c r="A1060" s="330">
        <v>2150214</v>
      </c>
      <c r="B1060" s="379" t="s">
        <v>985</v>
      </c>
      <c r="C1060" s="602">
        <f>'[2]2'!E1053</f>
        <v>0</v>
      </c>
      <c r="D1060" s="714"/>
      <c r="E1060" s="713">
        <v>0</v>
      </c>
      <c r="F1060" s="716" t="str">
        <f t="shared" si="66"/>
        <v/>
      </c>
      <c r="G1060" s="470" t="str">
        <f t="shared" si="67"/>
        <v/>
      </c>
      <c r="H1060" s="524" t="str">
        <f t="shared" si="69"/>
        <v>否</v>
      </c>
      <c r="I1060" s="312" t="str">
        <f t="shared" si="68"/>
        <v>项</v>
      </c>
    </row>
    <row r="1061" ht="24" hidden="1" customHeight="1" spans="1:9">
      <c r="A1061" s="330">
        <v>2150215</v>
      </c>
      <c r="B1061" s="379" t="s">
        <v>986</v>
      </c>
      <c r="C1061" s="602">
        <f>'[2]2'!E1054</f>
        <v>0</v>
      </c>
      <c r="D1061" s="714"/>
      <c r="E1061" s="713">
        <v>0</v>
      </c>
      <c r="F1061" s="716" t="str">
        <f t="shared" si="66"/>
        <v/>
      </c>
      <c r="G1061" s="470" t="str">
        <f t="shared" si="67"/>
        <v/>
      </c>
      <c r="H1061" s="524" t="str">
        <f t="shared" si="69"/>
        <v>否</v>
      </c>
      <c r="I1061" s="312" t="str">
        <f t="shared" si="68"/>
        <v>项</v>
      </c>
    </row>
    <row r="1062" s="372" customFormat="1" ht="24" hidden="1" customHeight="1" spans="1:9">
      <c r="A1062" s="330">
        <v>2150299</v>
      </c>
      <c r="B1062" s="379" t="s">
        <v>987</v>
      </c>
      <c r="C1062" s="602">
        <f>'[2]2'!E1055</f>
        <v>0</v>
      </c>
      <c r="D1062" s="714"/>
      <c r="E1062" s="713">
        <v>0</v>
      </c>
      <c r="F1062" s="716" t="str">
        <f t="shared" si="66"/>
        <v/>
      </c>
      <c r="G1062" s="470" t="str">
        <f t="shared" si="67"/>
        <v/>
      </c>
      <c r="H1062" s="524" t="str">
        <f t="shared" si="69"/>
        <v>否</v>
      </c>
      <c r="I1062" s="312" t="str">
        <f t="shared" si="68"/>
        <v>项</v>
      </c>
    </row>
    <row r="1063" s="372" customFormat="1" ht="24" customHeight="1" spans="1:9">
      <c r="A1063" s="330">
        <v>21503</v>
      </c>
      <c r="B1063" s="379" t="s">
        <v>988</v>
      </c>
      <c r="C1063" s="602">
        <f>SUM(C1064:C1067)</f>
        <v>940</v>
      </c>
      <c r="D1063" s="713">
        <f>SUM(D1064:D1067)</f>
        <v>921</v>
      </c>
      <c r="E1063" s="713">
        <f>SUM(E1064:E1067)</f>
        <v>100</v>
      </c>
      <c r="F1063" s="716">
        <f t="shared" si="66"/>
        <v>-0.893617021276596</v>
      </c>
      <c r="G1063" s="470">
        <f t="shared" si="67"/>
        <v>0.1085776330076</v>
      </c>
      <c r="H1063" s="524" t="str">
        <f t="shared" si="69"/>
        <v>是</v>
      </c>
      <c r="I1063" s="312" t="str">
        <f t="shared" si="68"/>
        <v>款</v>
      </c>
    </row>
    <row r="1064" s="372" customFormat="1" ht="24" hidden="1" customHeight="1" spans="1:9">
      <c r="A1064" s="330">
        <v>2150301</v>
      </c>
      <c r="B1064" s="379" t="s">
        <v>212</v>
      </c>
      <c r="C1064" s="602">
        <f>'[2]2'!E1057</f>
        <v>0</v>
      </c>
      <c r="D1064" s="714"/>
      <c r="E1064" s="713">
        <v>0</v>
      </c>
      <c r="F1064" s="716" t="str">
        <f t="shared" si="66"/>
        <v/>
      </c>
      <c r="G1064" s="470" t="str">
        <f t="shared" si="67"/>
        <v/>
      </c>
      <c r="H1064" s="524" t="str">
        <f t="shared" si="69"/>
        <v>否</v>
      </c>
      <c r="I1064" s="312" t="str">
        <f t="shared" si="68"/>
        <v>项</v>
      </c>
    </row>
    <row r="1065" s="372" customFormat="1" ht="24" hidden="1" customHeight="1" spans="1:9">
      <c r="A1065" s="330">
        <v>2150302</v>
      </c>
      <c r="B1065" s="379" t="s">
        <v>213</v>
      </c>
      <c r="C1065" s="602">
        <f>'[2]2'!E1058</f>
        <v>0</v>
      </c>
      <c r="D1065" s="714"/>
      <c r="E1065" s="713">
        <v>0</v>
      </c>
      <c r="F1065" s="716" t="str">
        <f t="shared" si="66"/>
        <v/>
      </c>
      <c r="G1065" s="470" t="str">
        <f t="shared" si="67"/>
        <v/>
      </c>
      <c r="H1065" s="524" t="str">
        <f t="shared" si="69"/>
        <v>否</v>
      </c>
      <c r="I1065" s="312" t="str">
        <f t="shared" si="68"/>
        <v>项</v>
      </c>
    </row>
    <row r="1066" ht="24" hidden="1" customHeight="1" spans="1:9">
      <c r="A1066" s="330">
        <v>2150303</v>
      </c>
      <c r="B1066" s="379" t="s">
        <v>214</v>
      </c>
      <c r="C1066" s="602">
        <f>'[2]2'!E1059</f>
        <v>0</v>
      </c>
      <c r="D1066" s="714"/>
      <c r="E1066" s="713">
        <v>0</v>
      </c>
      <c r="F1066" s="716" t="str">
        <f t="shared" si="66"/>
        <v/>
      </c>
      <c r="G1066" s="470" t="str">
        <f t="shared" si="67"/>
        <v/>
      </c>
      <c r="H1066" s="524" t="str">
        <f t="shared" si="69"/>
        <v>否</v>
      </c>
      <c r="I1066" s="312" t="str">
        <f t="shared" si="68"/>
        <v>项</v>
      </c>
    </row>
    <row r="1067" s="372" customFormat="1" ht="24" hidden="1" customHeight="1" spans="1:9">
      <c r="A1067" s="330">
        <v>2150399</v>
      </c>
      <c r="B1067" s="379" t="s">
        <v>989</v>
      </c>
      <c r="C1067" s="602">
        <f>'[2]2'!E1060</f>
        <v>940</v>
      </c>
      <c r="D1067" s="714">
        <v>921</v>
      </c>
      <c r="E1067" s="713">
        <v>100</v>
      </c>
      <c r="F1067" s="716">
        <f t="shared" si="66"/>
        <v>-0.893617021276596</v>
      </c>
      <c r="G1067" s="470">
        <f t="shared" si="67"/>
        <v>0.1085776330076</v>
      </c>
      <c r="H1067" s="524" t="str">
        <f t="shared" si="69"/>
        <v>是</v>
      </c>
      <c r="I1067" s="312" t="str">
        <f t="shared" si="68"/>
        <v>项</v>
      </c>
    </row>
    <row r="1068" s="374" customFormat="1" ht="24" customHeight="1" spans="1:9">
      <c r="A1068" s="331">
        <v>21505</v>
      </c>
      <c r="B1068" s="327" t="s">
        <v>990</v>
      </c>
      <c r="C1068" s="608">
        <f>SUM(C1069:C1078)</f>
        <v>8052</v>
      </c>
      <c r="D1068" s="710">
        <f>SUM(D1069:D1078)</f>
        <v>8145</v>
      </c>
      <c r="E1068" s="710">
        <f>SUM(E1069:E1078)</f>
        <v>7285</v>
      </c>
      <c r="F1068" s="716">
        <f t="shared" si="66"/>
        <v>-0.0952558370591157</v>
      </c>
      <c r="G1068" s="470">
        <f t="shared" si="67"/>
        <v>0.894413750767342</v>
      </c>
      <c r="H1068" s="524" t="str">
        <f t="shared" si="69"/>
        <v>是</v>
      </c>
      <c r="I1068" s="313" t="str">
        <f t="shared" si="68"/>
        <v>款</v>
      </c>
    </row>
    <row r="1069" ht="24" hidden="1" customHeight="1" spans="1:9">
      <c r="A1069" s="330">
        <v>2150501</v>
      </c>
      <c r="B1069" s="379" t="s">
        <v>212</v>
      </c>
      <c r="C1069" s="602">
        <f>'[2]2'!E1062</f>
        <v>1007</v>
      </c>
      <c r="D1069" s="714">
        <v>1125</v>
      </c>
      <c r="E1069" s="713">
        <v>1014</v>
      </c>
      <c r="F1069" s="716">
        <f t="shared" si="66"/>
        <v>0.00695134061569017</v>
      </c>
      <c r="G1069" s="470">
        <f t="shared" si="67"/>
        <v>0.901333333333333</v>
      </c>
      <c r="H1069" s="524" t="str">
        <f t="shared" si="69"/>
        <v>是</v>
      </c>
      <c r="I1069" s="312" t="str">
        <f t="shared" si="68"/>
        <v>项</v>
      </c>
    </row>
    <row r="1070" ht="24" hidden="1" customHeight="1" spans="1:9">
      <c r="A1070" s="330">
        <v>2150502</v>
      </c>
      <c r="B1070" s="379" t="s">
        <v>213</v>
      </c>
      <c r="C1070" s="602">
        <f>'[2]2'!E1063</f>
        <v>39</v>
      </c>
      <c r="D1070" s="714">
        <v>36</v>
      </c>
      <c r="E1070" s="713">
        <v>31</v>
      </c>
      <c r="F1070" s="716">
        <f t="shared" si="66"/>
        <v>-0.205128205128205</v>
      </c>
      <c r="G1070" s="470">
        <f t="shared" si="67"/>
        <v>0.861111111111111</v>
      </c>
      <c r="H1070" s="524" t="str">
        <f t="shared" si="69"/>
        <v>是</v>
      </c>
      <c r="I1070" s="312" t="str">
        <f t="shared" si="68"/>
        <v>项</v>
      </c>
    </row>
    <row r="1071" s="372" customFormat="1" ht="24" hidden="1" customHeight="1" spans="1:9">
      <c r="A1071" s="330">
        <v>2150503</v>
      </c>
      <c r="B1071" s="379" t="s">
        <v>214</v>
      </c>
      <c r="C1071" s="602">
        <f>'[2]2'!E1064</f>
        <v>0</v>
      </c>
      <c r="D1071" s="714"/>
      <c r="E1071" s="713">
        <v>0</v>
      </c>
      <c r="F1071" s="716" t="str">
        <f t="shared" si="66"/>
        <v/>
      </c>
      <c r="G1071" s="470" t="str">
        <f t="shared" si="67"/>
        <v/>
      </c>
      <c r="H1071" s="524" t="str">
        <f t="shared" si="69"/>
        <v>否</v>
      </c>
      <c r="I1071" s="312" t="str">
        <f t="shared" si="68"/>
        <v>项</v>
      </c>
    </row>
    <row r="1072" s="372" customFormat="1" ht="24" hidden="1" customHeight="1" spans="1:9">
      <c r="A1072" s="330">
        <v>2150505</v>
      </c>
      <c r="B1072" s="379" t="s">
        <v>991</v>
      </c>
      <c r="C1072" s="602">
        <f>'[2]2'!E1065</f>
        <v>0</v>
      </c>
      <c r="D1072" s="714"/>
      <c r="E1072" s="713">
        <v>0</v>
      </c>
      <c r="F1072" s="716" t="str">
        <f t="shared" si="66"/>
        <v/>
      </c>
      <c r="G1072" s="470" t="str">
        <f t="shared" si="67"/>
        <v/>
      </c>
      <c r="H1072" s="524" t="str">
        <f t="shared" si="69"/>
        <v>否</v>
      </c>
      <c r="I1072" s="312" t="str">
        <f t="shared" si="68"/>
        <v>项</v>
      </c>
    </row>
    <row r="1073" s="372" customFormat="1" ht="24" hidden="1" customHeight="1" spans="1:9">
      <c r="A1073" s="330">
        <v>2150507</v>
      </c>
      <c r="B1073" s="379" t="s">
        <v>992</v>
      </c>
      <c r="C1073" s="602">
        <f>'[2]2'!E1066</f>
        <v>0</v>
      </c>
      <c r="D1073" s="714"/>
      <c r="E1073" s="713">
        <v>0</v>
      </c>
      <c r="F1073" s="716" t="str">
        <f t="shared" si="66"/>
        <v/>
      </c>
      <c r="G1073" s="470" t="str">
        <f t="shared" si="67"/>
        <v/>
      </c>
      <c r="H1073" s="524" t="str">
        <f t="shared" si="69"/>
        <v>否</v>
      </c>
      <c r="I1073" s="312" t="str">
        <f t="shared" si="68"/>
        <v>项</v>
      </c>
    </row>
    <row r="1074" s="372" customFormat="1" ht="24" hidden="1" customHeight="1" spans="1:9">
      <c r="A1074" s="330">
        <v>2150508</v>
      </c>
      <c r="B1074" s="379" t="s">
        <v>993</v>
      </c>
      <c r="C1074" s="602">
        <f>'[2]2'!E1067</f>
        <v>600</v>
      </c>
      <c r="D1074" s="714">
        <v>586</v>
      </c>
      <c r="E1074" s="713">
        <v>89</v>
      </c>
      <c r="F1074" s="716">
        <f t="shared" si="66"/>
        <v>-0.851666666666667</v>
      </c>
      <c r="G1074" s="470">
        <f t="shared" si="67"/>
        <v>0.151877133105802</v>
      </c>
      <c r="H1074" s="524" t="str">
        <f t="shared" si="69"/>
        <v>是</v>
      </c>
      <c r="I1074" s="312" t="str">
        <f t="shared" si="68"/>
        <v>项</v>
      </c>
    </row>
    <row r="1075" s="372" customFormat="1" ht="24" hidden="1" customHeight="1" spans="1:9">
      <c r="A1075" s="717">
        <v>2150516</v>
      </c>
      <c r="B1075" s="543" t="s">
        <v>994</v>
      </c>
      <c r="C1075" s="602">
        <f>'[2]2'!E1068</f>
        <v>5823</v>
      </c>
      <c r="D1075" s="714">
        <v>5825</v>
      </c>
      <c r="E1075" s="713">
        <v>585</v>
      </c>
      <c r="F1075" s="716">
        <f t="shared" si="66"/>
        <v>-0.899536321483771</v>
      </c>
      <c r="G1075" s="470">
        <f t="shared" si="67"/>
        <v>0.100429184549356</v>
      </c>
      <c r="H1075" s="524" t="str">
        <f t="shared" si="69"/>
        <v>是</v>
      </c>
      <c r="I1075" s="312" t="str">
        <f t="shared" si="68"/>
        <v>项</v>
      </c>
    </row>
    <row r="1076" s="372" customFormat="1" ht="24" hidden="1" customHeight="1" spans="1:9">
      <c r="A1076" s="717">
        <v>2150517</v>
      </c>
      <c r="B1076" s="543" t="s">
        <v>995</v>
      </c>
      <c r="C1076" s="602">
        <f>'[2]2'!E1069</f>
        <v>0</v>
      </c>
      <c r="D1076" s="714"/>
      <c r="E1076" s="713">
        <v>755</v>
      </c>
      <c r="F1076" s="716" t="str">
        <f t="shared" si="66"/>
        <v/>
      </c>
      <c r="G1076" s="470" t="str">
        <f t="shared" si="67"/>
        <v/>
      </c>
      <c r="H1076" s="524" t="str">
        <f t="shared" si="69"/>
        <v>是</v>
      </c>
      <c r="I1076" s="312" t="str">
        <f t="shared" si="68"/>
        <v>项</v>
      </c>
    </row>
    <row r="1077" s="372" customFormat="1" ht="24" hidden="1" customHeight="1" spans="1:9">
      <c r="A1077" s="717">
        <v>2150550</v>
      </c>
      <c r="B1077" s="543" t="s">
        <v>221</v>
      </c>
      <c r="C1077" s="602">
        <f>'[2]2'!E1070</f>
        <v>157</v>
      </c>
      <c r="D1077" s="714">
        <v>162</v>
      </c>
      <c r="E1077" s="713">
        <v>167</v>
      </c>
      <c r="F1077" s="716">
        <f t="shared" si="66"/>
        <v>0.0636942675159236</v>
      </c>
      <c r="G1077" s="470">
        <f t="shared" si="67"/>
        <v>1.03086419753086</v>
      </c>
      <c r="H1077" s="524" t="str">
        <f t="shared" si="69"/>
        <v>是</v>
      </c>
      <c r="I1077" s="312" t="str">
        <f t="shared" si="68"/>
        <v>项</v>
      </c>
    </row>
    <row r="1078" s="374" customFormat="1" ht="24" hidden="1" customHeight="1" spans="1:9">
      <c r="A1078" s="331">
        <v>2150599</v>
      </c>
      <c r="B1078" s="327" t="s">
        <v>996</v>
      </c>
      <c r="C1078" s="608">
        <f>'[2]2'!E1071</f>
        <v>426</v>
      </c>
      <c r="D1078" s="709">
        <v>411</v>
      </c>
      <c r="E1078" s="713">
        <v>4644</v>
      </c>
      <c r="F1078" s="716">
        <f t="shared" si="66"/>
        <v>9.90140845070423</v>
      </c>
      <c r="G1078" s="470">
        <f t="shared" si="67"/>
        <v>11.2992700729927</v>
      </c>
      <c r="H1078" s="524" t="str">
        <f t="shared" si="69"/>
        <v>是</v>
      </c>
      <c r="I1078" s="313" t="str">
        <f t="shared" si="68"/>
        <v>项</v>
      </c>
    </row>
    <row r="1079" s="372" customFormat="1" ht="24" customHeight="1" spans="1:9">
      <c r="A1079" s="330">
        <v>21507</v>
      </c>
      <c r="B1079" s="379" t="s">
        <v>997</v>
      </c>
      <c r="C1079" s="602">
        <f>SUM(C1080:C1085)</f>
        <v>62535</v>
      </c>
      <c r="D1079" s="713">
        <f>SUM(D1080:D1085)</f>
        <v>57070</v>
      </c>
      <c r="E1079" s="713">
        <f>SUM(E1080:E1085)</f>
        <v>52080</v>
      </c>
      <c r="F1079" s="716">
        <f t="shared" si="66"/>
        <v>-0.167186375629647</v>
      </c>
      <c r="G1079" s="470">
        <f t="shared" si="67"/>
        <v>0.91256351848607</v>
      </c>
      <c r="H1079" s="524" t="str">
        <f t="shared" si="69"/>
        <v>是</v>
      </c>
      <c r="I1079" s="312" t="str">
        <f t="shared" si="68"/>
        <v>款</v>
      </c>
    </row>
    <row r="1080" ht="24" hidden="1" customHeight="1" spans="1:9">
      <c r="A1080" s="330">
        <v>2150701</v>
      </c>
      <c r="B1080" s="379" t="s">
        <v>212</v>
      </c>
      <c r="C1080" s="602">
        <f>'[2]2'!E1073</f>
        <v>279</v>
      </c>
      <c r="D1080" s="714">
        <v>284</v>
      </c>
      <c r="E1080" s="713">
        <v>325</v>
      </c>
      <c r="F1080" s="716">
        <f t="shared" si="66"/>
        <v>0.164874551971326</v>
      </c>
      <c r="G1080" s="470">
        <f t="shared" si="67"/>
        <v>1.1443661971831</v>
      </c>
      <c r="H1080" s="524" t="str">
        <f t="shared" si="69"/>
        <v>是</v>
      </c>
      <c r="I1080" s="312" t="str">
        <f t="shared" si="68"/>
        <v>项</v>
      </c>
    </row>
    <row r="1081" s="372" customFormat="1" ht="24" hidden="1" customHeight="1" spans="1:9">
      <c r="A1081" s="330">
        <v>2150702</v>
      </c>
      <c r="B1081" s="379" t="s">
        <v>213</v>
      </c>
      <c r="C1081" s="602">
        <f>'[2]2'!E1074</f>
        <v>19</v>
      </c>
      <c r="D1081" s="714">
        <v>18</v>
      </c>
      <c r="E1081" s="713">
        <v>0</v>
      </c>
      <c r="F1081" s="716">
        <f t="shared" si="66"/>
        <v>-1</v>
      </c>
      <c r="G1081" s="470">
        <f t="shared" si="67"/>
        <v>0</v>
      </c>
      <c r="H1081" s="524" t="str">
        <f t="shared" si="69"/>
        <v>是</v>
      </c>
      <c r="I1081" s="312" t="str">
        <f t="shared" si="68"/>
        <v>项</v>
      </c>
    </row>
    <row r="1082" s="372" customFormat="1" ht="24" hidden="1" customHeight="1" spans="1:9">
      <c r="A1082" s="330">
        <v>2150703</v>
      </c>
      <c r="B1082" s="379" t="s">
        <v>214</v>
      </c>
      <c r="C1082" s="602">
        <f>'[2]2'!E1075</f>
        <v>0</v>
      </c>
      <c r="D1082" s="714"/>
      <c r="E1082" s="713">
        <v>0</v>
      </c>
      <c r="F1082" s="716" t="str">
        <f t="shared" si="66"/>
        <v/>
      </c>
      <c r="G1082" s="470" t="str">
        <f t="shared" si="67"/>
        <v/>
      </c>
      <c r="H1082" s="524" t="str">
        <f t="shared" si="69"/>
        <v>否</v>
      </c>
      <c r="I1082" s="312" t="str">
        <f t="shared" si="68"/>
        <v>项</v>
      </c>
    </row>
    <row r="1083" s="372" customFormat="1" ht="24" hidden="1" customHeight="1" spans="1:9">
      <c r="A1083" s="330">
        <v>2150704</v>
      </c>
      <c r="B1083" s="379" t="s">
        <v>998</v>
      </c>
      <c r="C1083" s="602">
        <f>'[2]2'!E1076</f>
        <v>0</v>
      </c>
      <c r="D1083" s="714"/>
      <c r="E1083" s="713">
        <v>0</v>
      </c>
      <c r="F1083" s="716" t="str">
        <f t="shared" si="66"/>
        <v/>
      </c>
      <c r="G1083" s="470" t="str">
        <f t="shared" si="67"/>
        <v/>
      </c>
      <c r="H1083" s="524" t="str">
        <f t="shared" si="69"/>
        <v>否</v>
      </c>
      <c r="I1083" s="312" t="str">
        <f t="shared" si="68"/>
        <v>项</v>
      </c>
    </row>
    <row r="1084" s="372" customFormat="1" ht="24" hidden="1" customHeight="1" spans="1:9">
      <c r="A1084" s="330">
        <v>2150705</v>
      </c>
      <c r="B1084" s="379" t="s">
        <v>999</v>
      </c>
      <c r="C1084" s="602">
        <f>'[2]2'!E1077</f>
        <v>0</v>
      </c>
      <c r="D1084" s="714"/>
      <c r="E1084" s="713">
        <v>0</v>
      </c>
      <c r="F1084" s="716" t="str">
        <f t="shared" si="66"/>
        <v/>
      </c>
      <c r="G1084" s="470" t="str">
        <f t="shared" si="67"/>
        <v/>
      </c>
      <c r="H1084" s="524" t="str">
        <f t="shared" si="69"/>
        <v>否</v>
      </c>
      <c r="I1084" s="312" t="str">
        <f t="shared" si="68"/>
        <v>项</v>
      </c>
    </row>
    <row r="1085" s="372" customFormat="1" ht="24" hidden="1" customHeight="1" spans="1:9">
      <c r="A1085" s="330">
        <v>2150799</v>
      </c>
      <c r="B1085" s="379" t="s">
        <v>1000</v>
      </c>
      <c r="C1085" s="602">
        <f>'[2]2'!E1078</f>
        <v>62237</v>
      </c>
      <c r="D1085" s="714">
        <v>56768</v>
      </c>
      <c r="E1085" s="713">
        <v>51755</v>
      </c>
      <c r="F1085" s="716">
        <f t="shared" si="66"/>
        <v>-0.168420714366052</v>
      </c>
      <c r="G1085" s="470">
        <f t="shared" si="67"/>
        <v>0.911693207440812</v>
      </c>
      <c r="H1085" s="524" t="str">
        <f t="shared" si="69"/>
        <v>是</v>
      </c>
      <c r="I1085" s="312" t="str">
        <f t="shared" si="68"/>
        <v>项</v>
      </c>
    </row>
    <row r="1086" s="372" customFormat="1" ht="24" customHeight="1" spans="1:9">
      <c r="A1086" s="330">
        <v>21508</v>
      </c>
      <c r="B1086" s="379" t="s">
        <v>1001</v>
      </c>
      <c r="C1086" s="602">
        <f>SUM(C1087:C1093)</f>
        <v>3457</v>
      </c>
      <c r="D1086" s="713">
        <f>SUM(D1087:D1093)</f>
        <v>3456</v>
      </c>
      <c r="E1086" s="713">
        <f>SUM(E1087:E1093)</f>
        <v>15307</v>
      </c>
      <c r="F1086" s="716">
        <f t="shared" si="66"/>
        <v>3.42782759618166</v>
      </c>
      <c r="G1086" s="470">
        <f t="shared" si="67"/>
        <v>4.4291087962963</v>
      </c>
      <c r="H1086" s="524" t="str">
        <f t="shared" si="69"/>
        <v>是</v>
      </c>
      <c r="I1086" s="312" t="str">
        <f t="shared" si="68"/>
        <v>款</v>
      </c>
    </row>
    <row r="1087" s="372" customFormat="1" ht="24" hidden="1" customHeight="1" spans="1:9">
      <c r="A1087" s="330">
        <v>2150801</v>
      </c>
      <c r="B1087" s="379" t="s">
        <v>212</v>
      </c>
      <c r="C1087" s="602">
        <f>'[2]2'!E1080</f>
        <v>0</v>
      </c>
      <c r="D1087" s="714"/>
      <c r="E1087" s="713">
        <v>0</v>
      </c>
      <c r="F1087" s="716" t="str">
        <f t="shared" si="66"/>
        <v/>
      </c>
      <c r="G1087" s="470" t="str">
        <f t="shared" si="67"/>
        <v/>
      </c>
      <c r="H1087" s="524" t="str">
        <f t="shared" si="69"/>
        <v>否</v>
      </c>
      <c r="I1087" s="312" t="str">
        <f t="shared" si="68"/>
        <v>项</v>
      </c>
    </row>
    <row r="1088" s="372" customFormat="1" ht="24" hidden="1" customHeight="1" spans="1:9">
      <c r="A1088" s="330">
        <v>2150802</v>
      </c>
      <c r="B1088" s="379" t="s">
        <v>213</v>
      </c>
      <c r="C1088" s="602">
        <f>'[2]2'!E1081</f>
        <v>0</v>
      </c>
      <c r="D1088" s="714"/>
      <c r="E1088" s="713">
        <v>0</v>
      </c>
      <c r="F1088" s="716" t="str">
        <f t="shared" si="66"/>
        <v/>
      </c>
      <c r="G1088" s="470" t="str">
        <f t="shared" si="67"/>
        <v/>
      </c>
      <c r="H1088" s="524" t="str">
        <f t="shared" si="69"/>
        <v>否</v>
      </c>
      <c r="I1088" s="312" t="str">
        <f t="shared" si="68"/>
        <v>项</v>
      </c>
    </row>
    <row r="1089" s="372" customFormat="1" ht="24" hidden="1" customHeight="1" spans="1:9">
      <c r="A1089" s="330">
        <v>2150803</v>
      </c>
      <c r="B1089" s="379" t="s">
        <v>214</v>
      </c>
      <c r="C1089" s="602">
        <f>'[2]2'!E1082</f>
        <v>0</v>
      </c>
      <c r="D1089" s="714"/>
      <c r="E1089" s="713">
        <v>0</v>
      </c>
      <c r="F1089" s="716" t="str">
        <f t="shared" si="66"/>
        <v/>
      </c>
      <c r="G1089" s="470" t="str">
        <f t="shared" si="67"/>
        <v/>
      </c>
      <c r="H1089" s="524" t="str">
        <f t="shared" si="69"/>
        <v>否</v>
      </c>
      <c r="I1089" s="312" t="str">
        <f t="shared" si="68"/>
        <v>项</v>
      </c>
    </row>
    <row r="1090" s="372" customFormat="1" ht="24" hidden="1" customHeight="1" spans="1:9">
      <c r="A1090" s="330">
        <v>2150804</v>
      </c>
      <c r="B1090" s="379" t="s">
        <v>1002</v>
      </c>
      <c r="C1090" s="602">
        <f>'[2]2'!E1083</f>
        <v>0</v>
      </c>
      <c r="D1090" s="714"/>
      <c r="E1090" s="713">
        <v>0</v>
      </c>
      <c r="F1090" s="716" t="str">
        <f t="shared" si="66"/>
        <v/>
      </c>
      <c r="G1090" s="470" t="str">
        <f t="shared" si="67"/>
        <v/>
      </c>
      <c r="H1090" s="524" t="str">
        <f t="shared" si="69"/>
        <v>否</v>
      </c>
      <c r="I1090" s="312" t="str">
        <f t="shared" si="68"/>
        <v>项</v>
      </c>
    </row>
    <row r="1091" s="372" customFormat="1" ht="24" hidden="1" customHeight="1" spans="1:9">
      <c r="A1091" s="330">
        <v>2150805</v>
      </c>
      <c r="B1091" s="379" t="s">
        <v>1003</v>
      </c>
      <c r="C1091" s="602">
        <f>'[2]2'!E1084</f>
        <v>960</v>
      </c>
      <c r="D1091" s="714">
        <v>975</v>
      </c>
      <c r="E1091" s="713">
        <v>5863</v>
      </c>
      <c r="F1091" s="716">
        <f t="shared" si="66"/>
        <v>5.10729166666667</v>
      </c>
      <c r="G1091" s="470">
        <f t="shared" si="67"/>
        <v>6.01333333333333</v>
      </c>
      <c r="H1091" s="524" t="str">
        <f t="shared" si="69"/>
        <v>是</v>
      </c>
      <c r="I1091" s="312" t="str">
        <f t="shared" si="68"/>
        <v>项</v>
      </c>
    </row>
    <row r="1092" s="372" customFormat="1" ht="24" hidden="1" customHeight="1" spans="1:9">
      <c r="A1092" s="717">
        <v>2150806</v>
      </c>
      <c r="B1092" s="534" t="s">
        <v>1004</v>
      </c>
      <c r="C1092" s="602">
        <f>'[2]2'!E1085</f>
        <v>0</v>
      </c>
      <c r="D1092" s="714"/>
      <c r="E1092" s="713">
        <v>0</v>
      </c>
      <c r="F1092" s="716" t="str">
        <f t="shared" si="66"/>
        <v/>
      </c>
      <c r="G1092" s="470" t="str">
        <f t="shared" si="67"/>
        <v/>
      </c>
      <c r="H1092" s="524" t="str">
        <f t="shared" si="69"/>
        <v>否</v>
      </c>
      <c r="I1092" s="312" t="str">
        <f t="shared" si="68"/>
        <v>项</v>
      </c>
    </row>
    <row r="1093" s="372" customFormat="1" ht="24" hidden="1" customHeight="1" spans="1:9">
      <c r="A1093" s="330">
        <v>2150899</v>
      </c>
      <c r="B1093" s="379" t="s">
        <v>1005</v>
      </c>
      <c r="C1093" s="602">
        <f>'[2]2'!E1086</f>
        <v>2497</v>
      </c>
      <c r="D1093" s="714">
        <v>2481</v>
      </c>
      <c r="E1093" s="713">
        <v>9444</v>
      </c>
      <c r="F1093" s="716">
        <f t="shared" ref="F1093:F1156" si="70">IFERROR((E1093-C1093)/C1093,"")</f>
        <v>2.78213856627954</v>
      </c>
      <c r="G1093" s="470">
        <f t="shared" ref="G1093:G1156" si="71">IFERROR(E1093/D1093,"")</f>
        <v>3.80652962515115</v>
      </c>
      <c r="H1093" s="524" t="str">
        <f t="shared" si="69"/>
        <v>是</v>
      </c>
      <c r="I1093" s="312" t="str">
        <f t="shared" ref="I1093:I1156" si="72">IF(LEN(A1093)=3,"类",IF(LEN(A1093)=5,"款","项"))</f>
        <v>项</v>
      </c>
    </row>
    <row r="1094" s="372" customFormat="1" ht="24" customHeight="1" spans="1:9">
      <c r="A1094" s="330">
        <v>21599</v>
      </c>
      <c r="B1094" s="379" t="s">
        <v>1006</v>
      </c>
      <c r="C1094" s="602">
        <f>SUM(C1095:C1099)</f>
        <v>0</v>
      </c>
      <c r="D1094" s="713">
        <f>SUM(D1095:D1099)</f>
        <v>0</v>
      </c>
      <c r="E1094" s="713">
        <f>SUM(E1095:E1099)</f>
        <v>1349</v>
      </c>
      <c r="F1094" s="716" t="str">
        <f t="shared" si="70"/>
        <v/>
      </c>
      <c r="G1094" s="470" t="str">
        <f t="shared" si="71"/>
        <v/>
      </c>
      <c r="H1094" s="524" t="str">
        <f t="shared" ref="H1094:H1157" si="73">IF(LEN(A1094)=3,"是",IF(B1094&lt;&gt;"",IF(SUM(C1094:E1094)&lt;&gt;0,"是","否"),"是"))</f>
        <v>是</v>
      </c>
      <c r="I1094" s="312" t="str">
        <f t="shared" si="72"/>
        <v>款</v>
      </c>
    </row>
    <row r="1095" s="372" customFormat="1" ht="24" hidden="1" customHeight="1" spans="1:9">
      <c r="A1095" s="330">
        <v>2159901</v>
      </c>
      <c r="B1095" s="379" t="s">
        <v>1007</v>
      </c>
      <c r="C1095" s="602">
        <f>'[2]2'!E1088</f>
        <v>0</v>
      </c>
      <c r="D1095" s="714"/>
      <c r="E1095" s="713">
        <v>0</v>
      </c>
      <c r="F1095" s="716" t="str">
        <f t="shared" si="70"/>
        <v/>
      </c>
      <c r="G1095" s="470" t="str">
        <f t="shared" si="71"/>
        <v/>
      </c>
      <c r="H1095" s="524" t="str">
        <f t="shared" si="73"/>
        <v>否</v>
      </c>
      <c r="I1095" s="312" t="str">
        <f t="shared" si="72"/>
        <v>项</v>
      </c>
    </row>
    <row r="1096" ht="24" hidden="1" customHeight="1" spans="1:9">
      <c r="A1096" s="330">
        <v>2159904</v>
      </c>
      <c r="B1096" s="379" t="s">
        <v>1008</v>
      </c>
      <c r="C1096" s="602">
        <f>'[2]2'!E1089</f>
        <v>0</v>
      </c>
      <c r="D1096" s="714"/>
      <c r="E1096" s="713">
        <v>0</v>
      </c>
      <c r="F1096" s="716" t="str">
        <f t="shared" si="70"/>
        <v/>
      </c>
      <c r="G1096" s="470" t="str">
        <f t="shared" si="71"/>
        <v/>
      </c>
      <c r="H1096" s="524" t="str">
        <f t="shared" si="73"/>
        <v>否</v>
      </c>
      <c r="I1096" s="312" t="str">
        <f t="shared" si="72"/>
        <v>项</v>
      </c>
    </row>
    <row r="1097" s="372" customFormat="1" ht="24" hidden="1" customHeight="1" spans="1:9">
      <c r="A1097" s="330">
        <v>2159905</v>
      </c>
      <c r="B1097" s="379" t="s">
        <v>1009</v>
      </c>
      <c r="C1097" s="602">
        <f>'[2]2'!E1090</f>
        <v>0</v>
      </c>
      <c r="D1097" s="714"/>
      <c r="E1097" s="713">
        <v>0</v>
      </c>
      <c r="F1097" s="716" t="str">
        <f t="shared" si="70"/>
        <v/>
      </c>
      <c r="G1097" s="470" t="str">
        <f t="shared" si="71"/>
        <v/>
      </c>
      <c r="H1097" s="524" t="str">
        <f t="shared" si="73"/>
        <v>否</v>
      </c>
      <c r="I1097" s="312" t="str">
        <f t="shared" si="72"/>
        <v>项</v>
      </c>
    </row>
    <row r="1098" s="372" customFormat="1" ht="24" hidden="1" customHeight="1" spans="1:9">
      <c r="A1098" s="330">
        <v>2159906</v>
      </c>
      <c r="B1098" s="379" t="s">
        <v>1010</v>
      </c>
      <c r="C1098" s="602">
        <f>'[2]2'!E1091</f>
        <v>0</v>
      </c>
      <c r="D1098" s="714"/>
      <c r="E1098" s="713">
        <v>0</v>
      </c>
      <c r="F1098" s="716" t="str">
        <f t="shared" si="70"/>
        <v/>
      </c>
      <c r="G1098" s="470" t="str">
        <f t="shared" si="71"/>
        <v/>
      </c>
      <c r="H1098" s="524" t="str">
        <f t="shared" si="73"/>
        <v>否</v>
      </c>
      <c r="I1098" s="312" t="str">
        <f t="shared" si="72"/>
        <v>项</v>
      </c>
    </row>
    <row r="1099" s="372" customFormat="1" ht="24" hidden="1" customHeight="1" spans="1:9">
      <c r="A1099" s="330">
        <v>2159999</v>
      </c>
      <c r="B1099" s="379" t="s">
        <v>1011</v>
      </c>
      <c r="C1099" s="602">
        <f>'[2]2'!E1092</f>
        <v>0</v>
      </c>
      <c r="D1099" s="714"/>
      <c r="E1099" s="713">
        <v>1349</v>
      </c>
      <c r="F1099" s="716" t="str">
        <f t="shared" si="70"/>
        <v/>
      </c>
      <c r="G1099" s="470" t="str">
        <f t="shared" si="71"/>
        <v/>
      </c>
      <c r="H1099" s="524" t="str">
        <f t="shared" si="73"/>
        <v>是</v>
      </c>
      <c r="I1099" s="312" t="str">
        <f t="shared" si="72"/>
        <v>项</v>
      </c>
    </row>
    <row r="1100" s="372" customFormat="1" ht="24" customHeight="1" spans="1:9">
      <c r="A1100" s="329">
        <v>216</v>
      </c>
      <c r="B1100" s="377" t="s">
        <v>189</v>
      </c>
      <c r="C1100" s="601">
        <f>C1101+C1111+C1117</f>
        <v>1873</v>
      </c>
      <c r="D1100" s="712">
        <f>D1101+D1111+D1117</f>
        <v>1912</v>
      </c>
      <c r="E1100" s="712">
        <f>E1101+E1111+E1117</f>
        <v>2905</v>
      </c>
      <c r="F1100" s="715">
        <f t="shared" si="70"/>
        <v>0.550987720234917</v>
      </c>
      <c r="G1100" s="467">
        <f t="shared" si="71"/>
        <v>1.51935146443515</v>
      </c>
      <c r="H1100" s="524" t="str">
        <f t="shared" si="73"/>
        <v>是</v>
      </c>
      <c r="I1100" s="312" t="str">
        <f t="shared" si="72"/>
        <v>类</v>
      </c>
    </row>
    <row r="1101" ht="24" customHeight="1" spans="1:9">
      <c r="A1101" s="330">
        <v>21602</v>
      </c>
      <c r="B1101" s="379" t="s">
        <v>1012</v>
      </c>
      <c r="C1101" s="602">
        <f>SUM(C1102:C1110)</f>
        <v>1780</v>
      </c>
      <c r="D1101" s="713">
        <f>SUM(D1102:D1110)</f>
        <v>1821</v>
      </c>
      <c r="E1101" s="713">
        <f>SUM(E1102:E1110)</f>
        <v>2360</v>
      </c>
      <c r="F1101" s="716">
        <f t="shared" si="70"/>
        <v>0.325842696629214</v>
      </c>
      <c r="G1101" s="470">
        <f t="shared" si="71"/>
        <v>1.29599121361889</v>
      </c>
      <c r="H1101" s="524" t="str">
        <f t="shared" si="73"/>
        <v>是</v>
      </c>
      <c r="I1101" s="312" t="str">
        <f t="shared" si="72"/>
        <v>款</v>
      </c>
    </row>
    <row r="1102" s="372" customFormat="1" ht="24" hidden="1" customHeight="1" spans="1:9">
      <c r="A1102" s="330">
        <v>2160201</v>
      </c>
      <c r="B1102" s="379" t="s">
        <v>212</v>
      </c>
      <c r="C1102" s="602">
        <f>'[2]2'!E1095</f>
        <v>761</v>
      </c>
      <c r="D1102" s="714">
        <v>805</v>
      </c>
      <c r="E1102" s="713">
        <v>828</v>
      </c>
      <c r="F1102" s="716">
        <f t="shared" si="70"/>
        <v>0.088042049934297</v>
      </c>
      <c r="G1102" s="470">
        <f t="shared" si="71"/>
        <v>1.02857142857143</v>
      </c>
      <c r="H1102" s="524" t="str">
        <f t="shared" si="73"/>
        <v>是</v>
      </c>
      <c r="I1102" s="312" t="str">
        <f t="shared" si="72"/>
        <v>项</v>
      </c>
    </row>
    <row r="1103" s="372" customFormat="1" ht="24" hidden="1" customHeight="1" spans="1:9">
      <c r="A1103" s="330">
        <v>2160202</v>
      </c>
      <c r="B1103" s="379" t="s">
        <v>213</v>
      </c>
      <c r="C1103" s="602">
        <f>'[2]2'!E1096</f>
        <v>12</v>
      </c>
      <c r="D1103" s="714">
        <v>13</v>
      </c>
      <c r="E1103" s="713">
        <v>0</v>
      </c>
      <c r="F1103" s="716">
        <f t="shared" si="70"/>
        <v>-1</v>
      </c>
      <c r="G1103" s="470">
        <f t="shared" si="71"/>
        <v>0</v>
      </c>
      <c r="H1103" s="524" t="str">
        <f t="shared" si="73"/>
        <v>是</v>
      </c>
      <c r="I1103" s="312" t="str">
        <f t="shared" si="72"/>
        <v>项</v>
      </c>
    </row>
    <row r="1104" s="372" customFormat="1" ht="24" hidden="1" customHeight="1" spans="1:9">
      <c r="A1104" s="330">
        <v>2160203</v>
      </c>
      <c r="B1104" s="379" t="s">
        <v>214</v>
      </c>
      <c r="C1104" s="602">
        <f>'[2]2'!E1097</f>
        <v>0</v>
      </c>
      <c r="D1104" s="714"/>
      <c r="E1104" s="713">
        <v>0</v>
      </c>
      <c r="F1104" s="716" t="str">
        <f t="shared" si="70"/>
        <v/>
      </c>
      <c r="G1104" s="470" t="str">
        <f t="shared" si="71"/>
        <v/>
      </c>
      <c r="H1104" s="524" t="str">
        <f t="shared" si="73"/>
        <v>否</v>
      </c>
      <c r="I1104" s="312" t="str">
        <f t="shared" si="72"/>
        <v>项</v>
      </c>
    </row>
    <row r="1105" s="372" customFormat="1" ht="24" hidden="1" customHeight="1" spans="1:9">
      <c r="A1105" s="330">
        <v>2160216</v>
      </c>
      <c r="B1105" s="379" t="s">
        <v>1013</v>
      </c>
      <c r="C1105" s="602">
        <f>'[2]2'!E1098</f>
        <v>0</v>
      </c>
      <c r="D1105" s="714"/>
      <c r="E1105" s="713">
        <v>0</v>
      </c>
      <c r="F1105" s="716" t="str">
        <f t="shared" si="70"/>
        <v/>
      </c>
      <c r="G1105" s="470" t="str">
        <f t="shared" si="71"/>
        <v/>
      </c>
      <c r="H1105" s="524" t="str">
        <f t="shared" si="73"/>
        <v>否</v>
      </c>
      <c r="I1105" s="312" t="str">
        <f t="shared" si="72"/>
        <v>项</v>
      </c>
    </row>
    <row r="1106" s="372" customFormat="1" ht="24" hidden="1" customHeight="1" spans="1:9">
      <c r="A1106" s="330">
        <v>2160217</v>
      </c>
      <c r="B1106" s="379" t="s">
        <v>1014</v>
      </c>
      <c r="C1106" s="602">
        <f>'[2]2'!E1099</f>
        <v>0</v>
      </c>
      <c r="D1106" s="714"/>
      <c r="E1106" s="713">
        <v>0</v>
      </c>
      <c r="F1106" s="716" t="str">
        <f t="shared" si="70"/>
        <v/>
      </c>
      <c r="G1106" s="470" t="str">
        <f t="shared" si="71"/>
        <v/>
      </c>
      <c r="H1106" s="524" t="str">
        <f t="shared" si="73"/>
        <v>否</v>
      </c>
      <c r="I1106" s="312" t="str">
        <f t="shared" si="72"/>
        <v>项</v>
      </c>
    </row>
    <row r="1107" s="372" customFormat="1" ht="24" hidden="1" customHeight="1" spans="1:9">
      <c r="A1107" s="330">
        <v>2160218</v>
      </c>
      <c r="B1107" s="379" t="s">
        <v>1015</v>
      </c>
      <c r="C1107" s="602">
        <f>'[2]2'!E1100</f>
        <v>0</v>
      </c>
      <c r="D1107" s="714"/>
      <c r="E1107" s="713">
        <v>0</v>
      </c>
      <c r="F1107" s="716" t="str">
        <f t="shared" si="70"/>
        <v/>
      </c>
      <c r="G1107" s="470" t="str">
        <f t="shared" si="71"/>
        <v/>
      </c>
      <c r="H1107" s="524" t="str">
        <f t="shared" si="73"/>
        <v>否</v>
      </c>
      <c r="I1107" s="312" t="str">
        <f t="shared" si="72"/>
        <v>项</v>
      </c>
    </row>
    <row r="1108" s="372" customFormat="1" ht="24" hidden="1" customHeight="1" spans="1:9">
      <c r="A1108" s="330">
        <v>2160219</v>
      </c>
      <c r="B1108" s="379" t="s">
        <v>1016</v>
      </c>
      <c r="C1108" s="602">
        <f>'[2]2'!E1101</f>
        <v>0</v>
      </c>
      <c r="D1108" s="714"/>
      <c r="E1108" s="713">
        <v>0</v>
      </c>
      <c r="F1108" s="716" t="str">
        <f t="shared" si="70"/>
        <v/>
      </c>
      <c r="G1108" s="470" t="str">
        <f t="shared" si="71"/>
        <v/>
      </c>
      <c r="H1108" s="524" t="str">
        <f t="shared" si="73"/>
        <v>否</v>
      </c>
      <c r="I1108" s="312" t="str">
        <f t="shared" si="72"/>
        <v>项</v>
      </c>
    </row>
    <row r="1109" s="372" customFormat="1" ht="24" hidden="1" customHeight="1" spans="1:9">
      <c r="A1109" s="330">
        <v>2160250</v>
      </c>
      <c r="B1109" s="379" t="s">
        <v>221</v>
      </c>
      <c r="C1109" s="602">
        <f>'[2]2'!E1102</f>
        <v>55</v>
      </c>
      <c r="D1109" s="714">
        <v>57</v>
      </c>
      <c r="E1109" s="713">
        <v>64</v>
      </c>
      <c r="F1109" s="716">
        <f t="shared" si="70"/>
        <v>0.163636363636364</v>
      </c>
      <c r="G1109" s="470">
        <f t="shared" si="71"/>
        <v>1.12280701754386</v>
      </c>
      <c r="H1109" s="524" t="str">
        <f t="shared" si="73"/>
        <v>是</v>
      </c>
      <c r="I1109" s="312" t="str">
        <f t="shared" si="72"/>
        <v>项</v>
      </c>
    </row>
    <row r="1110" s="372" customFormat="1" ht="24" hidden="1" customHeight="1" spans="1:9">
      <c r="A1110" s="330">
        <v>2160299</v>
      </c>
      <c r="B1110" s="379" t="s">
        <v>1017</v>
      </c>
      <c r="C1110" s="602">
        <f>'[2]2'!E1103</f>
        <v>952</v>
      </c>
      <c r="D1110" s="714">
        <v>946</v>
      </c>
      <c r="E1110" s="713">
        <v>1468</v>
      </c>
      <c r="F1110" s="716">
        <f t="shared" si="70"/>
        <v>0.542016806722689</v>
      </c>
      <c r="G1110" s="470">
        <f t="shared" si="71"/>
        <v>1.55179704016913</v>
      </c>
      <c r="H1110" s="524" t="str">
        <f t="shared" si="73"/>
        <v>是</v>
      </c>
      <c r="I1110" s="312" t="str">
        <f t="shared" si="72"/>
        <v>项</v>
      </c>
    </row>
    <row r="1111" s="372" customFormat="1" ht="24" customHeight="1" spans="1:9">
      <c r="A1111" s="330">
        <v>21606</v>
      </c>
      <c r="B1111" s="379" t="s">
        <v>1018</v>
      </c>
      <c r="C1111" s="602">
        <f>SUM(C1112:C1116)</f>
        <v>22</v>
      </c>
      <c r="D1111" s="713">
        <f>SUM(D1112:D1116)</f>
        <v>24</v>
      </c>
      <c r="E1111" s="713">
        <f>SUM(E1112:E1116)</f>
        <v>465</v>
      </c>
      <c r="F1111" s="716">
        <f t="shared" si="70"/>
        <v>20.1363636363636</v>
      </c>
      <c r="G1111" s="470">
        <f t="shared" si="71"/>
        <v>19.375</v>
      </c>
      <c r="H1111" s="524" t="str">
        <f t="shared" si="73"/>
        <v>是</v>
      </c>
      <c r="I1111" s="312" t="str">
        <f t="shared" si="72"/>
        <v>款</v>
      </c>
    </row>
    <row r="1112" s="372" customFormat="1" ht="24" hidden="1" customHeight="1" spans="1:9">
      <c r="A1112" s="330">
        <v>2160601</v>
      </c>
      <c r="B1112" s="379" t="s">
        <v>212</v>
      </c>
      <c r="C1112" s="602">
        <f>'[2]2'!E1105</f>
        <v>0</v>
      </c>
      <c r="D1112" s="714"/>
      <c r="E1112" s="713">
        <v>0</v>
      </c>
      <c r="F1112" s="716" t="str">
        <f t="shared" si="70"/>
        <v/>
      </c>
      <c r="G1112" s="470" t="str">
        <f t="shared" si="71"/>
        <v/>
      </c>
      <c r="H1112" s="524" t="str">
        <f t="shared" si="73"/>
        <v>否</v>
      </c>
      <c r="I1112" s="312" t="str">
        <f t="shared" si="72"/>
        <v>项</v>
      </c>
    </row>
    <row r="1113" s="372" customFormat="1" ht="24" hidden="1" customHeight="1" spans="1:9">
      <c r="A1113" s="330">
        <v>2160602</v>
      </c>
      <c r="B1113" s="379" t="s">
        <v>213</v>
      </c>
      <c r="C1113" s="602">
        <f>'[2]2'!E1106</f>
        <v>0</v>
      </c>
      <c r="D1113" s="714"/>
      <c r="E1113" s="713">
        <v>0</v>
      </c>
      <c r="F1113" s="716" t="str">
        <f t="shared" si="70"/>
        <v/>
      </c>
      <c r="G1113" s="470" t="str">
        <f t="shared" si="71"/>
        <v/>
      </c>
      <c r="H1113" s="524" t="str">
        <f t="shared" si="73"/>
        <v>否</v>
      </c>
      <c r="I1113" s="312" t="str">
        <f t="shared" si="72"/>
        <v>项</v>
      </c>
    </row>
    <row r="1114" s="372" customFormat="1" ht="24" hidden="1" customHeight="1" spans="1:9">
      <c r="A1114" s="330">
        <v>2160603</v>
      </c>
      <c r="B1114" s="379" t="s">
        <v>214</v>
      </c>
      <c r="C1114" s="602">
        <f>'[2]2'!E1107</f>
        <v>0</v>
      </c>
      <c r="D1114" s="714"/>
      <c r="E1114" s="713">
        <v>0</v>
      </c>
      <c r="F1114" s="716" t="str">
        <f t="shared" si="70"/>
        <v/>
      </c>
      <c r="G1114" s="470" t="str">
        <f t="shared" si="71"/>
        <v/>
      </c>
      <c r="H1114" s="524" t="str">
        <f t="shared" si="73"/>
        <v>否</v>
      </c>
      <c r="I1114" s="312" t="str">
        <f t="shared" si="72"/>
        <v>项</v>
      </c>
    </row>
    <row r="1115" s="372" customFormat="1" ht="24" hidden="1" customHeight="1" spans="1:9">
      <c r="A1115" s="330">
        <v>2160607</v>
      </c>
      <c r="B1115" s="379" t="s">
        <v>1019</v>
      </c>
      <c r="C1115" s="602">
        <f>'[2]2'!E1108</f>
        <v>0</v>
      </c>
      <c r="D1115" s="714"/>
      <c r="E1115" s="713">
        <v>0</v>
      </c>
      <c r="F1115" s="716" t="str">
        <f t="shared" si="70"/>
        <v/>
      </c>
      <c r="G1115" s="470" t="str">
        <f t="shared" si="71"/>
        <v/>
      </c>
      <c r="H1115" s="524" t="str">
        <f t="shared" si="73"/>
        <v>否</v>
      </c>
      <c r="I1115" s="312" t="str">
        <f t="shared" si="72"/>
        <v>项</v>
      </c>
    </row>
    <row r="1116" s="372" customFormat="1" ht="24" hidden="1" customHeight="1" spans="1:9">
      <c r="A1116" s="330">
        <v>2160699</v>
      </c>
      <c r="B1116" s="379" t="s">
        <v>1020</v>
      </c>
      <c r="C1116" s="602">
        <f>'[2]2'!E1109</f>
        <v>22</v>
      </c>
      <c r="D1116" s="714">
        <v>24</v>
      </c>
      <c r="E1116" s="713">
        <v>465</v>
      </c>
      <c r="F1116" s="716">
        <f t="shared" si="70"/>
        <v>20.1363636363636</v>
      </c>
      <c r="G1116" s="470">
        <f t="shared" si="71"/>
        <v>19.375</v>
      </c>
      <c r="H1116" s="524" t="str">
        <f t="shared" si="73"/>
        <v>是</v>
      </c>
      <c r="I1116" s="312" t="str">
        <f t="shared" si="72"/>
        <v>项</v>
      </c>
    </row>
    <row r="1117" s="372" customFormat="1" ht="24" customHeight="1" spans="1:9">
      <c r="A1117" s="330">
        <v>21699</v>
      </c>
      <c r="B1117" s="379" t="s">
        <v>1021</v>
      </c>
      <c r="C1117" s="602">
        <f>SUM(C1118:C1119)</f>
        <v>71</v>
      </c>
      <c r="D1117" s="713">
        <f>SUM(D1118:D1119)</f>
        <v>67</v>
      </c>
      <c r="E1117" s="713">
        <f>SUM(E1118:E1119)</f>
        <v>80</v>
      </c>
      <c r="F1117" s="716">
        <f t="shared" si="70"/>
        <v>0.126760563380282</v>
      </c>
      <c r="G1117" s="470">
        <f t="shared" si="71"/>
        <v>1.19402985074627</v>
      </c>
      <c r="H1117" s="524" t="str">
        <f t="shared" si="73"/>
        <v>是</v>
      </c>
      <c r="I1117" s="312" t="str">
        <f t="shared" si="72"/>
        <v>款</v>
      </c>
    </row>
    <row r="1118" ht="24" hidden="1" customHeight="1" spans="1:9">
      <c r="A1118" s="330">
        <v>2169901</v>
      </c>
      <c r="B1118" s="379" t="s">
        <v>1022</v>
      </c>
      <c r="C1118" s="602">
        <f>'[2]2'!E1111</f>
        <v>7</v>
      </c>
      <c r="D1118" s="714">
        <v>6</v>
      </c>
      <c r="E1118" s="713">
        <v>0</v>
      </c>
      <c r="F1118" s="716">
        <f t="shared" si="70"/>
        <v>-1</v>
      </c>
      <c r="G1118" s="470">
        <f t="shared" si="71"/>
        <v>0</v>
      </c>
      <c r="H1118" s="524" t="str">
        <f t="shared" si="73"/>
        <v>是</v>
      </c>
      <c r="I1118" s="312" t="str">
        <f t="shared" si="72"/>
        <v>项</v>
      </c>
    </row>
    <row r="1119" s="372" customFormat="1" ht="24" hidden="1" customHeight="1" spans="1:9">
      <c r="A1119" s="330">
        <v>2169999</v>
      </c>
      <c r="B1119" s="379" t="s">
        <v>1023</v>
      </c>
      <c r="C1119" s="602">
        <f>'[2]2'!E1112</f>
        <v>64</v>
      </c>
      <c r="D1119" s="714">
        <v>61</v>
      </c>
      <c r="E1119" s="713">
        <v>80</v>
      </c>
      <c r="F1119" s="716">
        <f t="shared" si="70"/>
        <v>0.25</v>
      </c>
      <c r="G1119" s="470">
        <f t="shared" si="71"/>
        <v>1.31147540983607</v>
      </c>
      <c r="H1119" s="524" t="str">
        <f t="shared" si="73"/>
        <v>是</v>
      </c>
      <c r="I1119" s="312" t="str">
        <f t="shared" si="72"/>
        <v>项</v>
      </c>
    </row>
    <row r="1120" s="372" customFormat="1" ht="24" customHeight="1" spans="1:9">
      <c r="A1120" s="329">
        <v>217</v>
      </c>
      <c r="B1120" s="377" t="s">
        <v>190</v>
      </c>
      <c r="C1120" s="601">
        <f>C1121+C1128+C1138+C1144+C1147</f>
        <v>644</v>
      </c>
      <c r="D1120" s="712">
        <f>D1121+D1128+D1138+D1144+D1147</f>
        <v>625</v>
      </c>
      <c r="E1120" s="712">
        <f>E1121+E1128+E1138+E1144+E1147</f>
        <v>1711</v>
      </c>
      <c r="F1120" s="715">
        <f t="shared" si="70"/>
        <v>1.65683229813665</v>
      </c>
      <c r="G1120" s="467">
        <f t="shared" si="71"/>
        <v>2.7376</v>
      </c>
      <c r="H1120" s="524" t="str">
        <f t="shared" si="73"/>
        <v>是</v>
      </c>
      <c r="I1120" s="312" t="str">
        <f t="shared" si="72"/>
        <v>类</v>
      </c>
    </row>
    <row r="1121" s="372" customFormat="1" ht="24" customHeight="1" spans="1:9">
      <c r="A1121" s="330">
        <v>21701</v>
      </c>
      <c r="B1121" s="379" t="s">
        <v>1024</v>
      </c>
      <c r="C1121" s="602">
        <f>SUM(C1122:C1127)</f>
        <v>300</v>
      </c>
      <c r="D1121" s="713">
        <f>SUM(D1122:D1127)</f>
        <v>303</v>
      </c>
      <c r="E1121" s="713">
        <f>SUM(E1122:E1127)</f>
        <v>605</v>
      </c>
      <c r="F1121" s="716">
        <f t="shared" si="70"/>
        <v>1.01666666666667</v>
      </c>
      <c r="G1121" s="470">
        <f t="shared" si="71"/>
        <v>1.996699669967</v>
      </c>
      <c r="H1121" s="524" t="str">
        <f t="shared" si="73"/>
        <v>是</v>
      </c>
      <c r="I1121" s="312" t="str">
        <f t="shared" si="72"/>
        <v>款</v>
      </c>
    </row>
    <row r="1122" s="372" customFormat="1" ht="24" hidden="1" customHeight="1" spans="1:9">
      <c r="A1122" s="330">
        <v>2170101</v>
      </c>
      <c r="B1122" s="379" t="s">
        <v>212</v>
      </c>
      <c r="C1122" s="602">
        <f>'[2]2'!E1115</f>
        <v>180</v>
      </c>
      <c r="D1122" s="714">
        <v>188</v>
      </c>
      <c r="E1122" s="713">
        <v>605</v>
      </c>
      <c r="F1122" s="716">
        <f t="shared" si="70"/>
        <v>2.36111111111111</v>
      </c>
      <c r="G1122" s="470">
        <f t="shared" si="71"/>
        <v>3.21808510638298</v>
      </c>
      <c r="H1122" s="524" t="str">
        <f t="shared" si="73"/>
        <v>是</v>
      </c>
      <c r="I1122" s="312" t="str">
        <f t="shared" si="72"/>
        <v>项</v>
      </c>
    </row>
    <row r="1123" s="372" customFormat="1" ht="24" hidden="1" customHeight="1" spans="1:9">
      <c r="A1123" s="330">
        <v>2170102</v>
      </c>
      <c r="B1123" s="379" t="s">
        <v>213</v>
      </c>
      <c r="C1123" s="602">
        <f>'[2]2'!E1116</f>
        <v>120</v>
      </c>
      <c r="D1123" s="714">
        <v>115</v>
      </c>
      <c r="E1123" s="713">
        <v>0</v>
      </c>
      <c r="F1123" s="716">
        <f t="shared" si="70"/>
        <v>-1</v>
      </c>
      <c r="G1123" s="470">
        <f t="shared" si="71"/>
        <v>0</v>
      </c>
      <c r="H1123" s="524" t="str">
        <f t="shared" si="73"/>
        <v>是</v>
      </c>
      <c r="I1123" s="312" t="str">
        <f t="shared" si="72"/>
        <v>项</v>
      </c>
    </row>
    <row r="1124" s="372" customFormat="1" ht="24" hidden="1" customHeight="1" spans="1:9">
      <c r="A1124" s="330">
        <v>2170103</v>
      </c>
      <c r="B1124" s="379" t="s">
        <v>214</v>
      </c>
      <c r="C1124" s="602">
        <f>'[2]2'!E1117</f>
        <v>0</v>
      </c>
      <c r="D1124" s="714"/>
      <c r="E1124" s="713">
        <v>0</v>
      </c>
      <c r="F1124" s="716" t="str">
        <f t="shared" si="70"/>
        <v/>
      </c>
      <c r="G1124" s="470" t="str">
        <f t="shared" si="71"/>
        <v/>
      </c>
      <c r="H1124" s="524" t="str">
        <f t="shared" si="73"/>
        <v>否</v>
      </c>
      <c r="I1124" s="312" t="str">
        <f t="shared" si="72"/>
        <v>项</v>
      </c>
    </row>
    <row r="1125" ht="24" hidden="1" customHeight="1" spans="1:9">
      <c r="A1125" s="330">
        <v>2170104</v>
      </c>
      <c r="B1125" s="379" t="s">
        <v>1025</v>
      </c>
      <c r="C1125" s="602">
        <f>'[2]2'!E1118</f>
        <v>0</v>
      </c>
      <c r="D1125" s="714"/>
      <c r="E1125" s="713">
        <v>0</v>
      </c>
      <c r="F1125" s="716" t="str">
        <f t="shared" si="70"/>
        <v/>
      </c>
      <c r="G1125" s="470" t="str">
        <f t="shared" si="71"/>
        <v/>
      </c>
      <c r="H1125" s="524" t="str">
        <f t="shared" si="73"/>
        <v>否</v>
      </c>
      <c r="I1125" s="312" t="str">
        <f t="shared" si="72"/>
        <v>项</v>
      </c>
    </row>
    <row r="1126" s="372" customFormat="1" ht="24" hidden="1" customHeight="1" spans="1:9">
      <c r="A1126" s="330">
        <v>2170150</v>
      </c>
      <c r="B1126" s="379" t="s">
        <v>221</v>
      </c>
      <c r="C1126" s="602">
        <f>'[2]2'!E1119</f>
        <v>0</v>
      </c>
      <c r="D1126" s="714"/>
      <c r="E1126" s="713">
        <v>0</v>
      </c>
      <c r="F1126" s="716" t="str">
        <f t="shared" si="70"/>
        <v/>
      </c>
      <c r="G1126" s="470" t="str">
        <f t="shared" si="71"/>
        <v/>
      </c>
      <c r="H1126" s="524" t="str">
        <f t="shared" si="73"/>
        <v>否</v>
      </c>
      <c r="I1126" s="312" t="str">
        <f t="shared" si="72"/>
        <v>项</v>
      </c>
    </row>
    <row r="1127" s="372" customFormat="1" ht="24" hidden="1" customHeight="1" spans="1:9">
      <c r="A1127" s="330">
        <v>2170199</v>
      </c>
      <c r="B1127" s="379" t="s">
        <v>1026</v>
      </c>
      <c r="C1127" s="602">
        <f>'[2]2'!E1120</f>
        <v>0</v>
      </c>
      <c r="D1127" s="714"/>
      <c r="E1127" s="713">
        <v>0</v>
      </c>
      <c r="F1127" s="716" t="str">
        <f t="shared" si="70"/>
        <v/>
      </c>
      <c r="G1127" s="470" t="str">
        <f t="shared" si="71"/>
        <v/>
      </c>
      <c r="H1127" s="524" t="str">
        <f t="shared" si="73"/>
        <v>否</v>
      </c>
      <c r="I1127" s="312" t="str">
        <f t="shared" si="72"/>
        <v>项</v>
      </c>
    </row>
    <row r="1128" s="372" customFormat="1" ht="24" customHeight="1" spans="1:9">
      <c r="A1128" s="721">
        <v>21702</v>
      </c>
      <c r="B1128" s="379" t="s">
        <v>1027</v>
      </c>
      <c r="C1128" s="602">
        <f>SUM(C1129:C1137)</f>
        <v>122</v>
      </c>
      <c r="D1128" s="713">
        <f>SUM(D1129:D1137)</f>
        <v>109</v>
      </c>
      <c r="E1128" s="713">
        <f>SUM(E1129:E1137)</f>
        <v>50</v>
      </c>
      <c r="F1128" s="716">
        <f t="shared" si="70"/>
        <v>-0.590163934426229</v>
      </c>
      <c r="G1128" s="470">
        <f t="shared" si="71"/>
        <v>0.458715596330275</v>
      </c>
      <c r="H1128" s="524" t="str">
        <f t="shared" si="73"/>
        <v>是</v>
      </c>
      <c r="I1128" s="312" t="str">
        <f t="shared" si="72"/>
        <v>款</v>
      </c>
    </row>
    <row r="1129" s="372" customFormat="1" ht="24" hidden="1" customHeight="1" spans="1:9">
      <c r="A1129" s="726">
        <v>2170201</v>
      </c>
      <c r="B1129" s="545" t="s">
        <v>1028</v>
      </c>
      <c r="C1129" s="602">
        <f>'[2]2'!E1122</f>
        <v>0</v>
      </c>
      <c r="D1129" s="714"/>
      <c r="E1129" s="713">
        <v>0</v>
      </c>
      <c r="F1129" s="716" t="str">
        <f t="shared" si="70"/>
        <v/>
      </c>
      <c r="G1129" s="470" t="str">
        <f t="shared" si="71"/>
        <v/>
      </c>
      <c r="H1129" s="524" t="str">
        <f t="shared" si="73"/>
        <v>否</v>
      </c>
      <c r="I1129" s="312" t="str">
        <f t="shared" si="72"/>
        <v>项</v>
      </c>
    </row>
    <row r="1130" s="372" customFormat="1" ht="24" hidden="1" customHeight="1" spans="1:9">
      <c r="A1130" s="726">
        <v>2170202</v>
      </c>
      <c r="B1130" s="545" t="s">
        <v>1029</v>
      </c>
      <c r="C1130" s="602">
        <f>'[2]2'!E1123</f>
        <v>0</v>
      </c>
      <c r="D1130" s="714"/>
      <c r="E1130" s="713">
        <v>0</v>
      </c>
      <c r="F1130" s="716" t="str">
        <f t="shared" si="70"/>
        <v/>
      </c>
      <c r="G1130" s="470" t="str">
        <f t="shared" si="71"/>
        <v/>
      </c>
      <c r="H1130" s="524" t="str">
        <f t="shared" si="73"/>
        <v>否</v>
      </c>
      <c r="I1130" s="312" t="str">
        <f t="shared" si="72"/>
        <v>项</v>
      </c>
    </row>
    <row r="1131" s="372" customFormat="1" ht="24" hidden="1" customHeight="1" spans="1:9">
      <c r="A1131" s="726">
        <v>2170203</v>
      </c>
      <c r="B1131" s="545" t="s">
        <v>1030</v>
      </c>
      <c r="C1131" s="602">
        <f>'[2]2'!E1124</f>
        <v>0</v>
      </c>
      <c r="D1131" s="714"/>
      <c r="E1131" s="713">
        <v>0</v>
      </c>
      <c r="F1131" s="716" t="str">
        <f t="shared" si="70"/>
        <v/>
      </c>
      <c r="G1131" s="470" t="str">
        <f t="shared" si="71"/>
        <v/>
      </c>
      <c r="H1131" s="524" t="str">
        <f t="shared" si="73"/>
        <v>否</v>
      </c>
      <c r="I1131" s="312" t="str">
        <f t="shared" si="72"/>
        <v>项</v>
      </c>
    </row>
    <row r="1132" s="372" customFormat="1" ht="24" hidden="1" customHeight="1" spans="1:9">
      <c r="A1132" s="726">
        <v>2170204</v>
      </c>
      <c r="B1132" s="545" t="s">
        <v>1031</v>
      </c>
      <c r="C1132" s="602">
        <f>'[2]2'!E1125</f>
        <v>0</v>
      </c>
      <c r="D1132" s="714"/>
      <c r="E1132" s="713">
        <v>0</v>
      </c>
      <c r="F1132" s="716" t="str">
        <f t="shared" si="70"/>
        <v/>
      </c>
      <c r="G1132" s="470" t="str">
        <f t="shared" si="71"/>
        <v/>
      </c>
      <c r="H1132" s="524" t="str">
        <f t="shared" si="73"/>
        <v>否</v>
      </c>
      <c r="I1132" s="312" t="str">
        <f t="shared" si="72"/>
        <v>项</v>
      </c>
    </row>
    <row r="1133" ht="24" hidden="1" customHeight="1" spans="1:9">
      <c r="A1133" s="726">
        <v>2170205</v>
      </c>
      <c r="B1133" s="545" t="s">
        <v>1032</v>
      </c>
      <c r="C1133" s="602">
        <f>'[2]2'!E1126</f>
        <v>0</v>
      </c>
      <c r="D1133" s="714"/>
      <c r="E1133" s="713">
        <v>0</v>
      </c>
      <c r="F1133" s="716" t="str">
        <f t="shared" si="70"/>
        <v/>
      </c>
      <c r="G1133" s="470" t="str">
        <f t="shared" si="71"/>
        <v/>
      </c>
      <c r="H1133" s="524" t="str">
        <f t="shared" si="73"/>
        <v>否</v>
      </c>
      <c r="I1133" s="312" t="str">
        <f t="shared" si="72"/>
        <v>项</v>
      </c>
    </row>
    <row r="1134" s="372" customFormat="1" ht="24" hidden="1" customHeight="1" spans="1:9">
      <c r="A1134" s="726">
        <v>2170206</v>
      </c>
      <c r="B1134" s="545" t="s">
        <v>1033</v>
      </c>
      <c r="C1134" s="602">
        <f>'[2]2'!E1127</f>
        <v>0</v>
      </c>
      <c r="D1134" s="714"/>
      <c r="E1134" s="713">
        <v>0</v>
      </c>
      <c r="F1134" s="716" t="str">
        <f t="shared" si="70"/>
        <v/>
      </c>
      <c r="G1134" s="470" t="str">
        <f t="shared" si="71"/>
        <v/>
      </c>
      <c r="H1134" s="524" t="str">
        <f t="shared" si="73"/>
        <v>否</v>
      </c>
      <c r="I1134" s="312" t="str">
        <f t="shared" si="72"/>
        <v>项</v>
      </c>
    </row>
    <row r="1135" s="372" customFormat="1" ht="24" hidden="1" customHeight="1" spans="1:9">
      <c r="A1135" s="726">
        <v>2170207</v>
      </c>
      <c r="B1135" s="545" t="s">
        <v>1034</v>
      </c>
      <c r="C1135" s="602">
        <f>'[2]2'!E1128</f>
        <v>0</v>
      </c>
      <c r="D1135" s="714"/>
      <c r="E1135" s="713">
        <v>0</v>
      </c>
      <c r="F1135" s="716" t="str">
        <f t="shared" si="70"/>
        <v/>
      </c>
      <c r="G1135" s="470" t="str">
        <f t="shared" si="71"/>
        <v/>
      </c>
      <c r="H1135" s="524" t="str">
        <f t="shared" si="73"/>
        <v>否</v>
      </c>
      <c r="I1135" s="312" t="str">
        <f t="shared" si="72"/>
        <v>项</v>
      </c>
    </row>
    <row r="1136" s="372" customFormat="1" ht="24" hidden="1" customHeight="1" spans="1:9">
      <c r="A1136" s="726">
        <v>2170208</v>
      </c>
      <c r="B1136" s="545" t="s">
        <v>1035</v>
      </c>
      <c r="C1136" s="602">
        <f>'[2]2'!E1129</f>
        <v>0</v>
      </c>
      <c r="D1136" s="714"/>
      <c r="E1136" s="713">
        <v>0</v>
      </c>
      <c r="F1136" s="716" t="str">
        <f t="shared" si="70"/>
        <v/>
      </c>
      <c r="G1136" s="470" t="str">
        <f t="shared" si="71"/>
        <v/>
      </c>
      <c r="H1136" s="524" t="str">
        <f t="shared" si="73"/>
        <v>否</v>
      </c>
      <c r="I1136" s="312" t="str">
        <f t="shared" si="72"/>
        <v>项</v>
      </c>
    </row>
    <row r="1137" s="372" customFormat="1" ht="24" hidden="1" customHeight="1" spans="1:9">
      <c r="A1137" s="726">
        <v>2170299</v>
      </c>
      <c r="B1137" s="545" t="s">
        <v>1036</v>
      </c>
      <c r="C1137" s="602">
        <f>'[2]2'!E1130</f>
        <v>122</v>
      </c>
      <c r="D1137" s="714">
        <v>109</v>
      </c>
      <c r="E1137" s="713">
        <v>50</v>
      </c>
      <c r="F1137" s="716">
        <f t="shared" si="70"/>
        <v>-0.590163934426229</v>
      </c>
      <c r="G1137" s="470">
        <f t="shared" si="71"/>
        <v>0.458715596330275</v>
      </c>
      <c r="H1137" s="524" t="str">
        <f t="shared" si="73"/>
        <v>是</v>
      </c>
      <c r="I1137" s="312" t="str">
        <f t="shared" si="72"/>
        <v>项</v>
      </c>
    </row>
    <row r="1138" s="372" customFormat="1" ht="24" customHeight="1" spans="1:9">
      <c r="A1138" s="330">
        <v>21703</v>
      </c>
      <c r="B1138" s="379" t="s">
        <v>1037</v>
      </c>
      <c r="C1138" s="602">
        <f>SUM(C1139:C1143)</f>
        <v>215</v>
      </c>
      <c r="D1138" s="713">
        <f>SUM(D1139:D1143)</f>
        <v>207</v>
      </c>
      <c r="E1138" s="713">
        <f>SUM(E1139:E1143)</f>
        <v>1022</v>
      </c>
      <c r="F1138" s="716">
        <f t="shared" si="70"/>
        <v>3.75348837209302</v>
      </c>
      <c r="G1138" s="470">
        <f t="shared" si="71"/>
        <v>4.93719806763285</v>
      </c>
      <c r="H1138" s="524" t="str">
        <f t="shared" si="73"/>
        <v>是</v>
      </c>
      <c r="I1138" s="312" t="str">
        <f t="shared" si="72"/>
        <v>款</v>
      </c>
    </row>
    <row r="1139" ht="24" hidden="1" customHeight="1" spans="1:9">
      <c r="A1139" s="330">
        <v>2170301</v>
      </c>
      <c r="B1139" s="379" t="s">
        <v>1038</v>
      </c>
      <c r="C1139" s="602">
        <f>'[2]2'!E1132</f>
        <v>0</v>
      </c>
      <c r="D1139" s="714"/>
      <c r="E1139" s="713">
        <v>0</v>
      </c>
      <c r="F1139" s="716" t="str">
        <f t="shared" si="70"/>
        <v/>
      </c>
      <c r="G1139" s="470" t="str">
        <f t="shared" si="71"/>
        <v/>
      </c>
      <c r="H1139" s="524" t="str">
        <f t="shared" si="73"/>
        <v>否</v>
      </c>
      <c r="I1139" s="312" t="str">
        <f t="shared" si="72"/>
        <v>项</v>
      </c>
    </row>
    <row r="1140" ht="24" hidden="1" customHeight="1" spans="1:9">
      <c r="A1140" s="330">
        <v>2170302</v>
      </c>
      <c r="B1140" s="379" t="s">
        <v>1039</v>
      </c>
      <c r="C1140" s="602">
        <f>'[2]2'!E1133</f>
        <v>192</v>
      </c>
      <c r="D1140" s="714">
        <v>185</v>
      </c>
      <c r="E1140" s="713">
        <v>22</v>
      </c>
      <c r="F1140" s="716">
        <f t="shared" si="70"/>
        <v>-0.885416666666667</v>
      </c>
      <c r="G1140" s="470">
        <f t="shared" si="71"/>
        <v>0.118918918918919</v>
      </c>
      <c r="H1140" s="524" t="str">
        <f t="shared" si="73"/>
        <v>是</v>
      </c>
      <c r="I1140" s="312" t="str">
        <f t="shared" si="72"/>
        <v>项</v>
      </c>
    </row>
    <row r="1141" s="372" customFormat="1" ht="24" hidden="1" customHeight="1" spans="1:9">
      <c r="A1141" s="330">
        <v>2170303</v>
      </c>
      <c r="B1141" s="379" t="s">
        <v>1040</v>
      </c>
      <c r="C1141" s="602">
        <f>'[2]2'!E1134</f>
        <v>0</v>
      </c>
      <c r="D1141" s="714"/>
      <c r="E1141" s="713">
        <v>0</v>
      </c>
      <c r="F1141" s="716" t="str">
        <f t="shared" si="70"/>
        <v/>
      </c>
      <c r="G1141" s="470" t="str">
        <f t="shared" si="71"/>
        <v/>
      </c>
      <c r="H1141" s="524" t="str">
        <f t="shared" si="73"/>
        <v>否</v>
      </c>
      <c r="I1141" s="312" t="str">
        <f t="shared" si="72"/>
        <v>项</v>
      </c>
    </row>
    <row r="1142" s="372" customFormat="1" ht="24" hidden="1" customHeight="1" spans="1:9">
      <c r="A1142" s="330">
        <v>2170304</v>
      </c>
      <c r="B1142" s="379" t="s">
        <v>1041</v>
      </c>
      <c r="C1142" s="602">
        <f>'[2]2'!E1135</f>
        <v>0</v>
      </c>
      <c r="D1142" s="714"/>
      <c r="E1142" s="713">
        <v>0</v>
      </c>
      <c r="F1142" s="716" t="str">
        <f t="shared" si="70"/>
        <v/>
      </c>
      <c r="G1142" s="470" t="str">
        <f t="shared" si="71"/>
        <v/>
      </c>
      <c r="H1142" s="524" t="str">
        <f t="shared" si="73"/>
        <v>否</v>
      </c>
      <c r="I1142" s="312" t="str">
        <f t="shared" si="72"/>
        <v>项</v>
      </c>
    </row>
    <row r="1143" s="372" customFormat="1" ht="24" hidden="1" customHeight="1" spans="1:9">
      <c r="A1143" s="330">
        <v>2170399</v>
      </c>
      <c r="B1143" s="379" t="s">
        <v>1042</v>
      </c>
      <c r="C1143" s="602">
        <f>'[2]2'!E1136</f>
        <v>23</v>
      </c>
      <c r="D1143" s="714">
        <v>22</v>
      </c>
      <c r="E1143" s="713">
        <v>1000</v>
      </c>
      <c r="F1143" s="716">
        <f t="shared" si="70"/>
        <v>42.4782608695652</v>
      </c>
      <c r="G1143" s="470">
        <f t="shared" si="71"/>
        <v>45.4545454545455</v>
      </c>
      <c r="H1143" s="524" t="str">
        <f t="shared" si="73"/>
        <v>是</v>
      </c>
      <c r="I1143" s="312" t="str">
        <f t="shared" si="72"/>
        <v>项</v>
      </c>
    </row>
    <row r="1144" s="372" customFormat="1" ht="24" hidden="1" customHeight="1" spans="1:9">
      <c r="A1144" s="723">
        <v>21704</v>
      </c>
      <c r="B1144" s="379" t="s">
        <v>1043</v>
      </c>
      <c r="C1144" s="602">
        <f>SUM(C1145:C1146)</f>
        <v>0</v>
      </c>
      <c r="D1144" s="713">
        <f>SUM(D1145:D1146)</f>
        <v>0</v>
      </c>
      <c r="E1144" s="713">
        <f>SUM(E1145:E1146)</f>
        <v>0</v>
      </c>
      <c r="F1144" s="716" t="str">
        <f t="shared" si="70"/>
        <v/>
      </c>
      <c r="G1144" s="470" t="str">
        <f t="shared" si="71"/>
        <v/>
      </c>
      <c r="H1144" s="524" t="str">
        <f t="shared" si="73"/>
        <v>否</v>
      </c>
      <c r="I1144" s="312" t="str">
        <f t="shared" si="72"/>
        <v>款</v>
      </c>
    </row>
    <row r="1145" s="372" customFormat="1" ht="24" hidden="1" customHeight="1" spans="1:9">
      <c r="A1145" s="723">
        <v>2170401</v>
      </c>
      <c r="B1145" s="379" t="s">
        <v>1044</v>
      </c>
      <c r="C1145" s="602">
        <f>'[2]2'!E1138</f>
        <v>0</v>
      </c>
      <c r="D1145" s="714"/>
      <c r="E1145" s="713">
        <v>0</v>
      </c>
      <c r="F1145" s="716" t="str">
        <f t="shared" si="70"/>
        <v/>
      </c>
      <c r="G1145" s="470" t="str">
        <f t="shared" si="71"/>
        <v/>
      </c>
      <c r="H1145" s="524" t="str">
        <f t="shared" si="73"/>
        <v>否</v>
      </c>
      <c r="I1145" s="312" t="str">
        <f t="shared" si="72"/>
        <v>项</v>
      </c>
    </row>
    <row r="1146" s="372" customFormat="1" ht="24" hidden="1" customHeight="1" spans="1:9">
      <c r="A1146" s="723">
        <v>2170499</v>
      </c>
      <c r="B1146" s="379" t="s">
        <v>1045</v>
      </c>
      <c r="C1146" s="602">
        <f>'[2]2'!E1139</f>
        <v>0</v>
      </c>
      <c r="D1146" s="714"/>
      <c r="E1146" s="713">
        <v>0</v>
      </c>
      <c r="F1146" s="716" t="str">
        <f t="shared" si="70"/>
        <v/>
      </c>
      <c r="G1146" s="470" t="str">
        <f t="shared" si="71"/>
        <v/>
      </c>
      <c r="H1146" s="524" t="str">
        <f t="shared" si="73"/>
        <v>否</v>
      </c>
      <c r="I1146" s="312" t="str">
        <f t="shared" si="72"/>
        <v>项</v>
      </c>
    </row>
    <row r="1147" s="372" customFormat="1" ht="24" customHeight="1" spans="1:9">
      <c r="A1147" s="330">
        <v>21799</v>
      </c>
      <c r="B1147" s="379" t="s">
        <v>1046</v>
      </c>
      <c r="C1147" s="602">
        <f>SUM(C1148:C1149)</f>
        <v>7</v>
      </c>
      <c r="D1147" s="713">
        <f>SUM(D1148:D1149)</f>
        <v>6</v>
      </c>
      <c r="E1147" s="713">
        <f>SUM(E1148:E1149)</f>
        <v>34</v>
      </c>
      <c r="F1147" s="716">
        <f t="shared" si="70"/>
        <v>3.85714285714286</v>
      </c>
      <c r="G1147" s="470">
        <f t="shared" si="71"/>
        <v>5.66666666666667</v>
      </c>
      <c r="H1147" s="524" t="str">
        <f t="shared" si="73"/>
        <v>是</v>
      </c>
      <c r="I1147" s="312" t="str">
        <f t="shared" si="72"/>
        <v>款</v>
      </c>
    </row>
    <row r="1148" s="372" customFormat="1" ht="24" hidden="1" customHeight="1" spans="1:9">
      <c r="A1148" s="721">
        <v>2179902</v>
      </c>
      <c r="B1148" s="379" t="s">
        <v>1047</v>
      </c>
      <c r="C1148" s="602">
        <f>'[2]2'!E1141</f>
        <v>0</v>
      </c>
      <c r="D1148" s="714"/>
      <c r="E1148" s="713">
        <v>29</v>
      </c>
      <c r="F1148" s="716" t="str">
        <f t="shared" si="70"/>
        <v/>
      </c>
      <c r="G1148" s="470" t="str">
        <f t="shared" si="71"/>
        <v/>
      </c>
      <c r="H1148" s="524" t="str">
        <f t="shared" si="73"/>
        <v>是</v>
      </c>
      <c r="I1148" s="312" t="str">
        <f t="shared" si="72"/>
        <v>项</v>
      </c>
    </row>
    <row r="1149" s="372" customFormat="1" ht="24" hidden="1" customHeight="1" spans="1:9">
      <c r="A1149" s="615">
        <v>2179999</v>
      </c>
      <c r="B1149" s="379" t="s">
        <v>1042</v>
      </c>
      <c r="C1149" s="602">
        <f>'[2]2'!E1142</f>
        <v>7</v>
      </c>
      <c r="D1149" s="714">
        <v>6</v>
      </c>
      <c r="E1149" s="713">
        <v>5</v>
      </c>
      <c r="F1149" s="716">
        <f t="shared" si="70"/>
        <v>-0.285714285714286</v>
      </c>
      <c r="G1149" s="470">
        <f t="shared" si="71"/>
        <v>0.833333333333333</v>
      </c>
      <c r="H1149" s="524" t="str">
        <f t="shared" si="73"/>
        <v>是</v>
      </c>
      <c r="I1149" s="312" t="str">
        <f t="shared" si="72"/>
        <v>项</v>
      </c>
    </row>
    <row r="1150" ht="24" customHeight="1" spans="1:9">
      <c r="A1150" s="329">
        <v>219</v>
      </c>
      <c r="B1150" s="377" t="s">
        <v>191</v>
      </c>
      <c r="C1150" s="601">
        <f>C1151+C1152+C1153+C1154+C1155+C1156+C1157+C1158+C1159</f>
        <v>0</v>
      </c>
      <c r="D1150" s="712">
        <f>D1151+D1152+D1153+D1154+D1155+D1156+D1157+D1158+D1159</f>
        <v>0</v>
      </c>
      <c r="E1150" s="712">
        <f>E1151+E1152+E1153+E1154+E1155+E1156+E1157+E1158+E1159</f>
        <v>0</v>
      </c>
      <c r="F1150" s="715" t="str">
        <f t="shared" si="70"/>
        <v/>
      </c>
      <c r="G1150" s="467" t="str">
        <f t="shared" si="71"/>
        <v/>
      </c>
      <c r="H1150" s="524" t="str">
        <f t="shared" si="73"/>
        <v>是</v>
      </c>
      <c r="I1150" s="312" t="str">
        <f t="shared" si="72"/>
        <v>类</v>
      </c>
    </row>
    <row r="1151" s="372" customFormat="1" ht="24" hidden="1" customHeight="1" spans="1:9">
      <c r="A1151" s="330">
        <v>21901</v>
      </c>
      <c r="B1151" s="379" t="s">
        <v>1048</v>
      </c>
      <c r="C1151" s="601">
        <f>'[2]2'!E1144</f>
        <v>0</v>
      </c>
      <c r="D1151" s="714"/>
      <c r="E1151" s="714"/>
      <c r="F1151" s="716" t="str">
        <f t="shared" si="70"/>
        <v/>
      </c>
      <c r="G1151" s="470" t="str">
        <f t="shared" si="71"/>
        <v/>
      </c>
      <c r="H1151" s="524" t="str">
        <f t="shared" si="73"/>
        <v>否</v>
      </c>
      <c r="I1151" s="312" t="str">
        <f t="shared" si="72"/>
        <v>款</v>
      </c>
    </row>
    <row r="1152" s="372" customFormat="1" ht="24" hidden="1" customHeight="1" spans="1:9">
      <c r="A1152" s="330">
        <v>21902</v>
      </c>
      <c r="B1152" s="379" t="s">
        <v>1049</v>
      </c>
      <c r="C1152" s="601">
        <f>'[2]2'!E1145</f>
        <v>0</v>
      </c>
      <c r="D1152" s="714"/>
      <c r="E1152" s="714"/>
      <c r="F1152" s="716" t="str">
        <f t="shared" si="70"/>
        <v/>
      </c>
      <c r="G1152" s="470" t="str">
        <f t="shared" si="71"/>
        <v/>
      </c>
      <c r="H1152" s="524" t="str">
        <f t="shared" si="73"/>
        <v>否</v>
      </c>
      <c r="I1152" s="312" t="str">
        <f t="shared" si="72"/>
        <v>款</v>
      </c>
    </row>
    <row r="1153" s="372" customFormat="1" ht="24" hidden="1" customHeight="1" spans="1:9">
      <c r="A1153" s="330">
        <v>21903</v>
      </c>
      <c r="B1153" s="405" t="s">
        <v>1050</v>
      </c>
      <c r="C1153" s="601">
        <f>'[2]2'!E1146</f>
        <v>0</v>
      </c>
      <c r="D1153" s="714"/>
      <c r="E1153" s="714"/>
      <c r="F1153" s="716" t="str">
        <f t="shared" si="70"/>
        <v/>
      </c>
      <c r="G1153" s="470" t="str">
        <f t="shared" si="71"/>
        <v/>
      </c>
      <c r="H1153" s="524" t="str">
        <f t="shared" si="73"/>
        <v>否</v>
      </c>
      <c r="I1153" s="312" t="str">
        <f t="shared" si="72"/>
        <v>款</v>
      </c>
    </row>
    <row r="1154" s="372" customFormat="1" ht="24" hidden="1" customHeight="1" spans="1:9">
      <c r="A1154" s="330">
        <v>21904</v>
      </c>
      <c r="B1154" s="405" t="s">
        <v>1051</v>
      </c>
      <c r="C1154" s="601">
        <f>'[2]2'!E1147</f>
        <v>0</v>
      </c>
      <c r="D1154" s="714"/>
      <c r="E1154" s="714"/>
      <c r="F1154" s="716" t="str">
        <f t="shared" si="70"/>
        <v/>
      </c>
      <c r="G1154" s="470" t="str">
        <f t="shared" si="71"/>
        <v/>
      </c>
      <c r="H1154" s="524" t="str">
        <f t="shared" si="73"/>
        <v>否</v>
      </c>
      <c r="I1154" s="312" t="str">
        <f t="shared" si="72"/>
        <v>款</v>
      </c>
    </row>
    <row r="1155" s="372" customFormat="1" ht="24" hidden="1" customHeight="1" spans="1:9">
      <c r="A1155" s="330">
        <v>21905</v>
      </c>
      <c r="B1155" s="379" t="s">
        <v>1052</v>
      </c>
      <c r="C1155" s="601">
        <f>'[2]2'!E1148</f>
        <v>0</v>
      </c>
      <c r="D1155" s="714"/>
      <c r="E1155" s="714"/>
      <c r="F1155" s="716" t="str">
        <f t="shared" si="70"/>
        <v/>
      </c>
      <c r="G1155" s="470" t="str">
        <f t="shared" si="71"/>
        <v/>
      </c>
      <c r="H1155" s="524" t="str">
        <f t="shared" si="73"/>
        <v>否</v>
      </c>
      <c r="I1155" s="312" t="str">
        <f t="shared" si="72"/>
        <v>款</v>
      </c>
    </row>
    <row r="1156" ht="24" hidden="1" customHeight="1" spans="1:9">
      <c r="A1156" s="330">
        <v>21906</v>
      </c>
      <c r="B1156" s="405" t="s">
        <v>840</v>
      </c>
      <c r="C1156" s="601">
        <f>'[2]2'!E1149</f>
        <v>0</v>
      </c>
      <c r="D1156" s="714"/>
      <c r="E1156" s="714"/>
      <c r="F1156" s="716" t="str">
        <f t="shared" si="70"/>
        <v/>
      </c>
      <c r="G1156" s="470" t="str">
        <f t="shared" si="71"/>
        <v/>
      </c>
      <c r="H1156" s="524" t="str">
        <f t="shared" si="73"/>
        <v>否</v>
      </c>
      <c r="I1156" s="312" t="str">
        <f t="shared" si="72"/>
        <v>款</v>
      </c>
    </row>
    <row r="1157" s="372" customFormat="1" ht="24" hidden="1" customHeight="1" spans="1:9">
      <c r="A1157" s="330">
        <v>21907</v>
      </c>
      <c r="B1157" s="379" t="s">
        <v>1053</v>
      </c>
      <c r="C1157" s="601">
        <f>'[2]2'!E1150</f>
        <v>0</v>
      </c>
      <c r="D1157" s="714"/>
      <c r="E1157" s="714"/>
      <c r="F1157" s="716" t="str">
        <f t="shared" ref="F1157:F1220" si="74">IFERROR((E1157-C1157)/C1157,"")</f>
        <v/>
      </c>
      <c r="G1157" s="470" t="str">
        <f t="shared" ref="G1157:G1220" si="75">IFERROR(E1157/D1157,"")</f>
        <v/>
      </c>
      <c r="H1157" s="524" t="str">
        <f t="shared" si="73"/>
        <v>否</v>
      </c>
      <c r="I1157" s="312" t="str">
        <f t="shared" ref="I1157:I1220" si="76">IF(LEN(A1157)=3,"类",IF(LEN(A1157)=5,"款","项"))</f>
        <v>款</v>
      </c>
    </row>
    <row r="1158" s="372" customFormat="1" ht="24" hidden="1" customHeight="1" spans="1:9">
      <c r="A1158" s="330">
        <v>21908</v>
      </c>
      <c r="B1158" s="379" t="s">
        <v>1054</v>
      </c>
      <c r="C1158" s="601">
        <f>'[2]2'!E1151</f>
        <v>0</v>
      </c>
      <c r="D1158" s="714"/>
      <c r="E1158" s="714"/>
      <c r="F1158" s="716" t="str">
        <f t="shared" si="74"/>
        <v/>
      </c>
      <c r="G1158" s="470" t="str">
        <f t="shared" si="75"/>
        <v/>
      </c>
      <c r="H1158" s="524" t="str">
        <f t="shared" ref="H1158:H1221" si="77">IF(LEN(A1158)=3,"是",IF(B1158&lt;&gt;"",IF(SUM(C1158:E1158)&lt;&gt;0,"是","否"),"是"))</f>
        <v>否</v>
      </c>
      <c r="I1158" s="312" t="str">
        <f t="shared" si="76"/>
        <v>款</v>
      </c>
    </row>
    <row r="1159" ht="24" hidden="1" customHeight="1" spans="1:9">
      <c r="A1159" s="330">
        <v>21999</v>
      </c>
      <c r="B1159" s="379" t="s">
        <v>1055</v>
      </c>
      <c r="C1159" s="601">
        <f>'[2]2'!E1152</f>
        <v>0</v>
      </c>
      <c r="D1159" s="714"/>
      <c r="E1159" s="714"/>
      <c r="F1159" s="716" t="str">
        <f t="shared" si="74"/>
        <v/>
      </c>
      <c r="G1159" s="470" t="str">
        <f t="shared" si="75"/>
        <v/>
      </c>
      <c r="H1159" s="524" t="str">
        <f t="shared" si="77"/>
        <v>否</v>
      </c>
      <c r="I1159" s="312" t="str">
        <f t="shared" si="76"/>
        <v>款</v>
      </c>
    </row>
    <row r="1160" ht="24" customHeight="1" spans="1:9">
      <c r="A1160" s="329">
        <v>220</v>
      </c>
      <c r="B1160" s="377" t="s">
        <v>192</v>
      </c>
      <c r="C1160" s="601">
        <f>C1161+C1188+C1203</f>
        <v>19061</v>
      </c>
      <c r="D1160" s="712">
        <f>D1161+D1188+D1203</f>
        <v>19853</v>
      </c>
      <c r="E1160" s="712">
        <f>E1161+E1188+E1203</f>
        <v>21460</v>
      </c>
      <c r="F1160" s="715">
        <f t="shared" si="74"/>
        <v>0.125859083993495</v>
      </c>
      <c r="G1160" s="467">
        <f t="shared" si="75"/>
        <v>1.08094494534831</v>
      </c>
      <c r="H1160" s="524" t="str">
        <f t="shared" si="77"/>
        <v>是</v>
      </c>
      <c r="I1160" s="312" t="str">
        <f t="shared" si="76"/>
        <v>类</v>
      </c>
    </row>
    <row r="1161" s="372" customFormat="1" ht="24" customHeight="1" spans="1:9">
      <c r="A1161" s="330">
        <v>22001</v>
      </c>
      <c r="B1161" s="379" t="s">
        <v>1056</v>
      </c>
      <c r="C1161" s="602">
        <f>SUM(C1162:C1187)</f>
        <v>17782</v>
      </c>
      <c r="D1161" s="713">
        <f>SUM(D1162:D1187)</f>
        <v>18575</v>
      </c>
      <c r="E1161" s="713">
        <f>SUM(E1162:E1187)</f>
        <v>19093</v>
      </c>
      <c r="F1161" s="716">
        <f t="shared" si="74"/>
        <v>0.0737262400179957</v>
      </c>
      <c r="G1161" s="470">
        <f t="shared" si="75"/>
        <v>1.0278869448183</v>
      </c>
      <c r="H1161" s="524" t="str">
        <f t="shared" si="77"/>
        <v>是</v>
      </c>
      <c r="I1161" s="312" t="str">
        <f t="shared" si="76"/>
        <v>款</v>
      </c>
    </row>
    <row r="1162" s="372" customFormat="1" ht="24" hidden="1" customHeight="1" spans="1:9">
      <c r="A1162" s="330">
        <v>2200101</v>
      </c>
      <c r="B1162" s="379" t="s">
        <v>212</v>
      </c>
      <c r="C1162" s="602">
        <f>'[2]2'!E1155</f>
        <v>4420</v>
      </c>
      <c r="D1162" s="714">
        <v>4625</v>
      </c>
      <c r="E1162" s="713">
        <v>4360</v>
      </c>
      <c r="F1162" s="716">
        <f t="shared" si="74"/>
        <v>-0.0135746606334842</v>
      </c>
      <c r="G1162" s="470">
        <f t="shared" si="75"/>
        <v>0.942702702702703</v>
      </c>
      <c r="H1162" s="524" t="str">
        <f t="shared" si="77"/>
        <v>是</v>
      </c>
      <c r="I1162" s="312" t="str">
        <f t="shared" si="76"/>
        <v>项</v>
      </c>
    </row>
    <row r="1163" s="372" customFormat="1" ht="24" hidden="1" customHeight="1" spans="1:9">
      <c r="A1163" s="330">
        <v>2200102</v>
      </c>
      <c r="B1163" s="379" t="s">
        <v>213</v>
      </c>
      <c r="C1163" s="602">
        <f>'[2]2'!E1156</f>
        <v>19</v>
      </c>
      <c r="D1163" s="714">
        <v>21</v>
      </c>
      <c r="E1163" s="713">
        <v>33</v>
      </c>
      <c r="F1163" s="716">
        <f t="shared" si="74"/>
        <v>0.736842105263158</v>
      </c>
      <c r="G1163" s="470">
        <f t="shared" si="75"/>
        <v>1.57142857142857</v>
      </c>
      <c r="H1163" s="524" t="str">
        <f t="shared" si="77"/>
        <v>是</v>
      </c>
      <c r="I1163" s="312" t="str">
        <f t="shared" si="76"/>
        <v>项</v>
      </c>
    </row>
    <row r="1164" s="372" customFormat="1" ht="24" hidden="1" customHeight="1" spans="1:9">
      <c r="A1164" s="330">
        <v>2200103</v>
      </c>
      <c r="B1164" s="379" t="s">
        <v>214</v>
      </c>
      <c r="C1164" s="602">
        <f>'[2]2'!E1157</f>
        <v>0</v>
      </c>
      <c r="D1164" s="714"/>
      <c r="E1164" s="713">
        <v>0</v>
      </c>
      <c r="F1164" s="716" t="str">
        <f t="shared" si="74"/>
        <v/>
      </c>
      <c r="G1164" s="470" t="str">
        <f t="shared" si="75"/>
        <v/>
      </c>
      <c r="H1164" s="524" t="str">
        <f t="shared" si="77"/>
        <v>否</v>
      </c>
      <c r="I1164" s="312" t="str">
        <f t="shared" si="76"/>
        <v>项</v>
      </c>
    </row>
    <row r="1165" s="372" customFormat="1" ht="24" hidden="1" customHeight="1" spans="1:9">
      <c r="A1165" s="330">
        <v>2200104</v>
      </c>
      <c r="B1165" s="379" t="s">
        <v>1057</v>
      </c>
      <c r="C1165" s="602">
        <f>'[2]2'!E1158</f>
        <v>335</v>
      </c>
      <c r="D1165" s="714">
        <v>345</v>
      </c>
      <c r="E1165" s="713">
        <v>272</v>
      </c>
      <c r="F1165" s="716">
        <f t="shared" si="74"/>
        <v>-0.188059701492537</v>
      </c>
      <c r="G1165" s="470">
        <f t="shared" si="75"/>
        <v>0.788405797101449</v>
      </c>
      <c r="H1165" s="524" t="str">
        <f t="shared" si="77"/>
        <v>是</v>
      </c>
      <c r="I1165" s="312" t="str">
        <f t="shared" si="76"/>
        <v>项</v>
      </c>
    </row>
    <row r="1166" s="372" customFormat="1" ht="24" hidden="1" customHeight="1" spans="1:9">
      <c r="A1166" s="330">
        <v>2200106</v>
      </c>
      <c r="B1166" s="379" t="s">
        <v>1058</v>
      </c>
      <c r="C1166" s="602">
        <f>'[2]2'!E1159</f>
        <v>5981</v>
      </c>
      <c r="D1166" s="714">
        <v>6359</v>
      </c>
      <c r="E1166" s="713">
        <v>8752</v>
      </c>
      <c r="F1166" s="716">
        <f t="shared" si="74"/>
        <v>0.463300451429527</v>
      </c>
      <c r="G1166" s="470">
        <f t="shared" si="75"/>
        <v>1.37631703097971</v>
      </c>
      <c r="H1166" s="524" t="str">
        <f t="shared" si="77"/>
        <v>是</v>
      </c>
      <c r="I1166" s="312" t="str">
        <f t="shared" si="76"/>
        <v>项</v>
      </c>
    </row>
    <row r="1167" ht="24" hidden="1" customHeight="1" spans="1:9">
      <c r="A1167" s="330">
        <v>2200107</v>
      </c>
      <c r="B1167" s="379" t="s">
        <v>1059</v>
      </c>
      <c r="C1167" s="602">
        <f>'[2]2'!E1160</f>
        <v>0</v>
      </c>
      <c r="D1167" s="714"/>
      <c r="E1167" s="713">
        <v>0</v>
      </c>
      <c r="F1167" s="716" t="str">
        <f t="shared" si="74"/>
        <v/>
      </c>
      <c r="G1167" s="470" t="str">
        <f t="shared" si="75"/>
        <v/>
      </c>
      <c r="H1167" s="524" t="str">
        <f t="shared" si="77"/>
        <v>否</v>
      </c>
      <c r="I1167" s="312" t="str">
        <f t="shared" si="76"/>
        <v>项</v>
      </c>
    </row>
    <row r="1168" s="372" customFormat="1" ht="24" hidden="1" customHeight="1" spans="1:9">
      <c r="A1168" s="330">
        <v>2200108</v>
      </c>
      <c r="B1168" s="379" t="s">
        <v>1060</v>
      </c>
      <c r="C1168" s="602">
        <f>'[2]2'!E1161</f>
        <v>848</v>
      </c>
      <c r="D1168" s="714">
        <v>838</v>
      </c>
      <c r="E1168" s="713">
        <v>923</v>
      </c>
      <c r="F1168" s="716">
        <f t="shared" si="74"/>
        <v>0.0884433962264151</v>
      </c>
      <c r="G1168" s="470">
        <f t="shared" si="75"/>
        <v>1.10143198090692</v>
      </c>
      <c r="H1168" s="524" t="str">
        <f t="shared" si="77"/>
        <v>是</v>
      </c>
      <c r="I1168" s="312" t="str">
        <f t="shared" si="76"/>
        <v>项</v>
      </c>
    </row>
    <row r="1169" s="372" customFormat="1" ht="24" hidden="1" customHeight="1" spans="1:9">
      <c r="A1169" s="330">
        <v>2200109</v>
      </c>
      <c r="B1169" s="379" t="s">
        <v>1061</v>
      </c>
      <c r="C1169" s="602">
        <f>'[2]2'!E1162</f>
        <v>29</v>
      </c>
      <c r="D1169" s="714">
        <v>26</v>
      </c>
      <c r="E1169" s="713">
        <v>2</v>
      </c>
      <c r="F1169" s="716">
        <f t="shared" si="74"/>
        <v>-0.931034482758621</v>
      </c>
      <c r="G1169" s="470">
        <f t="shared" si="75"/>
        <v>0.0769230769230769</v>
      </c>
      <c r="H1169" s="524" t="str">
        <f t="shared" si="77"/>
        <v>是</v>
      </c>
      <c r="I1169" s="312" t="str">
        <f t="shared" si="76"/>
        <v>项</v>
      </c>
    </row>
    <row r="1170" s="372" customFormat="1" ht="24" hidden="1" customHeight="1" spans="1:9">
      <c r="A1170" s="330">
        <v>2200112</v>
      </c>
      <c r="B1170" s="379" t="s">
        <v>1062</v>
      </c>
      <c r="C1170" s="602">
        <f>'[2]2'!E1163</f>
        <v>0</v>
      </c>
      <c r="D1170" s="714"/>
      <c r="E1170" s="713">
        <v>408</v>
      </c>
      <c r="F1170" s="716" t="str">
        <f t="shared" si="74"/>
        <v/>
      </c>
      <c r="G1170" s="470" t="str">
        <f t="shared" si="75"/>
        <v/>
      </c>
      <c r="H1170" s="524" t="str">
        <f t="shared" si="77"/>
        <v>是</v>
      </c>
      <c r="I1170" s="312" t="str">
        <f t="shared" si="76"/>
        <v>项</v>
      </c>
    </row>
    <row r="1171" s="372" customFormat="1" ht="24" hidden="1" customHeight="1" spans="1:9">
      <c r="A1171" s="330">
        <v>2200113</v>
      </c>
      <c r="B1171" s="379" t="s">
        <v>1063</v>
      </c>
      <c r="C1171" s="602">
        <f>'[2]2'!E1164</f>
        <v>0</v>
      </c>
      <c r="D1171" s="714"/>
      <c r="E1171" s="713">
        <v>0</v>
      </c>
      <c r="F1171" s="716" t="str">
        <f t="shared" si="74"/>
        <v/>
      </c>
      <c r="G1171" s="470" t="str">
        <f t="shared" si="75"/>
        <v/>
      </c>
      <c r="H1171" s="524" t="str">
        <f t="shared" si="77"/>
        <v>否</v>
      </c>
      <c r="I1171" s="312" t="str">
        <f t="shared" si="76"/>
        <v>项</v>
      </c>
    </row>
    <row r="1172" s="372" customFormat="1" ht="24" hidden="1" customHeight="1" spans="1:9">
      <c r="A1172" s="330">
        <v>2200114</v>
      </c>
      <c r="B1172" s="379" t="s">
        <v>1064</v>
      </c>
      <c r="C1172" s="602">
        <f>'[2]2'!E1165</f>
        <v>8</v>
      </c>
      <c r="D1172" s="714"/>
      <c r="E1172" s="713">
        <v>8</v>
      </c>
      <c r="F1172" s="716">
        <f t="shared" si="74"/>
        <v>0</v>
      </c>
      <c r="G1172" s="470" t="str">
        <f t="shared" si="75"/>
        <v/>
      </c>
      <c r="H1172" s="524" t="str">
        <f t="shared" si="77"/>
        <v>是</v>
      </c>
      <c r="I1172" s="312" t="str">
        <f t="shared" si="76"/>
        <v>项</v>
      </c>
    </row>
    <row r="1173" s="372" customFormat="1" ht="24" hidden="1" customHeight="1" spans="1:9">
      <c r="A1173" s="330">
        <v>2200115</v>
      </c>
      <c r="B1173" s="379" t="s">
        <v>1065</v>
      </c>
      <c r="C1173" s="602">
        <f>'[2]2'!E1166</f>
        <v>0</v>
      </c>
      <c r="D1173" s="714"/>
      <c r="E1173" s="713">
        <v>0</v>
      </c>
      <c r="F1173" s="716" t="str">
        <f t="shared" si="74"/>
        <v/>
      </c>
      <c r="G1173" s="470" t="str">
        <f t="shared" si="75"/>
        <v/>
      </c>
      <c r="H1173" s="524" t="str">
        <f t="shared" si="77"/>
        <v>否</v>
      </c>
      <c r="I1173" s="312" t="str">
        <f t="shared" si="76"/>
        <v>项</v>
      </c>
    </row>
    <row r="1174" s="372" customFormat="1" ht="24" hidden="1" customHeight="1" spans="1:9">
      <c r="A1174" s="330">
        <v>2200116</v>
      </c>
      <c r="B1174" s="379" t="s">
        <v>1066</v>
      </c>
      <c r="C1174" s="602">
        <f>'[2]2'!E1167</f>
        <v>0</v>
      </c>
      <c r="D1174" s="714"/>
      <c r="E1174" s="713">
        <v>0</v>
      </c>
      <c r="F1174" s="716" t="str">
        <f t="shared" si="74"/>
        <v/>
      </c>
      <c r="G1174" s="470" t="str">
        <f t="shared" si="75"/>
        <v/>
      </c>
      <c r="H1174" s="524" t="str">
        <f t="shared" si="77"/>
        <v>否</v>
      </c>
      <c r="I1174" s="312" t="str">
        <f t="shared" si="76"/>
        <v>项</v>
      </c>
    </row>
    <row r="1175" s="372" customFormat="1" ht="24" hidden="1" customHeight="1" spans="1:9">
      <c r="A1175" s="330">
        <v>2200119</v>
      </c>
      <c r="B1175" s="379" t="s">
        <v>1067</v>
      </c>
      <c r="C1175" s="602">
        <f>'[2]2'!E1168</f>
        <v>0</v>
      </c>
      <c r="D1175" s="714"/>
      <c r="E1175" s="713">
        <v>0</v>
      </c>
      <c r="F1175" s="716" t="str">
        <f t="shared" si="74"/>
        <v/>
      </c>
      <c r="G1175" s="470" t="str">
        <f t="shared" si="75"/>
        <v/>
      </c>
      <c r="H1175" s="524" t="str">
        <f t="shared" si="77"/>
        <v>否</v>
      </c>
      <c r="I1175" s="312" t="str">
        <f t="shared" si="76"/>
        <v>项</v>
      </c>
    </row>
    <row r="1176" s="372" customFormat="1" ht="24" hidden="1" customHeight="1" spans="1:9">
      <c r="A1176" s="330">
        <v>2200120</v>
      </c>
      <c r="B1176" s="379" t="s">
        <v>1068</v>
      </c>
      <c r="C1176" s="602">
        <f>'[2]2'!E1169</f>
        <v>0</v>
      </c>
      <c r="D1176" s="714"/>
      <c r="E1176" s="713">
        <v>0</v>
      </c>
      <c r="F1176" s="716" t="str">
        <f t="shared" si="74"/>
        <v/>
      </c>
      <c r="G1176" s="470" t="str">
        <f t="shared" si="75"/>
        <v/>
      </c>
      <c r="H1176" s="524" t="str">
        <f t="shared" si="77"/>
        <v>否</v>
      </c>
      <c r="I1176" s="312" t="str">
        <f t="shared" si="76"/>
        <v>项</v>
      </c>
    </row>
    <row r="1177" ht="24" hidden="1" customHeight="1" spans="1:9">
      <c r="A1177" s="330">
        <v>2200121</v>
      </c>
      <c r="B1177" s="379" t="s">
        <v>1069</v>
      </c>
      <c r="C1177" s="602">
        <f>'[2]2'!E1170</f>
        <v>0</v>
      </c>
      <c r="D1177" s="714"/>
      <c r="E1177" s="713">
        <v>0</v>
      </c>
      <c r="F1177" s="716" t="str">
        <f t="shared" si="74"/>
        <v/>
      </c>
      <c r="G1177" s="470" t="str">
        <f t="shared" si="75"/>
        <v/>
      </c>
      <c r="H1177" s="524" t="str">
        <f t="shared" si="77"/>
        <v>否</v>
      </c>
      <c r="I1177" s="312" t="str">
        <f t="shared" si="76"/>
        <v>项</v>
      </c>
    </row>
    <row r="1178" s="372" customFormat="1" ht="24" hidden="1" customHeight="1" spans="1:9">
      <c r="A1178" s="330">
        <v>2200122</v>
      </c>
      <c r="B1178" s="379" t="s">
        <v>1070</v>
      </c>
      <c r="C1178" s="602">
        <f>'[2]2'!E1171</f>
        <v>0</v>
      </c>
      <c r="D1178" s="714"/>
      <c r="E1178" s="713">
        <v>0</v>
      </c>
      <c r="F1178" s="716" t="str">
        <f t="shared" si="74"/>
        <v/>
      </c>
      <c r="G1178" s="470" t="str">
        <f t="shared" si="75"/>
        <v/>
      </c>
      <c r="H1178" s="524" t="str">
        <f t="shared" si="77"/>
        <v>否</v>
      </c>
      <c r="I1178" s="312" t="str">
        <f t="shared" si="76"/>
        <v>项</v>
      </c>
    </row>
    <row r="1179" s="372" customFormat="1" ht="24" hidden="1" customHeight="1" spans="1:9">
      <c r="A1179" s="330">
        <v>2200123</v>
      </c>
      <c r="B1179" s="379" t="s">
        <v>1071</v>
      </c>
      <c r="C1179" s="602">
        <f>'[2]2'!E1172</f>
        <v>0</v>
      </c>
      <c r="D1179" s="714"/>
      <c r="E1179" s="713">
        <v>0</v>
      </c>
      <c r="F1179" s="716" t="str">
        <f t="shared" si="74"/>
        <v/>
      </c>
      <c r="G1179" s="470" t="str">
        <f t="shared" si="75"/>
        <v/>
      </c>
      <c r="H1179" s="524" t="str">
        <f t="shared" si="77"/>
        <v>否</v>
      </c>
      <c r="I1179" s="312" t="str">
        <f t="shared" si="76"/>
        <v>项</v>
      </c>
    </row>
    <row r="1180" s="372" customFormat="1" ht="24" hidden="1" customHeight="1" spans="1:9">
      <c r="A1180" s="330">
        <v>2200124</v>
      </c>
      <c r="B1180" s="379" t="s">
        <v>1072</v>
      </c>
      <c r="C1180" s="602">
        <f>'[2]2'!E1173</f>
        <v>0</v>
      </c>
      <c r="D1180" s="714"/>
      <c r="E1180" s="713">
        <v>0</v>
      </c>
      <c r="F1180" s="716" t="str">
        <f t="shared" si="74"/>
        <v/>
      </c>
      <c r="G1180" s="470" t="str">
        <f t="shared" si="75"/>
        <v/>
      </c>
      <c r="H1180" s="524" t="str">
        <f t="shared" si="77"/>
        <v>否</v>
      </c>
      <c r="I1180" s="312" t="str">
        <f t="shared" si="76"/>
        <v>项</v>
      </c>
    </row>
    <row r="1181" s="372" customFormat="1" ht="24" hidden="1" customHeight="1" spans="1:9">
      <c r="A1181" s="330">
        <v>2200125</v>
      </c>
      <c r="B1181" s="379" t="s">
        <v>1073</v>
      </c>
      <c r="C1181" s="602">
        <f>'[2]2'!E1174</f>
        <v>0</v>
      </c>
      <c r="D1181" s="714"/>
      <c r="E1181" s="713">
        <v>0</v>
      </c>
      <c r="F1181" s="716" t="str">
        <f t="shared" si="74"/>
        <v/>
      </c>
      <c r="G1181" s="470" t="str">
        <f t="shared" si="75"/>
        <v/>
      </c>
      <c r="H1181" s="524" t="str">
        <f t="shared" si="77"/>
        <v>否</v>
      </c>
      <c r="I1181" s="312" t="str">
        <f t="shared" si="76"/>
        <v>项</v>
      </c>
    </row>
    <row r="1182" s="372" customFormat="1" ht="24" hidden="1" customHeight="1" spans="1:9">
      <c r="A1182" s="330">
        <v>2200126</v>
      </c>
      <c r="B1182" s="379" t="s">
        <v>1074</v>
      </c>
      <c r="C1182" s="602">
        <f>'[2]2'!E1175</f>
        <v>0</v>
      </c>
      <c r="D1182" s="714"/>
      <c r="E1182" s="713">
        <v>0</v>
      </c>
      <c r="F1182" s="716" t="str">
        <f t="shared" si="74"/>
        <v/>
      </c>
      <c r="G1182" s="470" t="str">
        <f t="shared" si="75"/>
        <v/>
      </c>
      <c r="H1182" s="524" t="str">
        <f t="shared" si="77"/>
        <v>否</v>
      </c>
      <c r="I1182" s="312" t="str">
        <f t="shared" si="76"/>
        <v>项</v>
      </c>
    </row>
    <row r="1183" ht="24" hidden="1" customHeight="1" spans="1:9">
      <c r="A1183" s="330">
        <v>2200127</v>
      </c>
      <c r="B1183" s="379" t="s">
        <v>1075</v>
      </c>
      <c r="C1183" s="602">
        <f>'[2]2'!E1176</f>
        <v>0</v>
      </c>
      <c r="D1183" s="714"/>
      <c r="E1183" s="713">
        <v>0</v>
      </c>
      <c r="F1183" s="716" t="str">
        <f t="shared" si="74"/>
        <v/>
      </c>
      <c r="G1183" s="470" t="str">
        <f t="shared" si="75"/>
        <v/>
      </c>
      <c r="H1183" s="524" t="str">
        <f t="shared" si="77"/>
        <v>否</v>
      </c>
      <c r="I1183" s="312" t="str">
        <f t="shared" si="76"/>
        <v>项</v>
      </c>
    </row>
    <row r="1184" s="372" customFormat="1" ht="24" hidden="1" customHeight="1" spans="1:9">
      <c r="A1184" s="330">
        <v>2200128</v>
      </c>
      <c r="B1184" s="379" t="s">
        <v>1076</v>
      </c>
      <c r="C1184" s="602">
        <f>'[2]2'!E1177</f>
        <v>0</v>
      </c>
      <c r="D1184" s="714"/>
      <c r="E1184" s="713">
        <v>0</v>
      </c>
      <c r="F1184" s="716" t="str">
        <f t="shared" si="74"/>
        <v/>
      </c>
      <c r="G1184" s="470" t="str">
        <f t="shared" si="75"/>
        <v/>
      </c>
      <c r="H1184" s="524" t="str">
        <f t="shared" si="77"/>
        <v>否</v>
      </c>
      <c r="I1184" s="312" t="str">
        <f t="shared" si="76"/>
        <v>项</v>
      </c>
    </row>
    <row r="1185" s="372" customFormat="1" ht="24" hidden="1" customHeight="1" spans="1:9">
      <c r="A1185" s="330">
        <v>2200129</v>
      </c>
      <c r="B1185" s="379" t="s">
        <v>1077</v>
      </c>
      <c r="C1185" s="602">
        <f>'[2]2'!E1178</f>
        <v>0</v>
      </c>
      <c r="D1185" s="714"/>
      <c r="E1185" s="713">
        <v>0</v>
      </c>
      <c r="F1185" s="716" t="str">
        <f t="shared" si="74"/>
        <v/>
      </c>
      <c r="G1185" s="470" t="str">
        <f t="shared" si="75"/>
        <v/>
      </c>
      <c r="H1185" s="524" t="str">
        <f t="shared" si="77"/>
        <v>否</v>
      </c>
      <c r="I1185" s="312" t="str">
        <f t="shared" si="76"/>
        <v>项</v>
      </c>
    </row>
    <row r="1186" ht="24" hidden="1" customHeight="1" spans="1:9">
      <c r="A1186" s="330">
        <v>2200150</v>
      </c>
      <c r="B1186" s="379" t="s">
        <v>221</v>
      </c>
      <c r="C1186" s="602">
        <f>'[2]2'!E1179</f>
        <v>3484</v>
      </c>
      <c r="D1186" s="714">
        <v>3625</v>
      </c>
      <c r="E1186" s="713">
        <v>2823</v>
      </c>
      <c r="F1186" s="716">
        <f t="shared" si="74"/>
        <v>-0.189724454649828</v>
      </c>
      <c r="G1186" s="470">
        <f t="shared" si="75"/>
        <v>0.778758620689655</v>
      </c>
      <c r="H1186" s="524" t="str">
        <f t="shared" si="77"/>
        <v>是</v>
      </c>
      <c r="I1186" s="312" t="str">
        <f t="shared" si="76"/>
        <v>项</v>
      </c>
    </row>
    <row r="1187" s="372" customFormat="1" ht="24" hidden="1" customHeight="1" spans="1:9">
      <c r="A1187" s="331">
        <v>2200199</v>
      </c>
      <c r="B1187" s="327" t="s">
        <v>1078</v>
      </c>
      <c r="C1187" s="602">
        <f>'[2]2'!E1180</f>
        <v>2658</v>
      </c>
      <c r="D1187" s="714">
        <v>2736</v>
      </c>
      <c r="E1187" s="713">
        <v>1512</v>
      </c>
      <c r="F1187" s="716">
        <f t="shared" si="74"/>
        <v>-0.431151241534989</v>
      </c>
      <c r="G1187" s="470">
        <f t="shared" si="75"/>
        <v>0.552631578947368</v>
      </c>
      <c r="H1187" s="524" t="str">
        <f t="shared" si="77"/>
        <v>是</v>
      </c>
      <c r="I1187" s="313" t="str">
        <f t="shared" si="76"/>
        <v>项</v>
      </c>
    </row>
    <row r="1188" s="372" customFormat="1" ht="24" customHeight="1" spans="1:9">
      <c r="A1188" s="330">
        <v>22005</v>
      </c>
      <c r="B1188" s="379" t="s">
        <v>1079</v>
      </c>
      <c r="C1188" s="602">
        <f>SUM(C1189:C1202)</f>
        <v>900</v>
      </c>
      <c r="D1188" s="713">
        <f>SUM(D1189:D1202)</f>
        <v>910</v>
      </c>
      <c r="E1188" s="713">
        <f>SUM(E1189:E1202)</f>
        <v>1025</v>
      </c>
      <c r="F1188" s="716">
        <f t="shared" si="74"/>
        <v>0.138888888888889</v>
      </c>
      <c r="G1188" s="470">
        <f t="shared" si="75"/>
        <v>1.12637362637363</v>
      </c>
      <c r="H1188" s="524" t="str">
        <f t="shared" si="77"/>
        <v>是</v>
      </c>
      <c r="I1188" s="312" t="str">
        <f t="shared" si="76"/>
        <v>款</v>
      </c>
    </row>
    <row r="1189" s="372" customFormat="1" ht="24" hidden="1" customHeight="1" spans="1:9">
      <c r="A1189" s="330">
        <v>2200501</v>
      </c>
      <c r="B1189" s="379" t="s">
        <v>212</v>
      </c>
      <c r="C1189" s="602">
        <f>'[2]2'!E1182</f>
        <v>24</v>
      </c>
      <c r="D1189" s="714">
        <v>25</v>
      </c>
      <c r="E1189" s="713">
        <v>31</v>
      </c>
      <c r="F1189" s="716">
        <f t="shared" si="74"/>
        <v>0.291666666666667</v>
      </c>
      <c r="G1189" s="470">
        <f t="shared" si="75"/>
        <v>1.24</v>
      </c>
      <c r="H1189" s="524" t="str">
        <f t="shared" si="77"/>
        <v>是</v>
      </c>
      <c r="I1189" s="312" t="str">
        <f t="shared" si="76"/>
        <v>项</v>
      </c>
    </row>
    <row r="1190" s="372" customFormat="1" ht="24" hidden="1" customHeight="1" spans="1:9">
      <c r="A1190" s="330">
        <v>2200502</v>
      </c>
      <c r="B1190" s="379" t="s">
        <v>213</v>
      </c>
      <c r="C1190" s="602">
        <f>'[2]2'!E1183</f>
        <v>0</v>
      </c>
      <c r="D1190" s="714"/>
      <c r="E1190" s="713">
        <v>0</v>
      </c>
      <c r="F1190" s="716" t="str">
        <f t="shared" si="74"/>
        <v/>
      </c>
      <c r="G1190" s="470" t="str">
        <f t="shared" si="75"/>
        <v/>
      </c>
      <c r="H1190" s="524" t="str">
        <f t="shared" si="77"/>
        <v>否</v>
      </c>
      <c r="I1190" s="312" t="str">
        <f t="shared" si="76"/>
        <v>项</v>
      </c>
    </row>
    <row r="1191" s="372" customFormat="1" ht="24" hidden="1" customHeight="1" spans="1:9">
      <c r="A1191" s="330">
        <v>2200503</v>
      </c>
      <c r="B1191" s="379" t="s">
        <v>214</v>
      </c>
      <c r="C1191" s="602">
        <f>'[2]2'!E1184</f>
        <v>0</v>
      </c>
      <c r="D1191" s="714"/>
      <c r="E1191" s="713">
        <v>0</v>
      </c>
      <c r="F1191" s="716" t="str">
        <f t="shared" si="74"/>
        <v/>
      </c>
      <c r="G1191" s="470" t="str">
        <f t="shared" si="75"/>
        <v/>
      </c>
      <c r="H1191" s="524" t="str">
        <f t="shared" si="77"/>
        <v>否</v>
      </c>
      <c r="I1191" s="312" t="str">
        <f t="shared" si="76"/>
        <v>项</v>
      </c>
    </row>
    <row r="1192" s="374" customFormat="1" ht="24" hidden="1" customHeight="1" spans="1:9">
      <c r="A1192" s="330">
        <v>2200504</v>
      </c>
      <c r="B1192" s="379" t="s">
        <v>1080</v>
      </c>
      <c r="C1192" s="602">
        <f>'[2]2'!E1185</f>
        <v>358</v>
      </c>
      <c r="D1192" s="714">
        <v>378</v>
      </c>
      <c r="E1192" s="713">
        <v>340</v>
      </c>
      <c r="F1192" s="716">
        <f t="shared" si="74"/>
        <v>-0.0502793296089385</v>
      </c>
      <c r="G1192" s="470">
        <f t="shared" si="75"/>
        <v>0.899470899470899</v>
      </c>
      <c r="H1192" s="524" t="str">
        <f t="shared" si="77"/>
        <v>是</v>
      </c>
      <c r="I1192" s="312" t="str">
        <f t="shared" si="76"/>
        <v>项</v>
      </c>
    </row>
    <row r="1193" s="372" customFormat="1" ht="24" hidden="1" customHeight="1" spans="1:9">
      <c r="A1193" s="330">
        <v>2200506</v>
      </c>
      <c r="B1193" s="379" t="s">
        <v>1081</v>
      </c>
      <c r="C1193" s="602">
        <f>'[2]2'!E1186</f>
        <v>0</v>
      </c>
      <c r="D1193" s="714"/>
      <c r="E1193" s="713">
        <v>0</v>
      </c>
      <c r="F1193" s="716" t="str">
        <f t="shared" si="74"/>
        <v/>
      </c>
      <c r="G1193" s="470" t="str">
        <f t="shared" si="75"/>
        <v/>
      </c>
      <c r="H1193" s="524" t="str">
        <f t="shared" si="77"/>
        <v>否</v>
      </c>
      <c r="I1193" s="312" t="str">
        <f t="shared" si="76"/>
        <v>项</v>
      </c>
    </row>
    <row r="1194" s="372" customFormat="1" ht="24" hidden="1" customHeight="1" spans="1:9">
      <c r="A1194" s="330">
        <v>2200507</v>
      </c>
      <c r="B1194" s="379" t="s">
        <v>1082</v>
      </c>
      <c r="C1194" s="602">
        <f>'[2]2'!E1187</f>
        <v>0</v>
      </c>
      <c r="D1194" s="714"/>
      <c r="E1194" s="713">
        <v>0</v>
      </c>
      <c r="F1194" s="716" t="str">
        <f t="shared" si="74"/>
        <v/>
      </c>
      <c r="G1194" s="470" t="str">
        <f t="shared" si="75"/>
        <v/>
      </c>
      <c r="H1194" s="524" t="str">
        <f t="shared" si="77"/>
        <v>否</v>
      </c>
      <c r="I1194" s="312" t="str">
        <f t="shared" si="76"/>
        <v>项</v>
      </c>
    </row>
    <row r="1195" ht="24" hidden="1" customHeight="1" spans="1:9">
      <c r="A1195" s="330">
        <v>2200508</v>
      </c>
      <c r="B1195" s="379" t="s">
        <v>1083</v>
      </c>
      <c r="C1195" s="602">
        <f>'[2]2'!E1188</f>
        <v>0</v>
      </c>
      <c r="D1195" s="714"/>
      <c r="E1195" s="713">
        <v>0</v>
      </c>
      <c r="F1195" s="716" t="str">
        <f t="shared" si="74"/>
        <v/>
      </c>
      <c r="G1195" s="470" t="str">
        <f t="shared" si="75"/>
        <v/>
      </c>
      <c r="H1195" s="524" t="str">
        <f t="shared" si="77"/>
        <v>否</v>
      </c>
      <c r="I1195" s="312" t="str">
        <f t="shared" si="76"/>
        <v>项</v>
      </c>
    </row>
    <row r="1196" ht="24" hidden="1" customHeight="1" spans="1:9">
      <c r="A1196" s="330">
        <v>2200509</v>
      </c>
      <c r="B1196" s="379" t="s">
        <v>1084</v>
      </c>
      <c r="C1196" s="602">
        <f>'[2]2'!E1189</f>
        <v>192</v>
      </c>
      <c r="D1196" s="714">
        <v>186</v>
      </c>
      <c r="E1196" s="713">
        <v>554</v>
      </c>
      <c r="F1196" s="716">
        <f t="shared" si="74"/>
        <v>1.88541666666667</v>
      </c>
      <c r="G1196" s="470">
        <f t="shared" si="75"/>
        <v>2.97849462365591</v>
      </c>
      <c r="H1196" s="524" t="str">
        <f t="shared" si="77"/>
        <v>是</v>
      </c>
      <c r="I1196" s="312" t="str">
        <f t="shared" si="76"/>
        <v>项</v>
      </c>
    </row>
    <row r="1197" ht="24" hidden="1" customHeight="1" spans="1:9">
      <c r="A1197" s="330">
        <v>2200510</v>
      </c>
      <c r="B1197" s="379" t="s">
        <v>1085</v>
      </c>
      <c r="C1197" s="602">
        <f>'[2]2'!E1190</f>
        <v>29</v>
      </c>
      <c r="D1197" s="714">
        <v>32</v>
      </c>
      <c r="E1197" s="713">
        <v>0</v>
      </c>
      <c r="F1197" s="716">
        <f t="shared" si="74"/>
        <v>-1</v>
      </c>
      <c r="G1197" s="470">
        <f t="shared" si="75"/>
        <v>0</v>
      </c>
      <c r="H1197" s="524" t="str">
        <f t="shared" si="77"/>
        <v>是</v>
      </c>
      <c r="I1197" s="312" t="str">
        <f t="shared" si="76"/>
        <v>项</v>
      </c>
    </row>
    <row r="1198" s="372" customFormat="1" ht="24" hidden="1" customHeight="1" spans="1:9">
      <c r="A1198" s="330">
        <v>2200511</v>
      </c>
      <c r="B1198" s="379" t="s">
        <v>1086</v>
      </c>
      <c r="C1198" s="602">
        <f>'[2]2'!E1191</f>
        <v>0</v>
      </c>
      <c r="D1198" s="714"/>
      <c r="E1198" s="713">
        <v>9</v>
      </c>
      <c r="F1198" s="716" t="str">
        <f t="shared" si="74"/>
        <v/>
      </c>
      <c r="G1198" s="470" t="str">
        <f t="shared" si="75"/>
        <v/>
      </c>
      <c r="H1198" s="524" t="str">
        <f t="shared" si="77"/>
        <v>是</v>
      </c>
      <c r="I1198" s="312" t="str">
        <f t="shared" si="76"/>
        <v>项</v>
      </c>
    </row>
    <row r="1199" s="372" customFormat="1" ht="24" hidden="1" customHeight="1" spans="1:9">
      <c r="A1199" s="330">
        <v>2200512</v>
      </c>
      <c r="B1199" s="379" t="s">
        <v>1087</v>
      </c>
      <c r="C1199" s="602">
        <f>'[2]2'!E1192</f>
        <v>0</v>
      </c>
      <c r="D1199" s="714"/>
      <c r="E1199" s="713">
        <v>0</v>
      </c>
      <c r="F1199" s="716" t="str">
        <f t="shared" si="74"/>
        <v/>
      </c>
      <c r="G1199" s="470" t="str">
        <f t="shared" si="75"/>
        <v/>
      </c>
      <c r="H1199" s="524" t="str">
        <f t="shared" si="77"/>
        <v>否</v>
      </c>
      <c r="I1199" s="312" t="str">
        <f t="shared" si="76"/>
        <v>项</v>
      </c>
    </row>
    <row r="1200" s="372" customFormat="1" ht="24" hidden="1" customHeight="1" spans="1:9">
      <c r="A1200" s="330">
        <v>2200513</v>
      </c>
      <c r="B1200" s="379" t="s">
        <v>1088</v>
      </c>
      <c r="C1200" s="602">
        <f>'[2]2'!E1193</f>
        <v>0</v>
      </c>
      <c r="D1200" s="714"/>
      <c r="E1200" s="713">
        <v>0</v>
      </c>
      <c r="F1200" s="716" t="str">
        <f t="shared" si="74"/>
        <v/>
      </c>
      <c r="G1200" s="470" t="str">
        <f t="shared" si="75"/>
        <v/>
      </c>
      <c r="H1200" s="524" t="str">
        <f t="shared" si="77"/>
        <v>否</v>
      </c>
      <c r="I1200" s="312" t="str">
        <f t="shared" si="76"/>
        <v>项</v>
      </c>
    </row>
    <row r="1201" s="372" customFormat="1" ht="24" hidden="1" customHeight="1" spans="1:9">
      <c r="A1201" s="330">
        <v>2200514</v>
      </c>
      <c r="B1201" s="379" t="s">
        <v>1089</v>
      </c>
      <c r="C1201" s="602">
        <f>'[2]2'!E1194</f>
        <v>0</v>
      </c>
      <c r="D1201" s="714"/>
      <c r="E1201" s="713">
        <v>0</v>
      </c>
      <c r="F1201" s="716" t="str">
        <f t="shared" si="74"/>
        <v/>
      </c>
      <c r="G1201" s="470" t="str">
        <f t="shared" si="75"/>
        <v/>
      </c>
      <c r="H1201" s="524" t="str">
        <f t="shared" si="77"/>
        <v>否</v>
      </c>
      <c r="I1201" s="312" t="str">
        <f t="shared" si="76"/>
        <v>项</v>
      </c>
    </row>
    <row r="1202" s="372" customFormat="1" ht="24" hidden="1" customHeight="1" spans="1:9">
      <c r="A1202" s="330">
        <v>2200599</v>
      </c>
      <c r="B1202" s="379" t="s">
        <v>1090</v>
      </c>
      <c r="C1202" s="602">
        <f>'[2]2'!E1195</f>
        <v>297</v>
      </c>
      <c r="D1202" s="714">
        <v>289</v>
      </c>
      <c r="E1202" s="713">
        <v>91</v>
      </c>
      <c r="F1202" s="716">
        <f t="shared" si="74"/>
        <v>-0.693602693602694</v>
      </c>
      <c r="G1202" s="470">
        <f t="shared" si="75"/>
        <v>0.314878892733564</v>
      </c>
      <c r="H1202" s="524" t="str">
        <f t="shared" si="77"/>
        <v>是</v>
      </c>
      <c r="I1202" s="312" t="str">
        <f t="shared" si="76"/>
        <v>项</v>
      </c>
    </row>
    <row r="1203" s="372" customFormat="1" ht="24" customHeight="1" spans="1:9">
      <c r="A1203" s="330">
        <v>22099</v>
      </c>
      <c r="B1203" s="379" t="s">
        <v>1091</v>
      </c>
      <c r="C1203" s="602">
        <f>C1204</f>
        <v>379</v>
      </c>
      <c r="D1203" s="713">
        <f>D1204</f>
        <v>368</v>
      </c>
      <c r="E1203" s="713">
        <f>E1204</f>
        <v>1342</v>
      </c>
      <c r="F1203" s="716">
        <f t="shared" si="74"/>
        <v>2.54089709762533</v>
      </c>
      <c r="G1203" s="470">
        <f t="shared" si="75"/>
        <v>3.64673913043478</v>
      </c>
      <c r="H1203" s="524" t="str">
        <f t="shared" si="77"/>
        <v>是</v>
      </c>
      <c r="I1203" s="312" t="str">
        <f t="shared" si="76"/>
        <v>款</v>
      </c>
    </row>
    <row r="1204" s="372" customFormat="1" ht="24" hidden="1" customHeight="1" spans="1:9">
      <c r="A1204" s="356">
        <v>2209999</v>
      </c>
      <c r="B1204" s="379" t="s">
        <v>1092</v>
      </c>
      <c r="C1204" s="602">
        <f>'[2]2'!E1197</f>
        <v>379</v>
      </c>
      <c r="D1204" s="714">
        <v>368</v>
      </c>
      <c r="E1204" s="713">
        <v>1342</v>
      </c>
      <c r="F1204" s="716">
        <f t="shared" si="74"/>
        <v>2.54089709762533</v>
      </c>
      <c r="G1204" s="470">
        <f t="shared" si="75"/>
        <v>3.64673913043478</v>
      </c>
      <c r="H1204" s="524" t="str">
        <f t="shared" si="77"/>
        <v>是</v>
      </c>
      <c r="I1204" s="312" t="str">
        <f t="shared" si="76"/>
        <v>项</v>
      </c>
    </row>
    <row r="1205" s="372" customFormat="1" ht="24" customHeight="1" spans="1:9">
      <c r="A1205" s="329">
        <v>221</v>
      </c>
      <c r="B1205" s="377" t="s">
        <v>193</v>
      </c>
      <c r="C1205" s="601">
        <f>C1206+C1219+C1223</f>
        <v>65723</v>
      </c>
      <c r="D1205" s="712">
        <f>D1206+D1219+D1223</f>
        <v>67253</v>
      </c>
      <c r="E1205" s="712">
        <f>E1206+E1219+E1223</f>
        <v>61136</v>
      </c>
      <c r="F1205" s="715">
        <f t="shared" si="74"/>
        <v>-0.0697929187651203</v>
      </c>
      <c r="G1205" s="467">
        <f t="shared" si="75"/>
        <v>0.909044949667673</v>
      </c>
      <c r="H1205" s="524" t="str">
        <f t="shared" si="77"/>
        <v>是</v>
      </c>
      <c r="I1205" s="312" t="str">
        <f t="shared" si="76"/>
        <v>类</v>
      </c>
    </row>
    <row r="1206" s="372" customFormat="1" ht="24" customHeight="1" spans="1:9">
      <c r="A1206" s="330">
        <v>22101</v>
      </c>
      <c r="B1206" s="379" t="s">
        <v>1093</v>
      </c>
      <c r="C1206" s="602">
        <f>SUM(C1207:C1218)</f>
        <v>13695</v>
      </c>
      <c r="D1206" s="713">
        <f>SUM(D1207:D1218)</f>
        <v>12994</v>
      </c>
      <c r="E1206" s="713">
        <f>SUM(E1207:E1218)</f>
        <v>7700</v>
      </c>
      <c r="F1206" s="716">
        <f t="shared" si="74"/>
        <v>-0.437751004016064</v>
      </c>
      <c r="G1206" s="470">
        <f t="shared" si="75"/>
        <v>0.59258119131907</v>
      </c>
      <c r="H1206" s="524" t="str">
        <f t="shared" si="77"/>
        <v>是</v>
      </c>
      <c r="I1206" s="312" t="str">
        <f t="shared" si="76"/>
        <v>款</v>
      </c>
    </row>
    <row r="1207" s="372" customFormat="1" ht="24" hidden="1" customHeight="1" spans="1:9">
      <c r="A1207" s="330">
        <v>2210102</v>
      </c>
      <c r="B1207" s="379" t="s">
        <v>1094</v>
      </c>
      <c r="C1207" s="602">
        <f>'[2]2'!E1201</f>
        <v>0</v>
      </c>
      <c r="D1207" s="714"/>
      <c r="E1207" s="713">
        <v>0</v>
      </c>
      <c r="F1207" s="716" t="str">
        <f t="shared" si="74"/>
        <v/>
      </c>
      <c r="G1207" s="470" t="str">
        <f t="shared" si="75"/>
        <v/>
      </c>
      <c r="H1207" s="524" t="str">
        <f t="shared" si="77"/>
        <v>否</v>
      </c>
      <c r="I1207" s="312" t="str">
        <f t="shared" si="76"/>
        <v>项</v>
      </c>
    </row>
    <row r="1208" s="372" customFormat="1" ht="24" hidden="1" customHeight="1" spans="1:9">
      <c r="A1208" s="330">
        <v>2210103</v>
      </c>
      <c r="B1208" s="379" t="s">
        <v>1095</v>
      </c>
      <c r="C1208" s="602">
        <f>'[2]2'!E1202</f>
        <v>3117</v>
      </c>
      <c r="D1208" s="714">
        <v>3256</v>
      </c>
      <c r="E1208" s="713">
        <v>940</v>
      </c>
      <c r="F1208" s="716">
        <f t="shared" si="74"/>
        <v>-0.698427975617581</v>
      </c>
      <c r="G1208" s="470">
        <f t="shared" si="75"/>
        <v>0.288697788697789</v>
      </c>
      <c r="H1208" s="524" t="str">
        <f t="shared" si="77"/>
        <v>是</v>
      </c>
      <c r="I1208" s="312" t="str">
        <f t="shared" si="76"/>
        <v>项</v>
      </c>
    </row>
    <row r="1209" s="372" customFormat="1" ht="24" hidden="1" customHeight="1" spans="1:9">
      <c r="A1209" s="330">
        <v>2210104</v>
      </c>
      <c r="B1209" s="379" t="s">
        <v>1096</v>
      </c>
      <c r="C1209" s="602">
        <f>'[2]2'!E1203</f>
        <v>0</v>
      </c>
      <c r="D1209" s="714"/>
      <c r="E1209" s="713">
        <v>0</v>
      </c>
      <c r="F1209" s="716" t="str">
        <f t="shared" si="74"/>
        <v/>
      </c>
      <c r="G1209" s="470" t="str">
        <f t="shared" si="75"/>
        <v/>
      </c>
      <c r="H1209" s="524" t="str">
        <f t="shared" si="77"/>
        <v>否</v>
      </c>
      <c r="I1209" s="312" t="str">
        <f t="shared" si="76"/>
        <v>项</v>
      </c>
    </row>
    <row r="1210" s="372" customFormat="1" ht="24" hidden="1" customHeight="1" spans="1:9">
      <c r="A1210" s="330">
        <v>2210105</v>
      </c>
      <c r="B1210" s="379" t="s">
        <v>1097</v>
      </c>
      <c r="C1210" s="602">
        <f>'[2]2'!E1204</f>
        <v>5240</v>
      </c>
      <c r="D1210" s="714">
        <v>5345</v>
      </c>
      <c r="E1210" s="713">
        <v>707</v>
      </c>
      <c r="F1210" s="716">
        <f t="shared" si="74"/>
        <v>-0.865076335877863</v>
      </c>
      <c r="G1210" s="470">
        <f t="shared" si="75"/>
        <v>0.132273152478952</v>
      </c>
      <c r="H1210" s="524" t="str">
        <f t="shared" si="77"/>
        <v>是</v>
      </c>
      <c r="I1210" s="312" t="str">
        <f t="shared" si="76"/>
        <v>项</v>
      </c>
    </row>
    <row r="1211" s="374" customFormat="1" ht="24" hidden="1" customHeight="1" spans="1:9">
      <c r="A1211" s="331">
        <v>2210106</v>
      </c>
      <c r="B1211" s="327" t="s">
        <v>1098</v>
      </c>
      <c r="C1211" s="608">
        <f>'[2]2'!E1205</f>
        <v>549</v>
      </c>
      <c r="D1211" s="709"/>
      <c r="E1211" s="713"/>
      <c r="F1211" s="716">
        <f t="shared" si="74"/>
        <v>-1</v>
      </c>
      <c r="G1211" s="470" t="str">
        <f t="shared" si="75"/>
        <v/>
      </c>
      <c r="H1211" s="524" t="str">
        <f t="shared" si="77"/>
        <v>是</v>
      </c>
      <c r="I1211" s="313" t="str">
        <f t="shared" si="76"/>
        <v>项</v>
      </c>
    </row>
    <row r="1212" s="374" customFormat="1" ht="24" hidden="1" customHeight="1" spans="1:9">
      <c r="A1212" s="331">
        <v>2210107</v>
      </c>
      <c r="B1212" s="327" t="s">
        <v>1099</v>
      </c>
      <c r="C1212" s="608">
        <f>'[2]2'!E1206</f>
        <v>109</v>
      </c>
      <c r="D1212" s="709"/>
      <c r="E1212" s="713"/>
      <c r="F1212" s="716">
        <f t="shared" si="74"/>
        <v>-1</v>
      </c>
      <c r="G1212" s="470" t="str">
        <f t="shared" si="75"/>
        <v/>
      </c>
      <c r="H1212" s="524" t="str">
        <f t="shared" si="77"/>
        <v>是</v>
      </c>
      <c r="I1212" s="313" t="str">
        <f t="shared" si="76"/>
        <v>项</v>
      </c>
    </row>
    <row r="1213" s="372" customFormat="1" ht="24" hidden="1" customHeight="1" spans="1:9">
      <c r="A1213" s="330">
        <v>2210108</v>
      </c>
      <c r="B1213" s="379" t="s">
        <v>1100</v>
      </c>
      <c r="C1213" s="602">
        <f>'[2]2'!E1207</f>
        <v>939</v>
      </c>
      <c r="D1213" s="714"/>
      <c r="E1213" s="713">
        <v>1875</v>
      </c>
      <c r="F1213" s="716">
        <f t="shared" si="74"/>
        <v>0.996805111821086</v>
      </c>
      <c r="G1213" s="470" t="str">
        <f t="shared" si="75"/>
        <v/>
      </c>
      <c r="H1213" s="524" t="str">
        <f t="shared" si="77"/>
        <v>是</v>
      </c>
      <c r="I1213" s="312" t="str">
        <f t="shared" si="76"/>
        <v>项</v>
      </c>
    </row>
    <row r="1214" s="374" customFormat="1" ht="24" hidden="1" customHeight="1" spans="1:9">
      <c r="A1214" s="719">
        <v>2210110</v>
      </c>
      <c r="B1214" s="327" t="s">
        <v>1101</v>
      </c>
      <c r="C1214" s="608">
        <f>'[2]2'!E1209</f>
        <v>2141</v>
      </c>
      <c r="D1214" s="709"/>
      <c r="E1214" s="713"/>
      <c r="F1214" s="716">
        <f t="shared" si="74"/>
        <v>-1</v>
      </c>
      <c r="G1214" s="470" t="str">
        <f t="shared" si="75"/>
        <v/>
      </c>
      <c r="H1214" s="524" t="str">
        <f t="shared" si="77"/>
        <v>是</v>
      </c>
      <c r="I1214" s="313" t="str">
        <f t="shared" si="76"/>
        <v>项</v>
      </c>
    </row>
    <row r="1215" s="374" customFormat="1" ht="24" hidden="1" customHeight="1" spans="1:9">
      <c r="A1215" s="719">
        <v>2210111</v>
      </c>
      <c r="B1215" s="327" t="s">
        <v>1102</v>
      </c>
      <c r="C1215" s="608"/>
      <c r="D1215" s="709">
        <v>2815</v>
      </c>
      <c r="E1215" s="713">
        <v>3955</v>
      </c>
      <c r="F1215" s="716" t="str">
        <f t="shared" si="74"/>
        <v/>
      </c>
      <c r="G1215" s="470">
        <f t="shared" si="75"/>
        <v>1.40497335701599</v>
      </c>
      <c r="H1215" s="524" t="str">
        <f t="shared" si="77"/>
        <v>是</v>
      </c>
      <c r="I1215" s="313" t="str">
        <f t="shared" si="76"/>
        <v>项</v>
      </c>
    </row>
    <row r="1216" s="374" customFormat="1" ht="24" hidden="1" customHeight="1" spans="1:9">
      <c r="A1216" s="719">
        <v>2210112</v>
      </c>
      <c r="B1216" s="327" t="s">
        <v>1103</v>
      </c>
      <c r="C1216" s="608"/>
      <c r="D1216" s="709"/>
      <c r="E1216" s="713">
        <v>0</v>
      </c>
      <c r="F1216" s="716" t="str">
        <f t="shared" si="74"/>
        <v/>
      </c>
      <c r="G1216" s="470" t="str">
        <f t="shared" si="75"/>
        <v/>
      </c>
      <c r="H1216" s="524" t="str">
        <f t="shared" si="77"/>
        <v>否</v>
      </c>
      <c r="I1216" s="313" t="str">
        <f t="shared" si="76"/>
        <v>项</v>
      </c>
    </row>
    <row r="1217" s="374" customFormat="1" ht="24" hidden="1" customHeight="1" spans="1:9">
      <c r="A1217" s="719">
        <v>2210113</v>
      </c>
      <c r="B1217" s="327" t="s">
        <v>1104</v>
      </c>
      <c r="C1217" s="608"/>
      <c r="D1217" s="709"/>
      <c r="E1217" s="713">
        <v>0</v>
      </c>
      <c r="F1217" s="716" t="str">
        <f t="shared" si="74"/>
        <v/>
      </c>
      <c r="G1217" s="470" t="str">
        <f t="shared" si="75"/>
        <v/>
      </c>
      <c r="H1217" s="524" t="str">
        <f t="shared" si="77"/>
        <v>否</v>
      </c>
      <c r="I1217" s="313" t="str">
        <f t="shared" si="76"/>
        <v>项</v>
      </c>
    </row>
    <row r="1218" s="372" customFormat="1" ht="24" hidden="1" customHeight="1" spans="1:9">
      <c r="A1218" s="330">
        <v>2210199</v>
      </c>
      <c r="B1218" s="379" t="s">
        <v>1105</v>
      </c>
      <c r="C1218" s="602">
        <f>'[2]2'!E1210</f>
        <v>1600</v>
      </c>
      <c r="D1218" s="714">
        <v>1578</v>
      </c>
      <c r="E1218" s="713">
        <v>223</v>
      </c>
      <c r="F1218" s="716">
        <f t="shared" si="74"/>
        <v>-0.860625</v>
      </c>
      <c r="G1218" s="470">
        <f t="shared" si="75"/>
        <v>0.141318124207858</v>
      </c>
      <c r="H1218" s="524" t="str">
        <f t="shared" si="77"/>
        <v>是</v>
      </c>
      <c r="I1218" s="312" t="str">
        <f t="shared" si="76"/>
        <v>项</v>
      </c>
    </row>
    <row r="1219" s="372" customFormat="1" ht="24" customHeight="1" spans="1:9">
      <c r="A1219" s="330">
        <v>22102</v>
      </c>
      <c r="B1219" s="379" t="s">
        <v>1106</v>
      </c>
      <c r="C1219" s="602">
        <f>SUM(C1220:C1222)</f>
        <v>50974</v>
      </c>
      <c r="D1219" s="713">
        <f>SUM(D1220:D1222)</f>
        <v>53226</v>
      </c>
      <c r="E1219" s="713">
        <f>SUM(E1220:E1222)</f>
        <v>52494</v>
      </c>
      <c r="F1219" s="716">
        <f t="shared" si="74"/>
        <v>0.0298191234747126</v>
      </c>
      <c r="G1219" s="470">
        <f t="shared" si="75"/>
        <v>0.986247322737008</v>
      </c>
      <c r="H1219" s="524" t="str">
        <f t="shared" si="77"/>
        <v>是</v>
      </c>
      <c r="I1219" s="312" t="str">
        <f t="shared" si="76"/>
        <v>款</v>
      </c>
    </row>
    <row r="1220" s="372" customFormat="1" ht="24" hidden="1" customHeight="1" spans="1:9">
      <c r="A1220" s="330">
        <v>2210201</v>
      </c>
      <c r="B1220" s="379" t="s">
        <v>1107</v>
      </c>
      <c r="C1220" s="602">
        <f>'[2]2'!E1212</f>
        <v>48609</v>
      </c>
      <c r="D1220" s="714">
        <v>51011</v>
      </c>
      <c r="E1220" s="713">
        <v>50145</v>
      </c>
      <c r="F1220" s="716">
        <f t="shared" si="74"/>
        <v>0.0315990865889033</v>
      </c>
      <c r="G1220" s="470">
        <f t="shared" si="75"/>
        <v>0.983023269490894</v>
      </c>
      <c r="H1220" s="524" t="str">
        <f t="shared" si="77"/>
        <v>是</v>
      </c>
      <c r="I1220" s="312" t="str">
        <f t="shared" si="76"/>
        <v>项</v>
      </c>
    </row>
    <row r="1221" s="372" customFormat="1" ht="24" hidden="1" customHeight="1" spans="1:9">
      <c r="A1221" s="330">
        <v>2210202</v>
      </c>
      <c r="B1221" s="379" t="s">
        <v>1108</v>
      </c>
      <c r="C1221" s="602">
        <f>'[2]2'!E1213</f>
        <v>0</v>
      </c>
      <c r="D1221" s="714"/>
      <c r="E1221" s="713">
        <v>0</v>
      </c>
      <c r="F1221" s="716" t="str">
        <f t="shared" ref="F1221:F1284" si="78">IFERROR((E1221-C1221)/C1221,"")</f>
        <v/>
      </c>
      <c r="G1221" s="470" t="str">
        <f t="shared" ref="G1221:G1284" si="79">IFERROR(E1221/D1221,"")</f>
        <v/>
      </c>
      <c r="H1221" s="524" t="str">
        <f t="shared" si="77"/>
        <v>否</v>
      </c>
      <c r="I1221" s="312" t="str">
        <f t="shared" ref="I1221:I1284" si="80">IF(LEN(A1221)=3,"类",IF(LEN(A1221)=5,"款","项"))</f>
        <v>项</v>
      </c>
    </row>
    <row r="1222" s="372" customFormat="1" ht="24" hidden="1" customHeight="1" spans="1:9">
      <c r="A1222" s="330">
        <v>2210203</v>
      </c>
      <c r="B1222" s="379" t="s">
        <v>1109</v>
      </c>
      <c r="C1222" s="602">
        <f>'[2]2'!E1214</f>
        <v>2365</v>
      </c>
      <c r="D1222" s="714">
        <v>2215</v>
      </c>
      <c r="E1222" s="713">
        <v>2349</v>
      </c>
      <c r="F1222" s="716">
        <f t="shared" si="78"/>
        <v>-0.00676532769556025</v>
      </c>
      <c r="G1222" s="470">
        <f t="shared" si="79"/>
        <v>1.06049661399549</v>
      </c>
      <c r="H1222" s="524" t="str">
        <f t="shared" ref="H1222:H1285" si="81">IF(LEN(A1222)=3,"是",IF(B1222&lt;&gt;"",IF(SUM(C1222:E1222)&lt;&gt;0,"是","否"),"是"))</f>
        <v>是</v>
      </c>
      <c r="I1222" s="312" t="str">
        <f t="shared" si="80"/>
        <v>项</v>
      </c>
    </row>
    <row r="1223" s="372" customFormat="1" ht="24" customHeight="1" spans="1:9">
      <c r="A1223" s="330">
        <v>22103</v>
      </c>
      <c r="B1223" s="379" t="s">
        <v>1110</v>
      </c>
      <c r="C1223" s="602">
        <f>SUM(C1224:C1226)</f>
        <v>1054</v>
      </c>
      <c r="D1223" s="713">
        <f>SUM(D1224:D1226)</f>
        <v>1033</v>
      </c>
      <c r="E1223" s="713">
        <f>SUM(E1224:E1226)</f>
        <v>942</v>
      </c>
      <c r="F1223" s="716">
        <f t="shared" si="78"/>
        <v>-0.106261859582543</v>
      </c>
      <c r="G1223" s="470">
        <f t="shared" si="79"/>
        <v>0.911907066795741</v>
      </c>
      <c r="H1223" s="524" t="str">
        <f t="shared" si="81"/>
        <v>是</v>
      </c>
      <c r="I1223" s="312" t="str">
        <f t="shared" si="80"/>
        <v>款</v>
      </c>
    </row>
    <row r="1224" s="372" customFormat="1" ht="24" hidden="1" customHeight="1" spans="1:9">
      <c r="A1224" s="330">
        <v>2210301</v>
      </c>
      <c r="B1224" s="379" t="s">
        <v>1111</v>
      </c>
      <c r="C1224" s="602">
        <f>'[2]2'!E1216</f>
        <v>0</v>
      </c>
      <c r="D1224" s="714"/>
      <c r="E1224" s="713">
        <v>0</v>
      </c>
      <c r="F1224" s="716" t="str">
        <f t="shared" si="78"/>
        <v/>
      </c>
      <c r="G1224" s="470" t="str">
        <f t="shared" si="79"/>
        <v/>
      </c>
      <c r="H1224" s="524" t="str">
        <f t="shared" si="81"/>
        <v>否</v>
      </c>
      <c r="I1224" s="312" t="str">
        <f t="shared" si="80"/>
        <v>项</v>
      </c>
    </row>
    <row r="1225" ht="24" hidden="1" customHeight="1" spans="1:9">
      <c r="A1225" s="330">
        <v>2210302</v>
      </c>
      <c r="B1225" s="379" t="s">
        <v>1112</v>
      </c>
      <c r="C1225" s="602">
        <f>'[2]2'!E1217</f>
        <v>909</v>
      </c>
      <c r="D1225" s="714">
        <v>895</v>
      </c>
      <c r="E1225" s="713">
        <v>942</v>
      </c>
      <c r="F1225" s="716">
        <f t="shared" si="78"/>
        <v>0.0363036303630363</v>
      </c>
      <c r="G1225" s="470">
        <f t="shared" si="79"/>
        <v>1.05251396648045</v>
      </c>
      <c r="H1225" s="524" t="str">
        <f t="shared" si="81"/>
        <v>是</v>
      </c>
      <c r="I1225" s="312" t="str">
        <f t="shared" si="80"/>
        <v>项</v>
      </c>
    </row>
    <row r="1226" s="372" customFormat="1" ht="24" hidden="1" customHeight="1" spans="1:9">
      <c r="A1226" s="330">
        <v>2210399</v>
      </c>
      <c r="B1226" s="379" t="s">
        <v>1113</v>
      </c>
      <c r="C1226" s="602">
        <f>'[2]2'!E1218</f>
        <v>145</v>
      </c>
      <c r="D1226" s="714">
        <v>138</v>
      </c>
      <c r="E1226" s="713">
        <v>0</v>
      </c>
      <c r="F1226" s="716">
        <f t="shared" si="78"/>
        <v>-1</v>
      </c>
      <c r="G1226" s="470">
        <f t="shared" si="79"/>
        <v>0</v>
      </c>
      <c r="H1226" s="524" t="str">
        <f t="shared" si="81"/>
        <v>是</v>
      </c>
      <c r="I1226" s="312" t="str">
        <f t="shared" si="80"/>
        <v>项</v>
      </c>
    </row>
    <row r="1227" s="372" customFormat="1" ht="24" customHeight="1" spans="1:9">
      <c r="A1227" s="329">
        <v>222</v>
      </c>
      <c r="B1227" s="377" t="s">
        <v>194</v>
      </c>
      <c r="C1227" s="601">
        <f>C1228+C1246+C1253+C1259</f>
        <v>2311</v>
      </c>
      <c r="D1227" s="712">
        <f>D1228+D1246+D1253+D1259</f>
        <v>2295</v>
      </c>
      <c r="E1227" s="712">
        <f>E1228+E1246+E1253+E1259</f>
        <v>2085</v>
      </c>
      <c r="F1227" s="715">
        <f t="shared" si="78"/>
        <v>-0.0977931631328429</v>
      </c>
      <c r="G1227" s="467">
        <f t="shared" si="79"/>
        <v>0.908496732026144</v>
      </c>
      <c r="H1227" s="524" t="str">
        <f t="shared" si="81"/>
        <v>是</v>
      </c>
      <c r="I1227" s="312" t="str">
        <f t="shared" si="80"/>
        <v>类</v>
      </c>
    </row>
    <row r="1228" s="372" customFormat="1" ht="24" customHeight="1" spans="1:9">
      <c r="A1228" s="330">
        <v>22201</v>
      </c>
      <c r="B1228" s="379" t="s">
        <v>1114</v>
      </c>
      <c r="C1228" s="602">
        <f>SUM(C1229:C1245)</f>
        <v>1751</v>
      </c>
      <c r="D1228" s="713">
        <f>SUM(D1229:D1245)</f>
        <v>1729</v>
      </c>
      <c r="E1228" s="713">
        <f>SUM(E1229:E1245)</f>
        <v>1878</v>
      </c>
      <c r="F1228" s="716">
        <f t="shared" si="78"/>
        <v>0.0725299828669332</v>
      </c>
      <c r="G1228" s="470">
        <f t="shared" si="79"/>
        <v>1.08617698091382</v>
      </c>
      <c r="H1228" s="524" t="str">
        <f t="shared" si="81"/>
        <v>是</v>
      </c>
      <c r="I1228" s="312" t="str">
        <f t="shared" si="80"/>
        <v>款</v>
      </c>
    </row>
    <row r="1229" s="372" customFormat="1" ht="24" hidden="1" customHeight="1" spans="1:9">
      <c r="A1229" s="330">
        <v>2220101</v>
      </c>
      <c r="B1229" s="379" t="s">
        <v>212</v>
      </c>
      <c r="C1229" s="602">
        <f>'[2]2'!E1221</f>
        <v>241</v>
      </c>
      <c r="D1229" s="714">
        <v>248</v>
      </c>
      <c r="E1229" s="713">
        <v>261</v>
      </c>
      <c r="F1229" s="716">
        <f t="shared" si="78"/>
        <v>0.0829875518672199</v>
      </c>
      <c r="G1229" s="470">
        <f t="shared" si="79"/>
        <v>1.05241935483871</v>
      </c>
      <c r="H1229" s="524" t="str">
        <f t="shared" si="81"/>
        <v>是</v>
      </c>
      <c r="I1229" s="312" t="str">
        <f t="shared" si="80"/>
        <v>项</v>
      </c>
    </row>
    <row r="1230" s="372" customFormat="1" ht="24" hidden="1" customHeight="1" spans="1:9">
      <c r="A1230" s="330">
        <v>2220102</v>
      </c>
      <c r="B1230" s="379" t="s">
        <v>213</v>
      </c>
      <c r="C1230" s="602">
        <f>'[2]2'!E1222</f>
        <v>0</v>
      </c>
      <c r="D1230" s="714"/>
      <c r="E1230" s="713">
        <v>0</v>
      </c>
      <c r="F1230" s="716" t="str">
        <f t="shared" si="78"/>
        <v/>
      </c>
      <c r="G1230" s="470" t="str">
        <f t="shared" si="79"/>
        <v/>
      </c>
      <c r="H1230" s="524" t="str">
        <f t="shared" si="81"/>
        <v>否</v>
      </c>
      <c r="I1230" s="312" t="str">
        <f t="shared" si="80"/>
        <v>项</v>
      </c>
    </row>
    <row r="1231" s="372" customFormat="1" ht="24" hidden="1" customHeight="1" spans="1:9">
      <c r="A1231" s="330">
        <v>2220103</v>
      </c>
      <c r="B1231" s="379" t="s">
        <v>214</v>
      </c>
      <c r="C1231" s="602">
        <f>'[2]2'!E1223</f>
        <v>0</v>
      </c>
      <c r="D1231" s="714"/>
      <c r="E1231" s="713">
        <v>0</v>
      </c>
      <c r="F1231" s="716" t="str">
        <f t="shared" si="78"/>
        <v/>
      </c>
      <c r="G1231" s="470" t="str">
        <f t="shared" si="79"/>
        <v/>
      </c>
      <c r="H1231" s="524" t="str">
        <f t="shared" si="81"/>
        <v>否</v>
      </c>
      <c r="I1231" s="312" t="str">
        <f t="shared" si="80"/>
        <v>项</v>
      </c>
    </row>
    <row r="1232" s="372" customFormat="1" ht="24" hidden="1" customHeight="1" spans="1:9">
      <c r="A1232" s="330">
        <v>2220104</v>
      </c>
      <c r="B1232" s="379" t="s">
        <v>1115</v>
      </c>
      <c r="C1232" s="602">
        <f>'[2]2'!E1224</f>
        <v>0</v>
      </c>
      <c r="D1232" s="714"/>
      <c r="E1232" s="713">
        <v>0</v>
      </c>
      <c r="F1232" s="716" t="str">
        <f t="shared" si="78"/>
        <v/>
      </c>
      <c r="G1232" s="470" t="str">
        <f t="shared" si="79"/>
        <v/>
      </c>
      <c r="H1232" s="524" t="str">
        <f t="shared" si="81"/>
        <v>否</v>
      </c>
      <c r="I1232" s="312" t="str">
        <f t="shared" si="80"/>
        <v>项</v>
      </c>
    </row>
    <row r="1233" s="372" customFormat="1" ht="24" hidden="1" customHeight="1" spans="1:9">
      <c r="A1233" s="330">
        <v>2220105</v>
      </c>
      <c r="B1233" s="379" t="s">
        <v>1116</v>
      </c>
      <c r="C1233" s="602">
        <f>'[2]2'!E1225</f>
        <v>0</v>
      </c>
      <c r="D1233" s="714"/>
      <c r="E1233" s="713">
        <v>0</v>
      </c>
      <c r="F1233" s="716" t="str">
        <f t="shared" si="78"/>
        <v/>
      </c>
      <c r="G1233" s="470" t="str">
        <f t="shared" si="79"/>
        <v/>
      </c>
      <c r="H1233" s="524" t="str">
        <f t="shared" si="81"/>
        <v>否</v>
      </c>
      <c r="I1233" s="312" t="str">
        <f t="shared" si="80"/>
        <v>项</v>
      </c>
    </row>
    <row r="1234" s="372" customFormat="1" ht="24" hidden="1" customHeight="1" spans="1:9">
      <c r="A1234" s="330">
        <v>2220106</v>
      </c>
      <c r="B1234" s="379" t="s">
        <v>1117</v>
      </c>
      <c r="C1234" s="602">
        <f>'[2]2'!E1226</f>
        <v>0</v>
      </c>
      <c r="D1234" s="714"/>
      <c r="E1234" s="713">
        <v>0</v>
      </c>
      <c r="F1234" s="716" t="str">
        <f t="shared" si="78"/>
        <v/>
      </c>
      <c r="G1234" s="470" t="str">
        <f t="shared" si="79"/>
        <v/>
      </c>
      <c r="H1234" s="524" t="str">
        <f t="shared" si="81"/>
        <v>否</v>
      </c>
      <c r="I1234" s="312" t="str">
        <f t="shared" si="80"/>
        <v>项</v>
      </c>
    </row>
    <row r="1235" s="372" customFormat="1" ht="24" hidden="1" customHeight="1" spans="1:9">
      <c r="A1235" s="330">
        <v>2220107</v>
      </c>
      <c r="B1235" s="379" t="s">
        <v>1118</v>
      </c>
      <c r="C1235" s="602">
        <f>'[2]2'!E1227</f>
        <v>0</v>
      </c>
      <c r="D1235" s="714"/>
      <c r="E1235" s="713">
        <v>0</v>
      </c>
      <c r="F1235" s="716" t="str">
        <f t="shared" si="78"/>
        <v/>
      </c>
      <c r="G1235" s="470" t="str">
        <f t="shared" si="79"/>
        <v/>
      </c>
      <c r="H1235" s="524" t="str">
        <f t="shared" si="81"/>
        <v>否</v>
      </c>
      <c r="I1235" s="312" t="str">
        <f t="shared" si="80"/>
        <v>项</v>
      </c>
    </row>
    <row r="1236" s="372" customFormat="1" ht="24" hidden="1" customHeight="1" spans="1:9">
      <c r="A1236" s="330">
        <v>2220112</v>
      </c>
      <c r="B1236" s="379" t="s">
        <v>1119</v>
      </c>
      <c r="C1236" s="602">
        <f>'[2]2'!E1228</f>
        <v>61</v>
      </c>
      <c r="D1236" s="714">
        <v>63</v>
      </c>
      <c r="E1236" s="713">
        <v>52</v>
      </c>
      <c r="F1236" s="716">
        <f t="shared" si="78"/>
        <v>-0.147540983606557</v>
      </c>
      <c r="G1236" s="470">
        <f t="shared" si="79"/>
        <v>0.825396825396825</v>
      </c>
      <c r="H1236" s="524" t="str">
        <f t="shared" si="81"/>
        <v>是</v>
      </c>
      <c r="I1236" s="312" t="str">
        <f t="shared" si="80"/>
        <v>项</v>
      </c>
    </row>
    <row r="1237" s="372" customFormat="1" ht="24" hidden="1" customHeight="1" spans="1:9">
      <c r="A1237" s="330">
        <v>2220113</v>
      </c>
      <c r="B1237" s="379" t="s">
        <v>1120</v>
      </c>
      <c r="C1237" s="602">
        <f>'[2]2'!E1229</f>
        <v>1</v>
      </c>
      <c r="D1237" s="714"/>
      <c r="E1237" s="713">
        <v>0</v>
      </c>
      <c r="F1237" s="716">
        <f t="shared" si="78"/>
        <v>-1</v>
      </c>
      <c r="G1237" s="470" t="str">
        <f t="shared" si="79"/>
        <v/>
      </c>
      <c r="H1237" s="524" t="str">
        <f t="shared" si="81"/>
        <v>是</v>
      </c>
      <c r="I1237" s="312" t="str">
        <f t="shared" si="80"/>
        <v>项</v>
      </c>
    </row>
    <row r="1238" s="372" customFormat="1" ht="24" hidden="1" customHeight="1" spans="1:9">
      <c r="A1238" s="330">
        <v>2220114</v>
      </c>
      <c r="B1238" s="379" t="s">
        <v>1121</v>
      </c>
      <c r="C1238" s="602">
        <f>'[2]2'!E1230</f>
        <v>0</v>
      </c>
      <c r="D1238" s="714"/>
      <c r="E1238" s="713">
        <v>0</v>
      </c>
      <c r="F1238" s="716" t="str">
        <f t="shared" si="78"/>
        <v/>
      </c>
      <c r="G1238" s="470" t="str">
        <f t="shared" si="79"/>
        <v/>
      </c>
      <c r="H1238" s="524" t="str">
        <f t="shared" si="81"/>
        <v>否</v>
      </c>
      <c r="I1238" s="312" t="str">
        <f t="shared" si="80"/>
        <v>项</v>
      </c>
    </row>
    <row r="1239" s="372" customFormat="1" ht="24" hidden="1" customHeight="1" spans="1:9">
      <c r="A1239" s="330">
        <v>2220115</v>
      </c>
      <c r="B1239" s="379" t="s">
        <v>1122</v>
      </c>
      <c r="C1239" s="602">
        <f>'[2]2'!E1231</f>
        <v>909</v>
      </c>
      <c r="D1239" s="714">
        <v>912</v>
      </c>
      <c r="E1239" s="713">
        <v>850</v>
      </c>
      <c r="F1239" s="716">
        <f t="shared" si="78"/>
        <v>-0.0649064906490649</v>
      </c>
      <c r="G1239" s="470">
        <f t="shared" si="79"/>
        <v>0.932017543859649</v>
      </c>
      <c r="H1239" s="524" t="str">
        <f t="shared" si="81"/>
        <v>是</v>
      </c>
      <c r="I1239" s="312" t="str">
        <f t="shared" si="80"/>
        <v>项</v>
      </c>
    </row>
    <row r="1240" ht="24" hidden="1" customHeight="1" spans="1:9">
      <c r="A1240" s="330">
        <v>2220118</v>
      </c>
      <c r="B1240" s="379" t="s">
        <v>1123</v>
      </c>
      <c r="C1240" s="602">
        <f>'[2]2'!E1232</f>
        <v>0</v>
      </c>
      <c r="D1240" s="714"/>
      <c r="E1240" s="713">
        <v>0</v>
      </c>
      <c r="F1240" s="716" t="str">
        <f t="shared" si="78"/>
        <v/>
      </c>
      <c r="G1240" s="470" t="str">
        <f t="shared" si="79"/>
        <v/>
      </c>
      <c r="H1240" s="524" t="str">
        <f t="shared" si="81"/>
        <v>否</v>
      </c>
      <c r="I1240" s="312" t="str">
        <f t="shared" si="80"/>
        <v>项</v>
      </c>
    </row>
    <row r="1241" s="372" customFormat="1" ht="24" hidden="1" customHeight="1" spans="1:9">
      <c r="A1241" s="717">
        <v>2220119</v>
      </c>
      <c r="B1241" s="543" t="s">
        <v>1124</v>
      </c>
      <c r="C1241" s="602">
        <f>'[2]2'!E1233</f>
        <v>27</v>
      </c>
      <c r="D1241" s="714">
        <v>25</v>
      </c>
      <c r="E1241" s="713">
        <v>0</v>
      </c>
      <c r="F1241" s="716">
        <f t="shared" si="78"/>
        <v>-1</v>
      </c>
      <c r="G1241" s="470">
        <f t="shared" si="79"/>
        <v>0</v>
      </c>
      <c r="H1241" s="524" t="str">
        <f t="shared" si="81"/>
        <v>是</v>
      </c>
      <c r="I1241" s="312" t="str">
        <f t="shared" si="80"/>
        <v>项</v>
      </c>
    </row>
    <row r="1242" ht="24" hidden="1" customHeight="1" spans="1:9">
      <c r="A1242" s="717">
        <v>2220120</v>
      </c>
      <c r="B1242" s="543" t="s">
        <v>1125</v>
      </c>
      <c r="C1242" s="602">
        <f>'[2]2'!E1234</f>
        <v>0</v>
      </c>
      <c r="D1242" s="714"/>
      <c r="E1242" s="713">
        <v>0</v>
      </c>
      <c r="F1242" s="716" t="str">
        <f t="shared" si="78"/>
        <v/>
      </c>
      <c r="G1242" s="470" t="str">
        <f t="shared" si="79"/>
        <v/>
      </c>
      <c r="H1242" s="524" t="str">
        <f t="shared" si="81"/>
        <v>否</v>
      </c>
      <c r="I1242" s="312" t="str">
        <f t="shared" si="80"/>
        <v>项</v>
      </c>
    </row>
    <row r="1243" ht="24" hidden="1" customHeight="1" spans="1:9">
      <c r="A1243" s="717">
        <v>2220121</v>
      </c>
      <c r="B1243" s="543" t="s">
        <v>1126</v>
      </c>
      <c r="C1243" s="602">
        <f>'[2]2'!E1235</f>
        <v>31</v>
      </c>
      <c r="D1243" s="714">
        <v>29</v>
      </c>
      <c r="E1243" s="713">
        <v>61</v>
      </c>
      <c r="F1243" s="716">
        <f t="shared" si="78"/>
        <v>0.967741935483871</v>
      </c>
      <c r="G1243" s="470">
        <f t="shared" si="79"/>
        <v>2.10344827586207</v>
      </c>
      <c r="H1243" s="524" t="str">
        <f t="shared" si="81"/>
        <v>是</v>
      </c>
      <c r="I1243" s="312" t="str">
        <f t="shared" si="80"/>
        <v>项</v>
      </c>
    </row>
    <row r="1244" s="372" customFormat="1" ht="24" hidden="1" customHeight="1" spans="1:9">
      <c r="A1244" s="330">
        <v>2220150</v>
      </c>
      <c r="B1244" s="379" t="s">
        <v>221</v>
      </c>
      <c r="C1244" s="602">
        <f>'[2]2'!E1236</f>
        <v>100</v>
      </c>
      <c r="D1244" s="714">
        <v>102</v>
      </c>
      <c r="E1244" s="713">
        <v>117</v>
      </c>
      <c r="F1244" s="716">
        <f t="shared" si="78"/>
        <v>0.17</v>
      </c>
      <c r="G1244" s="470">
        <f t="shared" si="79"/>
        <v>1.14705882352941</v>
      </c>
      <c r="H1244" s="524" t="str">
        <f t="shared" si="81"/>
        <v>是</v>
      </c>
      <c r="I1244" s="312" t="str">
        <f t="shared" si="80"/>
        <v>项</v>
      </c>
    </row>
    <row r="1245" s="372" customFormat="1" ht="24" hidden="1" customHeight="1" spans="1:9">
      <c r="A1245" s="330">
        <v>2220199</v>
      </c>
      <c r="B1245" s="379" t="s">
        <v>1127</v>
      </c>
      <c r="C1245" s="602">
        <f>'[2]2'!E1237</f>
        <v>381</v>
      </c>
      <c r="D1245" s="714">
        <v>350</v>
      </c>
      <c r="E1245" s="713">
        <v>537</v>
      </c>
      <c r="F1245" s="716">
        <f t="shared" si="78"/>
        <v>0.409448818897638</v>
      </c>
      <c r="G1245" s="470">
        <f t="shared" si="79"/>
        <v>1.53428571428571</v>
      </c>
      <c r="H1245" s="524" t="str">
        <f t="shared" si="81"/>
        <v>是</v>
      </c>
      <c r="I1245" s="312" t="str">
        <f t="shared" si="80"/>
        <v>项</v>
      </c>
    </row>
    <row r="1246" s="372" customFormat="1" ht="24" hidden="1" customHeight="1" spans="1:9">
      <c r="A1246" s="330">
        <v>22203</v>
      </c>
      <c r="B1246" s="379" t="s">
        <v>1128</v>
      </c>
      <c r="C1246" s="602">
        <f>SUM(C1247:C1252)</f>
        <v>0</v>
      </c>
      <c r="D1246" s="713">
        <f>SUM(D1247:D1252)</f>
        <v>0</v>
      </c>
      <c r="E1246" s="713">
        <f>SUM(E1247:E1252)</f>
        <v>0</v>
      </c>
      <c r="F1246" s="716" t="str">
        <f t="shared" si="78"/>
        <v/>
      </c>
      <c r="G1246" s="470" t="str">
        <f t="shared" si="79"/>
        <v/>
      </c>
      <c r="H1246" s="524" t="str">
        <f t="shared" si="81"/>
        <v>否</v>
      </c>
      <c r="I1246" s="312" t="str">
        <f t="shared" si="80"/>
        <v>款</v>
      </c>
    </row>
    <row r="1247" s="372" customFormat="1" ht="24" hidden="1" customHeight="1" spans="1:9">
      <c r="A1247" s="330">
        <v>2220301</v>
      </c>
      <c r="B1247" s="379" t="s">
        <v>1129</v>
      </c>
      <c r="C1247" s="602">
        <f>'[2]2'!E1239</f>
        <v>0</v>
      </c>
      <c r="D1247" s="714"/>
      <c r="E1247" s="713">
        <v>0</v>
      </c>
      <c r="F1247" s="716" t="str">
        <f t="shared" si="78"/>
        <v/>
      </c>
      <c r="G1247" s="470" t="str">
        <f t="shared" si="79"/>
        <v/>
      </c>
      <c r="H1247" s="524" t="str">
        <f t="shared" si="81"/>
        <v>否</v>
      </c>
      <c r="I1247" s="312" t="str">
        <f t="shared" si="80"/>
        <v>项</v>
      </c>
    </row>
    <row r="1248" s="372" customFormat="1" ht="24" hidden="1" customHeight="1" spans="1:9">
      <c r="A1248" s="330">
        <v>2220303</v>
      </c>
      <c r="B1248" s="379" t="s">
        <v>1130</v>
      </c>
      <c r="C1248" s="602">
        <f>'[2]2'!E1240</f>
        <v>0</v>
      </c>
      <c r="D1248" s="714"/>
      <c r="E1248" s="713">
        <v>0</v>
      </c>
      <c r="F1248" s="716" t="str">
        <f t="shared" si="78"/>
        <v/>
      </c>
      <c r="G1248" s="470" t="str">
        <f t="shared" si="79"/>
        <v/>
      </c>
      <c r="H1248" s="524" t="str">
        <f t="shared" si="81"/>
        <v>否</v>
      </c>
      <c r="I1248" s="312" t="str">
        <f t="shared" si="80"/>
        <v>项</v>
      </c>
    </row>
    <row r="1249" s="372" customFormat="1" ht="24" hidden="1" customHeight="1" spans="1:9">
      <c r="A1249" s="330">
        <v>2220304</v>
      </c>
      <c r="B1249" s="379" t="s">
        <v>1131</v>
      </c>
      <c r="C1249" s="602">
        <f>'[2]2'!E1241</f>
        <v>0</v>
      </c>
      <c r="D1249" s="714"/>
      <c r="E1249" s="713">
        <v>0</v>
      </c>
      <c r="F1249" s="716" t="str">
        <f t="shared" si="78"/>
        <v/>
      </c>
      <c r="G1249" s="470" t="str">
        <f t="shared" si="79"/>
        <v/>
      </c>
      <c r="H1249" s="524" t="str">
        <f t="shared" si="81"/>
        <v>否</v>
      </c>
      <c r="I1249" s="312" t="str">
        <f t="shared" si="80"/>
        <v>项</v>
      </c>
    </row>
    <row r="1250" s="372" customFormat="1" ht="24" hidden="1" customHeight="1" spans="1:9">
      <c r="A1250" s="717">
        <v>2220305</v>
      </c>
      <c r="B1250" s="543" t="s">
        <v>1132</v>
      </c>
      <c r="C1250" s="602">
        <f>'[2]2'!E1242</f>
        <v>0</v>
      </c>
      <c r="D1250" s="714"/>
      <c r="E1250" s="713">
        <v>0</v>
      </c>
      <c r="F1250" s="716" t="str">
        <f t="shared" si="78"/>
        <v/>
      </c>
      <c r="G1250" s="470" t="str">
        <f t="shared" si="79"/>
        <v/>
      </c>
      <c r="H1250" s="524" t="str">
        <f t="shared" si="81"/>
        <v>否</v>
      </c>
      <c r="I1250" s="312" t="str">
        <f t="shared" si="80"/>
        <v>项</v>
      </c>
    </row>
    <row r="1251" s="372" customFormat="1" ht="24" hidden="1" customHeight="1" spans="1:9">
      <c r="A1251" s="547">
        <v>2220306</v>
      </c>
      <c r="B1251" s="543" t="s">
        <v>1133</v>
      </c>
      <c r="C1251" s="602">
        <f>'[2]2'!E1243</f>
        <v>0</v>
      </c>
      <c r="D1251" s="714"/>
      <c r="E1251" s="713">
        <v>0</v>
      </c>
      <c r="F1251" s="716" t="str">
        <f t="shared" si="78"/>
        <v/>
      </c>
      <c r="G1251" s="470" t="str">
        <f t="shared" si="79"/>
        <v/>
      </c>
      <c r="H1251" s="524" t="str">
        <f t="shared" si="81"/>
        <v>否</v>
      </c>
      <c r="I1251" s="312" t="str">
        <f t="shared" si="80"/>
        <v>项</v>
      </c>
    </row>
    <row r="1252" s="372" customFormat="1" ht="24" hidden="1" customHeight="1" spans="1:9">
      <c r="A1252" s="330">
        <v>2220399</v>
      </c>
      <c r="B1252" s="379" t="s">
        <v>1134</v>
      </c>
      <c r="C1252" s="602">
        <f>'[2]2'!E1244</f>
        <v>0</v>
      </c>
      <c r="D1252" s="714"/>
      <c r="E1252" s="713">
        <v>0</v>
      </c>
      <c r="F1252" s="716" t="str">
        <f t="shared" si="78"/>
        <v/>
      </c>
      <c r="G1252" s="470" t="str">
        <f t="shared" si="79"/>
        <v/>
      </c>
      <c r="H1252" s="524" t="str">
        <f t="shared" si="81"/>
        <v>否</v>
      </c>
      <c r="I1252" s="312" t="str">
        <f t="shared" si="80"/>
        <v>项</v>
      </c>
    </row>
    <row r="1253" s="372" customFormat="1" ht="24" customHeight="1" spans="1:9">
      <c r="A1253" s="330">
        <v>22204</v>
      </c>
      <c r="B1253" s="379" t="s">
        <v>1135</v>
      </c>
      <c r="C1253" s="602">
        <f>SUM(C1254:C1258)</f>
        <v>560</v>
      </c>
      <c r="D1253" s="713">
        <f>SUM(D1254:D1258)</f>
        <v>566</v>
      </c>
      <c r="E1253" s="713">
        <f>SUM(E1254:E1258)</f>
        <v>197</v>
      </c>
      <c r="F1253" s="716">
        <f t="shared" si="78"/>
        <v>-0.648214285714286</v>
      </c>
      <c r="G1253" s="470">
        <f t="shared" si="79"/>
        <v>0.348056537102473</v>
      </c>
      <c r="H1253" s="524" t="str">
        <f t="shared" si="81"/>
        <v>是</v>
      </c>
      <c r="I1253" s="312" t="str">
        <f t="shared" si="80"/>
        <v>款</v>
      </c>
    </row>
    <row r="1254" s="372" customFormat="1" ht="24" hidden="1" customHeight="1" spans="1:9">
      <c r="A1254" s="330">
        <v>2220401</v>
      </c>
      <c r="B1254" s="379" t="s">
        <v>1136</v>
      </c>
      <c r="C1254" s="602">
        <f>'[2]2'!E1246</f>
        <v>98</v>
      </c>
      <c r="D1254" s="714">
        <v>95</v>
      </c>
      <c r="E1254" s="713">
        <v>98</v>
      </c>
      <c r="F1254" s="716">
        <f t="shared" si="78"/>
        <v>0</v>
      </c>
      <c r="G1254" s="470">
        <f t="shared" si="79"/>
        <v>1.03157894736842</v>
      </c>
      <c r="H1254" s="524" t="str">
        <f t="shared" si="81"/>
        <v>是</v>
      </c>
      <c r="I1254" s="312" t="str">
        <f t="shared" si="80"/>
        <v>项</v>
      </c>
    </row>
    <row r="1255" ht="24" hidden="1" customHeight="1" spans="1:9">
      <c r="A1255" s="330">
        <v>2220402</v>
      </c>
      <c r="B1255" s="379" t="s">
        <v>1137</v>
      </c>
      <c r="C1255" s="602">
        <f>'[2]2'!E1247</f>
        <v>0</v>
      </c>
      <c r="D1255" s="714"/>
      <c r="E1255" s="713">
        <v>62</v>
      </c>
      <c r="F1255" s="716" t="str">
        <f t="shared" si="78"/>
        <v/>
      </c>
      <c r="G1255" s="470" t="str">
        <f t="shared" si="79"/>
        <v/>
      </c>
      <c r="H1255" s="524" t="str">
        <f t="shared" si="81"/>
        <v>是</v>
      </c>
      <c r="I1255" s="312" t="str">
        <f t="shared" si="80"/>
        <v>项</v>
      </c>
    </row>
    <row r="1256" s="372" customFormat="1" ht="24" hidden="1" customHeight="1" spans="1:9">
      <c r="A1256" s="330">
        <v>2220403</v>
      </c>
      <c r="B1256" s="379" t="s">
        <v>1138</v>
      </c>
      <c r="C1256" s="602">
        <f>'[2]2'!E1248</f>
        <v>462</v>
      </c>
      <c r="D1256" s="714">
        <v>471</v>
      </c>
      <c r="E1256" s="713">
        <v>12</v>
      </c>
      <c r="F1256" s="716">
        <f t="shared" si="78"/>
        <v>-0.974025974025974</v>
      </c>
      <c r="G1256" s="470">
        <f t="shared" si="79"/>
        <v>0.0254777070063694</v>
      </c>
      <c r="H1256" s="524" t="str">
        <f t="shared" si="81"/>
        <v>是</v>
      </c>
      <c r="I1256" s="312" t="str">
        <f t="shared" si="80"/>
        <v>项</v>
      </c>
    </row>
    <row r="1257" s="372" customFormat="1" ht="24" hidden="1" customHeight="1" spans="1:9">
      <c r="A1257" s="330">
        <v>2220404</v>
      </c>
      <c r="B1257" s="379" t="s">
        <v>1139</v>
      </c>
      <c r="C1257" s="602">
        <f>'[2]2'!E1249</f>
        <v>0</v>
      </c>
      <c r="D1257" s="714"/>
      <c r="E1257" s="713">
        <v>0</v>
      </c>
      <c r="F1257" s="716" t="str">
        <f t="shared" si="78"/>
        <v/>
      </c>
      <c r="G1257" s="470" t="str">
        <f t="shared" si="79"/>
        <v/>
      </c>
      <c r="H1257" s="524" t="str">
        <f t="shared" si="81"/>
        <v>否</v>
      </c>
      <c r="I1257" s="312" t="str">
        <f t="shared" si="80"/>
        <v>项</v>
      </c>
    </row>
    <row r="1258" s="372" customFormat="1" ht="24" hidden="1" customHeight="1" spans="1:9">
      <c r="A1258" s="330">
        <v>2220499</v>
      </c>
      <c r="B1258" s="379" t="s">
        <v>1140</v>
      </c>
      <c r="C1258" s="602">
        <f>'[2]2'!E1250</f>
        <v>0</v>
      </c>
      <c r="D1258" s="714"/>
      <c r="E1258" s="713">
        <v>25</v>
      </c>
      <c r="F1258" s="716" t="str">
        <f t="shared" si="78"/>
        <v/>
      </c>
      <c r="G1258" s="470" t="str">
        <f t="shared" si="79"/>
        <v/>
      </c>
      <c r="H1258" s="524" t="str">
        <f t="shared" si="81"/>
        <v>是</v>
      </c>
      <c r="I1258" s="312" t="str">
        <f t="shared" si="80"/>
        <v>项</v>
      </c>
    </row>
    <row r="1259" ht="24" customHeight="1" spans="1:9">
      <c r="A1259" s="330">
        <v>22205</v>
      </c>
      <c r="B1259" s="379" t="s">
        <v>1141</v>
      </c>
      <c r="C1259" s="602">
        <f>SUM(C1260:C1271)</f>
        <v>0</v>
      </c>
      <c r="D1259" s="713">
        <f>SUM(D1260:D1271)</f>
        <v>0</v>
      </c>
      <c r="E1259" s="713">
        <f>SUM(E1260:E1271)</f>
        <v>10</v>
      </c>
      <c r="F1259" s="716" t="str">
        <f t="shared" si="78"/>
        <v/>
      </c>
      <c r="G1259" s="470" t="str">
        <f t="shared" si="79"/>
        <v/>
      </c>
      <c r="H1259" s="524" t="str">
        <f t="shared" si="81"/>
        <v>是</v>
      </c>
      <c r="I1259" s="312" t="str">
        <f t="shared" si="80"/>
        <v>款</v>
      </c>
    </row>
    <row r="1260" s="372" customFormat="1" ht="24" hidden="1" customHeight="1" spans="1:9">
      <c r="A1260" s="330">
        <v>2220501</v>
      </c>
      <c r="B1260" s="379" t="s">
        <v>1142</v>
      </c>
      <c r="C1260" s="602">
        <f>'[2]2'!E1252</f>
        <v>0</v>
      </c>
      <c r="D1260" s="714"/>
      <c r="E1260" s="713">
        <v>0</v>
      </c>
      <c r="F1260" s="716" t="str">
        <f t="shared" si="78"/>
        <v/>
      </c>
      <c r="G1260" s="470" t="str">
        <f t="shared" si="79"/>
        <v/>
      </c>
      <c r="H1260" s="524" t="str">
        <f t="shared" si="81"/>
        <v>否</v>
      </c>
      <c r="I1260" s="312" t="str">
        <f t="shared" si="80"/>
        <v>项</v>
      </c>
    </row>
    <row r="1261" s="372" customFormat="1" ht="24" hidden="1" customHeight="1" spans="1:9">
      <c r="A1261" s="330">
        <v>2220502</v>
      </c>
      <c r="B1261" s="379" t="s">
        <v>1143</v>
      </c>
      <c r="C1261" s="602">
        <f>'[2]2'!E1253</f>
        <v>0</v>
      </c>
      <c r="D1261" s="714"/>
      <c r="E1261" s="713">
        <v>0</v>
      </c>
      <c r="F1261" s="716" t="str">
        <f t="shared" si="78"/>
        <v/>
      </c>
      <c r="G1261" s="470" t="str">
        <f t="shared" si="79"/>
        <v/>
      </c>
      <c r="H1261" s="524" t="str">
        <f t="shared" si="81"/>
        <v>否</v>
      </c>
      <c r="I1261" s="312" t="str">
        <f t="shared" si="80"/>
        <v>项</v>
      </c>
    </row>
    <row r="1262" s="372" customFormat="1" ht="24" hidden="1" customHeight="1" spans="1:9">
      <c r="A1262" s="330">
        <v>2220503</v>
      </c>
      <c r="B1262" s="379" t="s">
        <v>1144</v>
      </c>
      <c r="C1262" s="602">
        <f>'[2]2'!E1254</f>
        <v>0</v>
      </c>
      <c r="D1262" s="714"/>
      <c r="E1262" s="713">
        <v>0</v>
      </c>
      <c r="F1262" s="716" t="str">
        <f t="shared" si="78"/>
        <v/>
      </c>
      <c r="G1262" s="470" t="str">
        <f t="shared" si="79"/>
        <v/>
      </c>
      <c r="H1262" s="524" t="str">
        <f t="shared" si="81"/>
        <v>否</v>
      </c>
      <c r="I1262" s="312" t="str">
        <f t="shared" si="80"/>
        <v>项</v>
      </c>
    </row>
    <row r="1263" ht="24" hidden="1" customHeight="1" spans="1:9">
      <c r="A1263" s="330">
        <v>2220504</v>
      </c>
      <c r="B1263" s="379" t="s">
        <v>1145</v>
      </c>
      <c r="C1263" s="602">
        <f>'[2]2'!E1255</f>
        <v>0</v>
      </c>
      <c r="D1263" s="714"/>
      <c r="E1263" s="713">
        <v>0</v>
      </c>
      <c r="F1263" s="716" t="str">
        <f t="shared" si="78"/>
        <v/>
      </c>
      <c r="G1263" s="470" t="str">
        <f t="shared" si="79"/>
        <v/>
      </c>
      <c r="H1263" s="524" t="str">
        <f t="shared" si="81"/>
        <v>否</v>
      </c>
      <c r="I1263" s="312" t="str">
        <f t="shared" si="80"/>
        <v>项</v>
      </c>
    </row>
    <row r="1264" ht="24" hidden="1" customHeight="1" spans="1:9">
      <c r="A1264" s="330">
        <v>2220505</v>
      </c>
      <c r="B1264" s="379" t="s">
        <v>1146</v>
      </c>
      <c r="C1264" s="602">
        <f>'[2]2'!E1256</f>
        <v>0</v>
      </c>
      <c r="D1264" s="714"/>
      <c r="E1264" s="713">
        <v>0</v>
      </c>
      <c r="F1264" s="716" t="str">
        <f t="shared" si="78"/>
        <v/>
      </c>
      <c r="G1264" s="470" t="str">
        <f t="shared" si="79"/>
        <v/>
      </c>
      <c r="H1264" s="524" t="str">
        <f t="shared" si="81"/>
        <v>否</v>
      </c>
      <c r="I1264" s="312" t="str">
        <f t="shared" si="80"/>
        <v>项</v>
      </c>
    </row>
    <row r="1265" s="372" customFormat="1" ht="24" hidden="1" customHeight="1" spans="1:9">
      <c r="A1265" s="330">
        <v>2220506</v>
      </c>
      <c r="B1265" s="379" t="s">
        <v>1147</v>
      </c>
      <c r="C1265" s="602">
        <f>'[2]2'!E1257</f>
        <v>0</v>
      </c>
      <c r="D1265" s="714"/>
      <c r="E1265" s="713">
        <v>0</v>
      </c>
      <c r="F1265" s="716" t="str">
        <f t="shared" si="78"/>
        <v/>
      </c>
      <c r="G1265" s="470" t="str">
        <f t="shared" si="79"/>
        <v/>
      </c>
      <c r="H1265" s="524" t="str">
        <f t="shared" si="81"/>
        <v>否</v>
      </c>
      <c r="I1265" s="312" t="str">
        <f t="shared" si="80"/>
        <v>项</v>
      </c>
    </row>
    <row r="1266" s="372" customFormat="1" ht="24" hidden="1" customHeight="1" spans="1:9">
      <c r="A1266" s="330">
        <v>2220507</v>
      </c>
      <c r="B1266" s="379" t="s">
        <v>1148</v>
      </c>
      <c r="C1266" s="602">
        <f>'[2]2'!E1258</f>
        <v>0</v>
      </c>
      <c r="D1266" s="714"/>
      <c r="E1266" s="713">
        <v>0</v>
      </c>
      <c r="F1266" s="716" t="str">
        <f t="shared" si="78"/>
        <v/>
      </c>
      <c r="G1266" s="470" t="str">
        <f t="shared" si="79"/>
        <v/>
      </c>
      <c r="H1266" s="524" t="str">
        <f t="shared" si="81"/>
        <v>否</v>
      </c>
      <c r="I1266" s="312" t="str">
        <f t="shared" si="80"/>
        <v>项</v>
      </c>
    </row>
    <row r="1267" s="372" customFormat="1" ht="24" hidden="1" customHeight="1" spans="1:9">
      <c r="A1267" s="330">
        <v>2220508</v>
      </c>
      <c r="B1267" s="379" t="s">
        <v>1149</v>
      </c>
      <c r="C1267" s="602">
        <f>'[2]2'!E1259</f>
        <v>0</v>
      </c>
      <c r="D1267" s="714"/>
      <c r="E1267" s="713">
        <v>0</v>
      </c>
      <c r="F1267" s="716" t="str">
        <f t="shared" si="78"/>
        <v/>
      </c>
      <c r="G1267" s="470" t="str">
        <f t="shared" si="79"/>
        <v/>
      </c>
      <c r="H1267" s="524" t="str">
        <f t="shared" si="81"/>
        <v>否</v>
      </c>
      <c r="I1267" s="312" t="str">
        <f t="shared" si="80"/>
        <v>项</v>
      </c>
    </row>
    <row r="1268" s="372" customFormat="1" ht="24" hidden="1" customHeight="1" spans="1:9">
      <c r="A1268" s="330">
        <v>2220509</v>
      </c>
      <c r="B1268" s="379" t="s">
        <v>1150</v>
      </c>
      <c r="C1268" s="602">
        <f>'[2]2'!E1260</f>
        <v>0</v>
      </c>
      <c r="D1268" s="714"/>
      <c r="E1268" s="713">
        <v>0</v>
      </c>
      <c r="F1268" s="716" t="str">
        <f t="shared" si="78"/>
        <v/>
      </c>
      <c r="G1268" s="470" t="str">
        <f t="shared" si="79"/>
        <v/>
      </c>
      <c r="H1268" s="524" t="str">
        <f t="shared" si="81"/>
        <v>否</v>
      </c>
      <c r="I1268" s="312" t="str">
        <f t="shared" si="80"/>
        <v>项</v>
      </c>
    </row>
    <row r="1269" s="372" customFormat="1" ht="24" hidden="1" customHeight="1" spans="1:9">
      <c r="A1269" s="330">
        <v>2220510</v>
      </c>
      <c r="B1269" s="379" t="s">
        <v>1151</v>
      </c>
      <c r="C1269" s="602">
        <f>'[2]2'!E1261</f>
        <v>0</v>
      </c>
      <c r="D1269" s="714"/>
      <c r="E1269" s="713">
        <v>0</v>
      </c>
      <c r="F1269" s="716" t="str">
        <f t="shared" si="78"/>
        <v/>
      </c>
      <c r="G1269" s="470" t="str">
        <f t="shared" si="79"/>
        <v/>
      </c>
      <c r="H1269" s="524" t="str">
        <f t="shared" si="81"/>
        <v>否</v>
      </c>
      <c r="I1269" s="312" t="str">
        <f t="shared" si="80"/>
        <v>项</v>
      </c>
    </row>
    <row r="1270" s="372" customFormat="1" ht="24" hidden="1" customHeight="1" spans="1:9">
      <c r="A1270" s="721">
        <v>2220511</v>
      </c>
      <c r="B1270" s="379" t="s">
        <v>1152</v>
      </c>
      <c r="C1270" s="602">
        <f>'[2]2'!E1262</f>
        <v>0</v>
      </c>
      <c r="D1270" s="714"/>
      <c r="E1270" s="713">
        <v>10</v>
      </c>
      <c r="F1270" s="716" t="str">
        <f t="shared" si="78"/>
        <v/>
      </c>
      <c r="G1270" s="470" t="str">
        <f t="shared" si="79"/>
        <v/>
      </c>
      <c r="H1270" s="524" t="str">
        <f t="shared" si="81"/>
        <v>是</v>
      </c>
      <c r="I1270" s="312" t="str">
        <f t="shared" si="80"/>
        <v>项</v>
      </c>
    </row>
    <row r="1271" s="372" customFormat="1" ht="24" hidden="1" customHeight="1" spans="1:9">
      <c r="A1271" s="330">
        <v>2220599</v>
      </c>
      <c r="B1271" s="379" t="s">
        <v>1153</v>
      </c>
      <c r="C1271" s="602">
        <f>'[2]2'!E1263</f>
        <v>0</v>
      </c>
      <c r="D1271" s="714"/>
      <c r="E1271" s="713">
        <v>0</v>
      </c>
      <c r="F1271" s="716" t="str">
        <f t="shared" si="78"/>
        <v/>
      </c>
      <c r="G1271" s="470" t="str">
        <f t="shared" si="79"/>
        <v/>
      </c>
      <c r="H1271" s="524" t="str">
        <f t="shared" si="81"/>
        <v>否</v>
      </c>
      <c r="I1271" s="312" t="str">
        <f t="shared" si="80"/>
        <v>项</v>
      </c>
    </row>
    <row r="1272" s="372" customFormat="1" ht="24" customHeight="1" spans="1:9">
      <c r="A1272" s="329">
        <v>224</v>
      </c>
      <c r="B1272" s="377" t="s">
        <v>195</v>
      </c>
      <c r="C1272" s="601">
        <f>C1273+C1284+C1291+C1299+C1312+C1316+C1320</f>
        <v>27427</v>
      </c>
      <c r="D1272" s="712">
        <f>D1273+D1284+D1291+D1299+D1312+D1316+D1320</f>
        <v>26693</v>
      </c>
      <c r="E1272" s="712">
        <f>E1273+E1284+E1291+E1299+E1312+E1316+E1320</f>
        <v>21135</v>
      </c>
      <c r="F1272" s="715">
        <f t="shared" si="78"/>
        <v>-0.229408976555949</v>
      </c>
      <c r="G1272" s="467">
        <f t="shared" si="79"/>
        <v>0.791780616641067</v>
      </c>
      <c r="H1272" s="524" t="str">
        <f t="shared" si="81"/>
        <v>是</v>
      </c>
      <c r="I1272" s="312" t="str">
        <f t="shared" si="80"/>
        <v>类</v>
      </c>
    </row>
    <row r="1273" s="372" customFormat="1" ht="24" customHeight="1" spans="1:9">
      <c r="A1273" s="330">
        <v>22401</v>
      </c>
      <c r="B1273" s="379" t="s">
        <v>1154</v>
      </c>
      <c r="C1273" s="602">
        <f>SUM(C1274:C1283)</f>
        <v>10669</v>
      </c>
      <c r="D1273" s="713">
        <f>SUM(D1274:D1283)</f>
        <v>10317</v>
      </c>
      <c r="E1273" s="713">
        <f>SUM(E1274:E1283)</f>
        <v>6439</v>
      </c>
      <c r="F1273" s="716">
        <f t="shared" si="78"/>
        <v>-0.39647577092511</v>
      </c>
      <c r="G1273" s="470">
        <f t="shared" si="79"/>
        <v>0.624115537462441</v>
      </c>
      <c r="H1273" s="524" t="str">
        <f t="shared" si="81"/>
        <v>是</v>
      </c>
      <c r="I1273" s="312" t="str">
        <f t="shared" si="80"/>
        <v>款</v>
      </c>
    </row>
    <row r="1274" s="372" customFormat="1" ht="24" hidden="1" customHeight="1" spans="1:9">
      <c r="A1274" s="330">
        <v>2240101</v>
      </c>
      <c r="B1274" s="379" t="s">
        <v>212</v>
      </c>
      <c r="C1274" s="602">
        <f>'[2]2'!E1266</f>
        <v>1713</v>
      </c>
      <c r="D1274" s="714">
        <v>1752</v>
      </c>
      <c r="E1274" s="713">
        <v>1666</v>
      </c>
      <c r="F1274" s="716">
        <f t="shared" si="78"/>
        <v>-0.0274372446001168</v>
      </c>
      <c r="G1274" s="470">
        <f t="shared" si="79"/>
        <v>0.950913242009132</v>
      </c>
      <c r="H1274" s="524" t="str">
        <f t="shared" si="81"/>
        <v>是</v>
      </c>
      <c r="I1274" s="312" t="str">
        <f t="shared" si="80"/>
        <v>项</v>
      </c>
    </row>
    <row r="1275" s="372" customFormat="1" ht="24" hidden="1" customHeight="1" spans="1:9">
      <c r="A1275" s="330">
        <v>2240102</v>
      </c>
      <c r="B1275" s="379" t="s">
        <v>213</v>
      </c>
      <c r="C1275" s="602">
        <f>'[2]2'!E1267</f>
        <v>1</v>
      </c>
      <c r="D1275" s="714">
        <v>1</v>
      </c>
      <c r="E1275" s="713">
        <v>9</v>
      </c>
      <c r="F1275" s="716">
        <f t="shared" si="78"/>
        <v>8</v>
      </c>
      <c r="G1275" s="470">
        <f t="shared" si="79"/>
        <v>9</v>
      </c>
      <c r="H1275" s="524" t="str">
        <f t="shared" si="81"/>
        <v>是</v>
      </c>
      <c r="I1275" s="312" t="str">
        <f t="shared" si="80"/>
        <v>项</v>
      </c>
    </row>
    <row r="1276" s="372" customFormat="1" ht="24" hidden="1" customHeight="1" spans="1:9">
      <c r="A1276" s="330">
        <v>2240103</v>
      </c>
      <c r="B1276" s="379" t="s">
        <v>214</v>
      </c>
      <c r="C1276" s="602">
        <f>'[2]2'!E1268</f>
        <v>0</v>
      </c>
      <c r="D1276" s="714"/>
      <c r="E1276" s="713">
        <v>0</v>
      </c>
      <c r="F1276" s="716" t="str">
        <f t="shared" si="78"/>
        <v/>
      </c>
      <c r="G1276" s="470" t="str">
        <f t="shared" si="79"/>
        <v/>
      </c>
      <c r="H1276" s="524" t="str">
        <f t="shared" si="81"/>
        <v>否</v>
      </c>
      <c r="I1276" s="312" t="str">
        <f t="shared" si="80"/>
        <v>项</v>
      </c>
    </row>
    <row r="1277" s="372" customFormat="1" ht="24" hidden="1" customHeight="1" spans="1:9">
      <c r="A1277" s="330">
        <v>2240104</v>
      </c>
      <c r="B1277" s="379" t="s">
        <v>1155</v>
      </c>
      <c r="C1277" s="602">
        <f>'[2]2'!E1269</f>
        <v>90</v>
      </c>
      <c r="D1277" s="714">
        <v>85</v>
      </c>
      <c r="E1277" s="713">
        <v>54</v>
      </c>
      <c r="F1277" s="716">
        <f t="shared" si="78"/>
        <v>-0.4</v>
      </c>
      <c r="G1277" s="470">
        <f t="shared" si="79"/>
        <v>0.635294117647059</v>
      </c>
      <c r="H1277" s="524" t="str">
        <f t="shared" si="81"/>
        <v>是</v>
      </c>
      <c r="I1277" s="312" t="str">
        <f t="shared" si="80"/>
        <v>项</v>
      </c>
    </row>
    <row r="1278" s="372" customFormat="1" ht="24" hidden="1" customHeight="1" spans="1:9">
      <c r="A1278" s="330">
        <v>2240105</v>
      </c>
      <c r="B1278" s="379" t="s">
        <v>1156</v>
      </c>
      <c r="C1278" s="602">
        <f>'[2]2'!E1270</f>
        <v>0</v>
      </c>
      <c r="D1278" s="714"/>
      <c r="E1278" s="713">
        <v>0</v>
      </c>
      <c r="F1278" s="716" t="str">
        <f t="shared" si="78"/>
        <v/>
      </c>
      <c r="G1278" s="470" t="str">
        <f t="shared" si="79"/>
        <v/>
      </c>
      <c r="H1278" s="524" t="str">
        <f t="shared" si="81"/>
        <v>否</v>
      </c>
      <c r="I1278" s="312" t="str">
        <f t="shared" si="80"/>
        <v>项</v>
      </c>
    </row>
    <row r="1279" s="372" customFormat="1" ht="24" hidden="1" customHeight="1" spans="1:9">
      <c r="A1279" s="330">
        <v>2240106</v>
      </c>
      <c r="B1279" s="379" t="s">
        <v>1157</v>
      </c>
      <c r="C1279" s="602">
        <f>'[2]2'!E1271</f>
        <v>904</v>
      </c>
      <c r="D1279" s="714">
        <v>825</v>
      </c>
      <c r="E1279" s="713">
        <v>859</v>
      </c>
      <c r="F1279" s="716">
        <f t="shared" si="78"/>
        <v>-0.0497787610619469</v>
      </c>
      <c r="G1279" s="470">
        <f t="shared" si="79"/>
        <v>1.04121212121212</v>
      </c>
      <c r="H1279" s="524" t="str">
        <f t="shared" si="81"/>
        <v>是</v>
      </c>
      <c r="I1279" s="312" t="str">
        <f t="shared" si="80"/>
        <v>项</v>
      </c>
    </row>
    <row r="1280" s="372" customFormat="1" ht="24" hidden="1" customHeight="1" spans="1:9">
      <c r="A1280" s="330">
        <v>2240108</v>
      </c>
      <c r="B1280" s="379" t="s">
        <v>1158</v>
      </c>
      <c r="C1280" s="602">
        <f>'[2]2'!E1272</f>
        <v>419</v>
      </c>
      <c r="D1280" s="714">
        <v>385</v>
      </c>
      <c r="E1280" s="713">
        <v>544</v>
      </c>
      <c r="F1280" s="716">
        <f t="shared" si="78"/>
        <v>0.298329355608592</v>
      </c>
      <c r="G1280" s="470">
        <f t="shared" si="79"/>
        <v>1.41298701298701</v>
      </c>
      <c r="H1280" s="524" t="str">
        <f t="shared" si="81"/>
        <v>是</v>
      </c>
      <c r="I1280" s="312" t="str">
        <f t="shared" si="80"/>
        <v>项</v>
      </c>
    </row>
    <row r="1281" s="372" customFormat="1" ht="24" hidden="1" customHeight="1" spans="1:9">
      <c r="A1281" s="330">
        <v>2240109</v>
      </c>
      <c r="B1281" s="379" t="s">
        <v>1159</v>
      </c>
      <c r="C1281" s="602">
        <f>'[2]2'!E1273</f>
        <v>5043</v>
      </c>
      <c r="D1281" s="714">
        <v>4705</v>
      </c>
      <c r="E1281" s="713">
        <v>194</v>
      </c>
      <c r="F1281" s="716">
        <f t="shared" si="78"/>
        <v>-0.961530834820543</v>
      </c>
      <c r="G1281" s="470">
        <f t="shared" si="79"/>
        <v>0.0412327311370882</v>
      </c>
      <c r="H1281" s="524" t="str">
        <f t="shared" si="81"/>
        <v>是</v>
      </c>
      <c r="I1281" s="312" t="str">
        <f t="shared" si="80"/>
        <v>项</v>
      </c>
    </row>
    <row r="1282" ht="24" hidden="1" customHeight="1" spans="1:9">
      <c r="A1282" s="330">
        <v>2240150</v>
      </c>
      <c r="B1282" s="379" t="s">
        <v>221</v>
      </c>
      <c r="C1282" s="602">
        <f>'[2]2'!E1274</f>
        <v>2337</v>
      </c>
      <c r="D1282" s="714">
        <v>2412</v>
      </c>
      <c r="E1282" s="713">
        <v>2970</v>
      </c>
      <c r="F1282" s="716">
        <f t="shared" si="78"/>
        <v>0.270860077021823</v>
      </c>
      <c r="G1282" s="470">
        <f t="shared" si="79"/>
        <v>1.23134328358209</v>
      </c>
      <c r="H1282" s="524" t="str">
        <f t="shared" si="81"/>
        <v>是</v>
      </c>
      <c r="I1282" s="312" t="str">
        <f t="shared" si="80"/>
        <v>项</v>
      </c>
    </row>
    <row r="1283" s="372" customFormat="1" ht="24" hidden="1" customHeight="1" spans="1:9">
      <c r="A1283" s="330">
        <v>2240199</v>
      </c>
      <c r="B1283" s="379" t="s">
        <v>1160</v>
      </c>
      <c r="C1283" s="602">
        <f>'[2]2'!E1275</f>
        <v>162</v>
      </c>
      <c r="D1283" s="714">
        <v>152</v>
      </c>
      <c r="E1283" s="713">
        <v>143</v>
      </c>
      <c r="F1283" s="716">
        <f t="shared" si="78"/>
        <v>-0.117283950617284</v>
      </c>
      <c r="G1283" s="470">
        <f t="shared" si="79"/>
        <v>0.940789473684211</v>
      </c>
      <c r="H1283" s="524" t="str">
        <f t="shared" si="81"/>
        <v>是</v>
      </c>
      <c r="I1283" s="312" t="str">
        <f t="shared" si="80"/>
        <v>项</v>
      </c>
    </row>
    <row r="1284" s="372" customFormat="1" ht="24" customHeight="1" spans="1:9">
      <c r="A1284" s="330">
        <v>22402</v>
      </c>
      <c r="B1284" s="405" t="s">
        <v>1161</v>
      </c>
      <c r="C1284" s="602">
        <f>SUM(C1285:C1290)</f>
        <v>7255</v>
      </c>
      <c r="D1284" s="713">
        <f>SUM(D1285:D1290)</f>
        <v>7208</v>
      </c>
      <c r="E1284" s="713">
        <f>SUM(E1285:E1290)</f>
        <v>5932</v>
      </c>
      <c r="F1284" s="716">
        <f t="shared" si="78"/>
        <v>-0.182356995175741</v>
      </c>
      <c r="G1284" s="470">
        <f t="shared" si="79"/>
        <v>0.822974472807991</v>
      </c>
      <c r="H1284" s="524" t="str">
        <f t="shared" si="81"/>
        <v>是</v>
      </c>
      <c r="I1284" s="312" t="str">
        <f t="shared" si="80"/>
        <v>款</v>
      </c>
    </row>
    <row r="1285" s="372" customFormat="1" ht="24" hidden="1" customHeight="1" spans="1:9">
      <c r="A1285" s="330">
        <v>2240201</v>
      </c>
      <c r="B1285" s="379" t="s">
        <v>212</v>
      </c>
      <c r="C1285" s="602">
        <f>'[2]2'!E1277</f>
        <v>3356</v>
      </c>
      <c r="D1285" s="714">
        <v>3425</v>
      </c>
      <c r="E1285" s="713">
        <v>3840</v>
      </c>
      <c r="F1285" s="716">
        <f t="shared" ref="F1285:F1335" si="82">IFERROR((E1285-C1285)/C1285,"")</f>
        <v>0.144219308700834</v>
      </c>
      <c r="G1285" s="470">
        <f t="shared" ref="G1285:G1335" si="83">IFERROR(E1285/D1285,"")</f>
        <v>1.12116788321168</v>
      </c>
      <c r="H1285" s="524" t="str">
        <f t="shared" si="81"/>
        <v>是</v>
      </c>
      <c r="I1285" s="312" t="str">
        <f t="shared" ref="I1285:I1333" si="84">IF(LEN(A1285)=3,"类",IF(LEN(A1285)=5,"款","项"))</f>
        <v>项</v>
      </c>
    </row>
    <row r="1286" s="372" customFormat="1" ht="24" hidden="1" customHeight="1" spans="1:9">
      <c r="A1286" s="330">
        <v>2240202</v>
      </c>
      <c r="B1286" s="379" t="s">
        <v>213</v>
      </c>
      <c r="C1286" s="602">
        <f>'[2]2'!E1278</f>
        <v>0</v>
      </c>
      <c r="D1286" s="714"/>
      <c r="E1286" s="713">
        <v>0</v>
      </c>
      <c r="F1286" s="716" t="str">
        <f t="shared" si="82"/>
        <v/>
      </c>
      <c r="G1286" s="470" t="str">
        <f t="shared" si="83"/>
        <v/>
      </c>
      <c r="H1286" s="524" t="str">
        <f t="shared" ref="H1286:H1335" si="85">IF(LEN(A1286)=3,"是",IF(B1286&lt;&gt;"",IF(SUM(C1286:E1286)&lt;&gt;0,"是","否"),"是"))</f>
        <v>否</v>
      </c>
      <c r="I1286" s="312" t="str">
        <f t="shared" si="84"/>
        <v>项</v>
      </c>
    </row>
    <row r="1287" s="372" customFormat="1" ht="24" hidden="1" customHeight="1" spans="1:9">
      <c r="A1287" s="330">
        <v>2240203</v>
      </c>
      <c r="B1287" s="379" t="s">
        <v>214</v>
      </c>
      <c r="C1287" s="602">
        <f>'[2]2'!E1279</f>
        <v>0</v>
      </c>
      <c r="D1287" s="714"/>
      <c r="E1287" s="713">
        <v>0</v>
      </c>
      <c r="F1287" s="716" t="str">
        <f t="shared" si="82"/>
        <v/>
      </c>
      <c r="G1287" s="470" t="str">
        <f t="shared" si="83"/>
        <v/>
      </c>
      <c r="H1287" s="524" t="str">
        <f t="shared" si="85"/>
        <v>否</v>
      </c>
      <c r="I1287" s="312" t="str">
        <f t="shared" si="84"/>
        <v>项</v>
      </c>
    </row>
    <row r="1288" s="372" customFormat="1" ht="24" hidden="1" customHeight="1" spans="1:9">
      <c r="A1288" s="330">
        <v>2240204</v>
      </c>
      <c r="B1288" s="379" t="s">
        <v>1162</v>
      </c>
      <c r="C1288" s="602">
        <f>'[2]2'!E1280</f>
        <v>3761</v>
      </c>
      <c r="D1288" s="714">
        <v>3658</v>
      </c>
      <c r="E1288" s="713">
        <v>1835</v>
      </c>
      <c r="F1288" s="716">
        <f t="shared" si="82"/>
        <v>-0.512097846317469</v>
      </c>
      <c r="G1288" s="470">
        <f t="shared" si="83"/>
        <v>0.501640240568617</v>
      </c>
      <c r="H1288" s="524" t="str">
        <f t="shared" si="85"/>
        <v>是</v>
      </c>
      <c r="I1288" s="312" t="str">
        <f t="shared" si="84"/>
        <v>项</v>
      </c>
    </row>
    <row r="1289" s="372" customFormat="1" ht="24" hidden="1" customHeight="1" spans="1:9">
      <c r="A1289" s="723">
        <v>2240250</v>
      </c>
      <c r="B1289" s="379" t="s">
        <v>221</v>
      </c>
      <c r="C1289" s="602">
        <f>'[2]2'!E1281</f>
        <v>0</v>
      </c>
      <c r="D1289" s="714"/>
      <c r="E1289" s="713">
        <v>0</v>
      </c>
      <c r="F1289" s="716" t="str">
        <f t="shared" si="82"/>
        <v/>
      </c>
      <c r="G1289" s="470" t="str">
        <f t="shared" si="83"/>
        <v/>
      </c>
      <c r="H1289" s="524" t="str">
        <f t="shared" si="85"/>
        <v>否</v>
      </c>
      <c r="I1289" s="312" t="str">
        <f t="shared" si="84"/>
        <v>项</v>
      </c>
    </row>
    <row r="1290" s="372" customFormat="1" ht="24" hidden="1" customHeight="1" spans="1:9">
      <c r="A1290" s="330">
        <v>2240299</v>
      </c>
      <c r="B1290" s="405" t="s">
        <v>1163</v>
      </c>
      <c r="C1290" s="602">
        <f>'[2]2'!E1282</f>
        <v>138</v>
      </c>
      <c r="D1290" s="714">
        <v>125</v>
      </c>
      <c r="E1290" s="713">
        <v>257</v>
      </c>
      <c r="F1290" s="716">
        <f t="shared" si="82"/>
        <v>0.86231884057971</v>
      </c>
      <c r="G1290" s="470">
        <f t="shared" si="83"/>
        <v>2.056</v>
      </c>
      <c r="H1290" s="524" t="str">
        <f t="shared" si="85"/>
        <v>是</v>
      </c>
      <c r="I1290" s="312" t="str">
        <f t="shared" si="84"/>
        <v>项</v>
      </c>
    </row>
    <row r="1291" s="372" customFormat="1" ht="24" customHeight="1" spans="1:9">
      <c r="A1291" s="330">
        <v>22404</v>
      </c>
      <c r="B1291" s="379" t="s">
        <v>1164</v>
      </c>
      <c r="C1291" s="602">
        <f>SUM(C1292:C1298)</f>
        <v>748</v>
      </c>
      <c r="D1291" s="713">
        <f>SUM(D1292:D1298)</f>
        <v>737</v>
      </c>
      <c r="E1291" s="713">
        <f>SUM(E1292:E1298)</f>
        <v>1155</v>
      </c>
      <c r="F1291" s="716">
        <f t="shared" si="82"/>
        <v>0.544117647058823</v>
      </c>
      <c r="G1291" s="470">
        <f t="shared" si="83"/>
        <v>1.56716417910448</v>
      </c>
      <c r="H1291" s="524" t="str">
        <f t="shared" si="85"/>
        <v>是</v>
      </c>
      <c r="I1291" s="312" t="str">
        <f t="shared" si="84"/>
        <v>款</v>
      </c>
    </row>
    <row r="1292" s="372" customFormat="1" ht="24" hidden="1" customHeight="1" spans="1:9">
      <c r="A1292" s="330">
        <v>2240401</v>
      </c>
      <c r="B1292" s="379" t="s">
        <v>212</v>
      </c>
      <c r="C1292" s="602">
        <f>'[2]2'!E1284</f>
        <v>411</v>
      </c>
      <c r="D1292" s="714">
        <v>425</v>
      </c>
      <c r="E1292" s="713">
        <v>325</v>
      </c>
      <c r="F1292" s="716">
        <f t="shared" si="82"/>
        <v>-0.209245742092457</v>
      </c>
      <c r="G1292" s="470">
        <f t="shared" si="83"/>
        <v>0.764705882352941</v>
      </c>
      <c r="H1292" s="524" t="str">
        <f t="shared" si="85"/>
        <v>是</v>
      </c>
      <c r="I1292" s="312" t="str">
        <f t="shared" si="84"/>
        <v>项</v>
      </c>
    </row>
    <row r="1293" s="372" customFormat="1" ht="24" hidden="1" customHeight="1" spans="1:9">
      <c r="A1293" s="330">
        <v>2240402</v>
      </c>
      <c r="B1293" s="379" t="s">
        <v>213</v>
      </c>
      <c r="C1293" s="602">
        <f>'[2]2'!E1285</f>
        <v>0</v>
      </c>
      <c r="D1293" s="714"/>
      <c r="E1293" s="713">
        <v>0</v>
      </c>
      <c r="F1293" s="716" t="str">
        <f t="shared" si="82"/>
        <v/>
      </c>
      <c r="G1293" s="470" t="str">
        <f t="shared" si="83"/>
        <v/>
      </c>
      <c r="H1293" s="524" t="str">
        <f t="shared" si="85"/>
        <v>否</v>
      </c>
      <c r="I1293" s="312" t="str">
        <f t="shared" si="84"/>
        <v>项</v>
      </c>
    </row>
    <row r="1294" s="372" customFormat="1" ht="24" hidden="1" customHeight="1" spans="1:9">
      <c r="A1294" s="330">
        <v>2240403</v>
      </c>
      <c r="B1294" s="379" t="s">
        <v>214</v>
      </c>
      <c r="C1294" s="602">
        <f>'[2]2'!E1286</f>
        <v>0</v>
      </c>
      <c r="D1294" s="714"/>
      <c r="E1294" s="713">
        <v>0</v>
      </c>
      <c r="F1294" s="716" t="str">
        <f t="shared" si="82"/>
        <v/>
      </c>
      <c r="G1294" s="470" t="str">
        <f t="shared" si="83"/>
        <v/>
      </c>
      <c r="H1294" s="524" t="str">
        <f t="shared" si="85"/>
        <v>否</v>
      </c>
      <c r="I1294" s="312" t="str">
        <f t="shared" si="84"/>
        <v>项</v>
      </c>
    </row>
    <row r="1295" s="372" customFormat="1" ht="24" hidden="1" customHeight="1" spans="1:9">
      <c r="A1295" s="330">
        <v>2240404</v>
      </c>
      <c r="B1295" s="405" t="s">
        <v>1165</v>
      </c>
      <c r="C1295" s="602">
        <f>'[2]2'!E1287</f>
        <v>82</v>
      </c>
      <c r="D1295" s="714">
        <v>79</v>
      </c>
      <c r="E1295" s="713">
        <v>122</v>
      </c>
      <c r="F1295" s="716">
        <f t="shared" si="82"/>
        <v>0.48780487804878</v>
      </c>
      <c r="G1295" s="470">
        <f t="shared" si="83"/>
        <v>1.54430379746835</v>
      </c>
      <c r="H1295" s="524" t="str">
        <f t="shared" si="85"/>
        <v>是</v>
      </c>
      <c r="I1295" s="312" t="str">
        <f t="shared" si="84"/>
        <v>项</v>
      </c>
    </row>
    <row r="1296" ht="24" hidden="1" customHeight="1" spans="1:9">
      <c r="A1296" s="330">
        <v>2240405</v>
      </c>
      <c r="B1296" s="405" t="s">
        <v>1166</v>
      </c>
      <c r="C1296" s="602">
        <f>'[2]2'!E1288</f>
        <v>141</v>
      </c>
      <c r="D1296" s="714">
        <v>135</v>
      </c>
      <c r="E1296" s="713">
        <v>196</v>
      </c>
      <c r="F1296" s="716">
        <f t="shared" si="82"/>
        <v>0.390070921985816</v>
      </c>
      <c r="G1296" s="470">
        <f t="shared" si="83"/>
        <v>1.45185185185185</v>
      </c>
      <c r="H1296" s="524" t="str">
        <f t="shared" si="85"/>
        <v>是</v>
      </c>
      <c r="I1296" s="312" t="str">
        <f t="shared" si="84"/>
        <v>项</v>
      </c>
    </row>
    <row r="1297" s="372" customFormat="1" ht="24" hidden="1" customHeight="1" spans="1:9">
      <c r="A1297" s="330">
        <v>2240450</v>
      </c>
      <c r="B1297" s="379" t="s">
        <v>221</v>
      </c>
      <c r="C1297" s="602">
        <f>'[2]2'!E1289</f>
        <v>0</v>
      </c>
      <c r="D1297" s="714"/>
      <c r="E1297" s="713">
        <v>77</v>
      </c>
      <c r="F1297" s="716" t="str">
        <f t="shared" si="82"/>
        <v/>
      </c>
      <c r="G1297" s="470" t="str">
        <f t="shared" si="83"/>
        <v/>
      </c>
      <c r="H1297" s="524" t="str">
        <f t="shared" si="85"/>
        <v>是</v>
      </c>
      <c r="I1297" s="312" t="str">
        <f t="shared" si="84"/>
        <v>项</v>
      </c>
    </row>
    <row r="1298" s="372" customFormat="1" ht="24" hidden="1" customHeight="1" spans="1:9">
      <c r="A1298" s="330">
        <v>2240499</v>
      </c>
      <c r="B1298" s="405" t="s">
        <v>1167</v>
      </c>
      <c r="C1298" s="602">
        <f>'[2]2'!E1290</f>
        <v>114</v>
      </c>
      <c r="D1298" s="714">
        <v>98</v>
      </c>
      <c r="E1298" s="713">
        <v>435</v>
      </c>
      <c r="F1298" s="716">
        <f t="shared" si="82"/>
        <v>2.81578947368421</v>
      </c>
      <c r="G1298" s="470">
        <f t="shared" si="83"/>
        <v>4.43877551020408</v>
      </c>
      <c r="H1298" s="524" t="str">
        <f t="shared" si="85"/>
        <v>是</v>
      </c>
      <c r="I1298" s="312" t="str">
        <f t="shared" si="84"/>
        <v>项</v>
      </c>
    </row>
    <row r="1299" s="372" customFormat="1" ht="24" customHeight="1" spans="1:9">
      <c r="A1299" s="330">
        <v>22405</v>
      </c>
      <c r="B1299" s="379" t="s">
        <v>1168</v>
      </c>
      <c r="C1299" s="602">
        <f>SUM(C1300:C1311)</f>
        <v>1174</v>
      </c>
      <c r="D1299" s="713">
        <f>SUM(D1300:D1311)</f>
        <v>1128</v>
      </c>
      <c r="E1299" s="713">
        <f>SUM(E1300:E1311)</f>
        <v>1179</v>
      </c>
      <c r="F1299" s="716">
        <f t="shared" si="82"/>
        <v>0.00425894378194208</v>
      </c>
      <c r="G1299" s="470">
        <f t="shared" si="83"/>
        <v>1.04521276595745</v>
      </c>
      <c r="H1299" s="524" t="str">
        <f t="shared" si="85"/>
        <v>是</v>
      </c>
      <c r="I1299" s="312" t="str">
        <f t="shared" si="84"/>
        <v>款</v>
      </c>
    </row>
    <row r="1300" s="372" customFormat="1" ht="24" hidden="1" customHeight="1" spans="1:9">
      <c r="A1300" s="330">
        <v>2240501</v>
      </c>
      <c r="B1300" s="379" t="s">
        <v>212</v>
      </c>
      <c r="C1300" s="602">
        <f>'[2]2'!E1292</f>
        <v>315</v>
      </c>
      <c r="D1300" s="714">
        <v>325</v>
      </c>
      <c r="E1300" s="713">
        <v>235</v>
      </c>
      <c r="F1300" s="716">
        <f t="shared" si="82"/>
        <v>-0.253968253968254</v>
      </c>
      <c r="G1300" s="470">
        <f t="shared" si="83"/>
        <v>0.723076923076923</v>
      </c>
      <c r="H1300" s="524" t="str">
        <f t="shared" si="85"/>
        <v>是</v>
      </c>
      <c r="I1300" s="312" t="str">
        <f t="shared" si="84"/>
        <v>项</v>
      </c>
    </row>
    <row r="1301" s="372" customFormat="1" ht="24" hidden="1" customHeight="1" spans="1:9">
      <c r="A1301" s="330">
        <v>2240502</v>
      </c>
      <c r="B1301" s="379" t="s">
        <v>213</v>
      </c>
      <c r="C1301" s="602">
        <f>'[2]2'!E1293</f>
        <v>0</v>
      </c>
      <c r="D1301" s="714"/>
      <c r="E1301" s="713">
        <v>0</v>
      </c>
      <c r="F1301" s="716" t="str">
        <f t="shared" si="82"/>
        <v/>
      </c>
      <c r="G1301" s="470" t="str">
        <f t="shared" si="83"/>
        <v/>
      </c>
      <c r="H1301" s="524" t="str">
        <f t="shared" si="85"/>
        <v>否</v>
      </c>
      <c r="I1301" s="312" t="str">
        <f t="shared" si="84"/>
        <v>项</v>
      </c>
    </row>
    <row r="1302" ht="24" hidden="1" customHeight="1" spans="1:9">
      <c r="A1302" s="330">
        <v>2240503</v>
      </c>
      <c r="B1302" s="379" t="s">
        <v>214</v>
      </c>
      <c r="C1302" s="602">
        <f>'[2]2'!E1294</f>
        <v>0</v>
      </c>
      <c r="D1302" s="714"/>
      <c r="E1302" s="713">
        <v>0</v>
      </c>
      <c r="F1302" s="716" t="str">
        <f t="shared" si="82"/>
        <v/>
      </c>
      <c r="G1302" s="470" t="str">
        <f t="shared" si="83"/>
        <v/>
      </c>
      <c r="H1302" s="524" t="str">
        <f t="shared" si="85"/>
        <v>否</v>
      </c>
      <c r="I1302" s="312" t="str">
        <f t="shared" si="84"/>
        <v>项</v>
      </c>
    </row>
    <row r="1303" s="372" customFormat="1" ht="24" hidden="1" customHeight="1" spans="1:9">
      <c r="A1303" s="330">
        <v>2240504</v>
      </c>
      <c r="B1303" s="379" t="s">
        <v>1169</v>
      </c>
      <c r="C1303" s="602">
        <f>'[2]2'!E1295</f>
        <v>23</v>
      </c>
      <c r="D1303" s="714">
        <v>23</v>
      </c>
      <c r="E1303" s="713">
        <v>2</v>
      </c>
      <c r="F1303" s="716">
        <f t="shared" si="82"/>
        <v>-0.91304347826087</v>
      </c>
      <c r="G1303" s="470">
        <f t="shared" si="83"/>
        <v>0.0869565217391304</v>
      </c>
      <c r="H1303" s="524" t="str">
        <f t="shared" si="85"/>
        <v>是</v>
      </c>
      <c r="I1303" s="312" t="str">
        <f t="shared" si="84"/>
        <v>项</v>
      </c>
    </row>
    <row r="1304" s="372" customFormat="1" ht="24" hidden="1" customHeight="1" spans="1:9">
      <c r="A1304" s="330">
        <v>2240505</v>
      </c>
      <c r="B1304" s="379" t="s">
        <v>1170</v>
      </c>
      <c r="C1304" s="602">
        <f>'[2]2'!E1296</f>
        <v>23</v>
      </c>
      <c r="D1304" s="714">
        <v>23</v>
      </c>
      <c r="E1304" s="713">
        <v>18</v>
      </c>
      <c r="F1304" s="716">
        <f t="shared" si="82"/>
        <v>-0.217391304347826</v>
      </c>
      <c r="G1304" s="470">
        <f t="shared" si="83"/>
        <v>0.782608695652174</v>
      </c>
      <c r="H1304" s="524" t="str">
        <f t="shared" si="85"/>
        <v>是</v>
      </c>
      <c r="I1304" s="312" t="str">
        <f t="shared" si="84"/>
        <v>项</v>
      </c>
    </row>
    <row r="1305" s="372" customFormat="1" ht="24" hidden="1" customHeight="1" spans="1:9">
      <c r="A1305" s="330">
        <v>2240506</v>
      </c>
      <c r="B1305" s="379" t="s">
        <v>1171</v>
      </c>
      <c r="C1305" s="602">
        <f>'[2]2'!E1297</f>
        <v>3</v>
      </c>
      <c r="D1305" s="714">
        <v>3</v>
      </c>
      <c r="E1305" s="713">
        <v>79</v>
      </c>
      <c r="F1305" s="716">
        <f t="shared" si="82"/>
        <v>25.3333333333333</v>
      </c>
      <c r="G1305" s="470">
        <f t="shared" si="83"/>
        <v>26.3333333333333</v>
      </c>
      <c r="H1305" s="524" t="str">
        <f t="shared" si="85"/>
        <v>是</v>
      </c>
      <c r="I1305" s="312" t="str">
        <f t="shared" si="84"/>
        <v>项</v>
      </c>
    </row>
    <row r="1306" s="372" customFormat="1" ht="24" hidden="1" customHeight="1" spans="1:9">
      <c r="A1306" s="330">
        <v>2240507</v>
      </c>
      <c r="B1306" s="379" t="s">
        <v>1172</v>
      </c>
      <c r="C1306" s="602">
        <f>'[2]2'!E1298</f>
        <v>110</v>
      </c>
      <c r="D1306" s="714">
        <v>98</v>
      </c>
      <c r="E1306" s="713">
        <v>123</v>
      </c>
      <c r="F1306" s="716">
        <f t="shared" si="82"/>
        <v>0.118181818181818</v>
      </c>
      <c r="G1306" s="470">
        <f t="shared" si="83"/>
        <v>1.25510204081633</v>
      </c>
      <c r="H1306" s="524" t="str">
        <f t="shared" si="85"/>
        <v>是</v>
      </c>
      <c r="I1306" s="312" t="str">
        <f t="shared" si="84"/>
        <v>项</v>
      </c>
    </row>
    <row r="1307" s="372" customFormat="1" ht="24" hidden="1" customHeight="1" spans="1:9">
      <c r="A1307" s="330">
        <v>2240508</v>
      </c>
      <c r="B1307" s="379" t="s">
        <v>1173</v>
      </c>
      <c r="C1307" s="602">
        <f>'[2]2'!E1299</f>
        <v>0</v>
      </c>
      <c r="D1307" s="714"/>
      <c r="E1307" s="713">
        <v>0</v>
      </c>
      <c r="F1307" s="716" t="str">
        <f t="shared" si="82"/>
        <v/>
      </c>
      <c r="G1307" s="470" t="str">
        <f t="shared" si="83"/>
        <v/>
      </c>
      <c r="H1307" s="524" t="str">
        <f t="shared" si="85"/>
        <v>否</v>
      </c>
      <c r="I1307" s="312" t="str">
        <f t="shared" si="84"/>
        <v>项</v>
      </c>
    </row>
    <row r="1308" ht="24" hidden="1" customHeight="1" spans="1:9">
      <c r="A1308" s="330">
        <v>2240509</v>
      </c>
      <c r="B1308" s="379" t="s">
        <v>1174</v>
      </c>
      <c r="C1308" s="602">
        <f>'[2]2'!E1300</f>
        <v>0</v>
      </c>
      <c r="D1308" s="714"/>
      <c r="E1308" s="713">
        <v>0</v>
      </c>
      <c r="F1308" s="716" t="str">
        <f t="shared" si="82"/>
        <v/>
      </c>
      <c r="G1308" s="470" t="str">
        <f t="shared" si="83"/>
        <v/>
      </c>
      <c r="H1308" s="524" t="str">
        <f t="shared" si="85"/>
        <v>否</v>
      </c>
      <c r="I1308" s="312" t="str">
        <f t="shared" si="84"/>
        <v>项</v>
      </c>
    </row>
    <row r="1309" s="372" customFormat="1" ht="24" hidden="1" customHeight="1" spans="1:9">
      <c r="A1309" s="330">
        <v>2240510</v>
      </c>
      <c r="B1309" s="379" t="s">
        <v>1175</v>
      </c>
      <c r="C1309" s="602">
        <f>'[2]2'!E1301</f>
        <v>0</v>
      </c>
      <c r="D1309" s="714"/>
      <c r="E1309" s="713">
        <v>0</v>
      </c>
      <c r="F1309" s="716" t="str">
        <f t="shared" si="82"/>
        <v/>
      </c>
      <c r="G1309" s="470" t="str">
        <f t="shared" si="83"/>
        <v/>
      </c>
      <c r="H1309" s="524" t="str">
        <f t="shared" si="85"/>
        <v>否</v>
      </c>
      <c r="I1309" s="312" t="str">
        <f t="shared" si="84"/>
        <v>项</v>
      </c>
    </row>
    <row r="1310" s="372" customFormat="1" ht="24" hidden="1" customHeight="1" spans="1:9">
      <c r="A1310" s="330">
        <v>2240550</v>
      </c>
      <c r="B1310" s="379" t="s">
        <v>1176</v>
      </c>
      <c r="C1310" s="602">
        <f>'[2]2'!E1302</f>
        <v>463</v>
      </c>
      <c r="D1310" s="714">
        <v>435</v>
      </c>
      <c r="E1310" s="713">
        <v>585</v>
      </c>
      <c r="F1310" s="716">
        <f t="shared" si="82"/>
        <v>0.263498920086393</v>
      </c>
      <c r="G1310" s="470">
        <f t="shared" si="83"/>
        <v>1.3448275862069</v>
      </c>
      <c r="H1310" s="524" t="str">
        <f t="shared" si="85"/>
        <v>是</v>
      </c>
      <c r="I1310" s="312" t="str">
        <f t="shared" si="84"/>
        <v>项</v>
      </c>
    </row>
    <row r="1311" s="372" customFormat="1" ht="24" hidden="1" customHeight="1" spans="1:9">
      <c r="A1311" s="330">
        <v>2240599</v>
      </c>
      <c r="B1311" s="379" t="s">
        <v>1177</v>
      </c>
      <c r="C1311" s="602">
        <f>'[2]2'!E1303</f>
        <v>237</v>
      </c>
      <c r="D1311" s="714">
        <v>221</v>
      </c>
      <c r="E1311" s="713">
        <v>137</v>
      </c>
      <c r="F1311" s="716">
        <f t="shared" si="82"/>
        <v>-0.421940928270042</v>
      </c>
      <c r="G1311" s="470">
        <f t="shared" si="83"/>
        <v>0.619909502262443</v>
      </c>
      <c r="H1311" s="524" t="str">
        <f t="shared" si="85"/>
        <v>是</v>
      </c>
      <c r="I1311" s="312" t="str">
        <f t="shared" si="84"/>
        <v>项</v>
      </c>
    </row>
    <row r="1312" s="372" customFormat="1" ht="24" customHeight="1" spans="1:9">
      <c r="A1312" s="330">
        <v>22406</v>
      </c>
      <c r="B1312" s="379" t="s">
        <v>1178</v>
      </c>
      <c r="C1312" s="602">
        <f>SUM(C1313:C1315)</f>
        <v>5807</v>
      </c>
      <c r="D1312" s="713">
        <f>SUM(D1313:D1315)</f>
        <v>5610</v>
      </c>
      <c r="E1312" s="713">
        <f>SUM(E1313:E1315)</f>
        <v>4250</v>
      </c>
      <c r="F1312" s="716">
        <f t="shared" si="82"/>
        <v>-0.268124677113828</v>
      </c>
      <c r="G1312" s="470">
        <f t="shared" si="83"/>
        <v>0.757575757575758</v>
      </c>
      <c r="H1312" s="524" t="str">
        <f t="shared" si="85"/>
        <v>是</v>
      </c>
      <c r="I1312" s="312" t="str">
        <f t="shared" si="84"/>
        <v>款</v>
      </c>
    </row>
    <row r="1313" s="372" customFormat="1" ht="24" hidden="1" customHeight="1" spans="1:9">
      <c r="A1313" s="330">
        <v>2240601</v>
      </c>
      <c r="B1313" s="379" t="s">
        <v>1179</v>
      </c>
      <c r="C1313" s="602">
        <f>'[2]2'!E1305</f>
        <v>5294</v>
      </c>
      <c r="D1313" s="714">
        <v>5125</v>
      </c>
      <c r="E1313" s="713">
        <v>3528</v>
      </c>
      <c r="F1313" s="716">
        <f t="shared" si="82"/>
        <v>-0.333585190782017</v>
      </c>
      <c r="G1313" s="470">
        <f t="shared" si="83"/>
        <v>0.688390243902439</v>
      </c>
      <c r="H1313" s="524" t="str">
        <f t="shared" si="85"/>
        <v>是</v>
      </c>
      <c r="I1313" s="312" t="str">
        <f t="shared" si="84"/>
        <v>项</v>
      </c>
    </row>
    <row r="1314" s="372" customFormat="1" ht="24" hidden="1" customHeight="1" spans="1:9">
      <c r="A1314" s="330">
        <v>2240602</v>
      </c>
      <c r="B1314" s="379" t="s">
        <v>1180</v>
      </c>
      <c r="C1314" s="602">
        <f>'[2]2'!E1306</f>
        <v>425</v>
      </c>
      <c r="D1314" s="714">
        <v>402</v>
      </c>
      <c r="E1314" s="713">
        <v>675</v>
      </c>
      <c r="F1314" s="716">
        <f t="shared" si="82"/>
        <v>0.588235294117647</v>
      </c>
      <c r="G1314" s="470">
        <f t="shared" si="83"/>
        <v>1.67910447761194</v>
      </c>
      <c r="H1314" s="524" t="str">
        <f t="shared" si="85"/>
        <v>是</v>
      </c>
      <c r="I1314" s="312" t="str">
        <f t="shared" si="84"/>
        <v>项</v>
      </c>
    </row>
    <row r="1315" s="372" customFormat="1" ht="24" hidden="1" customHeight="1" spans="1:9">
      <c r="A1315" s="330">
        <v>2240699</v>
      </c>
      <c r="B1315" s="379" t="s">
        <v>1181</v>
      </c>
      <c r="C1315" s="602">
        <f>'[2]2'!E1307</f>
        <v>88</v>
      </c>
      <c r="D1315" s="714">
        <v>83</v>
      </c>
      <c r="E1315" s="713">
        <v>47</v>
      </c>
      <c r="F1315" s="716">
        <f t="shared" si="82"/>
        <v>-0.465909090909091</v>
      </c>
      <c r="G1315" s="470">
        <f t="shared" si="83"/>
        <v>0.566265060240964</v>
      </c>
      <c r="H1315" s="524" t="str">
        <f t="shared" si="85"/>
        <v>是</v>
      </c>
      <c r="I1315" s="312" t="str">
        <f t="shared" si="84"/>
        <v>项</v>
      </c>
    </row>
    <row r="1316" s="372" customFormat="1" ht="24" customHeight="1" spans="1:9">
      <c r="A1316" s="330">
        <v>22407</v>
      </c>
      <c r="B1316" s="379" t="s">
        <v>1182</v>
      </c>
      <c r="C1316" s="602">
        <f>SUM(C1317:C1319)</f>
        <v>1407</v>
      </c>
      <c r="D1316" s="713">
        <f>SUM(D1317:D1319)</f>
        <v>1337</v>
      </c>
      <c r="E1316" s="713">
        <f>SUM(E1317:E1319)</f>
        <v>1569</v>
      </c>
      <c r="F1316" s="716">
        <f t="shared" si="82"/>
        <v>0.115138592750533</v>
      </c>
      <c r="G1316" s="470">
        <f t="shared" si="83"/>
        <v>1.17352281226627</v>
      </c>
      <c r="H1316" s="524" t="str">
        <f t="shared" si="85"/>
        <v>是</v>
      </c>
      <c r="I1316" s="312" t="str">
        <f t="shared" si="84"/>
        <v>款</v>
      </c>
    </row>
    <row r="1317" s="372" customFormat="1" ht="24" hidden="1" customHeight="1" spans="1:9">
      <c r="A1317" s="330">
        <v>2240703</v>
      </c>
      <c r="B1317" s="379" t="s">
        <v>1183</v>
      </c>
      <c r="C1317" s="602">
        <f>'[2]2'!E1309</f>
        <v>1298</v>
      </c>
      <c r="D1317" s="714">
        <v>1235</v>
      </c>
      <c r="E1317" s="713">
        <v>1543</v>
      </c>
      <c r="F1317" s="716">
        <f t="shared" si="82"/>
        <v>0.188751926040062</v>
      </c>
      <c r="G1317" s="470">
        <f t="shared" si="83"/>
        <v>1.24939271255061</v>
      </c>
      <c r="H1317" s="524" t="str">
        <f t="shared" si="85"/>
        <v>是</v>
      </c>
      <c r="I1317" s="312" t="str">
        <f t="shared" si="84"/>
        <v>项</v>
      </c>
    </row>
    <row r="1318" s="372" customFormat="1" ht="24" hidden="1" customHeight="1" spans="1:9">
      <c r="A1318" s="330">
        <v>2240704</v>
      </c>
      <c r="B1318" s="379" t="s">
        <v>1184</v>
      </c>
      <c r="C1318" s="602">
        <f>'[2]2'!E1310</f>
        <v>80</v>
      </c>
      <c r="D1318" s="714">
        <v>75</v>
      </c>
      <c r="E1318" s="713">
        <v>0</v>
      </c>
      <c r="F1318" s="716">
        <f t="shared" si="82"/>
        <v>-1</v>
      </c>
      <c r="G1318" s="470">
        <f t="shared" si="83"/>
        <v>0</v>
      </c>
      <c r="H1318" s="524" t="str">
        <f t="shared" si="85"/>
        <v>是</v>
      </c>
      <c r="I1318" s="312" t="str">
        <f t="shared" si="84"/>
        <v>项</v>
      </c>
    </row>
    <row r="1319" s="372" customFormat="1" ht="24" hidden="1" customHeight="1" spans="1:9">
      <c r="A1319" s="330">
        <v>2240799</v>
      </c>
      <c r="B1319" s="379" t="s">
        <v>1185</v>
      </c>
      <c r="C1319" s="602">
        <f>'[2]2'!E1311</f>
        <v>29</v>
      </c>
      <c r="D1319" s="714">
        <v>27</v>
      </c>
      <c r="E1319" s="713">
        <v>26</v>
      </c>
      <c r="F1319" s="716">
        <f t="shared" si="82"/>
        <v>-0.103448275862069</v>
      </c>
      <c r="G1319" s="470">
        <f t="shared" si="83"/>
        <v>0.962962962962963</v>
      </c>
      <c r="H1319" s="524" t="str">
        <f t="shared" si="85"/>
        <v>是</v>
      </c>
      <c r="I1319" s="312" t="str">
        <f t="shared" si="84"/>
        <v>项</v>
      </c>
    </row>
    <row r="1320" s="372" customFormat="1" ht="24" customHeight="1" spans="1:9">
      <c r="A1320" s="330">
        <v>22499</v>
      </c>
      <c r="B1320" s="379" t="s">
        <v>1186</v>
      </c>
      <c r="C1320" s="602">
        <f>C1321</f>
        <v>367</v>
      </c>
      <c r="D1320" s="713">
        <f>D1321</f>
        <v>356</v>
      </c>
      <c r="E1320" s="713">
        <f>E1321</f>
        <v>611</v>
      </c>
      <c r="F1320" s="716">
        <f t="shared" si="82"/>
        <v>0.664850136239782</v>
      </c>
      <c r="G1320" s="470">
        <f t="shared" si="83"/>
        <v>1.71629213483146</v>
      </c>
      <c r="H1320" s="524" t="str">
        <f t="shared" si="85"/>
        <v>是</v>
      </c>
      <c r="I1320" s="312" t="str">
        <f t="shared" si="84"/>
        <v>款</v>
      </c>
    </row>
    <row r="1321" ht="24" hidden="1" customHeight="1" spans="1:9">
      <c r="A1321" s="356">
        <v>2249999</v>
      </c>
      <c r="B1321" s="379" t="s">
        <v>1187</v>
      </c>
      <c r="C1321" s="602">
        <f>'[2]2'!E1313</f>
        <v>367</v>
      </c>
      <c r="D1321" s="714">
        <v>356</v>
      </c>
      <c r="E1321" s="713">
        <v>611</v>
      </c>
      <c r="F1321" s="716">
        <f t="shared" si="82"/>
        <v>0.664850136239782</v>
      </c>
      <c r="G1321" s="470">
        <f t="shared" si="83"/>
        <v>1.71629213483146</v>
      </c>
      <c r="H1321" s="524" t="str">
        <f t="shared" si="85"/>
        <v>是</v>
      </c>
      <c r="I1321" s="312" t="str">
        <f t="shared" si="84"/>
        <v>项</v>
      </c>
    </row>
    <row r="1322" ht="24" customHeight="1" spans="1:9">
      <c r="A1322" s="329">
        <v>227</v>
      </c>
      <c r="B1322" s="377" t="s">
        <v>196</v>
      </c>
      <c r="C1322" s="601"/>
      <c r="D1322" s="137">
        <v>18500</v>
      </c>
      <c r="E1322" s="137">
        <v>0</v>
      </c>
      <c r="F1322" s="715" t="str">
        <f t="shared" si="82"/>
        <v/>
      </c>
      <c r="G1322" s="467">
        <f t="shared" si="83"/>
        <v>0</v>
      </c>
      <c r="H1322" s="524" t="str">
        <f t="shared" si="85"/>
        <v>是</v>
      </c>
      <c r="I1322" s="312" t="str">
        <f t="shared" si="84"/>
        <v>类</v>
      </c>
    </row>
    <row r="1323" s="372" customFormat="1" ht="24" customHeight="1" spans="1:9">
      <c r="A1323" s="329">
        <v>232</v>
      </c>
      <c r="B1323" s="377" t="s">
        <v>197</v>
      </c>
      <c r="C1323" s="601">
        <f>C1324</f>
        <v>48249</v>
      </c>
      <c r="D1323" s="712">
        <f>D1324</f>
        <v>45794</v>
      </c>
      <c r="E1323" s="712">
        <f>E1324</f>
        <v>46367</v>
      </c>
      <c r="F1323" s="715">
        <f t="shared" si="82"/>
        <v>-0.0390059897614458</v>
      </c>
      <c r="G1323" s="467">
        <f t="shared" si="83"/>
        <v>1.01251255623007</v>
      </c>
      <c r="H1323" s="524" t="str">
        <f t="shared" si="85"/>
        <v>是</v>
      </c>
      <c r="I1323" s="312" t="str">
        <f t="shared" si="84"/>
        <v>类</v>
      </c>
    </row>
    <row r="1324" s="372" customFormat="1" ht="24" customHeight="1" spans="1:9">
      <c r="A1324" s="330">
        <v>23203</v>
      </c>
      <c r="B1324" s="379" t="s">
        <v>1188</v>
      </c>
      <c r="C1324" s="602">
        <f>SUM(C1325:C1328)</f>
        <v>48249</v>
      </c>
      <c r="D1324" s="713">
        <f>SUM(D1325:D1328)</f>
        <v>45794</v>
      </c>
      <c r="E1324" s="713">
        <f>SUM(E1325:E1328)</f>
        <v>46367</v>
      </c>
      <c r="F1324" s="716">
        <f t="shared" si="82"/>
        <v>-0.0390059897614458</v>
      </c>
      <c r="G1324" s="470">
        <f t="shared" si="83"/>
        <v>1.01251255623007</v>
      </c>
      <c r="H1324" s="524" t="str">
        <f t="shared" si="85"/>
        <v>是</v>
      </c>
      <c r="I1324" s="312" t="str">
        <f t="shared" si="84"/>
        <v>款</v>
      </c>
    </row>
    <row r="1325" s="372" customFormat="1" ht="24" hidden="1" customHeight="1" spans="1:9">
      <c r="A1325" s="330">
        <v>2320301</v>
      </c>
      <c r="B1325" s="379" t="s">
        <v>1189</v>
      </c>
      <c r="C1325" s="602">
        <f>'[2]2'!E1317</f>
        <v>48185</v>
      </c>
      <c r="D1325" s="714">
        <v>45794</v>
      </c>
      <c r="E1325" s="713">
        <v>46198</v>
      </c>
      <c r="F1325" s="716">
        <f t="shared" si="82"/>
        <v>-0.0412368994500363</v>
      </c>
      <c r="G1325" s="470">
        <f t="shared" si="83"/>
        <v>1.00882211643447</v>
      </c>
      <c r="H1325" s="524" t="str">
        <f t="shared" si="85"/>
        <v>是</v>
      </c>
      <c r="I1325" s="312" t="str">
        <f t="shared" si="84"/>
        <v>项</v>
      </c>
    </row>
    <row r="1326" s="372" customFormat="1" ht="24" hidden="1" customHeight="1" spans="1:9">
      <c r="A1326" s="330">
        <v>2320302</v>
      </c>
      <c r="B1326" s="379" t="s">
        <v>1190</v>
      </c>
      <c r="C1326" s="602">
        <f>'[2]2'!E1318</f>
        <v>1</v>
      </c>
      <c r="D1326" s="714"/>
      <c r="E1326" s="713">
        <v>1</v>
      </c>
      <c r="F1326" s="716">
        <f t="shared" si="82"/>
        <v>0</v>
      </c>
      <c r="G1326" s="470" t="str">
        <f t="shared" si="83"/>
        <v/>
      </c>
      <c r="H1326" s="524" t="str">
        <f t="shared" si="85"/>
        <v>是</v>
      </c>
      <c r="I1326" s="312" t="str">
        <f t="shared" si="84"/>
        <v>项</v>
      </c>
    </row>
    <row r="1327" s="372" customFormat="1" ht="24" hidden="1" customHeight="1" spans="1:9">
      <c r="A1327" s="330">
        <v>2320303</v>
      </c>
      <c r="B1327" s="379" t="s">
        <v>1191</v>
      </c>
      <c r="C1327" s="602">
        <f>'[2]2'!E1319</f>
        <v>63</v>
      </c>
      <c r="D1327" s="714"/>
      <c r="E1327" s="713">
        <v>168</v>
      </c>
      <c r="F1327" s="716">
        <f t="shared" si="82"/>
        <v>1.66666666666667</v>
      </c>
      <c r="G1327" s="470" t="str">
        <f t="shared" si="83"/>
        <v/>
      </c>
      <c r="H1327" s="524" t="str">
        <f t="shared" si="85"/>
        <v>是</v>
      </c>
      <c r="I1327" s="312" t="str">
        <f t="shared" si="84"/>
        <v>项</v>
      </c>
    </row>
    <row r="1328" s="372" customFormat="1" ht="24" hidden="1" customHeight="1" spans="1:9">
      <c r="A1328" s="718">
        <v>2320399</v>
      </c>
      <c r="B1328" s="379" t="s">
        <v>1192</v>
      </c>
      <c r="C1328" s="602">
        <f>'[2]2'!E1320</f>
        <v>0</v>
      </c>
      <c r="D1328" s="714"/>
      <c r="E1328" s="712">
        <v>0</v>
      </c>
      <c r="F1328" s="716" t="str">
        <f t="shared" si="82"/>
        <v/>
      </c>
      <c r="G1328" s="470" t="str">
        <f t="shared" si="83"/>
        <v/>
      </c>
      <c r="H1328" s="524" t="str">
        <f t="shared" si="85"/>
        <v>否</v>
      </c>
      <c r="I1328" s="312" t="str">
        <f t="shared" si="84"/>
        <v>项</v>
      </c>
    </row>
    <row r="1329" s="372" customFormat="1" ht="24" customHeight="1" spans="1:9">
      <c r="A1329" s="329">
        <v>233</v>
      </c>
      <c r="B1329" s="377" t="s">
        <v>198</v>
      </c>
      <c r="C1329" s="601">
        <f>C1330</f>
        <v>187</v>
      </c>
      <c r="D1329" s="712">
        <f>D1330</f>
        <v>140</v>
      </c>
      <c r="E1329" s="712">
        <f>E1330</f>
        <v>238</v>
      </c>
      <c r="F1329" s="715">
        <f t="shared" si="82"/>
        <v>0.272727272727273</v>
      </c>
      <c r="G1329" s="467">
        <f t="shared" si="83"/>
        <v>1.7</v>
      </c>
      <c r="H1329" s="524" t="str">
        <f t="shared" si="85"/>
        <v>是</v>
      </c>
      <c r="I1329" s="312" t="str">
        <f t="shared" si="84"/>
        <v>类</v>
      </c>
    </row>
    <row r="1330" s="372" customFormat="1" ht="24" customHeight="1" spans="1:9">
      <c r="A1330" s="330">
        <v>23303</v>
      </c>
      <c r="B1330" s="379" t="s">
        <v>1193</v>
      </c>
      <c r="C1330" s="602">
        <f>'[2]2'!E1322</f>
        <v>187</v>
      </c>
      <c r="D1330" s="714">
        <v>140</v>
      </c>
      <c r="E1330" s="713">
        <v>238</v>
      </c>
      <c r="F1330" s="716">
        <f t="shared" si="82"/>
        <v>0.272727272727273</v>
      </c>
      <c r="G1330" s="470">
        <f t="shared" si="83"/>
        <v>1.7</v>
      </c>
      <c r="H1330" s="524" t="str">
        <f t="shared" si="85"/>
        <v>是</v>
      </c>
      <c r="I1330" s="312" t="str">
        <f t="shared" si="84"/>
        <v>款</v>
      </c>
    </row>
    <row r="1331" s="372" customFormat="1" ht="24" customHeight="1" spans="1:9">
      <c r="A1331" s="329">
        <v>229</v>
      </c>
      <c r="B1331" s="377" t="s">
        <v>199</v>
      </c>
      <c r="C1331" s="601">
        <f>C1332+C1333</f>
        <v>1883</v>
      </c>
      <c r="D1331" s="712">
        <f>D1332+D1333</f>
        <v>0</v>
      </c>
      <c r="E1331" s="712">
        <f>E1332+E1333</f>
        <v>3839</v>
      </c>
      <c r="F1331" s="715">
        <f t="shared" si="82"/>
        <v>1.03876792352629</v>
      </c>
      <c r="G1331" s="467" t="str">
        <f t="shared" si="83"/>
        <v/>
      </c>
      <c r="H1331" s="524" t="str">
        <f t="shared" si="85"/>
        <v>是</v>
      </c>
      <c r="I1331" s="312" t="str">
        <f t="shared" si="84"/>
        <v>类</v>
      </c>
    </row>
    <row r="1332" s="372" customFormat="1" ht="24" hidden="1" customHeight="1" spans="1:9">
      <c r="A1332" s="330">
        <v>22902</v>
      </c>
      <c r="B1332" s="379" t="s">
        <v>1194</v>
      </c>
      <c r="C1332" s="602">
        <v>0</v>
      </c>
      <c r="D1332" s="617"/>
      <c r="E1332" s="712">
        <v>0</v>
      </c>
      <c r="F1332" s="716" t="str">
        <f t="shared" si="82"/>
        <v/>
      </c>
      <c r="G1332" s="470" t="str">
        <f t="shared" si="83"/>
        <v/>
      </c>
      <c r="H1332" s="524" t="str">
        <f t="shared" si="85"/>
        <v>否</v>
      </c>
      <c r="I1332" s="312" t="str">
        <f t="shared" si="84"/>
        <v>款</v>
      </c>
    </row>
    <row r="1333" s="372" customFormat="1" ht="24" customHeight="1" spans="1:9">
      <c r="A1333" s="330">
        <v>22999</v>
      </c>
      <c r="B1333" s="379" t="s">
        <v>1055</v>
      </c>
      <c r="C1333" s="602">
        <v>1883</v>
      </c>
      <c r="D1333" s="617"/>
      <c r="E1333" s="713">
        <v>3839</v>
      </c>
      <c r="F1333" s="716">
        <f t="shared" si="82"/>
        <v>1.03876792352629</v>
      </c>
      <c r="G1333" s="467" t="str">
        <f t="shared" si="83"/>
        <v/>
      </c>
      <c r="H1333" s="524" t="str">
        <f t="shared" si="85"/>
        <v>是</v>
      </c>
      <c r="I1333" s="312" t="str">
        <f t="shared" si="84"/>
        <v>款</v>
      </c>
    </row>
    <row r="1334" ht="24" customHeight="1" spans="1:8">
      <c r="A1334" s="411"/>
      <c r="B1334" s="377"/>
      <c r="C1334" s="601"/>
      <c r="D1334" s="617"/>
      <c r="E1334" s="617"/>
      <c r="F1334" s="715" t="str">
        <f t="shared" si="82"/>
        <v/>
      </c>
      <c r="G1334" s="467" t="str">
        <f t="shared" si="83"/>
        <v/>
      </c>
      <c r="H1334" s="524" t="str">
        <f t="shared" si="85"/>
        <v>是</v>
      </c>
    </row>
    <row r="1335" s="372" customFormat="1" ht="24" customHeight="1" spans="1:9">
      <c r="A1335" s="548"/>
      <c r="B1335" s="549" t="s">
        <v>1195</v>
      </c>
      <c r="C1335" s="601">
        <f>C5+C253+C293+C312+C402+C454+C510+C567+C697+C782+C854+C877+C984+C1036+C1100+C1120+C1150+C1160+C1205+C1227+C1272+C1322+C1323+C1329+C1331</f>
        <v>1810076</v>
      </c>
      <c r="D1335" s="712">
        <f>D5+D253+D293+D312+D402+D454+D510+D567+D697+D782+D854+D877+D984+D1036+D1100+D1120+D1150+D1160+D1205+D1227+D1272+D1322+D1323+D1329+D1331</f>
        <v>1837227</v>
      </c>
      <c r="E1335" s="712">
        <f>E5+E253+E293+E312+E402+E454+E510+E567+E697+E782+E854+E877+E984+E1036+E1100+E1120+E1150+E1160+E1205+E1227+E1272+E1322+E1323+E1329+E1331</f>
        <v>1763231</v>
      </c>
      <c r="F1335" s="715">
        <f t="shared" si="82"/>
        <v>-0.0258801287901723</v>
      </c>
      <c r="G1335" s="467">
        <f t="shared" si="83"/>
        <v>0.95972408417686</v>
      </c>
      <c r="H1335" s="524" t="str">
        <f t="shared" si="85"/>
        <v>是</v>
      </c>
      <c r="I1335" s="312"/>
    </row>
    <row r="1336" s="372" customFormat="1" ht="24" customHeight="1" spans="1:9">
      <c r="A1336" s="312"/>
      <c r="B1336" s="312"/>
      <c r="C1336" s="417"/>
      <c r="D1336" s="508"/>
      <c r="E1336" s="508"/>
      <c r="F1336" s="508"/>
      <c r="G1336" s="312"/>
      <c r="H1336" s="312"/>
      <c r="I1336" s="312"/>
    </row>
    <row r="1337" s="372" customFormat="1" ht="24" customHeight="1" spans="1:9">
      <c r="A1337" s="312"/>
      <c r="B1337" s="312"/>
      <c r="C1337" s="417"/>
      <c r="D1337" s="508"/>
      <c r="E1337" s="508"/>
      <c r="F1337" s="508"/>
      <c r="G1337" s="312"/>
      <c r="H1337" s="312"/>
      <c r="I1337" s="312"/>
    </row>
    <row r="1338" s="372" customFormat="1" ht="24" customHeight="1" spans="1:9">
      <c r="A1338" s="312"/>
      <c r="B1338" s="312"/>
      <c r="C1338" s="417"/>
      <c r="D1338" s="508"/>
      <c r="E1338" s="508"/>
      <c r="F1338" s="508"/>
      <c r="G1338" s="312"/>
      <c r="H1338" s="312"/>
      <c r="I1338" s="312"/>
    </row>
    <row r="1339" s="372" customFormat="1" ht="24" customHeight="1" spans="1:9">
      <c r="A1339" s="312"/>
      <c r="B1339" s="312"/>
      <c r="C1339" s="417"/>
      <c r="D1339" s="508"/>
      <c r="E1339" s="508"/>
      <c r="F1339" s="508"/>
      <c r="G1339" s="312"/>
      <c r="H1339" s="312"/>
      <c r="I1339" s="312"/>
    </row>
    <row r="1340" ht="24" customHeight="1"/>
    <row r="1341" s="372" customFormat="1" ht="24" customHeight="1" spans="1:9">
      <c r="A1341" s="312"/>
      <c r="B1341" s="312"/>
      <c r="C1341" s="417"/>
      <c r="D1341" s="508"/>
      <c r="E1341" s="508"/>
      <c r="F1341" s="508"/>
      <c r="G1341" s="312"/>
      <c r="H1341" s="312"/>
      <c r="I1341" s="312"/>
    </row>
    <row r="1342" s="372" customFormat="1" ht="24" customHeight="1" spans="1:9">
      <c r="A1342" s="312"/>
      <c r="B1342" s="312"/>
      <c r="C1342" s="417"/>
      <c r="D1342" s="508"/>
      <c r="E1342" s="508"/>
      <c r="F1342" s="508"/>
      <c r="G1342" s="312"/>
      <c r="H1342" s="312"/>
      <c r="I1342" s="312"/>
    </row>
    <row r="1343" s="372" customFormat="1" ht="24" customHeight="1" spans="1:9">
      <c r="A1343" s="312"/>
      <c r="B1343" s="312"/>
      <c r="C1343" s="417"/>
      <c r="D1343" s="508"/>
      <c r="E1343" s="508"/>
      <c r="F1343" s="508"/>
      <c r="G1343" s="312"/>
      <c r="H1343" s="312"/>
      <c r="I1343" s="312"/>
    </row>
    <row r="1344" s="372" customFormat="1" ht="24" customHeight="1" spans="1:9">
      <c r="A1344" s="312"/>
      <c r="B1344" s="312"/>
      <c r="C1344" s="417"/>
      <c r="D1344" s="508"/>
      <c r="E1344" s="508"/>
      <c r="F1344" s="508"/>
      <c r="G1344" s="312"/>
      <c r="H1344" s="312"/>
      <c r="I1344" s="312"/>
    </row>
    <row r="1345" s="372" customFormat="1" ht="24" customHeight="1" spans="1:9">
      <c r="A1345" s="312"/>
      <c r="B1345" s="312"/>
      <c r="C1345" s="417"/>
      <c r="D1345" s="508"/>
      <c r="E1345" s="508"/>
      <c r="F1345" s="508"/>
      <c r="G1345" s="312"/>
      <c r="H1345" s="312"/>
      <c r="I1345" s="312"/>
    </row>
    <row r="1346" ht="24" customHeight="1"/>
    <row r="1347" s="372" customFormat="1" ht="24" customHeight="1" spans="1:9">
      <c r="A1347" s="312"/>
      <c r="B1347" s="312"/>
      <c r="C1347" s="417"/>
      <c r="D1347" s="508"/>
      <c r="E1347" s="508"/>
      <c r="F1347" s="508"/>
      <c r="G1347" s="312"/>
      <c r="H1347" s="312"/>
      <c r="I1347" s="312"/>
    </row>
    <row r="1348" s="372" customFormat="1" ht="24" customHeight="1" spans="1:9">
      <c r="A1348" s="312"/>
      <c r="B1348" s="312"/>
      <c r="C1348" s="417"/>
      <c r="D1348" s="508"/>
      <c r="E1348" s="508"/>
      <c r="F1348" s="508"/>
      <c r="G1348" s="312"/>
      <c r="H1348" s="312"/>
      <c r="I1348" s="312"/>
    </row>
    <row r="1349" s="372" customFormat="1" ht="24" customHeight="1" spans="1:9">
      <c r="A1349" s="312"/>
      <c r="B1349" s="312"/>
      <c r="C1349" s="417"/>
      <c r="D1349" s="508"/>
      <c r="E1349" s="508"/>
      <c r="F1349" s="508"/>
      <c r="G1349" s="312"/>
      <c r="H1349" s="312"/>
      <c r="I1349" s="312"/>
    </row>
    <row r="1350" s="372" customFormat="1" ht="24" customHeight="1" spans="1:9">
      <c r="A1350" s="312"/>
      <c r="B1350" s="312"/>
      <c r="C1350" s="417"/>
      <c r="D1350" s="508"/>
      <c r="E1350" s="508"/>
      <c r="F1350" s="508"/>
      <c r="G1350" s="312"/>
      <c r="H1350" s="312"/>
      <c r="I1350" s="312"/>
    </row>
    <row r="1351" s="372" customFormat="1" ht="24" customHeight="1" spans="1:9">
      <c r="A1351" s="312"/>
      <c r="B1351" s="312"/>
      <c r="C1351" s="417"/>
      <c r="D1351" s="508"/>
      <c r="E1351" s="508"/>
      <c r="F1351" s="508"/>
      <c r="G1351" s="312"/>
      <c r="H1351" s="312"/>
      <c r="I1351" s="312"/>
    </row>
    <row r="1352" s="372" customFormat="1" ht="24" customHeight="1" spans="1:9">
      <c r="A1352" s="312"/>
      <c r="B1352" s="312"/>
      <c r="C1352" s="417"/>
      <c r="D1352" s="508"/>
      <c r="E1352" s="508"/>
      <c r="F1352" s="508"/>
      <c r="G1352" s="312"/>
      <c r="H1352" s="312"/>
      <c r="I1352" s="312"/>
    </row>
    <row r="1353" s="372" customFormat="1" ht="24" customHeight="1" spans="1:9">
      <c r="A1353" s="312"/>
      <c r="B1353" s="312"/>
      <c r="C1353" s="417"/>
      <c r="D1353" s="508"/>
      <c r="E1353" s="508"/>
      <c r="F1353" s="508"/>
      <c r="G1353" s="312"/>
      <c r="H1353" s="312"/>
      <c r="I1353" s="312"/>
    </row>
    <row r="1354" ht="24" customHeight="1"/>
    <row r="1355" s="372" customFormat="1" ht="24" customHeight="1" spans="1:9">
      <c r="A1355" s="312"/>
      <c r="B1355" s="312"/>
      <c r="C1355" s="417"/>
      <c r="D1355" s="508"/>
      <c r="E1355" s="508"/>
      <c r="F1355" s="508"/>
      <c r="G1355" s="312"/>
      <c r="H1355" s="312"/>
      <c r="I1355" s="312"/>
    </row>
    <row r="1356" s="372" customFormat="1" ht="24" customHeight="1" spans="1:9">
      <c r="A1356" s="312"/>
      <c r="B1356" s="312"/>
      <c r="C1356" s="417"/>
      <c r="D1356" s="508"/>
      <c r="E1356" s="508"/>
      <c r="F1356" s="508"/>
      <c r="G1356" s="312"/>
      <c r="H1356" s="312"/>
      <c r="I1356" s="312"/>
    </row>
    <row r="1357" s="372" customFormat="1" ht="24" customHeight="1" spans="1:9">
      <c r="A1357" s="312"/>
      <c r="B1357" s="312"/>
      <c r="C1357" s="417"/>
      <c r="D1357" s="508"/>
      <c r="E1357" s="508"/>
      <c r="F1357" s="508"/>
      <c r="G1357" s="312"/>
      <c r="H1357" s="312"/>
      <c r="I1357" s="312"/>
    </row>
    <row r="1358" s="372" customFormat="1" ht="24" customHeight="1" spans="1:9">
      <c r="A1358" s="312"/>
      <c r="B1358" s="312"/>
      <c r="C1358" s="417"/>
      <c r="D1358" s="508"/>
      <c r="E1358" s="508"/>
      <c r="F1358" s="508"/>
      <c r="G1358" s="312"/>
      <c r="H1358" s="312"/>
      <c r="I1358" s="312"/>
    </row>
    <row r="1359" s="372" customFormat="1" ht="24" customHeight="1" spans="1:9">
      <c r="A1359" s="312"/>
      <c r="B1359" s="312"/>
      <c r="C1359" s="417"/>
      <c r="D1359" s="508"/>
      <c r="E1359" s="508"/>
      <c r="F1359" s="508"/>
      <c r="G1359" s="312"/>
      <c r="H1359" s="312"/>
      <c r="I1359" s="312"/>
    </row>
    <row r="1360" s="372" customFormat="1" ht="24" customHeight="1" spans="1:9">
      <c r="A1360" s="312"/>
      <c r="B1360" s="312"/>
      <c r="C1360" s="417"/>
      <c r="D1360" s="508"/>
      <c r="E1360" s="508"/>
      <c r="F1360" s="508"/>
      <c r="G1360" s="312"/>
      <c r="H1360" s="312"/>
      <c r="I1360" s="312"/>
    </row>
    <row r="1361" s="372" customFormat="1" ht="24" customHeight="1" spans="1:9">
      <c r="A1361" s="312"/>
      <c r="B1361" s="312"/>
      <c r="C1361" s="417"/>
      <c r="D1361" s="508"/>
      <c r="E1361" s="508"/>
      <c r="F1361" s="508"/>
      <c r="G1361" s="312"/>
      <c r="H1361" s="312"/>
      <c r="I1361" s="312"/>
    </row>
    <row r="1362" s="372" customFormat="1" ht="24" customHeight="1" spans="1:9">
      <c r="A1362" s="312"/>
      <c r="B1362" s="312"/>
      <c r="C1362" s="417"/>
      <c r="D1362" s="508"/>
      <c r="E1362" s="508"/>
      <c r="F1362" s="508"/>
      <c r="G1362" s="312"/>
      <c r="H1362" s="312"/>
      <c r="I1362" s="312"/>
    </row>
    <row r="1363" s="372" customFormat="1" ht="24" customHeight="1" spans="1:9">
      <c r="A1363" s="312"/>
      <c r="B1363" s="312"/>
      <c r="C1363" s="417"/>
      <c r="D1363" s="508"/>
      <c r="E1363" s="508"/>
      <c r="F1363" s="508"/>
      <c r="G1363" s="312"/>
      <c r="H1363" s="312"/>
      <c r="I1363" s="312"/>
    </row>
    <row r="1364" s="372" customFormat="1" ht="24" customHeight="1" spans="1:9">
      <c r="A1364" s="312"/>
      <c r="B1364" s="312"/>
      <c r="C1364" s="417"/>
      <c r="D1364" s="508"/>
      <c r="E1364" s="508"/>
      <c r="F1364" s="508"/>
      <c r="G1364" s="312"/>
      <c r="H1364" s="312"/>
      <c r="I1364" s="312"/>
    </row>
    <row r="1365" s="372" customFormat="1" ht="24" customHeight="1" spans="1:9">
      <c r="A1365" s="312"/>
      <c r="B1365" s="312"/>
      <c r="C1365" s="417"/>
      <c r="D1365" s="508"/>
      <c r="E1365" s="508"/>
      <c r="F1365" s="508"/>
      <c r="G1365" s="312"/>
      <c r="H1365" s="312"/>
      <c r="I1365" s="312"/>
    </row>
    <row r="1366" s="372" customFormat="1" ht="24" customHeight="1" spans="1:9">
      <c r="A1366" s="312"/>
      <c r="B1366" s="312"/>
      <c r="C1366" s="417"/>
      <c r="D1366" s="508"/>
      <c r="E1366" s="508"/>
      <c r="F1366" s="508"/>
      <c r="G1366" s="312"/>
      <c r="H1366" s="312"/>
      <c r="I1366" s="312"/>
    </row>
    <row r="1367" ht="24" customHeight="1"/>
    <row r="1368" s="372" customFormat="1" ht="24" customHeight="1" spans="1:9">
      <c r="A1368" s="312"/>
      <c r="B1368" s="312"/>
      <c r="C1368" s="417"/>
      <c r="D1368" s="508"/>
      <c r="E1368" s="508"/>
      <c r="F1368" s="508"/>
      <c r="G1368" s="312"/>
      <c r="H1368" s="312"/>
      <c r="I1368" s="312"/>
    </row>
    <row r="1369" s="372" customFormat="1" ht="24" customHeight="1" spans="1:9">
      <c r="A1369" s="312"/>
      <c r="B1369" s="312"/>
      <c r="C1369" s="417"/>
      <c r="D1369" s="508"/>
      <c r="E1369" s="508"/>
      <c r="F1369" s="508"/>
      <c r="G1369" s="312"/>
      <c r="H1369" s="312"/>
      <c r="I1369" s="312"/>
    </row>
    <row r="1370" s="372" customFormat="1" ht="24" customHeight="1" spans="1:9">
      <c r="A1370" s="312"/>
      <c r="B1370" s="312"/>
      <c r="C1370" s="417"/>
      <c r="D1370" s="508"/>
      <c r="E1370" s="508"/>
      <c r="F1370" s="508"/>
      <c r="G1370" s="312"/>
      <c r="H1370" s="312"/>
      <c r="I1370" s="312"/>
    </row>
    <row r="1371" ht="24" customHeight="1"/>
    <row r="1372" s="372" customFormat="1" ht="24" customHeight="1" spans="1:9">
      <c r="A1372" s="312"/>
      <c r="B1372" s="312"/>
      <c r="C1372" s="417"/>
      <c r="D1372" s="508"/>
      <c r="E1372" s="508"/>
      <c r="F1372" s="508"/>
      <c r="G1372" s="312"/>
      <c r="H1372" s="312"/>
      <c r="I1372" s="312"/>
    </row>
    <row r="1373" s="372" customFormat="1" ht="24" customHeight="1" spans="1:9">
      <c r="A1373" s="312"/>
      <c r="B1373" s="312"/>
      <c r="C1373" s="417"/>
      <c r="D1373" s="508"/>
      <c r="E1373" s="508"/>
      <c r="F1373" s="508"/>
      <c r="G1373" s="312"/>
      <c r="H1373" s="312"/>
      <c r="I1373" s="312"/>
    </row>
    <row r="1374" s="372" customFormat="1" ht="24" customHeight="1" spans="1:9">
      <c r="A1374" s="312"/>
      <c r="B1374" s="312"/>
      <c r="C1374" s="417"/>
      <c r="D1374" s="508"/>
      <c r="E1374" s="508"/>
      <c r="F1374" s="508"/>
      <c r="G1374" s="312"/>
      <c r="H1374" s="312"/>
      <c r="I1374" s="312"/>
    </row>
    <row r="1375" s="372" customFormat="1" ht="24" customHeight="1" spans="1:9">
      <c r="A1375" s="312"/>
      <c r="B1375" s="312"/>
      <c r="C1375" s="417"/>
      <c r="D1375" s="508"/>
      <c r="E1375" s="508"/>
      <c r="F1375" s="508"/>
      <c r="G1375" s="312"/>
      <c r="H1375" s="312"/>
      <c r="I1375" s="312"/>
    </row>
    <row r="1376" s="372" customFormat="1" ht="24" customHeight="1" spans="1:9">
      <c r="A1376" s="312"/>
      <c r="B1376" s="312"/>
      <c r="C1376" s="417"/>
      <c r="D1376" s="508"/>
      <c r="E1376" s="508"/>
      <c r="F1376" s="508"/>
      <c r="G1376" s="312"/>
      <c r="H1376" s="312"/>
      <c r="I1376" s="312"/>
    </row>
    <row r="1377" ht="24" customHeight="1"/>
    <row r="1378" s="372" customFormat="1" ht="24" customHeight="1" spans="1:9">
      <c r="A1378" s="312"/>
      <c r="B1378" s="312"/>
      <c r="C1378" s="417"/>
      <c r="D1378" s="508"/>
      <c r="E1378" s="508"/>
      <c r="F1378" s="508"/>
      <c r="G1378" s="312"/>
      <c r="H1378" s="312"/>
      <c r="I1378" s="312"/>
    </row>
    <row r="1379" ht="24" customHeight="1"/>
    <row r="1380" ht="24" customHeight="1"/>
    <row r="1381" ht="24" customHeight="1"/>
    <row r="1382" s="372" customFormat="1" ht="24" customHeight="1" spans="1:9">
      <c r="A1382" s="312"/>
      <c r="B1382" s="312"/>
      <c r="C1382" s="417"/>
      <c r="D1382" s="508"/>
      <c r="E1382" s="508"/>
      <c r="F1382" s="508"/>
      <c r="G1382" s="312"/>
      <c r="H1382" s="312"/>
      <c r="I1382" s="312"/>
    </row>
    <row r="1383" s="372" customFormat="1" ht="24" customHeight="1" spans="1:9">
      <c r="A1383" s="312"/>
      <c r="B1383" s="312"/>
      <c r="C1383" s="417"/>
      <c r="D1383" s="508"/>
      <c r="E1383" s="508"/>
      <c r="F1383" s="508"/>
      <c r="G1383" s="312"/>
      <c r="H1383" s="312"/>
      <c r="I1383" s="312"/>
    </row>
    <row r="1384" s="372" customFormat="1" ht="24" customHeight="1" spans="1:9">
      <c r="A1384" s="312"/>
      <c r="B1384" s="312"/>
      <c r="C1384" s="417"/>
      <c r="D1384" s="508"/>
      <c r="E1384" s="508"/>
      <c r="F1384" s="508"/>
      <c r="G1384" s="312"/>
      <c r="H1384" s="312"/>
      <c r="I1384" s="312"/>
    </row>
    <row r="1385" s="372" customFormat="1" ht="24" customHeight="1" spans="1:9">
      <c r="A1385" s="312"/>
      <c r="B1385" s="312"/>
      <c r="C1385" s="417"/>
      <c r="D1385" s="508"/>
      <c r="E1385" s="508"/>
      <c r="F1385" s="508"/>
      <c r="G1385" s="312"/>
      <c r="H1385" s="312"/>
      <c r="I1385" s="312"/>
    </row>
    <row r="1386" ht="24" customHeight="1"/>
    <row r="1387" ht="24" customHeight="1"/>
    <row r="1388" ht="24" customHeight="1"/>
    <row r="1389" ht="24" customHeight="1"/>
    <row r="1390" ht="24" customHeight="1"/>
    <row r="1391" ht="24" customHeight="1"/>
    <row r="1392" ht="24" customHeight="1"/>
    <row r="1393" ht="24" customHeight="1"/>
    <row r="1394" ht="24" customHeight="1"/>
    <row r="1395" ht="24" customHeight="1"/>
    <row r="1396" ht="24" customHeight="1"/>
    <row r="1397" ht="24" customHeight="1"/>
    <row r="1398" ht="24" customHeight="1"/>
    <row r="1399" ht="24" customHeight="1"/>
  </sheetData>
  <autoFilter ref="B4:I1335">
    <filterColumn colId="6">
      <customFilters>
        <customFilter operator="equal" val="是"/>
      </customFilters>
    </filterColumn>
    <filterColumn colId="7">
      <filters blank="1">
        <filter val="类"/>
        <filter val="款"/>
      </filters>
    </filterColumn>
    <extLst/>
  </autoFilter>
  <mergeCells count="5">
    <mergeCell ref="B1:G1"/>
    <mergeCell ref="D3:E3"/>
    <mergeCell ref="F3:G3"/>
    <mergeCell ref="B3:B4"/>
    <mergeCell ref="C3:C4"/>
  </mergeCells>
  <conditionalFormatting sqref="H5:H1335">
    <cfRule type="cellIs" dxfId="1" priority="2" stopIfTrue="1" operator="lessThan">
      <formula>0</formula>
    </cfRule>
  </conditionalFormatting>
  <printOptions horizontalCentered="1"/>
  <pageMargins left="0.472222222222222" right="0.393055555555556" top="0.354166666666667" bottom="0.354166666666667" header="0.118055555555556" footer="0.118055555555556"/>
  <pageSetup paperSize="9" scale="66" fitToHeight="0" orientation="portrait" horizontalDpi="600"/>
  <headerFooter alignWithMargins="0">
    <oddFooter>&amp;C&amp;16- &amp;P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pageSetUpPr fitToPage="1"/>
  </sheetPr>
  <dimension ref="A1:I46"/>
  <sheetViews>
    <sheetView showGridLines="0" showZeros="0" view="pageBreakPreview" zoomScale="70" zoomScaleNormal="90" workbookViewId="0">
      <pane ySplit="4" topLeftCell="A19" activePane="bottomLeft" state="frozen"/>
      <selection/>
      <selection pane="bottomLeft" activeCell="E42" sqref="E42"/>
    </sheetView>
  </sheetViews>
  <sheetFormatPr defaultColWidth="9" defaultRowHeight="14.25"/>
  <cols>
    <col min="1" max="1" width="14.5" style="374" hidden="1" customWidth="1"/>
    <col min="2" max="2" width="50.75" style="374" customWidth="1"/>
    <col min="3" max="6" width="16.025" style="374" customWidth="1"/>
    <col min="7" max="8" width="14.4083333333333" style="374" customWidth="1"/>
    <col min="9" max="16384" width="9" style="202"/>
  </cols>
  <sheetData>
    <row r="1" ht="35.25" spans="1:8">
      <c r="A1" s="554"/>
      <c r="B1" s="375" t="s">
        <v>12</v>
      </c>
      <c r="C1" s="375"/>
      <c r="D1" s="375"/>
      <c r="E1" s="375"/>
      <c r="F1" s="375"/>
      <c r="G1" s="375"/>
      <c r="H1" s="375"/>
    </row>
    <row r="2" ht="18.95" customHeight="1" spans="2:8">
      <c r="B2" s="556" t="s">
        <v>11</v>
      </c>
      <c r="C2" s="557"/>
      <c r="D2" s="557"/>
      <c r="E2" s="557"/>
      <c r="F2" s="557"/>
      <c r="G2" s="557"/>
      <c r="H2" s="579" t="s">
        <v>103</v>
      </c>
    </row>
    <row r="3" s="583" customFormat="1" ht="24" customHeight="1" spans="1:8">
      <c r="A3" s="319" t="s">
        <v>104</v>
      </c>
      <c r="B3" s="320" t="s">
        <v>105</v>
      </c>
      <c r="C3" s="321" t="s">
        <v>106</v>
      </c>
      <c r="D3" s="321" t="s">
        <v>107</v>
      </c>
      <c r="E3" s="321"/>
      <c r="F3" s="321"/>
      <c r="G3" s="521" t="s">
        <v>108</v>
      </c>
      <c r="H3" s="521"/>
    </row>
    <row r="4" s="583" customFormat="1" ht="40" customHeight="1" spans="1:9">
      <c r="A4" s="322"/>
      <c r="B4" s="320"/>
      <c r="C4" s="321"/>
      <c r="D4" s="321" t="s">
        <v>109</v>
      </c>
      <c r="E4" s="321" t="s">
        <v>1196</v>
      </c>
      <c r="F4" s="321" t="s">
        <v>110</v>
      </c>
      <c r="G4" s="321" t="s">
        <v>111</v>
      </c>
      <c r="H4" s="321" t="s">
        <v>112</v>
      </c>
      <c r="I4" s="302" t="s">
        <v>113</v>
      </c>
    </row>
    <row r="5" ht="24" customHeight="1" spans="1:9">
      <c r="A5" s="585" t="s">
        <v>114</v>
      </c>
      <c r="B5" s="586" t="s">
        <v>115</v>
      </c>
      <c r="C5" s="112">
        <f>SUM(C6:C20)</f>
        <v>77130</v>
      </c>
      <c r="D5" s="112">
        <f>SUM(D6:D20)</f>
        <v>89559</v>
      </c>
      <c r="E5" s="112">
        <f>SUM(E6:E20)</f>
        <v>89559</v>
      </c>
      <c r="F5" s="112">
        <f>SUM(F6:F20)</f>
        <v>85531</v>
      </c>
      <c r="G5" s="582">
        <f>IFERROR((F5-C5)/C5,"")</f>
        <v>0.10892000518605</v>
      </c>
      <c r="H5" s="582">
        <f>IFERROR(F5/D5,"")</f>
        <v>0.955024062349959</v>
      </c>
      <c r="I5" s="303" t="str">
        <f>IF(LEN(A5)=3,"是",IF(B5&lt;&gt;"",IF(SUM(C5:F5)&lt;&gt;0,"是","否"),"是"))</f>
        <v>是</v>
      </c>
    </row>
    <row r="6" ht="24" customHeight="1" spans="1:9">
      <c r="A6" s="387" t="s">
        <v>116</v>
      </c>
      <c r="B6" s="587" t="s">
        <v>117</v>
      </c>
      <c r="C6" s="559">
        <v>56284</v>
      </c>
      <c r="D6" s="559">
        <v>58634</v>
      </c>
      <c r="E6" s="559">
        <v>58634</v>
      </c>
      <c r="F6" s="559">
        <v>55637</v>
      </c>
      <c r="G6" s="581">
        <f t="shared" ref="G6:G42" si="0">IFERROR((F6-C6)/C6,"")</f>
        <v>-0.0114952739677351</v>
      </c>
      <c r="H6" s="581">
        <f t="shared" ref="H6:H42" si="1">IFERROR(F6/D6,"")</f>
        <v>0.948886311696285</v>
      </c>
      <c r="I6" s="303" t="str">
        <f t="shared" ref="I6:I42" si="2">IF(LEN(A6)=3,"是",IF(B6&lt;&gt;"",IF(SUM(C6:F6)&lt;&gt;0,"是","否"),"是"))</f>
        <v>是</v>
      </c>
    </row>
    <row r="7" ht="24" customHeight="1" spans="1:9">
      <c r="A7" s="387" t="s">
        <v>118</v>
      </c>
      <c r="B7" s="587" t="s">
        <v>119</v>
      </c>
      <c r="C7" s="559">
        <v>8678</v>
      </c>
      <c r="D7" s="559">
        <v>9614</v>
      </c>
      <c r="E7" s="559">
        <v>9614</v>
      </c>
      <c r="F7" s="559">
        <v>6961</v>
      </c>
      <c r="G7" s="581">
        <f t="shared" si="0"/>
        <v>-0.197856648997465</v>
      </c>
      <c r="H7" s="581">
        <f t="shared" si="1"/>
        <v>0.724048262949865</v>
      </c>
      <c r="I7" s="303" t="str">
        <f t="shared" si="2"/>
        <v>是</v>
      </c>
    </row>
    <row r="8" ht="24" customHeight="1" spans="1:9">
      <c r="A8" s="387" t="s">
        <v>120</v>
      </c>
      <c r="B8" s="587" t="s">
        <v>121</v>
      </c>
      <c r="C8" s="559">
        <v>1317</v>
      </c>
      <c r="D8" s="559">
        <v>1447</v>
      </c>
      <c r="E8" s="559">
        <v>1447</v>
      </c>
      <c r="F8" s="559">
        <v>1378</v>
      </c>
      <c r="G8" s="581">
        <f t="shared" si="0"/>
        <v>0.0463173880030372</v>
      </c>
      <c r="H8" s="581">
        <f t="shared" si="1"/>
        <v>0.952315134761576</v>
      </c>
      <c r="I8" s="303" t="str">
        <f t="shared" si="2"/>
        <v>是</v>
      </c>
    </row>
    <row r="9" s="202" customFormat="1" ht="24" customHeight="1" spans="1:9">
      <c r="A9" s="588" t="s">
        <v>122</v>
      </c>
      <c r="B9" s="589" t="s">
        <v>123</v>
      </c>
      <c r="C9" s="559">
        <v>0</v>
      </c>
      <c r="D9" s="559">
        <v>8572</v>
      </c>
      <c r="E9" s="559">
        <v>8572</v>
      </c>
      <c r="F9" s="559">
        <v>7217</v>
      </c>
      <c r="G9" s="581" t="str">
        <f t="shared" si="0"/>
        <v/>
      </c>
      <c r="H9" s="581">
        <f t="shared" si="1"/>
        <v>0.84192720485301</v>
      </c>
      <c r="I9" s="303" t="str">
        <f t="shared" si="2"/>
        <v>是</v>
      </c>
    </row>
    <row r="10" ht="24" customHeight="1" spans="1:9">
      <c r="A10" s="387" t="s">
        <v>124</v>
      </c>
      <c r="B10" s="587" t="s">
        <v>125</v>
      </c>
      <c r="C10" s="559">
        <v>3520</v>
      </c>
      <c r="D10" s="559">
        <v>3839</v>
      </c>
      <c r="E10" s="559">
        <v>3839</v>
      </c>
      <c r="F10" s="559">
        <v>3203</v>
      </c>
      <c r="G10" s="581">
        <f t="shared" si="0"/>
        <v>-0.0900568181818182</v>
      </c>
      <c r="H10" s="581">
        <f t="shared" si="1"/>
        <v>0.834331857254493</v>
      </c>
      <c r="I10" s="303" t="str">
        <f t="shared" si="2"/>
        <v>是</v>
      </c>
    </row>
    <row r="11" s="202" customFormat="1" ht="24" customHeight="1" spans="1:9">
      <c r="A11" s="588" t="s">
        <v>126</v>
      </c>
      <c r="B11" s="589" t="s">
        <v>127</v>
      </c>
      <c r="C11" s="559">
        <v>53</v>
      </c>
      <c r="D11" s="559">
        <v>53</v>
      </c>
      <c r="E11" s="559">
        <v>53</v>
      </c>
      <c r="F11" s="559">
        <v>53</v>
      </c>
      <c r="G11" s="581">
        <f t="shared" si="0"/>
        <v>0</v>
      </c>
      <c r="H11" s="581">
        <f t="shared" si="1"/>
        <v>1</v>
      </c>
      <c r="I11" s="303" t="str">
        <f t="shared" si="2"/>
        <v>是</v>
      </c>
    </row>
    <row r="12" s="202" customFormat="1" ht="24" customHeight="1" spans="1:9">
      <c r="A12" s="588" t="s">
        <v>128</v>
      </c>
      <c r="B12" s="589" t="s">
        <v>129</v>
      </c>
      <c r="C12" s="559">
        <v>67</v>
      </c>
      <c r="D12" s="559">
        <v>90</v>
      </c>
      <c r="E12" s="559">
        <v>90</v>
      </c>
      <c r="F12" s="559">
        <v>53</v>
      </c>
      <c r="G12" s="581">
        <f t="shared" si="0"/>
        <v>-0.208955223880597</v>
      </c>
      <c r="H12" s="581">
        <f t="shared" si="1"/>
        <v>0.588888888888889</v>
      </c>
      <c r="I12" s="303" t="str">
        <f t="shared" si="2"/>
        <v>是</v>
      </c>
    </row>
    <row r="13" s="202" customFormat="1" ht="24" customHeight="1" spans="1:9">
      <c r="A13" s="588" t="s">
        <v>130</v>
      </c>
      <c r="B13" s="589" t="s">
        <v>131</v>
      </c>
      <c r="C13" s="559">
        <v>16</v>
      </c>
      <c r="D13" s="559">
        <v>20</v>
      </c>
      <c r="E13" s="559">
        <v>20</v>
      </c>
      <c r="F13" s="559">
        <v>16</v>
      </c>
      <c r="G13" s="581">
        <f t="shared" si="0"/>
        <v>0</v>
      </c>
      <c r="H13" s="581">
        <f t="shared" si="1"/>
        <v>0.8</v>
      </c>
      <c r="I13" s="303" t="str">
        <f t="shared" si="2"/>
        <v>是</v>
      </c>
    </row>
    <row r="14" s="202" customFormat="1" ht="24" customHeight="1" spans="1:9">
      <c r="A14" s="588" t="s">
        <v>132</v>
      </c>
      <c r="B14" s="589" t="s">
        <v>133</v>
      </c>
      <c r="C14" s="559">
        <v>0</v>
      </c>
      <c r="D14" s="559"/>
      <c r="E14" s="559">
        <v>0</v>
      </c>
      <c r="F14" s="559"/>
      <c r="G14" s="581" t="str">
        <f t="shared" si="0"/>
        <v/>
      </c>
      <c r="H14" s="581" t="str">
        <f t="shared" si="1"/>
        <v/>
      </c>
      <c r="I14" s="303" t="str">
        <f t="shared" si="2"/>
        <v>否</v>
      </c>
    </row>
    <row r="15" s="202" customFormat="1" ht="24" customHeight="1" spans="1:9">
      <c r="A15" s="588" t="s">
        <v>134</v>
      </c>
      <c r="B15" s="589" t="s">
        <v>135</v>
      </c>
      <c r="C15" s="559">
        <v>0</v>
      </c>
      <c r="D15" s="559"/>
      <c r="E15" s="559">
        <v>0</v>
      </c>
      <c r="F15" s="559"/>
      <c r="G15" s="581" t="str">
        <f t="shared" si="0"/>
        <v/>
      </c>
      <c r="H15" s="581" t="str">
        <f t="shared" si="1"/>
        <v/>
      </c>
      <c r="I15" s="303" t="str">
        <f t="shared" si="2"/>
        <v>否</v>
      </c>
    </row>
    <row r="16" ht="24" customHeight="1" spans="1:9">
      <c r="A16" s="387" t="s">
        <v>136</v>
      </c>
      <c r="B16" s="587" t="s">
        <v>137</v>
      </c>
      <c r="C16" s="559">
        <v>7110</v>
      </c>
      <c r="D16" s="559">
        <v>7290</v>
      </c>
      <c r="E16" s="559">
        <v>7290</v>
      </c>
      <c r="F16" s="559">
        <v>10962</v>
      </c>
      <c r="G16" s="581">
        <f t="shared" si="0"/>
        <v>0.541772151898734</v>
      </c>
      <c r="H16" s="581">
        <f t="shared" si="1"/>
        <v>1.5037037037037</v>
      </c>
      <c r="I16" s="303" t="str">
        <f t="shared" si="2"/>
        <v>是</v>
      </c>
    </row>
    <row r="17" s="202" customFormat="1" ht="24" customHeight="1" spans="1:9">
      <c r="A17" s="588" t="s">
        <v>138</v>
      </c>
      <c r="B17" s="589" t="s">
        <v>139</v>
      </c>
      <c r="C17" s="559">
        <v>73</v>
      </c>
      <c r="D17" s="559"/>
      <c r="E17" s="559">
        <v>0</v>
      </c>
      <c r="F17" s="559"/>
      <c r="G17" s="581">
        <f t="shared" si="0"/>
        <v>-1</v>
      </c>
      <c r="H17" s="581" t="str">
        <f t="shared" si="1"/>
        <v/>
      </c>
      <c r="I17" s="303" t="str">
        <f t="shared" si="2"/>
        <v>是</v>
      </c>
    </row>
    <row r="18" s="202" customFormat="1" ht="24" customHeight="1" spans="1:9">
      <c r="A18" s="588" t="s">
        <v>140</v>
      </c>
      <c r="B18" s="589" t="s">
        <v>141</v>
      </c>
      <c r="C18" s="559">
        <v>0</v>
      </c>
      <c r="D18" s="559"/>
      <c r="E18" s="559">
        <v>0</v>
      </c>
      <c r="F18" s="559"/>
      <c r="G18" s="581" t="str">
        <f t="shared" si="0"/>
        <v/>
      </c>
      <c r="H18" s="581" t="str">
        <f t="shared" si="1"/>
        <v/>
      </c>
      <c r="I18" s="303" t="str">
        <f t="shared" si="2"/>
        <v>否</v>
      </c>
    </row>
    <row r="19" s="202" customFormat="1" ht="24" customHeight="1" spans="1:9">
      <c r="A19" s="588" t="s">
        <v>142</v>
      </c>
      <c r="B19" s="589" t="s">
        <v>143</v>
      </c>
      <c r="C19" s="559">
        <v>0</v>
      </c>
      <c r="D19" s="559"/>
      <c r="E19" s="559">
        <v>0</v>
      </c>
      <c r="F19" s="559"/>
      <c r="G19" s="581" t="str">
        <f t="shared" si="0"/>
        <v/>
      </c>
      <c r="H19" s="581" t="str">
        <f t="shared" si="1"/>
        <v/>
      </c>
      <c r="I19" s="303" t="str">
        <f t="shared" si="2"/>
        <v>否</v>
      </c>
    </row>
    <row r="20" s="202" customFormat="1" ht="24" customHeight="1" spans="1:9">
      <c r="A20" s="758" t="s">
        <v>1197</v>
      </c>
      <c r="B20" s="589" t="s">
        <v>145</v>
      </c>
      <c r="C20" s="559">
        <v>12</v>
      </c>
      <c r="D20" s="559"/>
      <c r="E20" s="559">
        <v>0</v>
      </c>
      <c r="F20" s="559">
        <v>51</v>
      </c>
      <c r="G20" s="581">
        <f t="shared" si="0"/>
        <v>3.25</v>
      </c>
      <c r="H20" s="581" t="str">
        <f t="shared" si="1"/>
        <v/>
      </c>
      <c r="I20" s="303" t="str">
        <f t="shared" si="2"/>
        <v>是</v>
      </c>
    </row>
    <row r="21" ht="24" customHeight="1" spans="1:9">
      <c r="A21" s="384" t="s">
        <v>146</v>
      </c>
      <c r="B21" s="586" t="s">
        <v>147</v>
      </c>
      <c r="C21" s="563">
        <f>SUM(C22:C29)</f>
        <v>193211</v>
      </c>
      <c r="D21" s="563">
        <f>SUM(D22:D29)</f>
        <v>194299</v>
      </c>
      <c r="E21" s="563">
        <f>SUM(E22:E29)</f>
        <v>194299</v>
      </c>
      <c r="F21" s="563">
        <f>SUM(F22:F29)</f>
        <v>151528</v>
      </c>
      <c r="G21" s="582">
        <f t="shared" si="0"/>
        <v>-0.215738234365538</v>
      </c>
      <c r="H21" s="582">
        <f t="shared" si="1"/>
        <v>0.779870200052496</v>
      </c>
      <c r="I21" s="303" t="str">
        <f t="shared" si="2"/>
        <v>是</v>
      </c>
    </row>
    <row r="22" ht="24" customHeight="1" spans="1:9">
      <c r="A22" s="590" t="s">
        <v>148</v>
      </c>
      <c r="B22" s="587" t="s">
        <v>149</v>
      </c>
      <c r="C22" s="559">
        <v>5626</v>
      </c>
      <c r="D22" s="559">
        <v>5322</v>
      </c>
      <c r="E22" s="559">
        <v>5322</v>
      </c>
      <c r="F22" s="559">
        <v>4127</v>
      </c>
      <c r="G22" s="581">
        <f t="shared" si="0"/>
        <v>-0.266441521507288</v>
      </c>
      <c r="H22" s="581">
        <f t="shared" si="1"/>
        <v>0.775460353250658</v>
      </c>
      <c r="I22" s="303" t="str">
        <f t="shared" si="2"/>
        <v>是</v>
      </c>
    </row>
    <row r="23" ht="24" customHeight="1" spans="1:9">
      <c r="A23" s="387" t="s">
        <v>150</v>
      </c>
      <c r="B23" s="591" t="s">
        <v>151</v>
      </c>
      <c r="C23" s="559">
        <v>30028</v>
      </c>
      <c r="D23" s="559">
        <v>42479</v>
      </c>
      <c r="E23" s="559">
        <v>42479</v>
      </c>
      <c r="F23" s="559">
        <v>15810</v>
      </c>
      <c r="G23" s="581">
        <f t="shared" si="0"/>
        <v>-0.473491408019182</v>
      </c>
      <c r="H23" s="581">
        <f t="shared" si="1"/>
        <v>0.372183902634243</v>
      </c>
      <c r="I23" s="303" t="str">
        <f t="shared" si="2"/>
        <v>是</v>
      </c>
    </row>
    <row r="24" ht="24" customHeight="1" spans="1:9">
      <c r="A24" s="387" t="s">
        <v>152</v>
      </c>
      <c r="B24" s="587" t="s">
        <v>153</v>
      </c>
      <c r="C24" s="559">
        <v>10141</v>
      </c>
      <c r="D24" s="559">
        <v>7820</v>
      </c>
      <c r="E24" s="559">
        <v>7820</v>
      </c>
      <c r="F24" s="559">
        <v>6119</v>
      </c>
      <c r="G24" s="581">
        <f t="shared" si="0"/>
        <v>-0.396607829602603</v>
      </c>
      <c r="H24" s="581">
        <f t="shared" si="1"/>
        <v>0.782480818414322</v>
      </c>
      <c r="I24" s="303" t="str">
        <f t="shared" si="2"/>
        <v>是</v>
      </c>
    </row>
    <row r="25" ht="24" customHeight="1" spans="1:9">
      <c r="A25" s="387" t="s">
        <v>154</v>
      </c>
      <c r="B25" s="587" t="s">
        <v>155</v>
      </c>
      <c r="C25" s="559">
        <v>0</v>
      </c>
      <c r="D25" s="559"/>
      <c r="E25" s="559"/>
      <c r="F25" s="559"/>
      <c r="G25" s="581" t="str">
        <f t="shared" si="0"/>
        <v/>
      </c>
      <c r="H25" s="581" t="str">
        <f t="shared" si="1"/>
        <v/>
      </c>
      <c r="I25" s="303" t="str">
        <f t="shared" si="2"/>
        <v>否</v>
      </c>
    </row>
    <row r="26" ht="24" customHeight="1" spans="1:9">
      <c r="A26" s="387" t="s">
        <v>156</v>
      </c>
      <c r="B26" s="587" t="s">
        <v>157</v>
      </c>
      <c r="C26" s="559">
        <v>140768</v>
      </c>
      <c r="D26" s="559">
        <v>131528</v>
      </c>
      <c r="E26" s="559">
        <v>131528</v>
      </c>
      <c r="F26" s="559">
        <v>117392</v>
      </c>
      <c r="G26" s="581">
        <f t="shared" si="0"/>
        <v>-0.166060468288247</v>
      </c>
      <c r="H26" s="581">
        <f t="shared" si="1"/>
        <v>0.892524785596983</v>
      </c>
      <c r="I26" s="303" t="str">
        <f t="shared" si="2"/>
        <v>是</v>
      </c>
    </row>
    <row r="27" s="202" customFormat="1" ht="24" customHeight="1" spans="1:9">
      <c r="A27" s="588" t="s">
        <v>158</v>
      </c>
      <c r="B27" s="589" t="s">
        <v>159</v>
      </c>
      <c r="C27" s="559">
        <v>0</v>
      </c>
      <c r="D27" s="559"/>
      <c r="E27" s="559"/>
      <c r="F27" s="559"/>
      <c r="G27" s="581" t="str">
        <f t="shared" si="0"/>
        <v/>
      </c>
      <c r="H27" s="581" t="str">
        <f t="shared" si="1"/>
        <v/>
      </c>
      <c r="I27" s="303" t="str">
        <f t="shared" si="2"/>
        <v>否</v>
      </c>
    </row>
    <row r="28" ht="24" customHeight="1" spans="1:9">
      <c r="A28" s="387" t="s">
        <v>160</v>
      </c>
      <c r="B28" s="587" t="s">
        <v>161</v>
      </c>
      <c r="C28" s="559">
        <v>6648</v>
      </c>
      <c r="D28" s="559">
        <v>7150</v>
      </c>
      <c r="E28" s="559">
        <v>7150</v>
      </c>
      <c r="F28" s="559">
        <v>8071</v>
      </c>
      <c r="G28" s="581">
        <f t="shared" si="0"/>
        <v>0.214049338146811</v>
      </c>
      <c r="H28" s="581">
        <f t="shared" si="1"/>
        <v>1.12881118881119</v>
      </c>
      <c r="I28" s="303" t="str">
        <f t="shared" si="2"/>
        <v>是</v>
      </c>
    </row>
    <row r="29" ht="24" customHeight="1" spans="1:9">
      <c r="A29" s="387" t="s">
        <v>162</v>
      </c>
      <c r="B29" s="587" t="s">
        <v>163</v>
      </c>
      <c r="C29" s="559">
        <v>0</v>
      </c>
      <c r="D29" s="559"/>
      <c r="E29" s="559"/>
      <c r="F29" s="559">
        <v>9</v>
      </c>
      <c r="G29" s="581" t="str">
        <f t="shared" si="0"/>
        <v/>
      </c>
      <c r="H29" s="581" t="str">
        <f t="shared" si="1"/>
        <v/>
      </c>
      <c r="I29" s="303" t="str">
        <f t="shared" si="2"/>
        <v>是</v>
      </c>
    </row>
    <row r="30" ht="24" customHeight="1" spans="1:9">
      <c r="A30" s="387"/>
      <c r="B30" s="587"/>
      <c r="C30" s="559"/>
      <c r="D30" s="559"/>
      <c r="E30" s="559"/>
      <c r="F30" s="559"/>
      <c r="G30" s="582" t="str">
        <f t="shared" si="0"/>
        <v/>
      </c>
      <c r="H30" s="582" t="str">
        <f t="shared" si="1"/>
        <v/>
      </c>
      <c r="I30" s="303" t="str">
        <f t="shared" si="2"/>
        <v>是</v>
      </c>
    </row>
    <row r="31" s="95" customFormat="1" ht="24" customHeight="1" spans="1:9">
      <c r="A31" s="561"/>
      <c r="B31" s="562" t="s">
        <v>1198</v>
      </c>
      <c r="C31" s="112">
        <f>SUM(C5,C21)</f>
        <v>270341</v>
      </c>
      <c r="D31" s="112">
        <f>SUM(D5,D21)</f>
        <v>283858</v>
      </c>
      <c r="E31" s="112">
        <f>SUM(E5,E21)</f>
        <v>283858</v>
      </c>
      <c r="F31" s="112">
        <f>SUM(F5,F21)</f>
        <v>237059</v>
      </c>
      <c r="G31" s="582">
        <f t="shared" si="0"/>
        <v>-0.123111181803722</v>
      </c>
      <c r="H31" s="582">
        <f t="shared" si="1"/>
        <v>0.835132354909849</v>
      </c>
      <c r="I31" s="303" t="str">
        <f t="shared" si="2"/>
        <v>是</v>
      </c>
    </row>
    <row r="32" ht="24" customHeight="1" spans="1:9">
      <c r="A32" s="384">
        <v>105</v>
      </c>
      <c r="B32" s="573" t="s">
        <v>165</v>
      </c>
      <c r="C32" s="563">
        <v>180780</v>
      </c>
      <c r="D32" s="563">
        <v>192645</v>
      </c>
      <c r="E32" s="563">
        <v>242842</v>
      </c>
      <c r="F32" s="649">
        <v>237945</v>
      </c>
      <c r="G32" s="582">
        <f t="shared" si="0"/>
        <v>0.316213076667773</v>
      </c>
      <c r="H32" s="582">
        <f t="shared" si="1"/>
        <v>1.2351475511952</v>
      </c>
      <c r="I32" s="303" t="str">
        <f t="shared" si="2"/>
        <v>是</v>
      </c>
    </row>
    <row r="33" ht="24" customHeight="1" spans="1:9">
      <c r="A33" s="592">
        <v>110</v>
      </c>
      <c r="B33" s="593" t="s">
        <v>166</v>
      </c>
      <c r="C33" s="112">
        <f>SUM(C34:C41)</f>
        <v>1287032</v>
      </c>
      <c r="D33" s="112">
        <f>SUM(D34:D41)</f>
        <v>1311102</v>
      </c>
      <c r="E33" s="112">
        <f>SUM(E34:E41)</f>
        <v>1291454</v>
      </c>
      <c r="F33" s="112">
        <f>SUM(F34:F41)</f>
        <v>1247877</v>
      </c>
      <c r="G33" s="582">
        <f t="shared" si="0"/>
        <v>-0.0304227089924726</v>
      </c>
      <c r="H33" s="582">
        <f t="shared" si="1"/>
        <v>0.951777207265339</v>
      </c>
      <c r="I33" s="303" t="str">
        <f t="shared" si="2"/>
        <v>是</v>
      </c>
    </row>
    <row r="34" ht="24" customHeight="1" spans="1:9">
      <c r="A34" s="594">
        <v>11001</v>
      </c>
      <c r="B34" s="362" t="s">
        <v>167</v>
      </c>
      <c r="C34" s="595">
        <v>41410</v>
      </c>
      <c r="D34" s="595">
        <v>40300</v>
      </c>
      <c r="E34" s="595">
        <v>40300</v>
      </c>
      <c r="F34" s="595">
        <v>44029</v>
      </c>
      <c r="G34" s="581">
        <f t="shared" si="0"/>
        <v>0.0632455928519681</v>
      </c>
      <c r="H34" s="581">
        <f t="shared" si="1"/>
        <v>1.09253101736973</v>
      </c>
      <c r="I34" s="303" t="str">
        <f t="shared" si="2"/>
        <v>是</v>
      </c>
    </row>
    <row r="35" ht="24" customHeight="1" spans="1:9">
      <c r="A35" s="594"/>
      <c r="B35" s="362" t="s">
        <v>168</v>
      </c>
      <c r="C35" s="595">
        <v>917106</v>
      </c>
      <c r="D35" s="595">
        <v>912417</v>
      </c>
      <c r="E35" s="595">
        <v>912417</v>
      </c>
      <c r="F35" s="595">
        <v>997380</v>
      </c>
      <c r="G35" s="581">
        <f t="shared" si="0"/>
        <v>0.0875296857724189</v>
      </c>
      <c r="H35" s="581">
        <f t="shared" si="1"/>
        <v>1.09311860695274</v>
      </c>
      <c r="I35" s="303" t="str">
        <f t="shared" si="2"/>
        <v>是</v>
      </c>
    </row>
    <row r="36" ht="24" customHeight="1" spans="1:9">
      <c r="A36" s="594"/>
      <c r="B36" s="362" t="s">
        <v>169</v>
      </c>
      <c r="C36" s="595">
        <v>264430</v>
      </c>
      <c r="D36" s="595">
        <v>264427</v>
      </c>
      <c r="E36" s="595">
        <v>264427</v>
      </c>
      <c r="F36" s="595">
        <v>144850</v>
      </c>
      <c r="G36" s="581">
        <f t="shared" si="0"/>
        <v>-0.452217978292932</v>
      </c>
      <c r="H36" s="581">
        <f t="shared" si="1"/>
        <v>0.547788236450892</v>
      </c>
      <c r="I36" s="303" t="str">
        <f t="shared" si="2"/>
        <v>是</v>
      </c>
    </row>
    <row r="37" ht="24" customHeight="1" spans="1:9">
      <c r="A37" s="594">
        <v>11006</v>
      </c>
      <c r="B37" s="362" t="s">
        <v>1199</v>
      </c>
      <c r="C37" s="559">
        <v>33536</v>
      </c>
      <c r="D37" s="559">
        <v>34056</v>
      </c>
      <c r="E37" s="559">
        <v>34056</v>
      </c>
      <c r="F37" s="559">
        <v>34316</v>
      </c>
      <c r="G37" s="581">
        <f t="shared" si="0"/>
        <v>0.0232585877862595</v>
      </c>
      <c r="H37" s="581">
        <f t="shared" si="1"/>
        <v>1.00763448437867</v>
      </c>
      <c r="I37" s="303" t="str">
        <f t="shared" si="2"/>
        <v>是</v>
      </c>
    </row>
    <row r="38" ht="24" customHeight="1" spans="1:9">
      <c r="A38" s="594">
        <v>11008</v>
      </c>
      <c r="B38" s="362" t="s">
        <v>170</v>
      </c>
      <c r="C38" s="559">
        <v>13535</v>
      </c>
      <c r="D38" s="559">
        <v>14902</v>
      </c>
      <c r="E38" s="559">
        <v>14902</v>
      </c>
      <c r="F38" s="559">
        <v>15483</v>
      </c>
      <c r="G38" s="581">
        <f t="shared" si="0"/>
        <v>0.143923162172146</v>
      </c>
      <c r="H38" s="581">
        <f t="shared" si="1"/>
        <v>1.03898805529459</v>
      </c>
      <c r="I38" s="303" t="str">
        <f t="shared" si="2"/>
        <v>是</v>
      </c>
    </row>
    <row r="39" ht="24" customHeight="1" spans="1:9">
      <c r="A39" s="594">
        <v>11009</v>
      </c>
      <c r="B39" s="362" t="s">
        <v>171</v>
      </c>
      <c r="C39" s="559">
        <v>17015</v>
      </c>
      <c r="D39" s="559">
        <v>45000</v>
      </c>
      <c r="E39" s="559">
        <v>25352</v>
      </c>
      <c r="F39" s="559">
        <v>11819</v>
      </c>
      <c r="G39" s="581">
        <f t="shared" si="0"/>
        <v>-0.305377607992947</v>
      </c>
      <c r="H39" s="581">
        <f t="shared" si="1"/>
        <v>0.262644444444444</v>
      </c>
      <c r="I39" s="303" t="str">
        <f t="shared" si="2"/>
        <v>是</v>
      </c>
    </row>
    <row r="40" s="552" customFormat="1" ht="24" customHeight="1" spans="1:9">
      <c r="A40" s="596">
        <v>11015</v>
      </c>
      <c r="B40" s="365" t="s">
        <v>172</v>
      </c>
      <c r="C40" s="563">
        <v>0</v>
      </c>
      <c r="D40" s="570"/>
      <c r="E40" s="570"/>
      <c r="F40" s="570"/>
      <c r="G40" s="582" t="str">
        <f t="shared" si="0"/>
        <v/>
      </c>
      <c r="H40" s="582" t="str">
        <f t="shared" si="1"/>
        <v/>
      </c>
      <c r="I40" s="303" t="str">
        <f t="shared" si="2"/>
        <v>否</v>
      </c>
    </row>
    <row r="41" s="584" customFormat="1" ht="24" customHeight="1" spans="1:9">
      <c r="A41" s="596">
        <v>11021</v>
      </c>
      <c r="B41" s="365" t="s">
        <v>173</v>
      </c>
      <c r="C41" s="563">
        <v>0</v>
      </c>
      <c r="D41" s="559"/>
      <c r="E41" s="559"/>
      <c r="F41" s="559"/>
      <c r="G41" s="582" t="str">
        <f t="shared" si="0"/>
        <v/>
      </c>
      <c r="H41" s="582" t="str">
        <f t="shared" si="1"/>
        <v/>
      </c>
      <c r="I41" s="303" t="str">
        <f t="shared" si="2"/>
        <v>否</v>
      </c>
    </row>
    <row r="42" ht="24" customHeight="1" spans="1:9">
      <c r="A42" s="597"/>
      <c r="B42" s="577" t="s">
        <v>174</v>
      </c>
      <c r="C42" s="112">
        <f>SUM(C31:C33)</f>
        <v>1738153</v>
      </c>
      <c r="D42" s="112">
        <f>SUM(D31:D33)</f>
        <v>1787605</v>
      </c>
      <c r="E42" s="112">
        <f>SUM(E31:E33)</f>
        <v>1818154</v>
      </c>
      <c r="F42" s="112">
        <f>SUM(F31:F33)</f>
        <v>1722881</v>
      </c>
      <c r="G42" s="582">
        <f t="shared" si="0"/>
        <v>-0.00878633814169409</v>
      </c>
      <c r="H42" s="582">
        <f t="shared" si="1"/>
        <v>0.963792896081629</v>
      </c>
      <c r="I42" s="303" t="str">
        <f t="shared" si="2"/>
        <v>是</v>
      </c>
    </row>
    <row r="43" ht="21" customHeight="1" spans="3:9">
      <c r="C43" s="598"/>
      <c r="D43" s="598"/>
      <c r="E43" s="598"/>
      <c r="F43" s="598"/>
      <c r="G43" s="598"/>
      <c r="I43" s="303"/>
    </row>
    <row r="44" spans="3:7">
      <c r="C44" s="598"/>
      <c r="D44" s="598"/>
      <c r="E44" s="598"/>
      <c r="F44" s="598"/>
      <c r="G44" s="598"/>
    </row>
    <row r="45" spans="3:7">
      <c r="C45" s="598"/>
      <c r="D45" s="598"/>
      <c r="E45" s="598"/>
      <c r="F45" s="598"/>
      <c r="G45" s="598"/>
    </row>
    <row r="46" spans="3:7">
      <c r="C46" s="598"/>
      <c r="D46" s="598"/>
      <c r="E46" s="598"/>
      <c r="F46" s="598"/>
      <c r="G46" s="598"/>
    </row>
  </sheetData>
  <autoFilter ref="A4:I43">
    <extLst/>
  </autoFilter>
  <mergeCells count="6">
    <mergeCell ref="B1:H1"/>
    <mergeCell ref="D3:F3"/>
    <mergeCell ref="G3:H3"/>
    <mergeCell ref="A3:A4"/>
    <mergeCell ref="B3:B4"/>
    <mergeCell ref="C3:C4"/>
  </mergeCells>
  <conditionalFormatting sqref="H2">
    <cfRule type="cellIs" dxfId="2" priority="39" stopIfTrue="1" operator="lessThanOrEqual">
      <formula>-1</formula>
    </cfRule>
  </conditionalFormatting>
  <conditionalFormatting sqref="A32:B32">
    <cfRule type="expression" dxfId="0" priority="41" stopIfTrue="1">
      <formula>"len($A:$A)=3"</formula>
    </cfRule>
  </conditionalFormatting>
  <conditionalFormatting sqref="F32">
    <cfRule type="expression" dxfId="0" priority="6" stopIfTrue="1">
      <formula>"len($A:$A)=3"</formula>
    </cfRule>
    <cfRule type="expression" dxfId="0" priority="5" stopIfTrue="1">
      <formula>"len($A:$A)=3"</formula>
    </cfRule>
  </conditionalFormatting>
  <conditionalFormatting sqref="C33:F33">
    <cfRule type="expression" dxfId="0" priority="40" stopIfTrue="1">
      <formula>"len($A:$A)=3"</formula>
    </cfRule>
  </conditionalFormatting>
  <conditionalFormatting sqref="E36">
    <cfRule type="expression" dxfId="0" priority="10" stopIfTrue="1">
      <formula>"len($A:$A)=3"</formula>
    </cfRule>
    <cfRule type="expression" dxfId="0" priority="9" stopIfTrue="1">
      <formula>"len($A:$A)=3"</formula>
    </cfRule>
    <cfRule type="expression" dxfId="0" priority="8" stopIfTrue="1">
      <formula>"len($A:$A)=3"</formula>
    </cfRule>
    <cfRule type="expression" dxfId="0" priority="7" stopIfTrue="1">
      <formula>"len($A:$A)=3"</formula>
    </cfRule>
  </conditionalFormatting>
  <conditionalFormatting sqref="B40">
    <cfRule type="expression" dxfId="0" priority="1" stopIfTrue="1">
      <formula>"len($A:$A)=3"</formula>
    </cfRule>
  </conditionalFormatting>
  <conditionalFormatting sqref="B41">
    <cfRule type="expression" dxfId="0" priority="4" stopIfTrue="1">
      <formula>"len($A:$A)=3"</formula>
    </cfRule>
  </conditionalFormatting>
  <conditionalFormatting sqref="B8:B9">
    <cfRule type="expression" dxfId="0" priority="37" stopIfTrue="1">
      <formula>"len($A:$A)=3"</formula>
    </cfRule>
  </conditionalFormatting>
  <conditionalFormatting sqref="B33:B36">
    <cfRule type="expression" dxfId="0" priority="34" stopIfTrue="1">
      <formula>"len($A:$A)=3"</formula>
    </cfRule>
  </conditionalFormatting>
  <conditionalFormatting sqref="B40:B41">
    <cfRule type="expression" dxfId="0" priority="3" stopIfTrue="1">
      <formula>"len($A:$A)=3"</formula>
    </cfRule>
    <cfRule type="expression" dxfId="0" priority="2" stopIfTrue="1">
      <formula>"len($A:$A)=3"</formula>
    </cfRule>
  </conditionalFormatting>
  <conditionalFormatting sqref="E34:E35">
    <cfRule type="expression" dxfId="0" priority="14" stopIfTrue="1">
      <formula>"len($A:$A)=3"</formula>
    </cfRule>
    <cfRule type="expression" dxfId="0" priority="13" stopIfTrue="1">
      <formula>"len($A:$A)=3"</formula>
    </cfRule>
    <cfRule type="expression" dxfId="0" priority="12" stopIfTrue="1">
      <formula>"len($A:$A)=3"</formula>
    </cfRule>
    <cfRule type="expression" dxfId="0" priority="11" stopIfTrue="1">
      <formula>"len($A:$A)=3"</formula>
    </cfRule>
  </conditionalFormatting>
  <conditionalFormatting sqref="I5:I60">
    <cfRule type="cellIs" dxfId="1" priority="35" stopIfTrue="1" operator="lessThan">
      <formula>0</formula>
    </cfRule>
  </conditionalFormatting>
  <conditionalFormatting sqref="A5:B29 C5:F5">
    <cfRule type="expression" dxfId="0" priority="36" stopIfTrue="1">
      <formula>"len($A:$A)=3"</formula>
    </cfRule>
  </conditionalFormatting>
  <conditionalFormatting sqref="B5:B7 C5:F5">
    <cfRule type="expression" dxfId="0" priority="38" stopIfTrue="1">
      <formula>"len($A:$A)=3"</formula>
    </cfRule>
  </conditionalFormatting>
  <conditionalFormatting sqref="A30:B30 B42:B60 C42:D46 E43:G46 E42:F42">
    <cfRule type="expression" dxfId="0" priority="42" stopIfTrue="1">
      <formula>"len($A:$A)=3"</formula>
    </cfRule>
  </conditionalFormatting>
  <conditionalFormatting sqref="B30 B32 C33:F33">
    <cfRule type="expression" dxfId="0" priority="43" stopIfTrue="1">
      <formula>"len($A:$A)=3"</formula>
    </cfRule>
  </conditionalFormatting>
  <conditionalFormatting sqref="A33:B33 A37:B37">
    <cfRule type="expression" dxfId="0" priority="33" stopIfTrue="1">
      <formula>"len($A:$A)=3"</formula>
    </cfRule>
  </conditionalFormatting>
  <conditionalFormatting sqref="A34:B36">
    <cfRule type="expression" dxfId="0" priority="32" stopIfTrue="1">
      <formula>"len($A:$A)=3"</formula>
    </cfRule>
  </conditionalFormatting>
  <conditionalFormatting sqref="C34 C35:C36">
    <cfRule type="expression" dxfId="0" priority="18" stopIfTrue="1">
      <formula>"len($A:$A)=3"</formula>
    </cfRule>
    <cfRule type="expression" dxfId="0" priority="17" stopIfTrue="1">
      <formula>"len($A:$A)=3"</formula>
    </cfRule>
    <cfRule type="expression" dxfId="0" priority="16" stopIfTrue="1">
      <formula>"len($A:$A)=3"</formula>
    </cfRule>
    <cfRule type="expression" dxfId="0" priority="15" stopIfTrue="1">
      <formula>"len($A:$A)=3"</formula>
    </cfRule>
  </conditionalFormatting>
  <conditionalFormatting sqref="D34:D35 F34:F35">
    <cfRule type="expression" dxfId="0" priority="23" stopIfTrue="1">
      <formula>"len($A:$A)=3"</formula>
    </cfRule>
    <cfRule type="expression" dxfId="0" priority="24" stopIfTrue="1">
      <formula>"len($A:$A)=3"</formula>
    </cfRule>
    <cfRule type="expression" dxfId="0" priority="25" stopIfTrue="1">
      <formula>"len($A:$A)=3"</formula>
    </cfRule>
    <cfRule type="expression" dxfId="0" priority="26" stopIfTrue="1">
      <formula>"len($A:$A)=3"</formula>
    </cfRule>
  </conditionalFormatting>
  <conditionalFormatting sqref="D36 F36">
    <cfRule type="expression" dxfId="0" priority="19" stopIfTrue="1">
      <formula>"len($A:$A)=3"</formula>
    </cfRule>
    <cfRule type="expression" dxfId="0" priority="20" stopIfTrue="1">
      <formula>"len($A:$A)=3"</formula>
    </cfRule>
    <cfRule type="expression" dxfId="0" priority="21" stopIfTrue="1">
      <formula>"len($A:$A)=3"</formula>
    </cfRule>
    <cfRule type="expression" dxfId="0" priority="22" stopIfTrue="1">
      <formula>"len($A:$A)=3"</formula>
    </cfRule>
  </conditionalFormatting>
  <conditionalFormatting sqref="A38:B39 A42:B46">
    <cfRule type="expression" dxfId="0" priority="31" stopIfTrue="1">
      <formula>"len($A:$A)=3"</formula>
    </cfRule>
  </conditionalFormatting>
  <printOptions horizontalCentered="1"/>
  <pageMargins left="0.472222222222222" right="0.393055555555556" top="0.550694444444444" bottom="0.550694444444444" header="0.314583333333333" footer="0.314583333333333"/>
  <pageSetup paperSize="9" scale="61" orientation="portrait" horizontalDpi="600"/>
  <headerFooter alignWithMargins="0">
    <oddFooter>&amp;C&amp;16- &amp;P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rgb="FF00B0F0"/>
    <pageSetUpPr fitToPage="1"/>
  </sheetPr>
  <dimension ref="A1:I1310"/>
  <sheetViews>
    <sheetView showGridLines="0" showZeros="0" view="pageBreakPreview" zoomScale="70" zoomScaleNormal="90" workbookViewId="0">
      <pane ySplit="4" topLeftCell="A16" activePane="bottomLeft" state="frozen"/>
      <selection/>
      <selection pane="bottomLeft" activeCell="G31" sqref="G31:H31"/>
    </sheetView>
  </sheetViews>
  <sheetFormatPr defaultColWidth="9" defaultRowHeight="14.25"/>
  <cols>
    <col min="1" max="1" width="8.39166666666667" style="553" hidden="1" customWidth="1"/>
    <col min="2" max="2" width="40.3833333333333" style="553" customWidth="1"/>
    <col min="3" max="6" width="14.8416666666667" style="553" customWidth="1"/>
    <col min="7" max="8" width="13.6666666666667" style="553" customWidth="1"/>
    <col min="9" max="9" width="9" style="202" customWidth="1"/>
    <col min="10" max="16384" width="9" style="202"/>
  </cols>
  <sheetData>
    <row r="1" ht="35.25" spans="1:8">
      <c r="A1" s="554"/>
      <c r="B1" s="375" t="s">
        <v>12</v>
      </c>
      <c r="C1" s="375"/>
      <c r="D1" s="375"/>
      <c r="E1" s="375"/>
      <c r="F1" s="375"/>
      <c r="G1" s="375"/>
      <c r="H1" s="375"/>
    </row>
    <row r="2" ht="18.95" customHeight="1" spans="1:8">
      <c r="A2" s="555"/>
      <c r="B2" s="556" t="s">
        <v>11</v>
      </c>
      <c r="C2" s="557"/>
      <c r="D2" s="557"/>
      <c r="E2" s="557"/>
      <c r="F2" s="557"/>
      <c r="G2" s="557"/>
      <c r="H2" s="579" t="s">
        <v>103</v>
      </c>
    </row>
    <row r="3" s="550" customFormat="1" ht="24" customHeight="1" spans="1:8">
      <c r="A3" s="319" t="s">
        <v>104</v>
      </c>
      <c r="B3" s="320" t="s">
        <v>105</v>
      </c>
      <c r="C3" s="321" t="s">
        <v>106</v>
      </c>
      <c r="D3" s="321" t="s">
        <v>107</v>
      </c>
      <c r="E3" s="321"/>
      <c r="F3" s="321"/>
      <c r="G3" s="521" t="s">
        <v>108</v>
      </c>
      <c r="H3" s="521"/>
    </row>
    <row r="4" s="550" customFormat="1" ht="41" customHeight="1" spans="1:9">
      <c r="A4" s="322"/>
      <c r="B4" s="320"/>
      <c r="C4" s="321"/>
      <c r="D4" s="321" t="s">
        <v>109</v>
      </c>
      <c r="E4" s="321" t="s">
        <v>1196</v>
      </c>
      <c r="F4" s="321" t="s">
        <v>110</v>
      </c>
      <c r="G4" s="321" t="s">
        <v>111</v>
      </c>
      <c r="H4" s="321" t="s">
        <v>112</v>
      </c>
      <c r="I4" s="302" t="s">
        <v>113</v>
      </c>
    </row>
    <row r="5" ht="24" customHeight="1" spans="1:9">
      <c r="A5" s="387" t="s">
        <v>1200</v>
      </c>
      <c r="B5" s="558" t="s">
        <v>1201</v>
      </c>
      <c r="C5" s="559">
        <v>39616</v>
      </c>
      <c r="D5" s="559">
        <v>44036</v>
      </c>
      <c r="E5" s="559">
        <v>44036</v>
      </c>
      <c r="F5" s="559">
        <f>'04'!F5</f>
        <v>38632</v>
      </c>
      <c r="G5" s="581">
        <f>IFERROR((F5-C5)/C5,"")</f>
        <v>-0.0248384491114701</v>
      </c>
      <c r="H5" s="581">
        <f>IFERROR(F5/D5,"")</f>
        <v>0.877282223635208</v>
      </c>
      <c r="I5" s="303" t="str">
        <f>IF(LEN(A5)=3,"是",IF(B5&lt;&gt;"",IF(SUM(C5:F5)&lt;&gt;0,"是","否"),"是"))</f>
        <v>是</v>
      </c>
    </row>
    <row r="6" ht="24" customHeight="1" spans="1:9">
      <c r="A6" s="387" t="s">
        <v>1202</v>
      </c>
      <c r="B6" s="560" t="s">
        <v>176</v>
      </c>
      <c r="C6" s="559">
        <v>0</v>
      </c>
      <c r="D6" s="559"/>
      <c r="E6" s="559">
        <v>0</v>
      </c>
      <c r="F6" s="559">
        <f>'04'!F253</f>
        <v>0</v>
      </c>
      <c r="G6" s="581" t="str">
        <f t="shared" ref="G6:G44" si="0">IFERROR((F6-C6)/C6,"")</f>
        <v/>
      </c>
      <c r="H6" s="581" t="str">
        <f t="shared" ref="H6:H44" si="1">IFERROR(F6/D6,"")</f>
        <v/>
      </c>
      <c r="I6" s="303" t="str">
        <f t="shared" ref="I6:I44" si="2">IF(LEN(A6)=3,"是",IF(B6&lt;&gt;"",IF(SUM(C6:F6)&lt;&gt;0,"是","否"),"是"))</f>
        <v>是</v>
      </c>
    </row>
    <row r="7" ht="24" customHeight="1" spans="1:9">
      <c r="A7" s="387" t="s">
        <v>1203</v>
      </c>
      <c r="B7" s="560" t="s">
        <v>177</v>
      </c>
      <c r="C7" s="559">
        <v>770</v>
      </c>
      <c r="D7" s="559">
        <v>781</v>
      </c>
      <c r="E7" s="559">
        <v>781</v>
      </c>
      <c r="F7" s="559">
        <f>'04'!F293</f>
        <v>1279</v>
      </c>
      <c r="G7" s="581">
        <f t="shared" si="0"/>
        <v>0.661038961038961</v>
      </c>
      <c r="H7" s="581">
        <f t="shared" si="1"/>
        <v>1.63764404609475</v>
      </c>
      <c r="I7" s="303" t="str">
        <f t="shared" si="2"/>
        <v>是</v>
      </c>
    </row>
    <row r="8" ht="24" customHeight="1" spans="1:9">
      <c r="A8" s="387" t="s">
        <v>1204</v>
      </c>
      <c r="B8" s="560" t="s">
        <v>178</v>
      </c>
      <c r="C8" s="559">
        <v>18147</v>
      </c>
      <c r="D8" s="559">
        <v>18644</v>
      </c>
      <c r="E8" s="559">
        <v>18597</v>
      </c>
      <c r="F8" s="559">
        <f>'04'!F312</f>
        <v>22295</v>
      </c>
      <c r="G8" s="581">
        <f t="shared" si="0"/>
        <v>0.228577726345952</v>
      </c>
      <c r="H8" s="581">
        <f t="shared" si="1"/>
        <v>1.19582707573482</v>
      </c>
      <c r="I8" s="303" t="str">
        <f t="shared" si="2"/>
        <v>是</v>
      </c>
    </row>
    <row r="9" ht="24" customHeight="1" spans="1:9">
      <c r="A9" s="387" t="s">
        <v>1205</v>
      </c>
      <c r="B9" s="560" t="s">
        <v>179</v>
      </c>
      <c r="C9" s="559">
        <v>27952</v>
      </c>
      <c r="D9" s="559">
        <v>29431</v>
      </c>
      <c r="E9" s="559">
        <v>30309</v>
      </c>
      <c r="F9" s="559">
        <f>'04'!F402</f>
        <v>38236</v>
      </c>
      <c r="G9" s="581">
        <f t="shared" si="0"/>
        <v>0.367916428162564</v>
      </c>
      <c r="H9" s="581">
        <f t="shared" si="1"/>
        <v>1.29917433998165</v>
      </c>
      <c r="I9" s="303" t="str">
        <f t="shared" si="2"/>
        <v>是</v>
      </c>
    </row>
    <row r="10" ht="24" customHeight="1" spans="1:9">
      <c r="A10" s="387" t="s">
        <v>1206</v>
      </c>
      <c r="B10" s="560" t="s">
        <v>180</v>
      </c>
      <c r="C10" s="559">
        <v>2477</v>
      </c>
      <c r="D10" s="559">
        <v>2553</v>
      </c>
      <c r="E10" s="559">
        <v>2553</v>
      </c>
      <c r="F10" s="559">
        <f>'04'!F454</f>
        <v>3289</v>
      </c>
      <c r="G10" s="581">
        <f t="shared" si="0"/>
        <v>0.327815906338312</v>
      </c>
      <c r="H10" s="581">
        <f t="shared" si="1"/>
        <v>1.28828828828829</v>
      </c>
      <c r="I10" s="303" t="str">
        <f t="shared" si="2"/>
        <v>是</v>
      </c>
    </row>
    <row r="11" ht="24" customHeight="1" spans="1:9">
      <c r="A11" s="387" t="s">
        <v>1207</v>
      </c>
      <c r="B11" s="560" t="s">
        <v>181</v>
      </c>
      <c r="C11" s="559">
        <v>12275</v>
      </c>
      <c r="D11" s="559">
        <v>12540</v>
      </c>
      <c r="E11" s="559">
        <v>12638</v>
      </c>
      <c r="F11" s="559">
        <f>'04'!F510</f>
        <v>11167</v>
      </c>
      <c r="G11" s="581">
        <f t="shared" si="0"/>
        <v>-0.090264765784114</v>
      </c>
      <c r="H11" s="581">
        <f t="shared" si="1"/>
        <v>0.890510366826156</v>
      </c>
      <c r="I11" s="303" t="str">
        <f t="shared" si="2"/>
        <v>是</v>
      </c>
    </row>
    <row r="12" ht="24" customHeight="1" spans="1:9">
      <c r="A12" s="387" t="s">
        <v>1208</v>
      </c>
      <c r="B12" s="560" t="s">
        <v>182</v>
      </c>
      <c r="C12" s="559">
        <v>59198</v>
      </c>
      <c r="D12" s="559">
        <v>61422</v>
      </c>
      <c r="E12" s="559">
        <v>61422</v>
      </c>
      <c r="F12" s="559">
        <f>'04'!F566</f>
        <v>66109</v>
      </c>
      <c r="G12" s="581">
        <f t="shared" si="0"/>
        <v>0.116743808912463</v>
      </c>
      <c r="H12" s="581">
        <f t="shared" si="1"/>
        <v>1.07630816319885</v>
      </c>
      <c r="I12" s="303" t="str">
        <f t="shared" si="2"/>
        <v>是</v>
      </c>
    </row>
    <row r="13" ht="24" customHeight="1" spans="1:9">
      <c r="A13" s="387" t="s">
        <v>1209</v>
      </c>
      <c r="B13" s="560" t="s">
        <v>183</v>
      </c>
      <c r="C13" s="559">
        <v>99631</v>
      </c>
      <c r="D13" s="559">
        <v>102400</v>
      </c>
      <c r="E13" s="559">
        <v>102400</v>
      </c>
      <c r="F13" s="559">
        <f>'04'!F695</f>
        <v>102305</v>
      </c>
      <c r="G13" s="581">
        <f t="shared" si="0"/>
        <v>0.0268390360429987</v>
      </c>
      <c r="H13" s="581">
        <f t="shared" si="1"/>
        <v>0.999072265625</v>
      </c>
      <c r="I13" s="303" t="str">
        <f t="shared" si="2"/>
        <v>是</v>
      </c>
    </row>
    <row r="14" ht="24" customHeight="1" spans="1:9">
      <c r="A14" s="387" t="s">
        <v>1210</v>
      </c>
      <c r="B14" s="560" t="s">
        <v>184</v>
      </c>
      <c r="C14" s="559">
        <v>59344</v>
      </c>
      <c r="D14" s="559">
        <v>60711</v>
      </c>
      <c r="E14" s="559">
        <v>55026</v>
      </c>
      <c r="F14" s="559">
        <f>'04'!F778</f>
        <v>63120</v>
      </c>
      <c r="G14" s="581">
        <f t="shared" si="0"/>
        <v>0.0636290105149636</v>
      </c>
      <c r="H14" s="581">
        <f t="shared" si="1"/>
        <v>1.03967979443593</v>
      </c>
      <c r="I14" s="303" t="str">
        <f t="shared" si="2"/>
        <v>是</v>
      </c>
    </row>
    <row r="15" ht="24" customHeight="1" spans="1:9">
      <c r="A15" s="387" t="s">
        <v>1211</v>
      </c>
      <c r="B15" s="560" t="s">
        <v>185</v>
      </c>
      <c r="C15" s="559">
        <v>14200</v>
      </c>
      <c r="D15" s="559">
        <v>13722</v>
      </c>
      <c r="E15" s="559">
        <v>13121</v>
      </c>
      <c r="F15" s="559">
        <f>'04'!F850</f>
        <v>17917</v>
      </c>
      <c r="G15" s="581">
        <f t="shared" si="0"/>
        <v>0.261760563380282</v>
      </c>
      <c r="H15" s="581">
        <f t="shared" si="1"/>
        <v>1.30571345284944</v>
      </c>
      <c r="I15" s="303" t="str">
        <f t="shared" si="2"/>
        <v>是</v>
      </c>
    </row>
    <row r="16" ht="24" customHeight="1" spans="1:9">
      <c r="A16" s="387" t="s">
        <v>1212</v>
      </c>
      <c r="B16" s="560" t="s">
        <v>186</v>
      </c>
      <c r="C16" s="559">
        <v>86730</v>
      </c>
      <c r="D16" s="559">
        <v>82615</v>
      </c>
      <c r="E16" s="559">
        <v>82358</v>
      </c>
      <c r="F16" s="559">
        <f>'04'!F873</f>
        <v>17832</v>
      </c>
      <c r="G16" s="581">
        <f t="shared" si="0"/>
        <v>-0.794396402628848</v>
      </c>
      <c r="H16" s="581">
        <f t="shared" si="1"/>
        <v>0.215844580282031</v>
      </c>
      <c r="I16" s="303" t="str">
        <f t="shared" si="2"/>
        <v>是</v>
      </c>
    </row>
    <row r="17" ht="24" customHeight="1" spans="1:9">
      <c r="A17" s="387" t="s">
        <v>1213</v>
      </c>
      <c r="B17" s="560" t="s">
        <v>187</v>
      </c>
      <c r="C17" s="559">
        <v>21839</v>
      </c>
      <c r="D17" s="559">
        <v>22433</v>
      </c>
      <c r="E17" s="559">
        <v>17634</v>
      </c>
      <c r="F17" s="559">
        <f>'04'!F976</f>
        <v>28594</v>
      </c>
      <c r="G17" s="581">
        <f t="shared" si="0"/>
        <v>0.309309034296442</v>
      </c>
      <c r="H17" s="581">
        <f t="shared" si="1"/>
        <v>1.27464003922792</v>
      </c>
      <c r="I17" s="303" t="str">
        <f t="shared" si="2"/>
        <v>是</v>
      </c>
    </row>
    <row r="18" ht="24" customHeight="1" spans="1:9">
      <c r="A18" s="387" t="s">
        <v>1214</v>
      </c>
      <c r="B18" s="560" t="s">
        <v>188</v>
      </c>
      <c r="C18" s="559">
        <v>73429</v>
      </c>
      <c r="D18" s="559">
        <v>68152</v>
      </c>
      <c r="E18" s="559">
        <v>79061</v>
      </c>
      <c r="F18" s="559">
        <f>'04'!F1028</f>
        <v>44782</v>
      </c>
      <c r="G18" s="581">
        <f t="shared" si="0"/>
        <v>-0.390131964210326</v>
      </c>
      <c r="H18" s="581">
        <f t="shared" si="1"/>
        <v>0.657090034041554</v>
      </c>
      <c r="I18" s="303" t="str">
        <f t="shared" si="2"/>
        <v>是</v>
      </c>
    </row>
    <row r="19" ht="24" customHeight="1" spans="1:9">
      <c r="A19" s="387" t="s">
        <v>1215</v>
      </c>
      <c r="B19" s="560" t="s">
        <v>189</v>
      </c>
      <c r="C19" s="559">
        <v>283</v>
      </c>
      <c r="D19" s="559">
        <v>292</v>
      </c>
      <c r="E19" s="559">
        <v>292</v>
      </c>
      <c r="F19" s="559">
        <f>'04'!F1092</f>
        <v>1649</v>
      </c>
      <c r="G19" s="581">
        <f t="shared" si="0"/>
        <v>4.82685512367491</v>
      </c>
      <c r="H19" s="581">
        <f t="shared" si="1"/>
        <v>5.6472602739726</v>
      </c>
      <c r="I19" s="303" t="str">
        <f t="shared" si="2"/>
        <v>是</v>
      </c>
    </row>
    <row r="20" ht="24" customHeight="1" spans="1:9">
      <c r="A20" s="387" t="s">
        <v>1216</v>
      </c>
      <c r="B20" s="560" t="s">
        <v>190</v>
      </c>
      <c r="C20" s="559">
        <v>326</v>
      </c>
      <c r="D20" s="559">
        <v>321</v>
      </c>
      <c r="E20" s="559">
        <v>321</v>
      </c>
      <c r="F20" s="559">
        <f>'04'!F1112</f>
        <v>439</v>
      </c>
      <c r="G20" s="581">
        <f t="shared" si="0"/>
        <v>0.346625766871166</v>
      </c>
      <c r="H20" s="581">
        <f t="shared" si="1"/>
        <v>1.36760124610592</v>
      </c>
      <c r="I20" s="303" t="str">
        <f t="shared" si="2"/>
        <v>是</v>
      </c>
    </row>
    <row r="21" ht="24" customHeight="1" spans="1:9">
      <c r="A21" s="387" t="s">
        <v>1217</v>
      </c>
      <c r="B21" s="560" t="s">
        <v>191</v>
      </c>
      <c r="C21" s="559">
        <v>0</v>
      </c>
      <c r="D21" s="559"/>
      <c r="E21" s="559">
        <v>0</v>
      </c>
      <c r="F21" s="559">
        <f>'04'!F1142</f>
        <v>0</v>
      </c>
      <c r="G21" s="581" t="str">
        <f t="shared" si="0"/>
        <v/>
      </c>
      <c r="H21" s="581" t="str">
        <f t="shared" si="1"/>
        <v/>
      </c>
      <c r="I21" s="303" t="str">
        <f t="shared" si="2"/>
        <v>是</v>
      </c>
    </row>
    <row r="22" ht="24" customHeight="1" spans="1:9">
      <c r="A22" s="387" t="s">
        <v>1218</v>
      </c>
      <c r="B22" s="560" t="s">
        <v>192</v>
      </c>
      <c r="C22" s="559">
        <v>3936</v>
      </c>
      <c r="D22" s="559">
        <v>4043</v>
      </c>
      <c r="E22" s="559">
        <v>4374</v>
      </c>
      <c r="F22" s="559">
        <f>'04'!F1152</f>
        <v>6051</v>
      </c>
      <c r="G22" s="581">
        <f t="shared" si="0"/>
        <v>0.53734756097561</v>
      </c>
      <c r="H22" s="581">
        <f t="shared" si="1"/>
        <v>1.49666089537472</v>
      </c>
      <c r="I22" s="303" t="str">
        <f t="shared" si="2"/>
        <v>是</v>
      </c>
    </row>
    <row r="23" ht="24" customHeight="1" spans="1:9">
      <c r="A23" s="387" t="s">
        <v>1219</v>
      </c>
      <c r="B23" s="560" t="s">
        <v>193</v>
      </c>
      <c r="C23" s="559">
        <v>10177</v>
      </c>
      <c r="D23" s="559">
        <v>10285</v>
      </c>
      <c r="E23" s="559">
        <v>10285</v>
      </c>
      <c r="F23" s="559">
        <f>'04'!F1197</f>
        <v>10227</v>
      </c>
      <c r="G23" s="581">
        <f t="shared" si="0"/>
        <v>0.00491303920605286</v>
      </c>
      <c r="H23" s="581">
        <f t="shared" si="1"/>
        <v>0.994360719494409</v>
      </c>
      <c r="I23" s="303" t="str">
        <f t="shared" si="2"/>
        <v>是</v>
      </c>
    </row>
    <row r="24" ht="24" customHeight="1" spans="1:9">
      <c r="A24" s="387" t="s">
        <v>1220</v>
      </c>
      <c r="B24" s="560" t="s">
        <v>194</v>
      </c>
      <c r="C24" s="559">
        <v>1495</v>
      </c>
      <c r="D24" s="559">
        <v>1417</v>
      </c>
      <c r="E24" s="559">
        <v>1417</v>
      </c>
      <c r="F24" s="559">
        <f>'04'!F1216</f>
        <v>1326</v>
      </c>
      <c r="G24" s="581">
        <f t="shared" si="0"/>
        <v>-0.11304347826087</v>
      </c>
      <c r="H24" s="581">
        <f t="shared" si="1"/>
        <v>0.935779816513762</v>
      </c>
      <c r="I24" s="303" t="str">
        <f t="shared" si="2"/>
        <v>是</v>
      </c>
    </row>
    <row r="25" ht="24" customHeight="1" spans="1:9">
      <c r="A25" s="387" t="s">
        <v>1221</v>
      </c>
      <c r="B25" s="560" t="s">
        <v>195</v>
      </c>
      <c r="C25" s="559">
        <v>11818</v>
      </c>
      <c r="D25" s="559">
        <v>11410</v>
      </c>
      <c r="E25" s="559">
        <v>11935</v>
      </c>
      <c r="F25" s="559">
        <f>'04'!F1261</f>
        <v>4915</v>
      </c>
      <c r="G25" s="581">
        <f t="shared" si="0"/>
        <v>-0.584108986292097</v>
      </c>
      <c r="H25" s="581">
        <f t="shared" si="1"/>
        <v>0.430762489044698</v>
      </c>
      <c r="I25" s="303" t="str">
        <f t="shared" si="2"/>
        <v>是</v>
      </c>
    </row>
    <row r="26" ht="24" customHeight="1" spans="1:9">
      <c r="A26" s="387" t="s">
        <v>1222</v>
      </c>
      <c r="B26" s="560" t="s">
        <v>196</v>
      </c>
      <c r="C26" s="559">
        <v>0</v>
      </c>
      <c r="D26" s="559">
        <v>5800</v>
      </c>
      <c r="E26" s="559">
        <v>5800</v>
      </c>
      <c r="F26" s="559">
        <f>'04'!F1311</f>
        <v>0</v>
      </c>
      <c r="G26" s="581" t="str">
        <f t="shared" si="0"/>
        <v/>
      </c>
      <c r="H26" s="581">
        <f t="shared" si="1"/>
        <v>0</v>
      </c>
      <c r="I26" s="303" t="str">
        <f t="shared" si="2"/>
        <v>是</v>
      </c>
    </row>
    <row r="27" ht="24" customHeight="1" spans="1:9">
      <c r="A27" s="387" t="s">
        <v>1223</v>
      </c>
      <c r="B27" s="560" t="s">
        <v>197</v>
      </c>
      <c r="C27" s="559">
        <v>20273</v>
      </c>
      <c r="D27" s="559">
        <v>19358</v>
      </c>
      <c r="E27" s="559">
        <v>19358</v>
      </c>
      <c r="F27" s="559">
        <f>'04'!F1312</f>
        <v>19596</v>
      </c>
      <c r="G27" s="581">
        <f t="shared" si="0"/>
        <v>-0.0333941695851625</v>
      </c>
      <c r="H27" s="581">
        <f t="shared" si="1"/>
        <v>1.01229465853911</v>
      </c>
      <c r="I27" s="303" t="str">
        <f t="shared" si="2"/>
        <v>是</v>
      </c>
    </row>
    <row r="28" ht="24" customHeight="1" spans="1:9">
      <c r="A28" s="387" t="s">
        <v>1224</v>
      </c>
      <c r="B28" s="560" t="s">
        <v>198</v>
      </c>
      <c r="C28" s="559">
        <v>90</v>
      </c>
      <c r="D28" s="559">
        <v>100</v>
      </c>
      <c r="E28" s="559">
        <v>100</v>
      </c>
      <c r="F28" s="559">
        <f>'04'!F1318</f>
        <v>138</v>
      </c>
      <c r="G28" s="581">
        <f t="shared" si="0"/>
        <v>0.533333333333333</v>
      </c>
      <c r="H28" s="581">
        <f t="shared" si="1"/>
        <v>1.38</v>
      </c>
      <c r="I28" s="303" t="str">
        <f t="shared" si="2"/>
        <v>是</v>
      </c>
    </row>
    <row r="29" ht="24" customHeight="1" spans="1:9">
      <c r="A29" s="387" t="s">
        <v>1225</v>
      </c>
      <c r="B29" s="560" t="s">
        <v>199</v>
      </c>
      <c r="C29" s="559">
        <v>0</v>
      </c>
      <c r="D29" s="559"/>
      <c r="E29" s="559">
        <v>0</v>
      </c>
      <c r="F29" s="559">
        <f>'04'!F1320</f>
        <v>12</v>
      </c>
      <c r="G29" s="581" t="str">
        <f t="shared" si="0"/>
        <v/>
      </c>
      <c r="H29" s="581" t="str">
        <f t="shared" si="1"/>
        <v/>
      </c>
      <c r="I29" s="303" t="str">
        <f t="shared" si="2"/>
        <v>是</v>
      </c>
    </row>
    <row r="30" ht="24" customHeight="1" spans="1:9">
      <c r="A30" s="387"/>
      <c r="B30" s="560"/>
      <c r="C30" s="559"/>
      <c r="D30" s="559"/>
      <c r="E30" s="559"/>
      <c r="F30" s="559"/>
      <c r="G30" s="581" t="str">
        <f t="shared" si="0"/>
        <v/>
      </c>
      <c r="H30" s="581" t="str">
        <f t="shared" si="1"/>
        <v/>
      </c>
      <c r="I30" s="303" t="str">
        <f t="shared" si="2"/>
        <v>是</v>
      </c>
    </row>
    <row r="31" s="551" customFormat="1" ht="24" customHeight="1" spans="1:9">
      <c r="A31" s="561"/>
      <c r="B31" s="562" t="s">
        <v>1226</v>
      </c>
      <c r="C31" s="563">
        <f>SUM(C5:C29)</f>
        <v>564006</v>
      </c>
      <c r="D31" s="563">
        <f>SUM(D5:D29)</f>
        <v>572466</v>
      </c>
      <c r="E31" s="563">
        <f>SUM(E5:E29)</f>
        <v>573818</v>
      </c>
      <c r="F31" s="563">
        <f>SUM(F5:F29)</f>
        <v>499910</v>
      </c>
      <c r="G31" s="582">
        <f t="shared" si="0"/>
        <v>-0.113644181090272</v>
      </c>
      <c r="H31" s="582">
        <f t="shared" si="1"/>
        <v>0.873257101731806</v>
      </c>
      <c r="I31" s="303" t="str">
        <f t="shared" si="2"/>
        <v>是</v>
      </c>
    </row>
    <row r="32" ht="24" customHeight="1" spans="1:9">
      <c r="A32" s="384">
        <v>230</v>
      </c>
      <c r="B32" s="564" t="s">
        <v>201</v>
      </c>
      <c r="C32" s="563">
        <f>SUM(C33:C40)</f>
        <v>1082458</v>
      </c>
      <c r="D32" s="563">
        <f>SUM(D33:D40)</f>
        <v>1093289</v>
      </c>
      <c r="E32" s="563">
        <f>SUM(E33:E40)</f>
        <v>1117486</v>
      </c>
      <c r="F32" s="563">
        <f>SUM(F33:F40)</f>
        <v>1085140</v>
      </c>
      <c r="G32" s="582">
        <f t="shared" si="0"/>
        <v>0.00247769428467432</v>
      </c>
      <c r="H32" s="582">
        <f t="shared" si="1"/>
        <v>0.992546344104807</v>
      </c>
      <c r="I32" s="303" t="str">
        <f t="shared" si="2"/>
        <v>是</v>
      </c>
    </row>
    <row r="33" ht="24" customHeight="1" spans="1:9">
      <c r="A33" s="387">
        <v>23001</v>
      </c>
      <c r="B33" s="565" t="s">
        <v>1227</v>
      </c>
      <c r="C33" s="559">
        <v>23501</v>
      </c>
      <c r="D33" s="559">
        <v>23784</v>
      </c>
      <c r="E33" s="559">
        <v>23784</v>
      </c>
      <c r="F33" s="559">
        <v>25249</v>
      </c>
      <c r="G33" s="581">
        <f t="shared" si="0"/>
        <v>0.0743798136249521</v>
      </c>
      <c r="H33" s="581">
        <f t="shared" si="1"/>
        <v>1.06159603094517</v>
      </c>
      <c r="I33" s="303" t="str">
        <f t="shared" si="2"/>
        <v>是</v>
      </c>
    </row>
    <row r="34" ht="24" customHeight="1" spans="1:9">
      <c r="A34" s="387"/>
      <c r="B34" s="565" t="s">
        <v>1228</v>
      </c>
      <c r="C34" s="559">
        <v>745563</v>
      </c>
      <c r="D34" s="559">
        <v>770227</v>
      </c>
      <c r="E34" s="559">
        <v>770227</v>
      </c>
      <c r="F34" s="559">
        <v>785932</v>
      </c>
      <c r="G34" s="581">
        <f t="shared" si="0"/>
        <v>0.0541456590522867</v>
      </c>
      <c r="H34" s="581">
        <f t="shared" si="1"/>
        <v>1.02039009279083</v>
      </c>
      <c r="I34" s="303" t="str">
        <f t="shared" si="2"/>
        <v>是</v>
      </c>
    </row>
    <row r="35" ht="24" customHeight="1" spans="1:9">
      <c r="A35" s="387"/>
      <c r="B35" s="565" t="s">
        <v>1229</v>
      </c>
      <c r="C35" s="559">
        <v>184676</v>
      </c>
      <c r="D35" s="559">
        <v>182414</v>
      </c>
      <c r="E35" s="559">
        <v>182414</v>
      </c>
      <c r="F35" s="559">
        <v>136446</v>
      </c>
      <c r="G35" s="581">
        <f t="shared" si="0"/>
        <v>-0.261160085771838</v>
      </c>
      <c r="H35" s="581">
        <f t="shared" si="1"/>
        <v>0.748001798107601</v>
      </c>
      <c r="I35" s="303" t="str">
        <f t="shared" si="2"/>
        <v>是</v>
      </c>
    </row>
    <row r="36" ht="24" customHeight="1" spans="1:9">
      <c r="A36" s="566">
        <v>23006</v>
      </c>
      <c r="B36" s="567" t="s">
        <v>1230</v>
      </c>
      <c r="C36" s="559">
        <v>33648</v>
      </c>
      <c r="D36" s="559">
        <v>33869</v>
      </c>
      <c r="E36" s="559">
        <v>33869</v>
      </c>
      <c r="F36" s="559">
        <v>35218</v>
      </c>
      <c r="G36" s="581">
        <f t="shared" si="0"/>
        <v>0.046659533999049</v>
      </c>
      <c r="H36" s="581">
        <f t="shared" si="1"/>
        <v>1.03982993297706</v>
      </c>
      <c r="I36" s="303" t="str">
        <f t="shared" si="2"/>
        <v>是</v>
      </c>
    </row>
    <row r="37" ht="24" hidden="1" customHeight="1" spans="1:9">
      <c r="A37" s="568">
        <v>23008</v>
      </c>
      <c r="B37" s="569" t="s">
        <v>1231</v>
      </c>
      <c r="C37" s="559">
        <v>0</v>
      </c>
      <c r="D37" s="570"/>
      <c r="E37" s="570"/>
      <c r="F37" s="570"/>
      <c r="G37" s="581" t="str">
        <f t="shared" si="0"/>
        <v/>
      </c>
      <c r="H37" s="581" t="str">
        <f t="shared" si="1"/>
        <v/>
      </c>
      <c r="I37" s="303" t="str">
        <f t="shared" si="2"/>
        <v>否</v>
      </c>
    </row>
    <row r="38" s="552" customFormat="1" ht="24" customHeight="1" spans="1:9">
      <c r="A38" s="387">
        <v>2301101</v>
      </c>
      <c r="B38" s="566" t="s">
        <v>1232</v>
      </c>
      <c r="C38" s="559">
        <v>95070</v>
      </c>
      <c r="D38" s="559">
        <v>82995</v>
      </c>
      <c r="E38" s="559">
        <v>107192</v>
      </c>
      <c r="F38" s="559">
        <v>102295</v>
      </c>
      <c r="G38" s="581">
        <f t="shared" si="0"/>
        <v>0.0759966340591143</v>
      </c>
      <c r="H38" s="581">
        <f t="shared" si="1"/>
        <v>1.23254412916441</v>
      </c>
      <c r="I38" s="303" t="str">
        <f t="shared" si="2"/>
        <v>是</v>
      </c>
    </row>
    <row r="39" s="552" customFormat="1" ht="24" hidden="1" customHeight="1" spans="1:9">
      <c r="A39" s="571">
        <v>23015</v>
      </c>
      <c r="B39" s="572" t="s">
        <v>1233</v>
      </c>
      <c r="C39" s="559">
        <v>0</v>
      </c>
      <c r="D39" s="570"/>
      <c r="E39" s="570"/>
      <c r="F39" s="570"/>
      <c r="G39" s="581" t="str">
        <f t="shared" si="0"/>
        <v/>
      </c>
      <c r="H39" s="581" t="str">
        <f t="shared" si="1"/>
        <v/>
      </c>
      <c r="I39" s="303" t="str">
        <f t="shared" si="2"/>
        <v>否</v>
      </c>
    </row>
    <row r="40" s="552" customFormat="1" ht="24" hidden="1" customHeight="1" spans="1:9">
      <c r="A40" s="571">
        <v>23016</v>
      </c>
      <c r="B40" s="572" t="s">
        <v>1234</v>
      </c>
      <c r="C40" s="559">
        <v>0</v>
      </c>
      <c r="D40" s="570"/>
      <c r="E40" s="570"/>
      <c r="F40" s="570"/>
      <c r="G40" s="581" t="str">
        <f t="shared" si="0"/>
        <v/>
      </c>
      <c r="H40" s="581" t="str">
        <f t="shared" si="1"/>
        <v/>
      </c>
      <c r="I40" s="303" t="str">
        <f t="shared" si="2"/>
        <v>否</v>
      </c>
    </row>
    <row r="41" s="552" customFormat="1" ht="24" customHeight="1" spans="1:9">
      <c r="A41" s="387">
        <v>231</v>
      </c>
      <c r="B41" s="573" t="s">
        <v>206</v>
      </c>
      <c r="C41" s="563">
        <v>76206</v>
      </c>
      <c r="D41" s="563">
        <v>121850</v>
      </c>
      <c r="E41" s="563">
        <v>126850</v>
      </c>
      <c r="F41" s="563">
        <v>126856</v>
      </c>
      <c r="G41" s="582">
        <f t="shared" si="0"/>
        <v>0.664645828412461</v>
      </c>
      <c r="H41" s="582">
        <f t="shared" si="1"/>
        <v>1.04108329913828</v>
      </c>
      <c r="I41" s="303" t="str">
        <f t="shared" si="2"/>
        <v>是</v>
      </c>
    </row>
    <row r="42" s="552" customFormat="1" ht="24" hidden="1" customHeight="1" spans="1:9">
      <c r="A42" s="574">
        <v>23021</v>
      </c>
      <c r="B42" s="236" t="s">
        <v>207</v>
      </c>
      <c r="C42" s="563"/>
      <c r="D42" s="563"/>
      <c r="E42" s="563"/>
      <c r="F42" s="563"/>
      <c r="G42" s="582" t="str">
        <f t="shared" si="0"/>
        <v/>
      </c>
      <c r="H42" s="582" t="str">
        <f t="shared" si="1"/>
        <v/>
      </c>
      <c r="I42" s="303" t="str">
        <f t="shared" si="2"/>
        <v>否</v>
      </c>
    </row>
    <row r="43" s="552" customFormat="1" ht="24" customHeight="1" spans="1:9">
      <c r="A43" s="391">
        <v>23009</v>
      </c>
      <c r="B43" s="575" t="s">
        <v>208</v>
      </c>
      <c r="C43" s="563">
        <v>15483</v>
      </c>
      <c r="D43" s="576"/>
      <c r="E43" s="576"/>
      <c r="F43" s="576">
        <v>10975</v>
      </c>
      <c r="G43" s="582">
        <f t="shared" si="0"/>
        <v>-0.291158044306659</v>
      </c>
      <c r="H43" s="582" t="str">
        <f t="shared" si="1"/>
        <v/>
      </c>
      <c r="I43" s="303" t="str">
        <f t="shared" si="2"/>
        <v>是</v>
      </c>
    </row>
    <row r="44" ht="24" customHeight="1" spans="1:9">
      <c r="A44" s="561"/>
      <c r="B44" s="577" t="s">
        <v>209</v>
      </c>
      <c r="C44" s="563">
        <f>SUM(C31:C32,C41:C43)</f>
        <v>1738153</v>
      </c>
      <c r="D44" s="563">
        <f>SUM(D31:D32,D41:D43)</f>
        <v>1787605</v>
      </c>
      <c r="E44" s="563">
        <f>SUM(E31:E32,E41:E43)</f>
        <v>1818154</v>
      </c>
      <c r="F44" s="563">
        <f>SUM(F31:F32,F41:F43)</f>
        <v>1722881</v>
      </c>
      <c r="G44" s="582">
        <f t="shared" si="0"/>
        <v>-0.00878633814169409</v>
      </c>
      <c r="H44" s="582">
        <f t="shared" si="1"/>
        <v>0.963792896081629</v>
      </c>
      <c r="I44" s="303" t="str">
        <f t="shared" si="2"/>
        <v>是</v>
      </c>
    </row>
    <row r="45" spans="3:7">
      <c r="C45" s="578"/>
      <c r="D45" s="578"/>
      <c r="E45" s="578"/>
      <c r="F45" s="578"/>
      <c r="G45" s="578"/>
    </row>
    <row r="46" spans="3:7">
      <c r="C46" s="578"/>
      <c r="D46" s="578"/>
      <c r="E46" s="578"/>
      <c r="F46" s="578"/>
      <c r="G46" s="578"/>
    </row>
    <row r="47" spans="3:7">
      <c r="C47" s="578"/>
      <c r="D47" s="578"/>
      <c r="E47" s="578"/>
      <c r="F47" s="578"/>
      <c r="G47" s="578"/>
    </row>
    <row r="311" spans="4:6">
      <c r="D311" s="506"/>
      <c r="E311" s="506"/>
      <c r="F311" s="506"/>
    </row>
    <row r="312" spans="4:6">
      <c r="D312" s="506"/>
      <c r="E312" s="506"/>
      <c r="F312" s="506"/>
    </row>
    <row r="313" spans="4:6">
      <c r="D313" s="506"/>
      <c r="E313" s="506"/>
      <c r="F313" s="506"/>
    </row>
    <row r="314" spans="4:6">
      <c r="D314" s="506"/>
      <c r="E314" s="506"/>
      <c r="F314" s="506"/>
    </row>
    <row r="315" spans="4:6">
      <c r="D315" s="506"/>
      <c r="E315" s="506"/>
      <c r="F315" s="506"/>
    </row>
    <row r="691" spans="4:6">
      <c r="D691" s="506"/>
      <c r="E691" s="506"/>
      <c r="F691" s="506"/>
    </row>
    <row r="777" spans="4:6">
      <c r="D777" s="506"/>
      <c r="E777" s="506"/>
      <c r="F777" s="506"/>
    </row>
    <row r="849" spans="4:6">
      <c r="D849" s="506"/>
      <c r="E849" s="506"/>
      <c r="F849" s="506"/>
    </row>
    <row r="853" spans="4:6">
      <c r="D853" s="506"/>
      <c r="E853" s="506"/>
      <c r="F853" s="506"/>
    </row>
    <row r="854" spans="4:6">
      <c r="D854" s="506"/>
      <c r="E854" s="506"/>
      <c r="F854" s="506"/>
    </row>
    <row r="855" spans="4:6">
      <c r="D855" s="506"/>
      <c r="E855" s="506"/>
      <c r="F855" s="506"/>
    </row>
    <row r="856" spans="4:6">
      <c r="D856" s="506"/>
      <c r="E856" s="506"/>
      <c r="F856" s="506"/>
    </row>
    <row r="857" spans="4:6">
      <c r="D857" s="506"/>
      <c r="E857" s="506"/>
      <c r="F857" s="506"/>
    </row>
    <row r="858" spans="4:6">
      <c r="D858" s="506"/>
      <c r="E858" s="506"/>
      <c r="F858" s="506"/>
    </row>
    <row r="859" spans="4:6">
      <c r="D859" s="506"/>
      <c r="E859" s="506"/>
      <c r="F859" s="506"/>
    </row>
    <row r="860" spans="4:6">
      <c r="D860" s="506"/>
      <c r="E860" s="506"/>
      <c r="F860" s="506"/>
    </row>
    <row r="861" spans="4:6">
      <c r="D861" s="506"/>
      <c r="E861" s="506"/>
      <c r="F861" s="506"/>
    </row>
    <row r="876" spans="4:6">
      <c r="D876" s="506"/>
      <c r="E876" s="506"/>
      <c r="F876" s="506"/>
    </row>
    <row r="877" spans="4:6">
      <c r="D877" s="506"/>
      <c r="E877" s="506"/>
      <c r="F877" s="506"/>
    </row>
    <row r="878" spans="4:6">
      <c r="D878" s="506"/>
      <c r="E878" s="506"/>
      <c r="F878" s="506"/>
    </row>
    <row r="879" spans="4:6">
      <c r="D879" s="506"/>
      <c r="E879" s="506"/>
      <c r="F879" s="506"/>
    </row>
    <row r="880" spans="4:6">
      <c r="D880" s="506"/>
      <c r="E880" s="506"/>
      <c r="F880" s="506"/>
    </row>
    <row r="881" spans="4:6">
      <c r="D881" s="506"/>
      <c r="E881" s="506"/>
      <c r="F881" s="506"/>
    </row>
    <row r="882" spans="4:6">
      <c r="D882" s="506"/>
      <c r="E882" s="506"/>
      <c r="F882" s="506"/>
    </row>
    <row r="883" spans="4:6">
      <c r="D883" s="506"/>
      <c r="E883" s="506"/>
      <c r="F883" s="506"/>
    </row>
    <row r="884" spans="4:6">
      <c r="D884" s="506"/>
      <c r="E884" s="506"/>
      <c r="F884" s="506"/>
    </row>
    <row r="885" spans="4:6">
      <c r="D885" s="506"/>
      <c r="E885" s="506"/>
      <c r="F885" s="506"/>
    </row>
    <row r="886" spans="4:6">
      <c r="D886" s="506"/>
      <c r="E886" s="506"/>
      <c r="F886" s="506"/>
    </row>
    <row r="887" spans="4:6">
      <c r="D887" s="506"/>
      <c r="E887" s="506"/>
      <c r="F887" s="506"/>
    </row>
    <row r="888" spans="4:6">
      <c r="D888" s="506"/>
      <c r="E888" s="506"/>
      <c r="F888" s="506"/>
    </row>
    <row r="889" spans="4:6">
      <c r="D889" s="506"/>
      <c r="E889" s="506"/>
      <c r="F889" s="506"/>
    </row>
    <row r="890" spans="4:6">
      <c r="D890" s="506"/>
      <c r="E890" s="506"/>
      <c r="F890" s="506"/>
    </row>
    <row r="891" spans="4:6">
      <c r="D891" s="506"/>
      <c r="E891" s="506"/>
      <c r="F891" s="506"/>
    </row>
    <row r="892" spans="4:6">
      <c r="D892" s="506"/>
      <c r="E892" s="506"/>
      <c r="F892" s="506"/>
    </row>
    <row r="893" spans="4:6">
      <c r="D893" s="506"/>
      <c r="E893" s="506"/>
      <c r="F893" s="506"/>
    </row>
    <row r="895" spans="4:6">
      <c r="D895" s="506"/>
      <c r="E895" s="506"/>
      <c r="F895" s="506"/>
    </row>
    <row r="896" spans="4:6">
      <c r="D896" s="506"/>
      <c r="E896" s="506"/>
      <c r="F896" s="506"/>
    </row>
    <row r="897" spans="4:6">
      <c r="D897" s="506"/>
      <c r="E897" s="506"/>
      <c r="F897" s="506"/>
    </row>
    <row r="898" spans="4:6">
      <c r="D898" s="506"/>
      <c r="E898" s="506"/>
      <c r="F898" s="506"/>
    </row>
    <row r="899" spans="4:6">
      <c r="D899" s="506"/>
      <c r="E899" s="506"/>
      <c r="F899" s="506"/>
    </row>
    <row r="925" spans="4:6">
      <c r="D925" s="506"/>
      <c r="E925" s="506"/>
      <c r="F925" s="506"/>
    </row>
    <row r="926" spans="4:6">
      <c r="D926" s="506"/>
      <c r="E926" s="506"/>
      <c r="F926" s="506"/>
    </row>
    <row r="927" spans="4:6">
      <c r="D927" s="506"/>
      <c r="E927" s="506"/>
      <c r="F927" s="506"/>
    </row>
    <row r="928" spans="4:6">
      <c r="D928" s="506"/>
      <c r="E928" s="506"/>
      <c r="F928" s="506"/>
    </row>
    <row r="929" spans="4:6">
      <c r="D929" s="506"/>
      <c r="E929" s="506"/>
      <c r="F929" s="506"/>
    </row>
    <row r="930" spans="4:6">
      <c r="D930" s="506"/>
      <c r="E930" s="506"/>
      <c r="F930" s="506"/>
    </row>
    <row r="932" spans="4:6">
      <c r="D932" s="506"/>
      <c r="E932" s="506"/>
      <c r="F932" s="506"/>
    </row>
    <row r="934" spans="4:6">
      <c r="D934" s="506"/>
      <c r="E934" s="506"/>
      <c r="F934" s="506"/>
    </row>
    <row r="935" spans="4:6">
      <c r="D935" s="506"/>
      <c r="E935" s="506"/>
      <c r="F935" s="506"/>
    </row>
    <row r="936" spans="4:6">
      <c r="D936" s="506"/>
      <c r="E936" s="506"/>
      <c r="F936" s="506"/>
    </row>
    <row r="939" spans="4:6">
      <c r="D939" s="506"/>
      <c r="E939" s="506"/>
      <c r="F939" s="506"/>
    </row>
    <row r="940" spans="4:6">
      <c r="D940" s="506"/>
      <c r="E940" s="506"/>
      <c r="F940" s="506"/>
    </row>
    <row r="941" spans="4:6">
      <c r="D941" s="506"/>
      <c r="E941" s="506"/>
      <c r="F941" s="506"/>
    </row>
    <row r="942" spans="4:6">
      <c r="D942" s="506"/>
      <c r="E942" s="506"/>
      <c r="F942" s="506"/>
    </row>
    <row r="943" spans="4:6">
      <c r="D943" s="506"/>
      <c r="E943" s="506"/>
      <c r="F943" s="506"/>
    </row>
    <row r="944" spans="4:6">
      <c r="D944" s="506"/>
      <c r="E944" s="506"/>
      <c r="F944" s="506"/>
    </row>
    <row r="945" spans="4:6">
      <c r="D945" s="506"/>
      <c r="E945" s="506"/>
      <c r="F945" s="506"/>
    </row>
    <row r="946" spans="4:6">
      <c r="D946" s="506"/>
      <c r="E946" s="506"/>
      <c r="F946" s="506"/>
    </row>
    <row r="947" spans="4:6">
      <c r="D947" s="506"/>
      <c r="E947" s="506"/>
      <c r="F947" s="506"/>
    </row>
    <row r="948" spans="4:6">
      <c r="D948" s="506"/>
      <c r="E948" s="506"/>
      <c r="F948" s="506"/>
    </row>
    <row r="949" spans="4:6">
      <c r="D949" s="506"/>
      <c r="E949" s="506"/>
      <c r="F949" s="506"/>
    </row>
    <row r="1019" spans="4:6">
      <c r="D1019" s="506"/>
      <c r="E1019" s="506"/>
      <c r="F1019" s="506"/>
    </row>
    <row r="1072" spans="4:6">
      <c r="D1072" s="506"/>
      <c r="E1072" s="506"/>
      <c r="F1072" s="506"/>
    </row>
    <row r="1097" spans="4:6">
      <c r="D1097" s="506"/>
      <c r="E1097" s="506"/>
      <c r="F1097" s="506"/>
    </row>
    <row r="1098" spans="4:6">
      <c r="D1098" s="506"/>
      <c r="E1098" s="506"/>
      <c r="F1098" s="506"/>
    </row>
    <row r="1099" spans="4:6">
      <c r="D1099" s="506"/>
      <c r="E1099" s="506"/>
      <c r="F1099" s="506"/>
    </row>
    <row r="1100" spans="4:6">
      <c r="D1100" s="506"/>
      <c r="E1100" s="506"/>
      <c r="F1100" s="506"/>
    </row>
    <row r="1101" spans="4:6">
      <c r="D1101" s="506"/>
      <c r="E1101" s="506"/>
      <c r="F1101" s="506"/>
    </row>
    <row r="1102" spans="4:6">
      <c r="D1102" s="506"/>
      <c r="E1102" s="506"/>
      <c r="F1102" s="506"/>
    </row>
    <row r="1113" spans="4:6">
      <c r="D1113" s="506"/>
      <c r="E1113" s="506"/>
      <c r="F1113" s="506"/>
    </row>
    <row r="1133" spans="4:6">
      <c r="D1133" s="506"/>
      <c r="E1133" s="506"/>
      <c r="F1133" s="506"/>
    </row>
    <row r="1135" spans="4:6">
      <c r="D1135" s="506"/>
      <c r="E1135" s="506"/>
      <c r="F1135" s="506"/>
    </row>
    <row r="1136" spans="4:6">
      <c r="D1136" s="506"/>
      <c r="E1136" s="506"/>
      <c r="F1136" s="506"/>
    </row>
    <row r="1212" spans="4:6">
      <c r="D1212" s="506"/>
      <c r="E1212" s="506"/>
      <c r="F1212" s="506"/>
    </row>
    <row r="1213" spans="4:6">
      <c r="D1213" s="506"/>
      <c r="E1213" s="506"/>
      <c r="F1213" s="506"/>
    </row>
    <row r="1265" spans="4:6">
      <c r="D1265" s="506"/>
      <c r="E1265" s="506"/>
      <c r="F1265" s="506"/>
    </row>
    <row r="1266" spans="4:6">
      <c r="D1266" s="506"/>
      <c r="E1266" s="506"/>
      <c r="F1266" s="506"/>
    </row>
    <row r="1267" spans="4:6">
      <c r="D1267" s="506"/>
      <c r="E1267" s="506"/>
      <c r="F1267" s="506"/>
    </row>
    <row r="1268" spans="4:6">
      <c r="D1268" s="506"/>
      <c r="E1268" s="506"/>
      <c r="F1268" s="506"/>
    </row>
    <row r="1269" spans="4:6">
      <c r="D1269" s="506"/>
      <c r="E1269" s="506"/>
      <c r="F1269" s="506"/>
    </row>
    <row r="1270" spans="4:6">
      <c r="D1270" s="506"/>
      <c r="E1270" s="506"/>
      <c r="F1270" s="506"/>
    </row>
    <row r="1271" spans="4:6">
      <c r="D1271" s="506"/>
      <c r="E1271" s="506"/>
      <c r="F1271" s="506"/>
    </row>
    <row r="1273" spans="4:6">
      <c r="D1273" s="506"/>
      <c r="E1273" s="506"/>
      <c r="F1273" s="506"/>
    </row>
    <row r="1274" spans="4:6">
      <c r="D1274" s="506"/>
      <c r="E1274" s="506"/>
      <c r="F1274" s="506"/>
    </row>
    <row r="1304" spans="4:6">
      <c r="D1304" s="506"/>
      <c r="E1304" s="506"/>
      <c r="F1304" s="506"/>
    </row>
    <row r="1306" spans="4:6">
      <c r="D1306" s="506"/>
      <c r="E1306" s="506"/>
      <c r="F1306" s="506"/>
    </row>
    <row r="1307" spans="4:6">
      <c r="D1307" s="506"/>
      <c r="E1307" s="506"/>
      <c r="F1307" s="506"/>
    </row>
    <row r="1308" spans="4:6">
      <c r="D1308" s="506"/>
      <c r="E1308" s="506"/>
      <c r="F1308" s="506"/>
    </row>
    <row r="1309" spans="4:6">
      <c r="D1309" s="506"/>
      <c r="E1309" s="506"/>
      <c r="F1309" s="506"/>
    </row>
    <row r="1310" spans="4:6">
      <c r="D1310" s="506"/>
      <c r="E1310" s="506"/>
      <c r="F1310" s="506"/>
    </row>
  </sheetData>
  <autoFilter ref="A4:I44">
    <filterColumn colId="8">
      <customFilters>
        <customFilter operator="equal" val="是"/>
      </customFilters>
    </filterColumn>
    <extLst/>
  </autoFilter>
  <mergeCells count="6">
    <mergeCell ref="B1:H1"/>
    <mergeCell ref="D3:F3"/>
    <mergeCell ref="G3:H3"/>
    <mergeCell ref="A3:A4"/>
    <mergeCell ref="B3:B4"/>
    <mergeCell ref="C3:C4"/>
  </mergeCells>
  <conditionalFormatting sqref="H2">
    <cfRule type="cellIs" dxfId="2" priority="5" stopIfTrue="1" operator="lessThanOrEqual">
      <formula>-1</formula>
    </cfRule>
  </conditionalFormatting>
  <conditionalFormatting sqref="A43:B43">
    <cfRule type="expression" dxfId="0" priority="1" stopIfTrue="1">
      <formula>"len($A:$A)=3"</formula>
    </cfRule>
  </conditionalFormatting>
  <conditionalFormatting sqref="I5:I44">
    <cfRule type="cellIs" dxfId="1" priority="3" stopIfTrue="1" operator="lessThan">
      <formula>0</formula>
    </cfRule>
  </conditionalFormatting>
  <conditionalFormatting sqref="A36:B37">
    <cfRule type="expression" dxfId="0" priority="4" stopIfTrue="1">
      <formula>"len($A:$A)=3"</formula>
    </cfRule>
  </conditionalFormatting>
  <conditionalFormatting sqref="A39:B40">
    <cfRule type="expression" dxfId="0" priority="2" stopIfTrue="1">
      <formula>"len($A:$A)=3"</formula>
    </cfRule>
  </conditionalFormatting>
  <printOptions horizontalCentered="1"/>
  <pageMargins left="0.472222222222222" right="0.393055555555556" top="0.393055555555556" bottom="0.393055555555556" header="0.196527777777778" footer="0.196527777777778"/>
  <pageSetup paperSize="9" scale="69" orientation="portrait" horizontalDpi="600"/>
  <headerFooter alignWithMargins="0">
    <oddFooter>&amp;C&amp;16- &amp;P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tabColor rgb="FF00B0F0"/>
    <pageSetUpPr fitToPage="1"/>
  </sheetPr>
  <dimension ref="A1:K1388"/>
  <sheetViews>
    <sheetView showZeros="0" view="pageBreakPreview" zoomScale="70" zoomScaleNormal="100" workbookViewId="0">
      <pane xSplit="1" ySplit="4" topLeftCell="B1289" activePane="bottomRight" state="frozen"/>
      <selection/>
      <selection pane="topRight"/>
      <selection pane="bottomLeft"/>
      <selection pane="bottomRight" activeCell="C1313" sqref="C1313:H1313"/>
    </sheetView>
  </sheetViews>
  <sheetFormatPr defaultColWidth="9" defaultRowHeight="14.25"/>
  <cols>
    <col min="1" max="1" width="14.1" style="312" hidden="1" customWidth="1"/>
    <col min="2" max="2" width="52.25" style="312" customWidth="1"/>
    <col min="3" max="3" width="18.925" style="417" customWidth="1"/>
    <col min="4" max="6" width="18.925" style="369" customWidth="1"/>
    <col min="7" max="7" width="15.175" style="508" customWidth="1"/>
    <col min="8" max="8" width="14.6416666666667" style="312" customWidth="1"/>
    <col min="9" max="9" width="4.38333333333333" style="312" customWidth="1"/>
    <col min="10" max="10" width="9" style="312" customWidth="1"/>
    <col min="11" max="16384" width="9" style="312"/>
  </cols>
  <sheetData>
    <row r="1" s="504" customFormat="1" ht="45" customHeight="1" spans="2:8">
      <c r="B1" s="509" t="s">
        <v>14</v>
      </c>
      <c r="C1" s="509"/>
      <c r="D1" s="510"/>
      <c r="E1" s="510"/>
      <c r="F1" s="510"/>
      <c r="G1" s="518"/>
      <c r="H1" s="509"/>
    </row>
    <row r="2" s="504" customFormat="1" ht="20.1" customHeight="1" spans="1:8">
      <c r="A2" s="511"/>
      <c r="B2" s="512" t="s">
        <v>13</v>
      </c>
      <c r="C2" s="520"/>
      <c r="D2" s="513"/>
      <c r="E2" s="513"/>
      <c r="F2" s="513"/>
      <c r="G2" s="519"/>
      <c r="H2" s="520" t="s">
        <v>103</v>
      </c>
    </row>
    <row r="3" s="504" customFormat="1" ht="25" customHeight="1" spans="1:8">
      <c r="A3" s="514" t="s">
        <v>104</v>
      </c>
      <c r="B3" s="398" t="s">
        <v>105</v>
      </c>
      <c r="C3" s="321" t="s">
        <v>106</v>
      </c>
      <c r="D3" s="321" t="s">
        <v>107</v>
      </c>
      <c r="E3" s="321"/>
      <c r="F3" s="321"/>
      <c r="G3" s="521" t="s">
        <v>108</v>
      </c>
      <c r="H3" s="521"/>
    </row>
    <row r="4" s="505" customFormat="1" ht="39" customHeight="1" spans="1:10">
      <c r="A4" s="514"/>
      <c r="B4" s="398"/>
      <c r="C4" s="321"/>
      <c r="D4" s="321" t="s">
        <v>109</v>
      </c>
      <c r="E4" s="321" t="s">
        <v>1196</v>
      </c>
      <c r="F4" s="321" t="s">
        <v>110</v>
      </c>
      <c r="G4" s="321" t="s">
        <v>111</v>
      </c>
      <c r="H4" s="321" t="s">
        <v>112</v>
      </c>
      <c r="I4" s="522" t="s">
        <v>113</v>
      </c>
      <c r="J4" s="505" t="s">
        <v>210</v>
      </c>
    </row>
    <row r="5" ht="24" customHeight="1" spans="1:10">
      <c r="A5" s="329">
        <v>201</v>
      </c>
      <c r="B5" s="377" t="s">
        <v>175</v>
      </c>
      <c r="C5" s="601">
        <v>39616</v>
      </c>
      <c r="D5" s="708">
        <f>D6+D18+D27+D37+D48+D59+D70+D78+D87+D100+D109+D120+D132+D139+D147+D153+D160+D167+D174+D181+D188+D196+D202+D208+D215+D230+D237+D250</f>
        <v>44036</v>
      </c>
      <c r="E5" s="708">
        <f>E6+E18+E27+E37+E48+E59+E70+E78+E87+E100+E109+E120+E132+E139+E147+E153+E160+E167+E174+E181+E188+E196+E202+E208+E215+E230+E237+E250</f>
        <v>44036</v>
      </c>
      <c r="F5" s="708">
        <f>F6+F18+F27+F37+F48+F59+F70+F78+F87+F100+F109+F120+F132+F139+F147+F153+F160+F167+F174+F181+F188+F196+F202+F208+F215+F230+F237+F250</f>
        <v>38632</v>
      </c>
      <c r="G5" s="523">
        <f t="shared" ref="G5:G68" si="0">IFERROR((F5-C5)/C5,"")</f>
        <v>-0.0248384491114701</v>
      </c>
      <c r="H5" s="467">
        <f t="shared" ref="H5:H68" si="1">IFERROR(F5/D5,"")</f>
        <v>0.877282223635208</v>
      </c>
      <c r="I5" s="524" t="str">
        <f>IF(LEN(A5)=3,"是",IF(B5&lt;&gt;"",IF(SUM(C5:F5)&lt;&gt;0,"是","否"),"是"))</f>
        <v>是</v>
      </c>
      <c r="J5" s="312" t="str">
        <f t="shared" ref="J5:J68" si="2">IF(LEN(A5)=3,"类",IF(LEN(A5)=5,"款","项"))</f>
        <v>类</v>
      </c>
    </row>
    <row r="6" ht="24" customHeight="1" spans="1:10">
      <c r="A6" s="330">
        <v>20101</v>
      </c>
      <c r="B6" s="379" t="s">
        <v>211</v>
      </c>
      <c r="C6" s="601">
        <v>1685</v>
      </c>
      <c r="D6" s="708">
        <f>SUM(D7:D17)</f>
        <v>1847</v>
      </c>
      <c r="E6" s="708">
        <f>SUM(E7:E17)</f>
        <v>1847</v>
      </c>
      <c r="F6" s="708">
        <f>SUM(F7:F17)</f>
        <v>1558</v>
      </c>
      <c r="G6" s="523">
        <f t="shared" si="0"/>
        <v>-0.0753709198813056</v>
      </c>
      <c r="H6" s="467">
        <f t="shared" si="1"/>
        <v>0.843530048727666</v>
      </c>
      <c r="I6" s="524" t="str">
        <f t="shared" ref="I6:I69" si="3">IF(LEN(A6)=3,"是",IF(B6&lt;&gt;"",IF(SUM(C6:F6)&lt;&gt;0,"是","否"),"是"))</f>
        <v>是</v>
      </c>
      <c r="J6" s="312" t="str">
        <f t="shared" si="2"/>
        <v>款</v>
      </c>
    </row>
    <row r="7" s="372" customFormat="1" ht="24" customHeight="1" spans="1:10">
      <c r="A7" s="330">
        <v>2010101</v>
      </c>
      <c r="B7" s="379" t="s">
        <v>212</v>
      </c>
      <c r="C7" s="602">
        <v>1405</v>
      </c>
      <c r="D7" s="709">
        <v>1512</v>
      </c>
      <c r="E7" s="710">
        <v>1512</v>
      </c>
      <c r="F7" s="710">
        <v>1243</v>
      </c>
      <c r="G7" s="526">
        <f t="shared" si="0"/>
        <v>-0.115302491103203</v>
      </c>
      <c r="H7" s="470">
        <f t="shared" si="1"/>
        <v>0.822089947089947</v>
      </c>
      <c r="I7" s="524" t="str">
        <f t="shared" si="3"/>
        <v>是</v>
      </c>
      <c r="J7" s="312" t="str">
        <f t="shared" si="2"/>
        <v>项</v>
      </c>
    </row>
    <row r="8" s="372" customFormat="1" ht="24" customHeight="1" spans="1:10">
      <c r="A8" s="330">
        <v>2010102</v>
      </c>
      <c r="B8" s="379" t="s">
        <v>213</v>
      </c>
      <c r="C8" s="602">
        <v>82</v>
      </c>
      <c r="D8" s="709">
        <v>86</v>
      </c>
      <c r="E8" s="710">
        <v>86</v>
      </c>
      <c r="F8" s="710">
        <v>42</v>
      </c>
      <c r="G8" s="526">
        <f t="shared" si="0"/>
        <v>-0.48780487804878</v>
      </c>
      <c r="H8" s="470">
        <f t="shared" si="1"/>
        <v>0.488372093023256</v>
      </c>
      <c r="I8" s="524" t="str">
        <f t="shared" si="3"/>
        <v>是</v>
      </c>
      <c r="J8" s="312" t="str">
        <f t="shared" si="2"/>
        <v>项</v>
      </c>
    </row>
    <row r="9" s="372" customFormat="1" ht="24" customHeight="1" spans="1:10">
      <c r="A9" s="330">
        <v>2010103</v>
      </c>
      <c r="B9" s="379" t="s">
        <v>214</v>
      </c>
      <c r="C9" s="602">
        <v>57</v>
      </c>
      <c r="D9" s="709">
        <v>60</v>
      </c>
      <c r="E9" s="710">
        <v>60</v>
      </c>
      <c r="F9" s="710">
        <v>54</v>
      </c>
      <c r="G9" s="526">
        <f t="shared" si="0"/>
        <v>-0.0526315789473684</v>
      </c>
      <c r="H9" s="470">
        <f t="shared" si="1"/>
        <v>0.9</v>
      </c>
      <c r="I9" s="524" t="str">
        <f t="shared" si="3"/>
        <v>是</v>
      </c>
      <c r="J9" s="312" t="str">
        <f t="shared" si="2"/>
        <v>项</v>
      </c>
    </row>
    <row r="10" s="372" customFormat="1" ht="24" customHeight="1" spans="1:10">
      <c r="A10" s="330">
        <v>2010104</v>
      </c>
      <c r="B10" s="379" t="s">
        <v>215</v>
      </c>
      <c r="C10" s="602">
        <v>97</v>
      </c>
      <c r="D10" s="709">
        <v>120</v>
      </c>
      <c r="E10" s="710">
        <v>120</v>
      </c>
      <c r="F10" s="710">
        <v>99</v>
      </c>
      <c r="G10" s="526">
        <f t="shared" si="0"/>
        <v>0.0206185567010309</v>
      </c>
      <c r="H10" s="470">
        <f t="shared" si="1"/>
        <v>0.825</v>
      </c>
      <c r="I10" s="524" t="str">
        <f t="shared" si="3"/>
        <v>是</v>
      </c>
      <c r="J10" s="312" t="str">
        <f t="shared" si="2"/>
        <v>项</v>
      </c>
    </row>
    <row r="11" s="372" customFormat="1" ht="24" hidden="1" customHeight="1" spans="1:10">
      <c r="A11" s="330">
        <v>2010105</v>
      </c>
      <c r="B11" s="379" t="s">
        <v>216</v>
      </c>
      <c r="C11" s="602">
        <v>0</v>
      </c>
      <c r="D11" s="709">
        <v>0</v>
      </c>
      <c r="E11" s="710">
        <v>0</v>
      </c>
      <c r="F11" s="710">
        <v>0</v>
      </c>
      <c r="G11" s="526" t="str">
        <f t="shared" si="0"/>
        <v/>
      </c>
      <c r="H11" s="470" t="str">
        <f t="shared" si="1"/>
        <v/>
      </c>
      <c r="I11" s="524" t="str">
        <f t="shared" si="3"/>
        <v>否</v>
      </c>
      <c r="J11" s="312" t="str">
        <f t="shared" si="2"/>
        <v>项</v>
      </c>
    </row>
    <row r="12" s="372" customFormat="1" ht="24" hidden="1" customHeight="1" spans="1:10">
      <c r="A12" s="330">
        <v>2010106</v>
      </c>
      <c r="B12" s="379" t="s">
        <v>217</v>
      </c>
      <c r="C12" s="602">
        <v>0</v>
      </c>
      <c r="D12" s="709">
        <v>0</v>
      </c>
      <c r="E12" s="710">
        <v>0</v>
      </c>
      <c r="F12" s="710">
        <v>0</v>
      </c>
      <c r="G12" s="526" t="str">
        <f t="shared" si="0"/>
        <v/>
      </c>
      <c r="H12" s="470" t="str">
        <f t="shared" si="1"/>
        <v/>
      </c>
      <c r="I12" s="524" t="str">
        <f t="shared" si="3"/>
        <v>否</v>
      </c>
      <c r="J12" s="312" t="str">
        <f t="shared" si="2"/>
        <v>项</v>
      </c>
    </row>
    <row r="13" s="372" customFormat="1" ht="24" customHeight="1" spans="1:10">
      <c r="A13" s="330">
        <v>2010107</v>
      </c>
      <c r="B13" s="379" t="s">
        <v>218</v>
      </c>
      <c r="C13" s="602">
        <v>9</v>
      </c>
      <c r="D13" s="709">
        <v>28</v>
      </c>
      <c r="E13" s="710">
        <v>28</v>
      </c>
      <c r="F13" s="710">
        <v>26</v>
      </c>
      <c r="G13" s="526">
        <f t="shared" si="0"/>
        <v>1.88888888888889</v>
      </c>
      <c r="H13" s="470">
        <f t="shared" si="1"/>
        <v>0.928571428571429</v>
      </c>
      <c r="I13" s="524" t="str">
        <f t="shared" si="3"/>
        <v>是</v>
      </c>
      <c r="J13" s="312" t="str">
        <f t="shared" si="2"/>
        <v>项</v>
      </c>
    </row>
    <row r="14" s="372" customFormat="1" ht="24" customHeight="1" spans="1:10">
      <c r="A14" s="330">
        <v>2010108</v>
      </c>
      <c r="B14" s="379" t="s">
        <v>219</v>
      </c>
      <c r="C14" s="602">
        <v>0</v>
      </c>
      <c r="D14" s="709">
        <v>0</v>
      </c>
      <c r="E14" s="710">
        <v>0</v>
      </c>
      <c r="F14" s="710">
        <v>9</v>
      </c>
      <c r="G14" s="526" t="str">
        <f t="shared" si="0"/>
        <v/>
      </c>
      <c r="H14" s="470" t="str">
        <f t="shared" si="1"/>
        <v/>
      </c>
      <c r="I14" s="524" t="str">
        <f t="shared" si="3"/>
        <v>是</v>
      </c>
      <c r="J14" s="312" t="str">
        <f t="shared" si="2"/>
        <v>项</v>
      </c>
    </row>
    <row r="15" s="372" customFormat="1" ht="24" hidden="1" customHeight="1" spans="1:10">
      <c r="A15" s="330">
        <v>2010109</v>
      </c>
      <c r="B15" s="379" t="s">
        <v>220</v>
      </c>
      <c r="C15" s="602">
        <v>0</v>
      </c>
      <c r="D15" s="709">
        <v>0</v>
      </c>
      <c r="E15" s="710">
        <v>0</v>
      </c>
      <c r="F15" s="710">
        <v>0</v>
      </c>
      <c r="G15" s="526" t="str">
        <f t="shared" si="0"/>
        <v/>
      </c>
      <c r="H15" s="470" t="str">
        <f t="shared" si="1"/>
        <v/>
      </c>
      <c r="I15" s="524" t="str">
        <f t="shared" si="3"/>
        <v>否</v>
      </c>
      <c r="J15" s="312" t="str">
        <f t="shared" si="2"/>
        <v>项</v>
      </c>
    </row>
    <row r="16" s="372" customFormat="1" ht="24" hidden="1" customHeight="1" spans="1:10">
      <c r="A16" s="330">
        <v>2010150</v>
      </c>
      <c r="B16" s="379" t="s">
        <v>221</v>
      </c>
      <c r="C16" s="602">
        <v>0</v>
      </c>
      <c r="D16" s="709">
        <v>0</v>
      </c>
      <c r="E16" s="710">
        <v>0</v>
      </c>
      <c r="F16" s="710">
        <v>0</v>
      </c>
      <c r="G16" s="526" t="str">
        <f t="shared" si="0"/>
        <v/>
      </c>
      <c r="H16" s="470" t="str">
        <f t="shared" si="1"/>
        <v/>
      </c>
      <c r="I16" s="524" t="str">
        <f t="shared" si="3"/>
        <v>否</v>
      </c>
      <c r="J16" s="312" t="str">
        <f t="shared" si="2"/>
        <v>项</v>
      </c>
    </row>
    <row r="17" s="372" customFormat="1" ht="24" customHeight="1" spans="1:10">
      <c r="A17" s="330">
        <v>2010199</v>
      </c>
      <c r="B17" s="379" t="s">
        <v>222</v>
      </c>
      <c r="C17" s="602">
        <v>35</v>
      </c>
      <c r="D17" s="709">
        <v>41</v>
      </c>
      <c r="E17" s="710">
        <v>41</v>
      </c>
      <c r="F17" s="710">
        <v>85</v>
      </c>
      <c r="G17" s="526">
        <f t="shared" si="0"/>
        <v>1.42857142857143</v>
      </c>
      <c r="H17" s="470">
        <f t="shared" si="1"/>
        <v>2.07317073170732</v>
      </c>
      <c r="I17" s="524" t="str">
        <f t="shared" si="3"/>
        <v>是</v>
      </c>
      <c r="J17" s="312" t="str">
        <f t="shared" si="2"/>
        <v>项</v>
      </c>
    </row>
    <row r="18" ht="24" customHeight="1" spans="1:10">
      <c r="A18" s="330">
        <v>20102</v>
      </c>
      <c r="B18" s="379" t="s">
        <v>223</v>
      </c>
      <c r="C18" s="601">
        <v>1481</v>
      </c>
      <c r="D18" s="708">
        <f>SUM(D19:D26)</f>
        <v>1598</v>
      </c>
      <c r="E18" s="708">
        <f>SUM(E19:E26)</f>
        <v>1598</v>
      </c>
      <c r="F18" s="708">
        <f>SUM(F19:F26)</f>
        <v>1613</v>
      </c>
      <c r="G18" s="523">
        <f t="shared" si="0"/>
        <v>0.0891289669142471</v>
      </c>
      <c r="H18" s="467">
        <f t="shared" si="1"/>
        <v>1.00938673341677</v>
      </c>
      <c r="I18" s="524" t="str">
        <f t="shared" si="3"/>
        <v>是</v>
      </c>
      <c r="J18" s="312" t="str">
        <f t="shared" si="2"/>
        <v>款</v>
      </c>
    </row>
    <row r="19" s="372" customFormat="1" ht="24" customHeight="1" spans="1:10">
      <c r="A19" s="330">
        <v>2010201</v>
      </c>
      <c r="B19" s="379" t="s">
        <v>212</v>
      </c>
      <c r="C19" s="602">
        <v>1305</v>
      </c>
      <c r="D19" s="709">
        <v>1403</v>
      </c>
      <c r="E19" s="710">
        <v>1403</v>
      </c>
      <c r="F19" s="710">
        <v>1529</v>
      </c>
      <c r="G19" s="526">
        <f t="shared" si="0"/>
        <v>0.171647509578544</v>
      </c>
      <c r="H19" s="470">
        <f t="shared" si="1"/>
        <v>1.08980755523877</v>
      </c>
      <c r="I19" s="524" t="str">
        <f t="shared" si="3"/>
        <v>是</v>
      </c>
      <c r="J19" s="312" t="str">
        <f t="shared" si="2"/>
        <v>项</v>
      </c>
    </row>
    <row r="20" s="372" customFormat="1" ht="24" customHeight="1" spans="1:10">
      <c r="A20" s="330">
        <v>2010202</v>
      </c>
      <c r="B20" s="379" t="s">
        <v>213</v>
      </c>
      <c r="C20" s="602">
        <v>47</v>
      </c>
      <c r="D20" s="709">
        <v>51</v>
      </c>
      <c r="E20" s="710">
        <v>51</v>
      </c>
      <c r="F20" s="710">
        <v>21</v>
      </c>
      <c r="G20" s="526">
        <f t="shared" si="0"/>
        <v>-0.553191489361702</v>
      </c>
      <c r="H20" s="470">
        <f t="shared" si="1"/>
        <v>0.411764705882353</v>
      </c>
      <c r="I20" s="524" t="str">
        <f t="shared" si="3"/>
        <v>是</v>
      </c>
      <c r="J20" s="312" t="str">
        <f t="shared" si="2"/>
        <v>项</v>
      </c>
    </row>
    <row r="21" s="372" customFormat="1" ht="24" hidden="1" customHeight="1" spans="1:10">
      <c r="A21" s="330">
        <v>2010203</v>
      </c>
      <c r="B21" s="379" t="s">
        <v>214</v>
      </c>
      <c r="C21" s="602">
        <v>0</v>
      </c>
      <c r="D21" s="709">
        <v>0</v>
      </c>
      <c r="E21" s="710">
        <v>0</v>
      </c>
      <c r="F21" s="710">
        <v>0</v>
      </c>
      <c r="G21" s="526" t="str">
        <f t="shared" si="0"/>
        <v/>
      </c>
      <c r="H21" s="470" t="str">
        <f t="shared" si="1"/>
        <v/>
      </c>
      <c r="I21" s="524" t="str">
        <f t="shared" si="3"/>
        <v>否</v>
      </c>
      <c r="J21" s="312" t="str">
        <f t="shared" si="2"/>
        <v>项</v>
      </c>
    </row>
    <row r="22" s="372" customFormat="1" ht="24" customHeight="1" spans="1:10">
      <c r="A22" s="330">
        <v>2010204</v>
      </c>
      <c r="B22" s="379" t="s">
        <v>224</v>
      </c>
      <c r="C22" s="602">
        <v>75</v>
      </c>
      <c r="D22" s="709">
        <v>81</v>
      </c>
      <c r="E22" s="710">
        <v>81</v>
      </c>
      <c r="F22" s="710">
        <v>0</v>
      </c>
      <c r="G22" s="526">
        <f t="shared" si="0"/>
        <v>-1</v>
      </c>
      <c r="H22" s="470">
        <f t="shared" si="1"/>
        <v>0</v>
      </c>
      <c r="I22" s="524" t="str">
        <f t="shared" si="3"/>
        <v>是</v>
      </c>
      <c r="J22" s="312" t="str">
        <f t="shared" si="2"/>
        <v>项</v>
      </c>
    </row>
    <row r="23" s="372" customFormat="1" ht="24" hidden="1" customHeight="1" spans="1:10">
      <c r="A23" s="330">
        <v>2010205</v>
      </c>
      <c r="B23" s="379" t="s">
        <v>225</v>
      </c>
      <c r="C23" s="602">
        <v>0</v>
      </c>
      <c r="D23" s="709">
        <v>0</v>
      </c>
      <c r="E23" s="710">
        <v>0</v>
      </c>
      <c r="F23" s="710">
        <v>0</v>
      </c>
      <c r="G23" s="526" t="str">
        <f t="shared" si="0"/>
        <v/>
      </c>
      <c r="H23" s="470" t="str">
        <f t="shared" si="1"/>
        <v/>
      </c>
      <c r="I23" s="524" t="str">
        <f t="shared" si="3"/>
        <v>否</v>
      </c>
      <c r="J23" s="312" t="str">
        <f t="shared" si="2"/>
        <v>项</v>
      </c>
    </row>
    <row r="24" s="372" customFormat="1" ht="24" customHeight="1" spans="1:10">
      <c r="A24" s="330">
        <v>2010206</v>
      </c>
      <c r="B24" s="379" t="s">
        <v>226</v>
      </c>
      <c r="C24" s="602">
        <v>15</v>
      </c>
      <c r="D24" s="709">
        <v>18</v>
      </c>
      <c r="E24" s="710">
        <v>18</v>
      </c>
      <c r="F24" s="710">
        <v>11</v>
      </c>
      <c r="G24" s="526">
        <f t="shared" si="0"/>
        <v>-0.266666666666667</v>
      </c>
      <c r="H24" s="470">
        <f t="shared" si="1"/>
        <v>0.611111111111111</v>
      </c>
      <c r="I24" s="524" t="str">
        <f t="shared" si="3"/>
        <v>是</v>
      </c>
      <c r="J24" s="312" t="str">
        <f t="shared" si="2"/>
        <v>项</v>
      </c>
    </row>
    <row r="25" s="372" customFormat="1" ht="24" hidden="1" customHeight="1" spans="1:10">
      <c r="A25" s="330">
        <v>2010250</v>
      </c>
      <c r="B25" s="379" t="s">
        <v>221</v>
      </c>
      <c r="C25" s="602">
        <v>0</v>
      </c>
      <c r="D25" s="709">
        <v>0</v>
      </c>
      <c r="E25" s="710">
        <v>0</v>
      </c>
      <c r="F25" s="710">
        <v>0</v>
      </c>
      <c r="G25" s="526" t="str">
        <f t="shared" si="0"/>
        <v/>
      </c>
      <c r="H25" s="470" t="str">
        <f t="shared" si="1"/>
        <v/>
      </c>
      <c r="I25" s="524" t="str">
        <f t="shared" si="3"/>
        <v>否</v>
      </c>
      <c r="J25" s="312" t="str">
        <f t="shared" si="2"/>
        <v>项</v>
      </c>
    </row>
    <row r="26" s="372" customFormat="1" ht="24" customHeight="1" spans="1:10">
      <c r="A26" s="330">
        <v>2010299</v>
      </c>
      <c r="B26" s="379" t="s">
        <v>227</v>
      </c>
      <c r="C26" s="602">
        <v>39</v>
      </c>
      <c r="D26" s="709">
        <v>45</v>
      </c>
      <c r="E26" s="710">
        <v>45</v>
      </c>
      <c r="F26" s="710">
        <v>52</v>
      </c>
      <c r="G26" s="526">
        <f t="shared" si="0"/>
        <v>0.333333333333333</v>
      </c>
      <c r="H26" s="470">
        <f t="shared" si="1"/>
        <v>1.15555555555556</v>
      </c>
      <c r="I26" s="524" t="str">
        <f t="shared" si="3"/>
        <v>是</v>
      </c>
      <c r="J26" s="312" t="str">
        <f t="shared" si="2"/>
        <v>项</v>
      </c>
    </row>
    <row r="27" ht="24" customHeight="1" spans="1:10">
      <c r="A27" s="330">
        <v>20103</v>
      </c>
      <c r="B27" s="379" t="s">
        <v>228</v>
      </c>
      <c r="C27" s="601">
        <v>7638</v>
      </c>
      <c r="D27" s="708">
        <f>SUM(D28:D36)</f>
        <v>8020</v>
      </c>
      <c r="E27" s="708">
        <f>SUM(E28:E36)</f>
        <v>8020</v>
      </c>
      <c r="F27" s="708">
        <f>SUM(F28:F36)</f>
        <v>7190</v>
      </c>
      <c r="G27" s="523">
        <f t="shared" si="0"/>
        <v>-0.0586540979313957</v>
      </c>
      <c r="H27" s="467">
        <f t="shared" si="1"/>
        <v>0.896508728179551</v>
      </c>
      <c r="I27" s="524" t="str">
        <f t="shared" si="3"/>
        <v>是</v>
      </c>
      <c r="J27" s="312" t="str">
        <f t="shared" si="2"/>
        <v>款</v>
      </c>
    </row>
    <row r="28" s="372" customFormat="1" ht="24" customHeight="1" spans="1:10">
      <c r="A28" s="330">
        <v>2010301</v>
      </c>
      <c r="B28" s="379" t="s">
        <v>212</v>
      </c>
      <c r="C28" s="602">
        <v>3457</v>
      </c>
      <c r="D28" s="709">
        <v>3568</v>
      </c>
      <c r="E28" s="710">
        <v>3568</v>
      </c>
      <c r="F28" s="710">
        <v>3412</v>
      </c>
      <c r="G28" s="526">
        <f t="shared" si="0"/>
        <v>-0.013017066820943</v>
      </c>
      <c r="H28" s="470">
        <f t="shared" si="1"/>
        <v>0.95627802690583</v>
      </c>
      <c r="I28" s="524" t="str">
        <f t="shared" si="3"/>
        <v>是</v>
      </c>
      <c r="J28" s="312" t="str">
        <f t="shared" si="2"/>
        <v>项</v>
      </c>
    </row>
    <row r="29" s="372" customFormat="1" ht="24" customHeight="1" spans="1:10">
      <c r="A29" s="330">
        <v>2010302</v>
      </c>
      <c r="B29" s="379" t="s">
        <v>213</v>
      </c>
      <c r="C29" s="602">
        <v>381</v>
      </c>
      <c r="D29" s="709">
        <v>383</v>
      </c>
      <c r="E29" s="710">
        <v>383</v>
      </c>
      <c r="F29" s="710">
        <v>406</v>
      </c>
      <c r="G29" s="526">
        <f t="shared" si="0"/>
        <v>0.0656167979002625</v>
      </c>
      <c r="H29" s="470">
        <f t="shared" si="1"/>
        <v>1.06005221932115</v>
      </c>
      <c r="I29" s="524" t="str">
        <f t="shared" si="3"/>
        <v>是</v>
      </c>
      <c r="J29" s="312" t="str">
        <f t="shared" si="2"/>
        <v>项</v>
      </c>
    </row>
    <row r="30" s="372" customFormat="1" ht="24" hidden="1" customHeight="1" spans="1:10">
      <c r="A30" s="330">
        <v>2010303</v>
      </c>
      <c r="B30" s="379" t="s">
        <v>214</v>
      </c>
      <c r="C30" s="602">
        <v>0</v>
      </c>
      <c r="D30" s="709">
        <v>0</v>
      </c>
      <c r="E30" s="710">
        <v>0</v>
      </c>
      <c r="F30" s="710">
        <v>0</v>
      </c>
      <c r="G30" s="526" t="str">
        <f t="shared" si="0"/>
        <v/>
      </c>
      <c r="H30" s="470" t="str">
        <f t="shared" si="1"/>
        <v/>
      </c>
      <c r="I30" s="524" t="str">
        <f t="shared" si="3"/>
        <v>否</v>
      </c>
      <c r="J30" s="312" t="str">
        <f t="shared" si="2"/>
        <v>项</v>
      </c>
    </row>
    <row r="31" s="372" customFormat="1" ht="24" hidden="1" customHeight="1" spans="1:10">
      <c r="A31" s="330">
        <v>2010304</v>
      </c>
      <c r="B31" s="379" t="s">
        <v>229</v>
      </c>
      <c r="C31" s="602">
        <v>0</v>
      </c>
      <c r="D31" s="709">
        <v>0</v>
      </c>
      <c r="E31" s="710">
        <v>0</v>
      </c>
      <c r="F31" s="710">
        <v>0</v>
      </c>
      <c r="G31" s="526" t="str">
        <f t="shared" si="0"/>
        <v/>
      </c>
      <c r="H31" s="470" t="str">
        <f t="shared" si="1"/>
        <v/>
      </c>
      <c r="I31" s="524" t="str">
        <f t="shared" si="3"/>
        <v>否</v>
      </c>
      <c r="J31" s="312" t="str">
        <f t="shared" si="2"/>
        <v>项</v>
      </c>
    </row>
    <row r="32" s="372" customFormat="1" ht="24" hidden="1" customHeight="1" spans="1:10">
      <c r="A32" s="330">
        <v>2010305</v>
      </c>
      <c r="B32" s="379" t="s">
        <v>230</v>
      </c>
      <c r="C32" s="602">
        <v>0</v>
      </c>
      <c r="D32" s="709">
        <v>0</v>
      </c>
      <c r="E32" s="710">
        <v>0</v>
      </c>
      <c r="F32" s="710">
        <v>0</v>
      </c>
      <c r="G32" s="526" t="str">
        <f t="shared" si="0"/>
        <v/>
      </c>
      <c r="H32" s="470" t="str">
        <f t="shared" si="1"/>
        <v/>
      </c>
      <c r="I32" s="524" t="str">
        <f t="shared" si="3"/>
        <v>否</v>
      </c>
      <c r="J32" s="312" t="str">
        <f t="shared" si="2"/>
        <v>项</v>
      </c>
    </row>
    <row r="33" s="372" customFormat="1" ht="24" hidden="1" customHeight="1" spans="1:10">
      <c r="A33" s="330">
        <v>2010306</v>
      </c>
      <c r="B33" s="379" t="s">
        <v>231</v>
      </c>
      <c r="C33" s="602">
        <v>0</v>
      </c>
      <c r="D33" s="709">
        <v>0</v>
      </c>
      <c r="E33" s="710">
        <v>0</v>
      </c>
      <c r="F33" s="710">
        <v>0</v>
      </c>
      <c r="G33" s="526" t="str">
        <f t="shared" si="0"/>
        <v/>
      </c>
      <c r="H33" s="470" t="str">
        <f t="shared" si="1"/>
        <v/>
      </c>
      <c r="I33" s="524" t="str">
        <f t="shared" si="3"/>
        <v>否</v>
      </c>
      <c r="J33" s="312" t="str">
        <f t="shared" si="2"/>
        <v>项</v>
      </c>
    </row>
    <row r="34" s="372" customFormat="1" ht="24" customHeight="1" spans="1:10">
      <c r="A34" s="330">
        <v>2010309</v>
      </c>
      <c r="B34" s="379" t="s">
        <v>232</v>
      </c>
      <c r="C34" s="602">
        <v>15</v>
      </c>
      <c r="D34" s="709">
        <v>15</v>
      </c>
      <c r="E34" s="710">
        <v>15</v>
      </c>
      <c r="F34" s="710">
        <v>9</v>
      </c>
      <c r="G34" s="526">
        <f t="shared" si="0"/>
        <v>-0.4</v>
      </c>
      <c r="H34" s="470">
        <f t="shared" si="1"/>
        <v>0.6</v>
      </c>
      <c r="I34" s="524" t="str">
        <f t="shared" si="3"/>
        <v>是</v>
      </c>
      <c r="J34" s="312" t="str">
        <f t="shared" si="2"/>
        <v>项</v>
      </c>
    </row>
    <row r="35" s="372" customFormat="1" ht="24" customHeight="1" spans="1:10">
      <c r="A35" s="330">
        <v>2010350</v>
      </c>
      <c r="B35" s="379" t="s">
        <v>221</v>
      </c>
      <c r="C35" s="602">
        <v>1515</v>
      </c>
      <c r="D35" s="709">
        <v>1842</v>
      </c>
      <c r="E35" s="710">
        <v>1842</v>
      </c>
      <c r="F35" s="710">
        <v>1632</v>
      </c>
      <c r="G35" s="526">
        <f t="shared" si="0"/>
        <v>0.0772277227722772</v>
      </c>
      <c r="H35" s="470">
        <f t="shared" si="1"/>
        <v>0.885993485342019</v>
      </c>
      <c r="I35" s="524" t="str">
        <f t="shared" si="3"/>
        <v>是</v>
      </c>
      <c r="J35" s="312" t="str">
        <f t="shared" si="2"/>
        <v>项</v>
      </c>
    </row>
    <row r="36" s="372" customFormat="1" ht="24" customHeight="1" spans="1:10">
      <c r="A36" s="517">
        <v>2010399</v>
      </c>
      <c r="B36" s="379" t="s">
        <v>233</v>
      </c>
      <c r="C36" s="602">
        <v>2270</v>
      </c>
      <c r="D36" s="709">
        <v>2212</v>
      </c>
      <c r="E36" s="710">
        <v>2212</v>
      </c>
      <c r="F36" s="710">
        <v>1731</v>
      </c>
      <c r="G36" s="526">
        <f t="shared" si="0"/>
        <v>-0.237444933920705</v>
      </c>
      <c r="H36" s="470">
        <f t="shared" si="1"/>
        <v>0.78254972875226</v>
      </c>
      <c r="I36" s="524" t="str">
        <f t="shared" si="3"/>
        <v>是</v>
      </c>
      <c r="J36" s="312" t="str">
        <f t="shared" si="2"/>
        <v>项</v>
      </c>
    </row>
    <row r="37" ht="24" customHeight="1" spans="1:10">
      <c r="A37" s="330">
        <v>20104</v>
      </c>
      <c r="B37" s="379" t="s">
        <v>234</v>
      </c>
      <c r="C37" s="601">
        <v>1660</v>
      </c>
      <c r="D37" s="708">
        <f>SUM(D38:D47)</f>
        <v>1769</v>
      </c>
      <c r="E37" s="708">
        <f>SUM(E38:E47)</f>
        <v>1769</v>
      </c>
      <c r="F37" s="708">
        <f>SUM(F38:F47)</f>
        <v>2161</v>
      </c>
      <c r="G37" s="523">
        <f t="shared" si="0"/>
        <v>0.301807228915663</v>
      </c>
      <c r="H37" s="467">
        <f t="shared" si="1"/>
        <v>1.2215941209723</v>
      </c>
      <c r="I37" s="524" t="str">
        <f t="shared" si="3"/>
        <v>是</v>
      </c>
      <c r="J37" s="312" t="str">
        <f t="shared" si="2"/>
        <v>款</v>
      </c>
    </row>
    <row r="38" s="372" customFormat="1" ht="24" customHeight="1" spans="1:10">
      <c r="A38" s="330">
        <v>2010401</v>
      </c>
      <c r="B38" s="379" t="s">
        <v>212</v>
      </c>
      <c r="C38" s="602">
        <v>1148</v>
      </c>
      <c r="D38" s="709">
        <v>1243</v>
      </c>
      <c r="E38" s="710">
        <v>1243</v>
      </c>
      <c r="F38" s="710">
        <v>1092</v>
      </c>
      <c r="G38" s="526">
        <f t="shared" si="0"/>
        <v>-0.0487804878048781</v>
      </c>
      <c r="H38" s="470">
        <f t="shared" si="1"/>
        <v>0.878519710378117</v>
      </c>
      <c r="I38" s="524" t="str">
        <f t="shared" si="3"/>
        <v>是</v>
      </c>
      <c r="J38" s="312" t="str">
        <f t="shared" si="2"/>
        <v>项</v>
      </c>
    </row>
    <row r="39" s="372" customFormat="1" ht="24" hidden="1" customHeight="1" spans="1:10">
      <c r="A39" s="330">
        <v>2010402</v>
      </c>
      <c r="B39" s="379" t="s">
        <v>213</v>
      </c>
      <c r="C39" s="602">
        <v>0</v>
      </c>
      <c r="D39" s="709">
        <v>0</v>
      </c>
      <c r="E39" s="710">
        <v>0</v>
      </c>
      <c r="F39" s="710">
        <v>0</v>
      </c>
      <c r="G39" s="526" t="str">
        <f t="shared" si="0"/>
        <v/>
      </c>
      <c r="H39" s="470" t="str">
        <f t="shared" si="1"/>
        <v/>
      </c>
      <c r="I39" s="524" t="str">
        <f t="shared" si="3"/>
        <v>否</v>
      </c>
      <c r="J39" s="312" t="str">
        <f t="shared" si="2"/>
        <v>项</v>
      </c>
    </row>
    <row r="40" s="372" customFormat="1" ht="24" hidden="1" customHeight="1" spans="1:10">
      <c r="A40" s="330">
        <v>2010403</v>
      </c>
      <c r="B40" s="379" t="s">
        <v>214</v>
      </c>
      <c r="C40" s="602">
        <v>0</v>
      </c>
      <c r="D40" s="709">
        <v>0</v>
      </c>
      <c r="E40" s="710">
        <v>0</v>
      </c>
      <c r="F40" s="710">
        <v>0</v>
      </c>
      <c r="G40" s="526" t="str">
        <f t="shared" si="0"/>
        <v/>
      </c>
      <c r="H40" s="470" t="str">
        <f t="shared" si="1"/>
        <v/>
      </c>
      <c r="I40" s="524" t="str">
        <f t="shared" si="3"/>
        <v>否</v>
      </c>
      <c r="J40" s="312" t="str">
        <f t="shared" si="2"/>
        <v>项</v>
      </c>
    </row>
    <row r="41" s="372" customFormat="1" ht="24" hidden="1" customHeight="1" spans="1:10">
      <c r="A41" s="330">
        <v>2010404</v>
      </c>
      <c r="B41" s="379" t="s">
        <v>235</v>
      </c>
      <c r="C41" s="602">
        <v>0</v>
      </c>
      <c r="D41" s="709">
        <v>0</v>
      </c>
      <c r="E41" s="710">
        <v>0</v>
      </c>
      <c r="F41" s="710">
        <v>0</v>
      </c>
      <c r="G41" s="526" t="str">
        <f t="shared" si="0"/>
        <v/>
      </c>
      <c r="H41" s="470" t="str">
        <f t="shared" si="1"/>
        <v/>
      </c>
      <c r="I41" s="524" t="str">
        <f t="shared" si="3"/>
        <v>否</v>
      </c>
      <c r="J41" s="312" t="str">
        <f t="shared" si="2"/>
        <v>项</v>
      </c>
    </row>
    <row r="42" s="372" customFormat="1" ht="24" hidden="1" customHeight="1" spans="1:10">
      <c r="A42" s="330">
        <v>2010405</v>
      </c>
      <c r="B42" s="379" t="s">
        <v>236</v>
      </c>
      <c r="C42" s="602">
        <v>0</v>
      </c>
      <c r="D42" s="709">
        <v>0</v>
      </c>
      <c r="E42" s="710">
        <v>0</v>
      </c>
      <c r="F42" s="710">
        <v>0</v>
      </c>
      <c r="G42" s="526" t="str">
        <f t="shared" si="0"/>
        <v/>
      </c>
      <c r="H42" s="470" t="str">
        <f t="shared" si="1"/>
        <v/>
      </c>
      <c r="I42" s="524" t="str">
        <f t="shared" si="3"/>
        <v>否</v>
      </c>
      <c r="J42" s="312" t="str">
        <f t="shared" si="2"/>
        <v>项</v>
      </c>
    </row>
    <row r="43" s="372" customFormat="1" ht="24" customHeight="1" spans="1:10">
      <c r="A43" s="330">
        <v>2010406</v>
      </c>
      <c r="B43" s="379" t="s">
        <v>237</v>
      </c>
      <c r="C43" s="602">
        <v>206</v>
      </c>
      <c r="D43" s="709">
        <v>195</v>
      </c>
      <c r="E43" s="710">
        <v>195</v>
      </c>
      <c r="F43" s="710">
        <v>0</v>
      </c>
      <c r="G43" s="526">
        <f t="shared" si="0"/>
        <v>-1</v>
      </c>
      <c r="H43" s="470">
        <f t="shared" si="1"/>
        <v>0</v>
      </c>
      <c r="I43" s="524" t="str">
        <f t="shared" si="3"/>
        <v>是</v>
      </c>
      <c r="J43" s="312" t="str">
        <f t="shared" si="2"/>
        <v>项</v>
      </c>
    </row>
    <row r="44" s="372" customFormat="1" ht="24" hidden="1" customHeight="1" spans="1:10">
      <c r="A44" s="330">
        <v>2010407</v>
      </c>
      <c r="B44" s="379" t="s">
        <v>238</v>
      </c>
      <c r="C44" s="602">
        <v>0</v>
      </c>
      <c r="D44" s="709">
        <v>0</v>
      </c>
      <c r="E44" s="710">
        <v>0</v>
      </c>
      <c r="F44" s="710">
        <v>0</v>
      </c>
      <c r="G44" s="526" t="str">
        <f t="shared" si="0"/>
        <v/>
      </c>
      <c r="H44" s="470" t="str">
        <f t="shared" si="1"/>
        <v/>
      </c>
      <c r="I44" s="524" t="str">
        <f t="shared" si="3"/>
        <v>否</v>
      </c>
      <c r="J44" s="312" t="str">
        <f t="shared" si="2"/>
        <v>项</v>
      </c>
    </row>
    <row r="45" s="372" customFormat="1" ht="24" hidden="1" customHeight="1" spans="1:10">
      <c r="A45" s="330">
        <v>2010408</v>
      </c>
      <c r="B45" s="379" t="s">
        <v>239</v>
      </c>
      <c r="C45" s="602">
        <v>0</v>
      </c>
      <c r="D45" s="709">
        <v>0</v>
      </c>
      <c r="E45" s="710">
        <v>0</v>
      </c>
      <c r="F45" s="710">
        <v>0</v>
      </c>
      <c r="G45" s="526" t="str">
        <f t="shared" si="0"/>
        <v/>
      </c>
      <c r="H45" s="470" t="str">
        <f t="shared" si="1"/>
        <v/>
      </c>
      <c r="I45" s="524" t="str">
        <f t="shared" si="3"/>
        <v>否</v>
      </c>
      <c r="J45" s="312" t="str">
        <f t="shared" si="2"/>
        <v>项</v>
      </c>
    </row>
    <row r="46" s="372" customFormat="1" ht="24" customHeight="1" spans="1:10">
      <c r="A46" s="330">
        <v>2010450</v>
      </c>
      <c r="B46" s="379" t="s">
        <v>221</v>
      </c>
      <c r="C46" s="602">
        <v>110</v>
      </c>
      <c r="D46" s="709">
        <v>138</v>
      </c>
      <c r="E46" s="710">
        <v>138</v>
      </c>
      <c r="F46" s="710">
        <v>148</v>
      </c>
      <c r="G46" s="526">
        <f t="shared" si="0"/>
        <v>0.345454545454545</v>
      </c>
      <c r="H46" s="470">
        <f t="shared" si="1"/>
        <v>1.07246376811594</v>
      </c>
      <c r="I46" s="524" t="str">
        <f t="shared" si="3"/>
        <v>是</v>
      </c>
      <c r="J46" s="312" t="str">
        <f t="shared" si="2"/>
        <v>项</v>
      </c>
    </row>
    <row r="47" s="372" customFormat="1" ht="24" customHeight="1" spans="1:10">
      <c r="A47" s="330">
        <v>2010499</v>
      </c>
      <c r="B47" s="379" t="s">
        <v>240</v>
      </c>
      <c r="C47" s="602">
        <v>196</v>
      </c>
      <c r="D47" s="709">
        <v>193</v>
      </c>
      <c r="E47" s="710">
        <v>193</v>
      </c>
      <c r="F47" s="710">
        <v>921</v>
      </c>
      <c r="G47" s="526">
        <f t="shared" si="0"/>
        <v>3.69897959183673</v>
      </c>
      <c r="H47" s="470">
        <f t="shared" si="1"/>
        <v>4.7720207253886</v>
      </c>
      <c r="I47" s="524" t="str">
        <f t="shared" si="3"/>
        <v>是</v>
      </c>
      <c r="J47" s="312" t="str">
        <f t="shared" si="2"/>
        <v>项</v>
      </c>
    </row>
    <row r="48" ht="24" customHeight="1" spans="1:10">
      <c r="A48" s="330">
        <v>20105</v>
      </c>
      <c r="B48" s="379" t="s">
        <v>241</v>
      </c>
      <c r="C48" s="601">
        <v>792</v>
      </c>
      <c r="D48" s="708">
        <f>SUM(D49:D58)</f>
        <v>823</v>
      </c>
      <c r="E48" s="708">
        <f>SUM(E49:E58)</f>
        <v>823</v>
      </c>
      <c r="F48" s="708">
        <f>SUM(F49:F58)</f>
        <v>791</v>
      </c>
      <c r="G48" s="523">
        <f t="shared" si="0"/>
        <v>-0.00126262626262626</v>
      </c>
      <c r="H48" s="467">
        <f t="shared" si="1"/>
        <v>0.961117861482382</v>
      </c>
      <c r="I48" s="524" t="str">
        <f t="shared" si="3"/>
        <v>是</v>
      </c>
      <c r="J48" s="312" t="str">
        <f t="shared" si="2"/>
        <v>款</v>
      </c>
    </row>
    <row r="49" s="372" customFormat="1" ht="24" customHeight="1" spans="1:10">
      <c r="A49" s="330">
        <v>2010501</v>
      </c>
      <c r="B49" s="379" t="s">
        <v>212</v>
      </c>
      <c r="C49" s="602">
        <v>351</v>
      </c>
      <c r="D49" s="709">
        <v>375</v>
      </c>
      <c r="E49" s="710">
        <v>375</v>
      </c>
      <c r="F49" s="710">
        <v>475</v>
      </c>
      <c r="G49" s="526">
        <f t="shared" si="0"/>
        <v>0.353276353276353</v>
      </c>
      <c r="H49" s="470">
        <f t="shared" si="1"/>
        <v>1.26666666666667</v>
      </c>
      <c r="I49" s="524" t="str">
        <f t="shared" si="3"/>
        <v>是</v>
      </c>
      <c r="J49" s="312" t="str">
        <f t="shared" si="2"/>
        <v>项</v>
      </c>
    </row>
    <row r="50" s="372" customFormat="1" ht="24" customHeight="1" spans="1:10">
      <c r="A50" s="330">
        <v>2010502</v>
      </c>
      <c r="B50" s="379" t="s">
        <v>213</v>
      </c>
      <c r="C50" s="602">
        <v>16</v>
      </c>
      <c r="D50" s="709">
        <v>33</v>
      </c>
      <c r="E50" s="710">
        <v>33</v>
      </c>
      <c r="F50" s="710">
        <v>40</v>
      </c>
      <c r="G50" s="526">
        <f t="shared" si="0"/>
        <v>1.5</v>
      </c>
      <c r="H50" s="470">
        <f t="shared" si="1"/>
        <v>1.21212121212121</v>
      </c>
      <c r="I50" s="524" t="str">
        <f t="shared" si="3"/>
        <v>是</v>
      </c>
      <c r="J50" s="312" t="str">
        <f t="shared" si="2"/>
        <v>项</v>
      </c>
    </row>
    <row r="51" s="372" customFormat="1" ht="24" hidden="1" customHeight="1" spans="1:10">
      <c r="A51" s="330">
        <v>2010503</v>
      </c>
      <c r="B51" s="379" t="s">
        <v>214</v>
      </c>
      <c r="C51" s="602">
        <v>0</v>
      </c>
      <c r="D51" s="709">
        <v>0</v>
      </c>
      <c r="E51" s="710">
        <v>0</v>
      </c>
      <c r="F51" s="710">
        <v>0</v>
      </c>
      <c r="G51" s="526" t="str">
        <f t="shared" si="0"/>
        <v/>
      </c>
      <c r="H51" s="470" t="str">
        <f t="shared" si="1"/>
        <v/>
      </c>
      <c r="I51" s="524" t="str">
        <f t="shared" si="3"/>
        <v>否</v>
      </c>
      <c r="J51" s="312" t="str">
        <f t="shared" si="2"/>
        <v>项</v>
      </c>
    </row>
    <row r="52" s="372" customFormat="1" ht="24" hidden="1" customHeight="1" spans="1:10">
      <c r="A52" s="330">
        <v>2010504</v>
      </c>
      <c r="B52" s="379" t="s">
        <v>242</v>
      </c>
      <c r="C52" s="602">
        <v>0</v>
      </c>
      <c r="D52" s="709">
        <v>0</v>
      </c>
      <c r="E52" s="710">
        <v>0</v>
      </c>
      <c r="F52" s="710">
        <v>0</v>
      </c>
      <c r="G52" s="526" t="str">
        <f t="shared" si="0"/>
        <v/>
      </c>
      <c r="H52" s="470" t="str">
        <f t="shared" si="1"/>
        <v/>
      </c>
      <c r="I52" s="524" t="str">
        <f t="shared" si="3"/>
        <v>否</v>
      </c>
      <c r="J52" s="312" t="str">
        <f t="shared" si="2"/>
        <v>项</v>
      </c>
    </row>
    <row r="53" s="372" customFormat="1" ht="24" customHeight="1" spans="1:10">
      <c r="A53" s="330">
        <v>2010505</v>
      </c>
      <c r="B53" s="379" t="s">
        <v>243</v>
      </c>
      <c r="C53" s="602">
        <v>29</v>
      </c>
      <c r="D53" s="709">
        <v>0</v>
      </c>
      <c r="E53" s="710">
        <v>0</v>
      </c>
      <c r="F53" s="710">
        <v>1</v>
      </c>
      <c r="G53" s="526">
        <f t="shared" si="0"/>
        <v>-0.96551724137931</v>
      </c>
      <c r="H53" s="470" t="str">
        <f t="shared" si="1"/>
        <v/>
      </c>
      <c r="I53" s="524" t="str">
        <f t="shared" si="3"/>
        <v>是</v>
      </c>
      <c r="J53" s="312" t="str">
        <f t="shared" si="2"/>
        <v>项</v>
      </c>
    </row>
    <row r="54" s="372" customFormat="1" ht="24" customHeight="1" spans="1:10">
      <c r="A54" s="330">
        <v>2010506</v>
      </c>
      <c r="B54" s="379" t="s">
        <v>244</v>
      </c>
      <c r="C54" s="602">
        <v>5</v>
      </c>
      <c r="D54" s="709">
        <v>5</v>
      </c>
      <c r="E54" s="710">
        <v>5</v>
      </c>
      <c r="F54" s="710">
        <v>8</v>
      </c>
      <c r="G54" s="526">
        <f t="shared" si="0"/>
        <v>0.6</v>
      </c>
      <c r="H54" s="470">
        <f t="shared" si="1"/>
        <v>1.6</v>
      </c>
      <c r="I54" s="524" t="str">
        <f t="shared" si="3"/>
        <v>是</v>
      </c>
      <c r="J54" s="312" t="str">
        <f t="shared" si="2"/>
        <v>项</v>
      </c>
    </row>
    <row r="55" s="372" customFormat="1" ht="24" customHeight="1" spans="1:10">
      <c r="A55" s="330">
        <v>2010507</v>
      </c>
      <c r="B55" s="379" t="s">
        <v>245</v>
      </c>
      <c r="C55" s="602">
        <v>53</v>
      </c>
      <c r="D55" s="709">
        <v>65</v>
      </c>
      <c r="E55" s="710">
        <v>65</v>
      </c>
      <c r="F55" s="710">
        <v>65</v>
      </c>
      <c r="G55" s="526">
        <f t="shared" si="0"/>
        <v>0.226415094339623</v>
      </c>
      <c r="H55" s="470">
        <f t="shared" si="1"/>
        <v>1</v>
      </c>
      <c r="I55" s="524" t="str">
        <f t="shared" si="3"/>
        <v>是</v>
      </c>
      <c r="J55" s="312" t="str">
        <f t="shared" si="2"/>
        <v>项</v>
      </c>
    </row>
    <row r="56" s="372" customFormat="1" ht="24" customHeight="1" spans="1:10">
      <c r="A56" s="330">
        <v>2010508</v>
      </c>
      <c r="B56" s="379" t="s">
        <v>246</v>
      </c>
      <c r="C56" s="602">
        <v>171</v>
      </c>
      <c r="D56" s="709">
        <v>165</v>
      </c>
      <c r="E56" s="710">
        <v>165</v>
      </c>
      <c r="F56" s="710">
        <v>41</v>
      </c>
      <c r="G56" s="526">
        <f t="shared" si="0"/>
        <v>-0.760233918128655</v>
      </c>
      <c r="H56" s="470">
        <f t="shared" si="1"/>
        <v>0.248484848484848</v>
      </c>
      <c r="I56" s="524" t="str">
        <f t="shared" si="3"/>
        <v>是</v>
      </c>
      <c r="J56" s="312" t="str">
        <f t="shared" si="2"/>
        <v>项</v>
      </c>
    </row>
    <row r="57" s="372" customFormat="1" ht="24" customHeight="1" spans="1:10">
      <c r="A57" s="330">
        <v>2010550</v>
      </c>
      <c r="B57" s="379" t="s">
        <v>221</v>
      </c>
      <c r="C57" s="602">
        <v>147</v>
      </c>
      <c r="D57" s="709">
        <v>160</v>
      </c>
      <c r="E57" s="710">
        <v>160</v>
      </c>
      <c r="F57" s="710">
        <v>161</v>
      </c>
      <c r="G57" s="526">
        <f t="shared" si="0"/>
        <v>0.0952380952380952</v>
      </c>
      <c r="H57" s="470">
        <f t="shared" si="1"/>
        <v>1.00625</v>
      </c>
      <c r="I57" s="524" t="str">
        <f t="shared" si="3"/>
        <v>是</v>
      </c>
      <c r="J57" s="312" t="str">
        <f t="shared" si="2"/>
        <v>项</v>
      </c>
    </row>
    <row r="58" s="372" customFormat="1" ht="24" customHeight="1" spans="1:10">
      <c r="A58" s="330">
        <v>2010599</v>
      </c>
      <c r="B58" s="379" t="s">
        <v>247</v>
      </c>
      <c r="C58" s="602">
        <v>20</v>
      </c>
      <c r="D58" s="709">
        <v>20</v>
      </c>
      <c r="E58" s="710">
        <v>20</v>
      </c>
      <c r="F58" s="710">
        <v>0</v>
      </c>
      <c r="G58" s="526">
        <f t="shared" si="0"/>
        <v>-1</v>
      </c>
      <c r="H58" s="470">
        <f t="shared" si="1"/>
        <v>0</v>
      </c>
      <c r="I58" s="524" t="str">
        <f t="shared" si="3"/>
        <v>是</v>
      </c>
      <c r="J58" s="312" t="str">
        <f t="shared" si="2"/>
        <v>项</v>
      </c>
    </row>
    <row r="59" ht="24" customHeight="1" spans="1:10">
      <c r="A59" s="330">
        <v>20106</v>
      </c>
      <c r="B59" s="379" t="s">
        <v>248</v>
      </c>
      <c r="C59" s="601">
        <v>2682</v>
      </c>
      <c r="D59" s="708">
        <f>SUM(D60:D69)</f>
        <v>2878</v>
      </c>
      <c r="E59" s="708">
        <f>SUM(E60:E69)</f>
        <v>2878</v>
      </c>
      <c r="F59" s="708">
        <f>SUM(F60:F69)</f>
        <v>2577</v>
      </c>
      <c r="G59" s="523">
        <f t="shared" si="0"/>
        <v>-0.0391498881431767</v>
      </c>
      <c r="H59" s="467">
        <f t="shared" si="1"/>
        <v>0.895413481584434</v>
      </c>
      <c r="I59" s="524" t="str">
        <f t="shared" si="3"/>
        <v>是</v>
      </c>
      <c r="J59" s="312" t="str">
        <f t="shared" si="2"/>
        <v>款</v>
      </c>
    </row>
    <row r="60" s="372" customFormat="1" ht="24" customHeight="1" spans="1:10">
      <c r="A60" s="330">
        <v>2010601</v>
      </c>
      <c r="B60" s="379" t="s">
        <v>212</v>
      </c>
      <c r="C60" s="602">
        <v>1505</v>
      </c>
      <c r="D60" s="709">
        <v>1632</v>
      </c>
      <c r="E60" s="710">
        <v>1632</v>
      </c>
      <c r="F60" s="710">
        <v>1436</v>
      </c>
      <c r="G60" s="526">
        <f t="shared" si="0"/>
        <v>-0.0458471760797342</v>
      </c>
      <c r="H60" s="470">
        <f t="shared" si="1"/>
        <v>0.879901960784314</v>
      </c>
      <c r="I60" s="524" t="str">
        <f t="shared" si="3"/>
        <v>是</v>
      </c>
      <c r="J60" s="312" t="str">
        <f t="shared" si="2"/>
        <v>项</v>
      </c>
    </row>
    <row r="61" s="372" customFormat="1" ht="24" customHeight="1" spans="1:10">
      <c r="A61" s="330">
        <v>2010602</v>
      </c>
      <c r="B61" s="379" t="s">
        <v>213</v>
      </c>
      <c r="C61" s="602">
        <v>225</v>
      </c>
      <c r="D61" s="709">
        <v>248</v>
      </c>
      <c r="E61" s="710">
        <v>248</v>
      </c>
      <c r="F61" s="710">
        <v>0</v>
      </c>
      <c r="G61" s="526">
        <f t="shared" si="0"/>
        <v>-1</v>
      </c>
      <c r="H61" s="470">
        <f t="shared" si="1"/>
        <v>0</v>
      </c>
      <c r="I61" s="524" t="str">
        <f t="shared" si="3"/>
        <v>是</v>
      </c>
      <c r="J61" s="312" t="str">
        <f t="shared" si="2"/>
        <v>项</v>
      </c>
    </row>
    <row r="62" s="372" customFormat="1" ht="24" hidden="1" customHeight="1" spans="1:10">
      <c r="A62" s="330">
        <v>2010603</v>
      </c>
      <c r="B62" s="379" t="s">
        <v>214</v>
      </c>
      <c r="C62" s="602">
        <v>0</v>
      </c>
      <c r="D62" s="709">
        <v>0</v>
      </c>
      <c r="E62" s="710">
        <v>0</v>
      </c>
      <c r="F62" s="710">
        <v>0</v>
      </c>
      <c r="G62" s="526" t="str">
        <f t="shared" si="0"/>
        <v/>
      </c>
      <c r="H62" s="470" t="str">
        <f t="shared" si="1"/>
        <v/>
      </c>
      <c r="I62" s="524" t="str">
        <f t="shared" si="3"/>
        <v>否</v>
      </c>
      <c r="J62" s="312" t="str">
        <f t="shared" si="2"/>
        <v>项</v>
      </c>
    </row>
    <row r="63" s="372" customFormat="1" ht="24" hidden="1" customHeight="1" spans="1:10">
      <c r="A63" s="330">
        <v>2010604</v>
      </c>
      <c r="B63" s="379" t="s">
        <v>249</v>
      </c>
      <c r="C63" s="602">
        <v>0</v>
      </c>
      <c r="D63" s="709">
        <v>0</v>
      </c>
      <c r="E63" s="710">
        <v>0</v>
      </c>
      <c r="F63" s="710">
        <v>0</v>
      </c>
      <c r="G63" s="526" t="str">
        <f t="shared" si="0"/>
        <v/>
      </c>
      <c r="H63" s="470" t="str">
        <f t="shared" si="1"/>
        <v/>
      </c>
      <c r="I63" s="524" t="str">
        <f t="shared" si="3"/>
        <v>否</v>
      </c>
      <c r="J63" s="312" t="str">
        <f t="shared" si="2"/>
        <v>项</v>
      </c>
    </row>
    <row r="64" s="372" customFormat="1" ht="24" hidden="1" customHeight="1" spans="1:10">
      <c r="A64" s="330">
        <v>2010605</v>
      </c>
      <c r="B64" s="379" t="s">
        <v>250</v>
      </c>
      <c r="C64" s="602">
        <v>0</v>
      </c>
      <c r="D64" s="709">
        <v>0</v>
      </c>
      <c r="E64" s="710">
        <v>0</v>
      </c>
      <c r="F64" s="710">
        <v>0</v>
      </c>
      <c r="G64" s="526" t="str">
        <f t="shared" si="0"/>
        <v/>
      </c>
      <c r="H64" s="470" t="str">
        <f t="shared" si="1"/>
        <v/>
      </c>
      <c r="I64" s="524" t="str">
        <f t="shared" si="3"/>
        <v>否</v>
      </c>
      <c r="J64" s="312" t="str">
        <f t="shared" si="2"/>
        <v>项</v>
      </c>
    </row>
    <row r="65" s="372" customFormat="1" ht="24" hidden="1" customHeight="1" spans="1:10">
      <c r="A65" s="330">
        <v>2010606</v>
      </c>
      <c r="B65" s="379" t="s">
        <v>251</v>
      </c>
      <c r="C65" s="602">
        <v>0</v>
      </c>
      <c r="D65" s="709">
        <v>0</v>
      </c>
      <c r="E65" s="710">
        <v>0</v>
      </c>
      <c r="F65" s="710">
        <v>0</v>
      </c>
      <c r="G65" s="526" t="str">
        <f t="shared" si="0"/>
        <v/>
      </c>
      <c r="H65" s="470" t="str">
        <f t="shared" si="1"/>
        <v/>
      </c>
      <c r="I65" s="524" t="str">
        <f t="shared" si="3"/>
        <v>否</v>
      </c>
      <c r="J65" s="312" t="str">
        <f t="shared" si="2"/>
        <v>项</v>
      </c>
    </row>
    <row r="66" s="372" customFormat="1" ht="24" customHeight="1" spans="1:10">
      <c r="A66" s="330">
        <v>2010607</v>
      </c>
      <c r="B66" s="379" t="s">
        <v>252</v>
      </c>
      <c r="C66" s="602">
        <v>0</v>
      </c>
      <c r="D66" s="709">
        <v>0</v>
      </c>
      <c r="E66" s="710">
        <v>0</v>
      </c>
      <c r="F66" s="710">
        <v>223</v>
      </c>
      <c r="G66" s="526" t="str">
        <f t="shared" si="0"/>
        <v/>
      </c>
      <c r="H66" s="470" t="str">
        <f t="shared" si="1"/>
        <v/>
      </c>
      <c r="I66" s="524" t="str">
        <f t="shared" si="3"/>
        <v>是</v>
      </c>
      <c r="J66" s="312" t="str">
        <f t="shared" si="2"/>
        <v>项</v>
      </c>
    </row>
    <row r="67" s="372" customFormat="1" ht="24" customHeight="1" spans="1:10">
      <c r="A67" s="330">
        <v>2010608</v>
      </c>
      <c r="B67" s="379" t="s">
        <v>253</v>
      </c>
      <c r="C67" s="602">
        <v>303</v>
      </c>
      <c r="D67" s="709">
        <v>305</v>
      </c>
      <c r="E67" s="710">
        <v>305</v>
      </c>
      <c r="F67" s="710">
        <v>143</v>
      </c>
      <c r="G67" s="526">
        <f t="shared" si="0"/>
        <v>-0.528052805280528</v>
      </c>
      <c r="H67" s="470">
        <f t="shared" si="1"/>
        <v>0.468852459016393</v>
      </c>
      <c r="I67" s="524" t="str">
        <f t="shared" si="3"/>
        <v>是</v>
      </c>
      <c r="J67" s="312" t="str">
        <f t="shared" si="2"/>
        <v>项</v>
      </c>
    </row>
    <row r="68" s="372" customFormat="1" ht="24" customHeight="1" spans="1:10">
      <c r="A68" s="330">
        <v>2010650</v>
      </c>
      <c r="B68" s="379" t="s">
        <v>221</v>
      </c>
      <c r="C68" s="602">
        <v>587</v>
      </c>
      <c r="D68" s="709">
        <v>630</v>
      </c>
      <c r="E68" s="710">
        <v>630</v>
      </c>
      <c r="F68" s="710">
        <v>652</v>
      </c>
      <c r="G68" s="526">
        <f t="shared" si="0"/>
        <v>0.110732538330494</v>
      </c>
      <c r="H68" s="470">
        <f t="shared" si="1"/>
        <v>1.03492063492064</v>
      </c>
      <c r="I68" s="524" t="str">
        <f t="shared" si="3"/>
        <v>是</v>
      </c>
      <c r="J68" s="312" t="str">
        <f t="shared" si="2"/>
        <v>项</v>
      </c>
    </row>
    <row r="69" s="372" customFormat="1" ht="24" customHeight="1" spans="1:10">
      <c r="A69" s="330">
        <v>2010699</v>
      </c>
      <c r="B69" s="379" t="s">
        <v>254</v>
      </c>
      <c r="C69" s="602">
        <v>62</v>
      </c>
      <c r="D69" s="709">
        <v>63</v>
      </c>
      <c r="E69" s="710">
        <v>63</v>
      </c>
      <c r="F69" s="710">
        <v>123</v>
      </c>
      <c r="G69" s="526">
        <f t="shared" ref="G69:G132" si="4">IFERROR((F69-C69)/C69,"")</f>
        <v>0.983870967741935</v>
      </c>
      <c r="H69" s="470">
        <f t="shared" ref="H69:H132" si="5">IFERROR(F69/D69,"")</f>
        <v>1.95238095238095</v>
      </c>
      <c r="I69" s="524" t="str">
        <f t="shared" si="3"/>
        <v>是</v>
      </c>
      <c r="J69" s="312" t="str">
        <f t="shared" ref="J69:J132" si="6">IF(LEN(A69)=3,"类",IF(LEN(A69)=5,"款","项"))</f>
        <v>项</v>
      </c>
    </row>
    <row r="70" ht="24" customHeight="1" spans="1:10">
      <c r="A70" s="330">
        <v>20107</v>
      </c>
      <c r="B70" s="379" t="s">
        <v>255</v>
      </c>
      <c r="C70" s="601">
        <v>287</v>
      </c>
      <c r="D70" s="708">
        <f>SUM(D71:D77)</f>
        <v>350</v>
      </c>
      <c r="E70" s="708">
        <f>SUM(E71:E77)</f>
        <v>350</v>
      </c>
      <c r="F70" s="708">
        <f>SUM(F71:F77)</f>
        <v>271</v>
      </c>
      <c r="G70" s="523">
        <f t="shared" si="4"/>
        <v>-0.0557491289198606</v>
      </c>
      <c r="H70" s="467">
        <f t="shared" si="5"/>
        <v>0.774285714285714</v>
      </c>
      <c r="I70" s="524" t="str">
        <f t="shared" ref="I70:I133" si="7">IF(LEN(A70)=3,"是",IF(B70&lt;&gt;"",IF(SUM(C70:F70)&lt;&gt;0,"是","否"),"是"))</f>
        <v>是</v>
      </c>
      <c r="J70" s="312" t="str">
        <f t="shared" si="6"/>
        <v>款</v>
      </c>
    </row>
    <row r="71" s="372" customFormat="1" ht="24" customHeight="1" spans="1:10">
      <c r="A71" s="330">
        <v>2010701</v>
      </c>
      <c r="B71" s="379" t="s">
        <v>212</v>
      </c>
      <c r="C71" s="602">
        <v>237</v>
      </c>
      <c r="D71" s="709">
        <v>270</v>
      </c>
      <c r="E71" s="710">
        <v>270</v>
      </c>
      <c r="F71" s="710">
        <v>223</v>
      </c>
      <c r="G71" s="526">
        <f t="shared" si="4"/>
        <v>-0.0590717299578059</v>
      </c>
      <c r="H71" s="470">
        <f t="shared" si="5"/>
        <v>0.825925925925926</v>
      </c>
      <c r="I71" s="524" t="str">
        <f t="shared" si="7"/>
        <v>是</v>
      </c>
      <c r="J71" s="312" t="str">
        <f t="shared" si="6"/>
        <v>项</v>
      </c>
    </row>
    <row r="72" s="372" customFormat="1" ht="24" customHeight="1" spans="1:10">
      <c r="A72" s="330">
        <v>2010702</v>
      </c>
      <c r="B72" s="379" t="s">
        <v>213</v>
      </c>
      <c r="C72" s="602">
        <v>50</v>
      </c>
      <c r="D72" s="709">
        <v>80</v>
      </c>
      <c r="E72" s="710">
        <v>80</v>
      </c>
      <c r="F72" s="710">
        <v>48</v>
      </c>
      <c r="G72" s="526">
        <f t="shared" si="4"/>
        <v>-0.04</v>
      </c>
      <c r="H72" s="470">
        <f t="shared" si="5"/>
        <v>0.6</v>
      </c>
      <c r="I72" s="524" t="str">
        <f t="shared" si="7"/>
        <v>是</v>
      </c>
      <c r="J72" s="312" t="str">
        <f t="shared" si="6"/>
        <v>项</v>
      </c>
    </row>
    <row r="73" s="372" customFormat="1" ht="24" hidden="1" customHeight="1" spans="1:10">
      <c r="A73" s="330">
        <v>2010703</v>
      </c>
      <c r="B73" s="379" t="s">
        <v>214</v>
      </c>
      <c r="C73" s="602">
        <v>0</v>
      </c>
      <c r="D73" s="709">
        <v>0</v>
      </c>
      <c r="E73" s="710">
        <v>0</v>
      </c>
      <c r="F73" s="710">
        <v>0</v>
      </c>
      <c r="G73" s="526" t="str">
        <f t="shared" si="4"/>
        <v/>
      </c>
      <c r="H73" s="470" t="str">
        <f t="shared" si="5"/>
        <v/>
      </c>
      <c r="I73" s="524" t="str">
        <f t="shared" si="7"/>
        <v>否</v>
      </c>
      <c r="J73" s="312" t="str">
        <f t="shared" si="6"/>
        <v>项</v>
      </c>
    </row>
    <row r="74" s="372" customFormat="1" ht="24" hidden="1" customHeight="1" spans="1:10">
      <c r="A74" s="330">
        <v>2010709</v>
      </c>
      <c r="B74" s="379" t="s">
        <v>252</v>
      </c>
      <c r="C74" s="602">
        <v>0</v>
      </c>
      <c r="D74" s="709">
        <v>0</v>
      </c>
      <c r="E74" s="710">
        <v>0</v>
      </c>
      <c r="F74" s="710">
        <v>0</v>
      </c>
      <c r="G74" s="526" t="str">
        <f t="shared" si="4"/>
        <v/>
      </c>
      <c r="H74" s="470" t="str">
        <f t="shared" si="5"/>
        <v/>
      </c>
      <c r="I74" s="524" t="str">
        <f t="shared" si="7"/>
        <v>否</v>
      </c>
      <c r="J74" s="312" t="str">
        <f t="shared" si="6"/>
        <v>项</v>
      </c>
    </row>
    <row r="75" s="372" customFormat="1" ht="24" hidden="1" customHeight="1" spans="1:10">
      <c r="A75" s="527">
        <v>2010710</v>
      </c>
      <c r="B75" s="379" t="s">
        <v>256</v>
      </c>
      <c r="C75" s="602">
        <v>0</v>
      </c>
      <c r="D75" s="709">
        <v>0</v>
      </c>
      <c r="E75" s="710">
        <v>0</v>
      </c>
      <c r="F75" s="710">
        <v>0</v>
      </c>
      <c r="G75" s="526" t="str">
        <f t="shared" si="4"/>
        <v/>
      </c>
      <c r="H75" s="470" t="str">
        <f t="shared" si="5"/>
        <v/>
      </c>
      <c r="I75" s="524" t="str">
        <f t="shared" si="7"/>
        <v>否</v>
      </c>
      <c r="J75" s="312" t="str">
        <f t="shared" si="6"/>
        <v>项</v>
      </c>
    </row>
    <row r="76" s="372" customFormat="1" ht="24" hidden="1" customHeight="1" spans="1:10">
      <c r="A76" s="330">
        <v>2010750</v>
      </c>
      <c r="B76" s="379" t="s">
        <v>221</v>
      </c>
      <c r="C76" s="602">
        <v>0</v>
      </c>
      <c r="D76" s="709">
        <v>0</v>
      </c>
      <c r="E76" s="710">
        <v>0</v>
      </c>
      <c r="F76" s="710">
        <v>0</v>
      </c>
      <c r="G76" s="526" t="str">
        <f t="shared" si="4"/>
        <v/>
      </c>
      <c r="H76" s="470" t="str">
        <f t="shared" si="5"/>
        <v/>
      </c>
      <c r="I76" s="524" t="str">
        <f t="shared" si="7"/>
        <v>否</v>
      </c>
      <c r="J76" s="312" t="str">
        <f t="shared" si="6"/>
        <v>项</v>
      </c>
    </row>
    <row r="77" s="372" customFormat="1" ht="24" hidden="1" customHeight="1" spans="1:10">
      <c r="A77" s="330">
        <v>2010799</v>
      </c>
      <c r="B77" s="379" t="s">
        <v>257</v>
      </c>
      <c r="C77" s="602">
        <v>0</v>
      </c>
      <c r="D77" s="709">
        <v>0</v>
      </c>
      <c r="E77" s="710">
        <v>0</v>
      </c>
      <c r="F77" s="710">
        <v>0</v>
      </c>
      <c r="G77" s="526" t="str">
        <f t="shared" si="4"/>
        <v/>
      </c>
      <c r="H77" s="470" t="str">
        <f t="shared" si="5"/>
        <v/>
      </c>
      <c r="I77" s="524" t="str">
        <f t="shared" si="7"/>
        <v>否</v>
      </c>
      <c r="J77" s="312" t="str">
        <f t="shared" si="6"/>
        <v>项</v>
      </c>
    </row>
    <row r="78" s="372" customFormat="1" ht="24" customHeight="1" spans="1:10">
      <c r="A78" s="330">
        <v>20108</v>
      </c>
      <c r="B78" s="379" t="s">
        <v>258</v>
      </c>
      <c r="C78" s="601">
        <v>338</v>
      </c>
      <c r="D78" s="708">
        <f>SUM(D79:D86)</f>
        <v>340</v>
      </c>
      <c r="E78" s="708">
        <f>SUM(E79:E86)</f>
        <v>340</v>
      </c>
      <c r="F78" s="708">
        <f>SUM(F79:F86)</f>
        <v>166</v>
      </c>
      <c r="G78" s="523">
        <f t="shared" si="4"/>
        <v>-0.50887573964497</v>
      </c>
      <c r="H78" s="467">
        <f t="shared" si="5"/>
        <v>0.488235294117647</v>
      </c>
      <c r="I78" s="524" t="str">
        <f t="shared" si="7"/>
        <v>是</v>
      </c>
      <c r="J78" s="312" t="str">
        <f t="shared" si="6"/>
        <v>款</v>
      </c>
    </row>
    <row r="79" s="372" customFormat="1" ht="24" hidden="1" customHeight="1" spans="1:10">
      <c r="A79" s="330">
        <v>2010801</v>
      </c>
      <c r="B79" s="379" t="s">
        <v>212</v>
      </c>
      <c r="C79" s="602">
        <v>0</v>
      </c>
      <c r="D79" s="709">
        <v>0</v>
      </c>
      <c r="E79" s="710">
        <v>0</v>
      </c>
      <c r="F79" s="710">
        <v>0</v>
      </c>
      <c r="G79" s="526" t="str">
        <f t="shared" si="4"/>
        <v/>
      </c>
      <c r="H79" s="470" t="str">
        <f t="shared" si="5"/>
        <v/>
      </c>
      <c r="I79" s="524" t="str">
        <f t="shared" si="7"/>
        <v>否</v>
      </c>
      <c r="J79" s="312" t="str">
        <f t="shared" si="6"/>
        <v>项</v>
      </c>
    </row>
    <row r="80" s="372" customFormat="1" ht="24" hidden="1" customHeight="1" spans="1:10">
      <c r="A80" s="330">
        <v>2010802</v>
      </c>
      <c r="B80" s="379" t="s">
        <v>213</v>
      </c>
      <c r="C80" s="602">
        <v>0</v>
      </c>
      <c r="D80" s="709">
        <v>0</v>
      </c>
      <c r="E80" s="710">
        <v>0</v>
      </c>
      <c r="F80" s="710">
        <v>0</v>
      </c>
      <c r="G80" s="526" t="str">
        <f t="shared" si="4"/>
        <v/>
      </c>
      <c r="H80" s="470" t="str">
        <f t="shared" si="5"/>
        <v/>
      </c>
      <c r="I80" s="524" t="str">
        <f t="shared" si="7"/>
        <v>否</v>
      </c>
      <c r="J80" s="312" t="str">
        <f t="shared" si="6"/>
        <v>项</v>
      </c>
    </row>
    <row r="81" s="372" customFormat="1" ht="24" hidden="1" customHeight="1" spans="1:10">
      <c r="A81" s="330">
        <v>2010803</v>
      </c>
      <c r="B81" s="379" t="s">
        <v>214</v>
      </c>
      <c r="C81" s="602">
        <v>0</v>
      </c>
      <c r="D81" s="709">
        <v>0</v>
      </c>
      <c r="E81" s="710">
        <v>0</v>
      </c>
      <c r="F81" s="710">
        <v>0</v>
      </c>
      <c r="G81" s="526" t="str">
        <f t="shared" si="4"/>
        <v/>
      </c>
      <c r="H81" s="470" t="str">
        <f t="shared" si="5"/>
        <v/>
      </c>
      <c r="I81" s="524" t="str">
        <f t="shared" si="7"/>
        <v>否</v>
      </c>
      <c r="J81" s="312" t="str">
        <f t="shared" si="6"/>
        <v>项</v>
      </c>
    </row>
    <row r="82" s="372" customFormat="1" ht="24" customHeight="1" spans="1:10">
      <c r="A82" s="330">
        <v>2010804</v>
      </c>
      <c r="B82" s="379" t="s">
        <v>259</v>
      </c>
      <c r="C82" s="602">
        <v>320</v>
      </c>
      <c r="D82" s="709">
        <v>320</v>
      </c>
      <c r="E82" s="710">
        <v>320</v>
      </c>
      <c r="F82" s="710">
        <v>151</v>
      </c>
      <c r="G82" s="526">
        <f t="shared" si="4"/>
        <v>-0.528125</v>
      </c>
      <c r="H82" s="470">
        <f t="shared" si="5"/>
        <v>0.471875</v>
      </c>
      <c r="I82" s="524" t="str">
        <f t="shared" si="7"/>
        <v>是</v>
      </c>
      <c r="J82" s="312" t="str">
        <f t="shared" si="6"/>
        <v>项</v>
      </c>
    </row>
    <row r="83" ht="24" hidden="1" customHeight="1" spans="1:10">
      <c r="A83" s="330">
        <v>2010805</v>
      </c>
      <c r="B83" s="379" t="s">
        <v>260</v>
      </c>
      <c r="C83" s="602">
        <v>0</v>
      </c>
      <c r="D83" s="709">
        <v>0</v>
      </c>
      <c r="E83" s="710">
        <v>0</v>
      </c>
      <c r="F83" s="710">
        <v>0</v>
      </c>
      <c r="G83" s="526" t="str">
        <f t="shared" si="4"/>
        <v/>
      </c>
      <c r="H83" s="470" t="str">
        <f t="shared" si="5"/>
        <v/>
      </c>
      <c r="I83" s="524" t="str">
        <f t="shared" si="7"/>
        <v>否</v>
      </c>
      <c r="J83" s="312" t="str">
        <f t="shared" si="6"/>
        <v>项</v>
      </c>
    </row>
    <row r="84" s="372" customFormat="1" ht="24" hidden="1" customHeight="1" spans="1:10">
      <c r="A84" s="330">
        <v>2010806</v>
      </c>
      <c r="B84" s="379" t="s">
        <v>252</v>
      </c>
      <c r="C84" s="602">
        <v>0</v>
      </c>
      <c r="D84" s="709">
        <v>0</v>
      </c>
      <c r="E84" s="710">
        <v>0</v>
      </c>
      <c r="F84" s="710">
        <v>0</v>
      </c>
      <c r="G84" s="526" t="str">
        <f t="shared" si="4"/>
        <v/>
      </c>
      <c r="H84" s="470" t="str">
        <f t="shared" si="5"/>
        <v/>
      </c>
      <c r="I84" s="524" t="str">
        <f t="shared" si="7"/>
        <v>否</v>
      </c>
      <c r="J84" s="312" t="str">
        <f t="shared" si="6"/>
        <v>项</v>
      </c>
    </row>
    <row r="85" s="372" customFormat="1" ht="24" customHeight="1" spans="1:10">
      <c r="A85" s="330">
        <v>2010850</v>
      </c>
      <c r="B85" s="379" t="s">
        <v>221</v>
      </c>
      <c r="C85" s="602">
        <v>18</v>
      </c>
      <c r="D85" s="709">
        <v>20</v>
      </c>
      <c r="E85" s="710">
        <v>20</v>
      </c>
      <c r="F85" s="710">
        <v>15</v>
      </c>
      <c r="G85" s="526">
        <f t="shared" si="4"/>
        <v>-0.166666666666667</v>
      </c>
      <c r="H85" s="470">
        <f t="shared" si="5"/>
        <v>0.75</v>
      </c>
      <c r="I85" s="524" t="str">
        <f t="shared" si="7"/>
        <v>是</v>
      </c>
      <c r="J85" s="312" t="str">
        <f t="shared" si="6"/>
        <v>项</v>
      </c>
    </row>
    <row r="86" s="372" customFormat="1" ht="24" hidden="1" customHeight="1" spans="1:10">
      <c r="A86" s="330">
        <v>2010899</v>
      </c>
      <c r="B86" s="379" t="s">
        <v>261</v>
      </c>
      <c r="C86" s="602">
        <v>0</v>
      </c>
      <c r="D86" s="709">
        <v>0</v>
      </c>
      <c r="E86" s="710">
        <v>0</v>
      </c>
      <c r="F86" s="710">
        <v>0</v>
      </c>
      <c r="G86" s="526" t="str">
        <f t="shared" si="4"/>
        <v/>
      </c>
      <c r="H86" s="470" t="str">
        <f t="shared" si="5"/>
        <v/>
      </c>
      <c r="I86" s="524" t="str">
        <f t="shared" si="7"/>
        <v>否</v>
      </c>
      <c r="J86" s="312" t="str">
        <f t="shared" si="6"/>
        <v>项</v>
      </c>
    </row>
    <row r="87" s="372" customFormat="1" ht="24" customHeight="1" spans="1:10">
      <c r="A87" s="330">
        <v>20109</v>
      </c>
      <c r="B87" s="379" t="s">
        <v>262</v>
      </c>
      <c r="C87" s="601">
        <v>98</v>
      </c>
      <c r="D87" s="708">
        <f>SUM(D88:D99)</f>
        <v>95</v>
      </c>
      <c r="E87" s="708">
        <f>SUM(E88:E99)</f>
        <v>95</v>
      </c>
      <c r="F87" s="708">
        <f>SUM(F88:F99)</f>
        <v>97</v>
      </c>
      <c r="G87" s="523">
        <f t="shared" si="4"/>
        <v>-0.0102040816326531</v>
      </c>
      <c r="H87" s="467">
        <f t="shared" si="5"/>
        <v>1.02105263157895</v>
      </c>
      <c r="I87" s="524" t="str">
        <f t="shared" si="7"/>
        <v>是</v>
      </c>
      <c r="J87" s="312" t="str">
        <f t="shared" si="6"/>
        <v>款</v>
      </c>
    </row>
    <row r="88" s="372" customFormat="1" ht="24" customHeight="1" spans="1:10">
      <c r="A88" s="330">
        <v>2010901</v>
      </c>
      <c r="B88" s="379" t="s">
        <v>212</v>
      </c>
      <c r="C88" s="602">
        <v>0</v>
      </c>
      <c r="D88" s="709">
        <v>0</v>
      </c>
      <c r="E88" s="710">
        <v>0</v>
      </c>
      <c r="F88" s="710">
        <v>2</v>
      </c>
      <c r="G88" s="526" t="str">
        <f t="shared" si="4"/>
        <v/>
      </c>
      <c r="H88" s="470" t="str">
        <f t="shared" si="5"/>
        <v/>
      </c>
      <c r="I88" s="524" t="str">
        <f t="shared" si="7"/>
        <v>是</v>
      </c>
      <c r="J88" s="312" t="str">
        <f t="shared" si="6"/>
        <v>项</v>
      </c>
    </row>
    <row r="89" s="372" customFormat="1" ht="24" customHeight="1" spans="1:10">
      <c r="A89" s="330">
        <v>2010902</v>
      </c>
      <c r="B89" s="379" t="s">
        <v>213</v>
      </c>
      <c r="C89" s="602">
        <v>98</v>
      </c>
      <c r="D89" s="709">
        <v>95</v>
      </c>
      <c r="E89" s="710">
        <v>95</v>
      </c>
      <c r="F89" s="710">
        <v>95</v>
      </c>
      <c r="G89" s="526">
        <f t="shared" si="4"/>
        <v>-0.0306122448979592</v>
      </c>
      <c r="H89" s="470">
        <f t="shared" si="5"/>
        <v>1</v>
      </c>
      <c r="I89" s="524" t="str">
        <f t="shared" si="7"/>
        <v>是</v>
      </c>
      <c r="J89" s="312" t="str">
        <f t="shared" si="6"/>
        <v>项</v>
      </c>
    </row>
    <row r="90" s="372" customFormat="1" ht="24" hidden="1" customHeight="1" spans="1:10">
      <c r="A90" s="330">
        <v>2010903</v>
      </c>
      <c r="B90" s="379" t="s">
        <v>214</v>
      </c>
      <c r="C90" s="602">
        <v>0</v>
      </c>
      <c r="D90" s="709">
        <v>0</v>
      </c>
      <c r="E90" s="710">
        <v>0</v>
      </c>
      <c r="F90" s="710">
        <v>0</v>
      </c>
      <c r="G90" s="526" t="str">
        <f t="shared" si="4"/>
        <v/>
      </c>
      <c r="H90" s="470" t="str">
        <f t="shared" si="5"/>
        <v/>
      </c>
      <c r="I90" s="524" t="str">
        <f t="shared" si="7"/>
        <v>否</v>
      </c>
      <c r="J90" s="312" t="str">
        <f t="shared" si="6"/>
        <v>项</v>
      </c>
    </row>
    <row r="91" s="372" customFormat="1" ht="24" hidden="1" customHeight="1" spans="1:10">
      <c r="A91" s="330">
        <v>2010905</v>
      </c>
      <c r="B91" s="379" t="s">
        <v>263</v>
      </c>
      <c r="C91" s="602">
        <v>0</v>
      </c>
      <c r="D91" s="709">
        <v>0</v>
      </c>
      <c r="E91" s="710">
        <v>0</v>
      </c>
      <c r="F91" s="710">
        <v>0</v>
      </c>
      <c r="G91" s="526" t="str">
        <f t="shared" si="4"/>
        <v/>
      </c>
      <c r="H91" s="470" t="str">
        <f t="shared" si="5"/>
        <v/>
      </c>
      <c r="I91" s="524" t="str">
        <f t="shared" si="7"/>
        <v>否</v>
      </c>
      <c r="J91" s="312" t="str">
        <f t="shared" si="6"/>
        <v>项</v>
      </c>
    </row>
    <row r="92" ht="24" hidden="1" customHeight="1" spans="1:10">
      <c r="A92" s="330">
        <v>2010907</v>
      </c>
      <c r="B92" s="379" t="s">
        <v>264</v>
      </c>
      <c r="C92" s="602">
        <v>0</v>
      </c>
      <c r="D92" s="709">
        <v>0</v>
      </c>
      <c r="E92" s="710">
        <v>0</v>
      </c>
      <c r="F92" s="710">
        <v>0</v>
      </c>
      <c r="G92" s="526" t="str">
        <f t="shared" si="4"/>
        <v/>
      </c>
      <c r="H92" s="470" t="str">
        <f t="shared" si="5"/>
        <v/>
      </c>
      <c r="I92" s="524" t="str">
        <f t="shared" si="7"/>
        <v>否</v>
      </c>
      <c r="J92" s="312" t="str">
        <f t="shared" si="6"/>
        <v>项</v>
      </c>
    </row>
    <row r="93" s="372" customFormat="1" ht="24" hidden="1" customHeight="1" spans="1:10">
      <c r="A93" s="330">
        <v>2010908</v>
      </c>
      <c r="B93" s="379" t="s">
        <v>252</v>
      </c>
      <c r="C93" s="602">
        <v>0</v>
      </c>
      <c r="D93" s="709">
        <v>0</v>
      </c>
      <c r="E93" s="710">
        <v>0</v>
      </c>
      <c r="F93" s="710">
        <v>0</v>
      </c>
      <c r="G93" s="526" t="str">
        <f t="shared" si="4"/>
        <v/>
      </c>
      <c r="H93" s="470" t="str">
        <f t="shared" si="5"/>
        <v/>
      </c>
      <c r="I93" s="524" t="str">
        <f t="shared" si="7"/>
        <v>否</v>
      </c>
      <c r="J93" s="312" t="str">
        <f t="shared" si="6"/>
        <v>项</v>
      </c>
    </row>
    <row r="94" s="372" customFormat="1" ht="24" hidden="1" customHeight="1" spans="1:10">
      <c r="A94" s="330">
        <v>2010909</v>
      </c>
      <c r="B94" s="379" t="s">
        <v>265</v>
      </c>
      <c r="C94" s="602">
        <v>0</v>
      </c>
      <c r="D94" s="709">
        <v>0</v>
      </c>
      <c r="E94" s="710">
        <v>0</v>
      </c>
      <c r="F94" s="710">
        <v>0</v>
      </c>
      <c r="G94" s="526" t="str">
        <f t="shared" si="4"/>
        <v/>
      </c>
      <c r="H94" s="470" t="str">
        <f t="shared" si="5"/>
        <v/>
      </c>
      <c r="I94" s="524" t="str">
        <f t="shared" si="7"/>
        <v>否</v>
      </c>
      <c r="J94" s="312" t="str">
        <f t="shared" si="6"/>
        <v>项</v>
      </c>
    </row>
    <row r="95" s="372" customFormat="1" ht="24" hidden="1" customHeight="1" spans="1:10">
      <c r="A95" s="330">
        <v>2010910</v>
      </c>
      <c r="B95" s="379" t="s">
        <v>266</v>
      </c>
      <c r="C95" s="602">
        <v>0</v>
      </c>
      <c r="D95" s="709">
        <v>0</v>
      </c>
      <c r="E95" s="710">
        <v>0</v>
      </c>
      <c r="F95" s="710">
        <v>0</v>
      </c>
      <c r="G95" s="526" t="str">
        <f t="shared" si="4"/>
        <v/>
      </c>
      <c r="H95" s="470" t="str">
        <f t="shared" si="5"/>
        <v/>
      </c>
      <c r="I95" s="524" t="str">
        <f t="shared" si="7"/>
        <v>否</v>
      </c>
      <c r="J95" s="312" t="str">
        <f t="shared" si="6"/>
        <v>项</v>
      </c>
    </row>
    <row r="96" s="372" customFormat="1" ht="24" hidden="1" customHeight="1" spans="1:10">
      <c r="A96" s="330">
        <v>2010911</v>
      </c>
      <c r="B96" s="379" t="s">
        <v>267</v>
      </c>
      <c r="C96" s="602">
        <v>0</v>
      </c>
      <c r="D96" s="709">
        <v>0</v>
      </c>
      <c r="E96" s="710">
        <v>0</v>
      </c>
      <c r="F96" s="710">
        <v>0</v>
      </c>
      <c r="G96" s="526" t="str">
        <f t="shared" si="4"/>
        <v/>
      </c>
      <c r="H96" s="470" t="str">
        <f t="shared" si="5"/>
        <v/>
      </c>
      <c r="I96" s="524" t="str">
        <f t="shared" si="7"/>
        <v>否</v>
      </c>
      <c r="J96" s="312" t="str">
        <f t="shared" si="6"/>
        <v>项</v>
      </c>
    </row>
    <row r="97" s="372" customFormat="1" ht="24" hidden="1" customHeight="1" spans="1:10">
      <c r="A97" s="330">
        <v>2010912</v>
      </c>
      <c r="B97" s="379" t="s">
        <v>268</v>
      </c>
      <c r="C97" s="602">
        <v>0</v>
      </c>
      <c r="D97" s="709">
        <v>0</v>
      </c>
      <c r="E97" s="710">
        <v>0</v>
      </c>
      <c r="F97" s="710">
        <v>0</v>
      </c>
      <c r="G97" s="526" t="str">
        <f t="shared" si="4"/>
        <v/>
      </c>
      <c r="H97" s="470" t="str">
        <f t="shared" si="5"/>
        <v/>
      </c>
      <c r="I97" s="524" t="str">
        <f t="shared" si="7"/>
        <v>否</v>
      </c>
      <c r="J97" s="312" t="str">
        <f t="shared" si="6"/>
        <v>项</v>
      </c>
    </row>
    <row r="98" s="372" customFormat="1" ht="24" hidden="1" customHeight="1" spans="1:10">
      <c r="A98" s="330">
        <v>2010950</v>
      </c>
      <c r="B98" s="379" t="s">
        <v>221</v>
      </c>
      <c r="C98" s="602">
        <v>0</v>
      </c>
      <c r="D98" s="709">
        <v>0</v>
      </c>
      <c r="E98" s="710">
        <v>0</v>
      </c>
      <c r="F98" s="710">
        <v>0</v>
      </c>
      <c r="G98" s="526" t="str">
        <f t="shared" si="4"/>
        <v/>
      </c>
      <c r="H98" s="470" t="str">
        <f t="shared" si="5"/>
        <v/>
      </c>
      <c r="I98" s="524" t="str">
        <f t="shared" si="7"/>
        <v>否</v>
      </c>
      <c r="J98" s="312" t="str">
        <f t="shared" si="6"/>
        <v>项</v>
      </c>
    </row>
    <row r="99" s="372" customFormat="1" ht="24" hidden="1" customHeight="1" spans="1:10">
      <c r="A99" s="330">
        <v>2010999</v>
      </c>
      <c r="B99" s="379" t="s">
        <v>269</v>
      </c>
      <c r="C99" s="602">
        <v>0</v>
      </c>
      <c r="D99" s="709">
        <v>0</v>
      </c>
      <c r="E99" s="710">
        <v>0</v>
      </c>
      <c r="F99" s="710">
        <v>0</v>
      </c>
      <c r="G99" s="526" t="str">
        <f t="shared" si="4"/>
        <v/>
      </c>
      <c r="H99" s="470" t="str">
        <f t="shared" si="5"/>
        <v/>
      </c>
      <c r="I99" s="524" t="str">
        <f t="shared" si="7"/>
        <v>否</v>
      </c>
      <c r="J99" s="312" t="str">
        <f t="shared" si="6"/>
        <v>项</v>
      </c>
    </row>
    <row r="100" s="372" customFormat="1" ht="24" customHeight="1" spans="1:10">
      <c r="A100" s="330">
        <v>20111</v>
      </c>
      <c r="B100" s="379" t="s">
        <v>270</v>
      </c>
      <c r="C100" s="601">
        <v>8071</v>
      </c>
      <c r="D100" s="708">
        <f>SUM(D101:D108)</f>
        <v>8225</v>
      </c>
      <c r="E100" s="708">
        <f>SUM(E101:E108)</f>
        <v>8225</v>
      </c>
      <c r="F100" s="708">
        <f>SUM(F101:F108)</f>
        <v>5216</v>
      </c>
      <c r="G100" s="523">
        <f t="shared" si="4"/>
        <v>-0.353735596580349</v>
      </c>
      <c r="H100" s="467">
        <f t="shared" si="5"/>
        <v>0.634164133738602</v>
      </c>
      <c r="I100" s="524" t="str">
        <f t="shared" si="7"/>
        <v>是</v>
      </c>
      <c r="J100" s="312" t="str">
        <f t="shared" si="6"/>
        <v>款</v>
      </c>
    </row>
    <row r="101" s="372" customFormat="1" ht="24" customHeight="1" spans="1:10">
      <c r="A101" s="330">
        <v>2011101</v>
      </c>
      <c r="B101" s="379" t="s">
        <v>212</v>
      </c>
      <c r="C101" s="602">
        <v>3408</v>
      </c>
      <c r="D101" s="709">
        <v>3685</v>
      </c>
      <c r="E101" s="710">
        <v>3685</v>
      </c>
      <c r="F101" s="710">
        <v>3455</v>
      </c>
      <c r="G101" s="526">
        <f t="shared" si="4"/>
        <v>0.0137910798122066</v>
      </c>
      <c r="H101" s="470">
        <f t="shared" si="5"/>
        <v>0.937584803256445</v>
      </c>
      <c r="I101" s="524" t="str">
        <f t="shared" si="7"/>
        <v>是</v>
      </c>
      <c r="J101" s="312" t="str">
        <f t="shared" si="6"/>
        <v>项</v>
      </c>
    </row>
    <row r="102" s="372" customFormat="1" ht="24" customHeight="1" spans="1:10">
      <c r="A102" s="330">
        <v>2011102</v>
      </c>
      <c r="B102" s="379" t="s">
        <v>213</v>
      </c>
      <c r="C102" s="602">
        <v>971</v>
      </c>
      <c r="D102" s="709">
        <v>1052</v>
      </c>
      <c r="E102" s="710">
        <v>1052</v>
      </c>
      <c r="F102" s="710">
        <v>1555</v>
      </c>
      <c r="G102" s="526">
        <f t="shared" si="4"/>
        <v>0.601441812564367</v>
      </c>
      <c r="H102" s="470">
        <f t="shared" si="5"/>
        <v>1.47813688212928</v>
      </c>
      <c r="I102" s="524" t="str">
        <f t="shared" si="7"/>
        <v>是</v>
      </c>
      <c r="J102" s="312" t="str">
        <f t="shared" si="6"/>
        <v>项</v>
      </c>
    </row>
    <row r="103" s="372" customFormat="1" ht="24" hidden="1" customHeight="1" spans="1:10">
      <c r="A103" s="330">
        <v>2011103</v>
      </c>
      <c r="B103" s="379" t="s">
        <v>214</v>
      </c>
      <c r="C103" s="602">
        <v>0</v>
      </c>
      <c r="D103" s="709">
        <v>0</v>
      </c>
      <c r="E103" s="710">
        <v>0</v>
      </c>
      <c r="F103" s="710">
        <v>0</v>
      </c>
      <c r="G103" s="526" t="str">
        <f t="shared" si="4"/>
        <v/>
      </c>
      <c r="H103" s="470" t="str">
        <f t="shared" si="5"/>
        <v/>
      </c>
      <c r="I103" s="524" t="str">
        <f t="shared" si="7"/>
        <v>否</v>
      </c>
      <c r="J103" s="312" t="str">
        <f t="shared" si="6"/>
        <v>项</v>
      </c>
    </row>
    <row r="104" s="372" customFormat="1" ht="24" customHeight="1" spans="1:10">
      <c r="A104" s="330">
        <v>2011104</v>
      </c>
      <c r="B104" s="379" t="s">
        <v>271</v>
      </c>
      <c r="C104" s="602">
        <v>482</v>
      </c>
      <c r="D104" s="709">
        <v>567</v>
      </c>
      <c r="E104" s="710">
        <v>567</v>
      </c>
      <c r="F104" s="710">
        <v>930</v>
      </c>
      <c r="G104" s="526">
        <f t="shared" si="4"/>
        <v>0.929460580912863</v>
      </c>
      <c r="H104" s="470">
        <f t="shared" si="5"/>
        <v>1.64021164021164</v>
      </c>
      <c r="I104" s="524" t="str">
        <f t="shared" si="7"/>
        <v>是</v>
      </c>
      <c r="J104" s="312" t="str">
        <f t="shared" si="6"/>
        <v>项</v>
      </c>
    </row>
    <row r="105" s="372" customFormat="1" ht="24" hidden="1" customHeight="1" spans="1:10">
      <c r="A105" s="330">
        <v>2011105</v>
      </c>
      <c r="B105" s="379" t="s">
        <v>272</v>
      </c>
      <c r="C105" s="602">
        <v>0</v>
      </c>
      <c r="D105" s="709">
        <v>0</v>
      </c>
      <c r="E105" s="710">
        <v>0</v>
      </c>
      <c r="F105" s="710">
        <v>0</v>
      </c>
      <c r="G105" s="526" t="str">
        <f t="shared" si="4"/>
        <v/>
      </c>
      <c r="H105" s="470" t="str">
        <f t="shared" si="5"/>
        <v/>
      </c>
      <c r="I105" s="524" t="str">
        <f t="shared" si="7"/>
        <v>否</v>
      </c>
      <c r="J105" s="312" t="str">
        <f t="shared" si="6"/>
        <v>项</v>
      </c>
    </row>
    <row r="106" s="372" customFormat="1" ht="24" hidden="1" customHeight="1" spans="1:10">
      <c r="A106" s="330">
        <v>2011106</v>
      </c>
      <c r="B106" s="379" t="s">
        <v>273</v>
      </c>
      <c r="C106" s="602">
        <v>0</v>
      </c>
      <c r="D106" s="709">
        <v>0</v>
      </c>
      <c r="E106" s="710">
        <v>0</v>
      </c>
      <c r="F106" s="710">
        <v>0</v>
      </c>
      <c r="G106" s="526" t="str">
        <f t="shared" si="4"/>
        <v/>
      </c>
      <c r="H106" s="470" t="str">
        <f t="shared" si="5"/>
        <v/>
      </c>
      <c r="I106" s="524" t="str">
        <f t="shared" si="7"/>
        <v>否</v>
      </c>
      <c r="J106" s="312" t="str">
        <f t="shared" si="6"/>
        <v>项</v>
      </c>
    </row>
    <row r="107" s="372" customFormat="1" ht="24" customHeight="1" spans="1:10">
      <c r="A107" s="330">
        <v>2011150</v>
      </c>
      <c r="B107" s="379" t="s">
        <v>221</v>
      </c>
      <c r="C107" s="602">
        <v>146</v>
      </c>
      <c r="D107" s="709">
        <v>165</v>
      </c>
      <c r="E107" s="710">
        <v>165</v>
      </c>
      <c r="F107" s="710">
        <v>189</v>
      </c>
      <c r="G107" s="526">
        <f t="shared" si="4"/>
        <v>0.294520547945205</v>
      </c>
      <c r="H107" s="470">
        <f t="shared" si="5"/>
        <v>1.14545454545455</v>
      </c>
      <c r="I107" s="524" t="str">
        <f t="shared" si="7"/>
        <v>是</v>
      </c>
      <c r="J107" s="312" t="str">
        <f t="shared" si="6"/>
        <v>项</v>
      </c>
    </row>
    <row r="108" s="372" customFormat="1" ht="24" customHeight="1" spans="1:10">
      <c r="A108" s="330">
        <v>2011199</v>
      </c>
      <c r="B108" s="379" t="s">
        <v>274</v>
      </c>
      <c r="C108" s="602">
        <v>3064</v>
      </c>
      <c r="D108" s="709">
        <v>2756</v>
      </c>
      <c r="E108" s="710">
        <v>2756</v>
      </c>
      <c r="F108" s="710">
        <v>-913</v>
      </c>
      <c r="G108" s="526">
        <f t="shared" si="4"/>
        <v>-1.29797650130548</v>
      </c>
      <c r="H108" s="470">
        <f t="shared" si="5"/>
        <v>-0.331277213352685</v>
      </c>
      <c r="I108" s="524" t="str">
        <f t="shared" si="7"/>
        <v>是</v>
      </c>
      <c r="J108" s="312" t="str">
        <f t="shared" si="6"/>
        <v>项</v>
      </c>
    </row>
    <row r="109" s="372" customFormat="1" ht="24" customHeight="1" spans="1:10">
      <c r="A109" s="330">
        <v>20113</v>
      </c>
      <c r="B109" s="379" t="s">
        <v>275</v>
      </c>
      <c r="C109" s="601">
        <v>1057</v>
      </c>
      <c r="D109" s="708">
        <f>SUM(D110:D119)</f>
        <v>1114</v>
      </c>
      <c r="E109" s="708">
        <f>SUM(E110:E119)</f>
        <v>1114</v>
      </c>
      <c r="F109" s="708">
        <f>SUM(F110:F119)</f>
        <v>996</v>
      </c>
      <c r="G109" s="523">
        <f t="shared" si="4"/>
        <v>-0.0577105014191107</v>
      </c>
      <c r="H109" s="467">
        <f t="shared" si="5"/>
        <v>0.894075403949731</v>
      </c>
      <c r="I109" s="524" t="str">
        <f t="shared" si="7"/>
        <v>是</v>
      </c>
      <c r="J109" s="312" t="str">
        <f t="shared" si="6"/>
        <v>款</v>
      </c>
    </row>
    <row r="110" s="372" customFormat="1" ht="24" customHeight="1" spans="1:10">
      <c r="A110" s="330">
        <v>2011301</v>
      </c>
      <c r="B110" s="379" t="s">
        <v>212</v>
      </c>
      <c r="C110" s="602">
        <v>727</v>
      </c>
      <c r="D110" s="709">
        <v>765</v>
      </c>
      <c r="E110" s="710">
        <v>765</v>
      </c>
      <c r="F110" s="710">
        <v>732</v>
      </c>
      <c r="G110" s="526">
        <f t="shared" si="4"/>
        <v>0.00687757909215956</v>
      </c>
      <c r="H110" s="470">
        <f t="shared" si="5"/>
        <v>0.956862745098039</v>
      </c>
      <c r="I110" s="524" t="str">
        <f t="shared" si="7"/>
        <v>是</v>
      </c>
      <c r="J110" s="312" t="str">
        <f t="shared" si="6"/>
        <v>项</v>
      </c>
    </row>
    <row r="111" s="372" customFormat="1" ht="24" customHeight="1" spans="1:10">
      <c r="A111" s="330">
        <v>2011302</v>
      </c>
      <c r="B111" s="379" t="s">
        <v>213</v>
      </c>
      <c r="C111" s="602">
        <v>75</v>
      </c>
      <c r="D111" s="709">
        <v>65</v>
      </c>
      <c r="E111" s="710">
        <v>65</v>
      </c>
      <c r="F111" s="710">
        <v>106</v>
      </c>
      <c r="G111" s="526">
        <f t="shared" si="4"/>
        <v>0.413333333333333</v>
      </c>
      <c r="H111" s="470">
        <f t="shared" si="5"/>
        <v>1.63076923076923</v>
      </c>
      <c r="I111" s="524" t="str">
        <f t="shared" si="7"/>
        <v>是</v>
      </c>
      <c r="J111" s="312" t="str">
        <f t="shared" si="6"/>
        <v>项</v>
      </c>
    </row>
    <row r="112" s="372" customFormat="1" ht="24" hidden="1" customHeight="1" spans="1:10">
      <c r="A112" s="330">
        <v>2011303</v>
      </c>
      <c r="B112" s="379" t="s">
        <v>214</v>
      </c>
      <c r="C112" s="602">
        <v>0</v>
      </c>
      <c r="D112" s="709">
        <v>0</v>
      </c>
      <c r="E112" s="710">
        <v>0</v>
      </c>
      <c r="F112" s="710">
        <v>0</v>
      </c>
      <c r="G112" s="526" t="str">
        <f t="shared" si="4"/>
        <v/>
      </c>
      <c r="H112" s="470" t="str">
        <f t="shared" si="5"/>
        <v/>
      </c>
      <c r="I112" s="524" t="str">
        <f t="shared" si="7"/>
        <v>否</v>
      </c>
      <c r="J112" s="312" t="str">
        <f t="shared" si="6"/>
        <v>项</v>
      </c>
    </row>
    <row r="113" s="372" customFormat="1" ht="24" hidden="1" customHeight="1" spans="1:10">
      <c r="A113" s="330">
        <v>2011304</v>
      </c>
      <c r="B113" s="379" t="s">
        <v>276</v>
      </c>
      <c r="C113" s="602">
        <v>0</v>
      </c>
      <c r="D113" s="709">
        <v>0</v>
      </c>
      <c r="E113" s="710">
        <v>0</v>
      </c>
      <c r="F113" s="710">
        <v>0</v>
      </c>
      <c r="G113" s="526" t="str">
        <f t="shared" si="4"/>
        <v/>
      </c>
      <c r="H113" s="470" t="str">
        <f t="shared" si="5"/>
        <v/>
      </c>
      <c r="I113" s="524" t="str">
        <f t="shared" si="7"/>
        <v>否</v>
      </c>
      <c r="J113" s="312" t="str">
        <f t="shared" si="6"/>
        <v>项</v>
      </c>
    </row>
    <row r="114" s="372" customFormat="1" ht="24" hidden="1" customHeight="1" spans="1:10">
      <c r="A114" s="330">
        <v>2011305</v>
      </c>
      <c r="B114" s="379" t="s">
        <v>277</v>
      </c>
      <c r="C114" s="602">
        <v>0</v>
      </c>
      <c r="D114" s="709">
        <v>0</v>
      </c>
      <c r="E114" s="710">
        <v>0</v>
      </c>
      <c r="F114" s="710">
        <v>0</v>
      </c>
      <c r="G114" s="526" t="str">
        <f t="shared" si="4"/>
        <v/>
      </c>
      <c r="H114" s="470" t="str">
        <f t="shared" si="5"/>
        <v/>
      </c>
      <c r="I114" s="524" t="str">
        <f t="shared" si="7"/>
        <v>否</v>
      </c>
      <c r="J114" s="312" t="str">
        <f t="shared" si="6"/>
        <v>项</v>
      </c>
    </row>
    <row r="115" ht="24" hidden="1" customHeight="1" spans="1:10">
      <c r="A115" s="330">
        <v>2011306</v>
      </c>
      <c r="B115" s="379" t="s">
        <v>278</v>
      </c>
      <c r="C115" s="602">
        <v>0</v>
      </c>
      <c r="D115" s="709">
        <v>0</v>
      </c>
      <c r="E115" s="710">
        <v>0</v>
      </c>
      <c r="F115" s="710">
        <v>0</v>
      </c>
      <c r="G115" s="526" t="str">
        <f t="shared" si="4"/>
        <v/>
      </c>
      <c r="H115" s="470" t="str">
        <f t="shared" si="5"/>
        <v/>
      </c>
      <c r="I115" s="524" t="str">
        <f t="shared" si="7"/>
        <v>否</v>
      </c>
      <c r="J115" s="312" t="str">
        <f t="shared" si="6"/>
        <v>项</v>
      </c>
    </row>
    <row r="116" s="372" customFormat="1" ht="24" hidden="1" customHeight="1" spans="1:10">
      <c r="A116" s="330">
        <v>2011307</v>
      </c>
      <c r="B116" s="379" t="s">
        <v>279</v>
      </c>
      <c r="C116" s="602">
        <v>0</v>
      </c>
      <c r="D116" s="709">
        <v>0</v>
      </c>
      <c r="E116" s="710">
        <v>0</v>
      </c>
      <c r="F116" s="710">
        <v>0</v>
      </c>
      <c r="G116" s="526" t="str">
        <f t="shared" si="4"/>
        <v/>
      </c>
      <c r="H116" s="470" t="str">
        <f t="shared" si="5"/>
        <v/>
      </c>
      <c r="I116" s="524" t="str">
        <f t="shared" si="7"/>
        <v>否</v>
      </c>
      <c r="J116" s="312" t="str">
        <f t="shared" si="6"/>
        <v>项</v>
      </c>
    </row>
    <row r="117" s="372" customFormat="1" ht="24" customHeight="1" spans="1:10">
      <c r="A117" s="330">
        <v>2011308</v>
      </c>
      <c r="B117" s="379" t="s">
        <v>280</v>
      </c>
      <c r="C117" s="602">
        <v>190</v>
      </c>
      <c r="D117" s="709">
        <v>200</v>
      </c>
      <c r="E117" s="710">
        <v>200</v>
      </c>
      <c r="F117" s="710">
        <v>86</v>
      </c>
      <c r="G117" s="526">
        <f t="shared" si="4"/>
        <v>-0.547368421052632</v>
      </c>
      <c r="H117" s="470">
        <f t="shared" si="5"/>
        <v>0.43</v>
      </c>
      <c r="I117" s="524" t="str">
        <f t="shared" si="7"/>
        <v>是</v>
      </c>
      <c r="J117" s="312" t="str">
        <f t="shared" si="6"/>
        <v>项</v>
      </c>
    </row>
    <row r="118" s="372" customFormat="1" ht="24" customHeight="1" spans="1:10">
      <c r="A118" s="330">
        <v>2011350</v>
      </c>
      <c r="B118" s="379" t="s">
        <v>221</v>
      </c>
      <c r="C118" s="602">
        <v>52</v>
      </c>
      <c r="D118" s="709">
        <v>64</v>
      </c>
      <c r="E118" s="710">
        <v>64</v>
      </c>
      <c r="F118" s="710">
        <v>58</v>
      </c>
      <c r="G118" s="526">
        <f t="shared" si="4"/>
        <v>0.115384615384615</v>
      </c>
      <c r="H118" s="470">
        <f t="shared" si="5"/>
        <v>0.90625</v>
      </c>
      <c r="I118" s="524" t="str">
        <f t="shared" si="7"/>
        <v>是</v>
      </c>
      <c r="J118" s="312" t="str">
        <f t="shared" si="6"/>
        <v>项</v>
      </c>
    </row>
    <row r="119" s="372" customFormat="1" ht="24" customHeight="1" spans="1:10">
      <c r="A119" s="330">
        <v>2011399</v>
      </c>
      <c r="B119" s="379" t="s">
        <v>281</v>
      </c>
      <c r="C119" s="602">
        <v>13</v>
      </c>
      <c r="D119" s="709">
        <v>20</v>
      </c>
      <c r="E119" s="710">
        <v>20</v>
      </c>
      <c r="F119" s="710">
        <v>14</v>
      </c>
      <c r="G119" s="526">
        <f t="shared" si="4"/>
        <v>0.0769230769230769</v>
      </c>
      <c r="H119" s="470">
        <f t="shared" si="5"/>
        <v>0.7</v>
      </c>
      <c r="I119" s="524" t="str">
        <f t="shared" si="7"/>
        <v>是</v>
      </c>
      <c r="J119" s="312" t="str">
        <f t="shared" si="6"/>
        <v>项</v>
      </c>
    </row>
    <row r="120" s="372" customFormat="1" ht="24" customHeight="1" spans="1:10">
      <c r="A120" s="330">
        <v>20114</v>
      </c>
      <c r="B120" s="379" t="s">
        <v>282</v>
      </c>
      <c r="C120" s="601">
        <v>54</v>
      </c>
      <c r="D120" s="708">
        <f>SUM(D121:D131)</f>
        <v>53</v>
      </c>
      <c r="E120" s="708">
        <f>SUM(E121:E131)</f>
        <v>53</v>
      </c>
      <c r="F120" s="708">
        <f>SUM(F121:F131)</f>
        <v>2</v>
      </c>
      <c r="G120" s="523">
        <f t="shared" si="4"/>
        <v>-0.962962962962963</v>
      </c>
      <c r="H120" s="467">
        <f t="shared" si="5"/>
        <v>0.0377358490566038</v>
      </c>
      <c r="I120" s="524" t="str">
        <f t="shared" si="7"/>
        <v>是</v>
      </c>
      <c r="J120" s="312" t="str">
        <f t="shared" si="6"/>
        <v>款</v>
      </c>
    </row>
    <row r="121" s="372" customFormat="1" ht="24" hidden="1" customHeight="1" spans="1:10">
      <c r="A121" s="330">
        <v>2011401</v>
      </c>
      <c r="B121" s="379" t="s">
        <v>212</v>
      </c>
      <c r="C121" s="602">
        <v>0</v>
      </c>
      <c r="D121" s="709">
        <v>0</v>
      </c>
      <c r="E121" s="710">
        <v>0</v>
      </c>
      <c r="F121" s="710">
        <v>0</v>
      </c>
      <c r="G121" s="526" t="str">
        <f t="shared" si="4"/>
        <v/>
      </c>
      <c r="H121" s="470" t="str">
        <f t="shared" si="5"/>
        <v/>
      </c>
      <c r="I121" s="524" t="str">
        <f t="shared" si="7"/>
        <v>否</v>
      </c>
      <c r="J121" s="312" t="str">
        <f t="shared" si="6"/>
        <v>项</v>
      </c>
    </row>
    <row r="122" s="372" customFormat="1" ht="24" hidden="1" customHeight="1" spans="1:10">
      <c r="A122" s="330">
        <v>2011402</v>
      </c>
      <c r="B122" s="379" t="s">
        <v>213</v>
      </c>
      <c r="C122" s="602">
        <v>0</v>
      </c>
      <c r="D122" s="709">
        <v>0</v>
      </c>
      <c r="E122" s="710">
        <v>0</v>
      </c>
      <c r="F122" s="710">
        <v>0</v>
      </c>
      <c r="G122" s="526" t="str">
        <f t="shared" si="4"/>
        <v/>
      </c>
      <c r="H122" s="470" t="str">
        <f t="shared" si="5"/>
        <v/>
      </c>
      <c r="I122" s="524" t="str">
        <f t="shared" si="7"/>
        <v>否</v>
      </c>
      <c r="J122" s="312" t="str">
        <f t="shared" si="6"/>
        <v>项</v>
      </c>
    </row>
    <row r="123" s="372" customFormat="1" ht="24" hidden="1" customHeight="1" spans="1:10">
      <c r="A123" s="330">
        <v>2011403</v>
      </c>
      <c r="B123" s="379" t="s">
        <v>214</v>
      </c>
      <c r="C123" s="602">
        <v>0</v>
      </c>
      <c r="D123" s="709">
        <v>0</v>
      </c>
      <c r="E123" s="710">
        <v>0</v>
      </c>
      <c r="F123" s="710">
        <v>0</v>
      </c>
      <c r="G123" s="526" t="str">
        <f t="shared" si="4"/>
        <v/>
      </c>
      <c r="H123" s="470" t="str">
        <f t="shared" si="5"/>
        <v/>
      </c>
      <c r="I123" s="524" t="str">
        <f t="shared" si="7"/>
        <v>否</v>
      </c>
      <c r="J123" s="312" t="str">
        <f t="shared" si="6"/>
        <v>项</v>
      </c>
    </row>
    <row r="124" ht="24" hidden="1" customHeight="1" spans="1:10">
      <c r="A124" s="330">
        <v>2011404</v>
      </c>
      <c r="B124" s="379" t="s">
        <v>283</v>
      </c>
      <c r="C124" s="602">
        <v>0</v>
      </c>
      <c r="D124" s="709">
        <v>0</v>
      </c>
      <c r="E124" s="710">
        <v>0</v>
      </c>
      <c r="F124" s="710">
        <v>0</v>
      </c>
      <c r="G124" s="526" t="str">
        <f t="shared" si="4"/>
        <v/>
      </c>
      <c r="H124" s="470" t="str">
        <f t="shared" si="5"/>
        <v/>
      </c>
      <c r="I124" s="524" t="str">
        <f t="shared" si="7"/>
        <v>否</v>
      </c>
      <c r="J124" s="312" t="str">
        <f t="shared" si="6"/>
        <v>项</v>
      </c>
    </row>
    <row r="125" s="372" customFormat="1" ht="24" hidden="1" customHeight="1" spans="1:10">
      <c r="A125" s="330">
        <v>2011405</v>
      </c>
      <c r="B125" s="379" t="s">
        <v>284</v>
      </c>
      <c r="C125" s="602">
        <v>0</v>
      </c>
      <c r="D125" s="709">
        <v>0</v>
      </c>
      <c r="E125" s="710">
        <v>0</v>
      </c>
      <c r="F125" s="710">
        <v>0</v>
      </c>
      <c r="G125" s="526" t="str">
        <f t="shared" si="4"/>
        <v/>
      </c>
      <c r="H125" s="470" t="str">
        <f t="shared" si="5"/>
        <v/>
      </c>
      <c r="I125" s="524" t="str">
        <f t="shared" si="7"/>
        <v>否</v>
      </c>
      <c r="J125" s="312" t="str">
        <f t="shared" si="6"/>
        <v>项</v>
      </c>
    </row>
    <row r="126" s="372" customFormat="1" ht="24" hidden="1" customHeight="1" spans="1:10">
      <c r="A126" s="330">
        <v>2011408</v>
      </c>
      <c r="B126" s="379" t="s">
        <v>285</v>
      </c>
      <c r="C126" s="602">
        <v>0</v>
      </c>
      <c r="D126" s="709">
        <v>0</v>
      </c>
      <c r="E126" s="710">
        <v>0</v>
      </c>
      <c r="F126" s="710">
        <v>0</v>
      </c>
      <c r="G126" s="526" t="str">
        <f t="shared" si="4"/>
        <v/>
      </c>
      <c r="H126" s="470" t="str">
        <f t="shared" si="5"/>
        <v/>
      </c>
      <c r="I126" s="524" t="str">
        <f t="shared" si="7"/>
        <v>否</v>
      </c>
      <c r="J126" s="312" t="str">
        <f t="shared" si="6"/>
        <v>项</v>
      </c>
    </row>
    <row r="127" s="372" customFormat="1" ht="24" customHeight="1" spans="1:10">
      <c r="A127" s="330">
        <v>2011409</v>
      </c>
      <c r="B127" s="379" t="s">
        <v>286</v>
      </c>
      <c r="C127" s="602">
        <v>50</v>
      </c>
      <c r="D127" s="709">
        <v>50</v>
      </c>
      <c r="E127" s="710">
        <v>50</v>
      </c>
      <c r="F127" s="710">
        <v>0</v>
      </c>
      <c r="G127" s="526">
        <f t="shared" si="4"/>
        <v>-1</v>
      </c>
      <c r="H127" s="470">
        <f t="shared" si="5"/>
        <v>0</v>
      </c>
      <c r="I127" s="524" t="str">
        <f t="shared" si="7"/>
        <v>是</v>
      </c>
      <c r="J127" s="312" t="str">
        <f t="shared" si="6"/>
        <v>项</v>
      </c>
    </row>
    <row r="128" s="372" customFormat="1" ht="24" hidden="1" customHeight="1" spans="1:10">
      <c r="A128" s="330">
        <v>2011410</v>
      </c>
      <c r="B128" s="379" t="s">
        <v>287</v>
      </c>
      <c r="C128" s="602">
        <v>0</v>
      </c>
      <c r="D128" s="709">
        <v>0</v>
      </c>
      <c r="E128" s="710">
        <v>0</v>
      </c>
      <c r="F128" s="710">
        <v>0</v>
      </c>
      <c r="G128" s="526" t="str">
        <f t="shared" si="4"/>
        <v/>
      </c>
      <c r="H128" s="470" t="str">
        <f t="shared" si="5"/>
        <v/>
      </c>
      <c r="I128" s="524" t="str">
        <f t="shared" si="7"/>
        <v>否</v>
      </c>
      <c r="J128" s="312" t="str">
        <f t="shared" si="6"/>
        <v>项</v>
      </c>
    </row>
    <row r="129" s="372" customFormat="1" ht="24" hidden="1" customHeight="1" spans="1:10">
      <c r="A129" s="330">
        <v>2011411</v>
      </c>
      <c r="B129" s="379" t="s">
        <v>288</v>
      </c>
      <c r="C129" s="602">
        <v>0</v>
      </c>
      <c r="D129" s="709">
        <v>0</v>
      </c>
      <c r="E129" s="710">
        <v>0</v>
      </c>
      <c r="F129" s="710">
        <v>0</v>
      </c>
      <c r="G129" s="526" t="str">
        <f t="shared" si="4"/>
        <v/>
      </c>
      <c r="H129" s="470" t="str">
        <f t="shared" si="5"/>
        <v/>
      </c>
      <c r="I129" s="524" t="str">
        <f t="shared" si="7"/>
        <v>否</v>
      </c>
      <c r="J129" s="312" t="str">
        <f t="shared" si="6"/>
        <v>项</v>
      </c>
    </row>
    <row r="130" s="372" customFormat="1" ht="24" hidden="1" customHeight="1" spans="1:10">
      <c r="A130" s="330">
        <v>2011450</v>
      </c>
      <c r="B130" s="379" t="s">
        <v>221</v>
      </c>
      <c r="C130" s="602">
        <v>0</v>
      </c>
      <c r="D130" s="709">
        <v>0</v>
      </c>
      <c r="E130" s="710">
        <v>0</v>
      </c>
      <c r="F130" s="710">
        <v>0</v>
      </c>
      <c r="G130" s="526" t="str">
        <f t="shared" si="4"/>
        <v/>
      </c>
      <c r="H130" s="470" t="str">
        <f t="shared" si="5"/>
        <v/>
      </c>
      <c r="I130" s="524" t="str">
        <f t="shared" si="7"/>
        <v>否</v>
      </c>
      <c r="J130" s="312" t="str">
        <f t="shared" si="6"/>
        <v>项</v>
      </c>
    </row>
    <row r="131" s="372" customFormat="1" ht="24" customHeight="1" spans="1:10">
      <c r="A131" s="330">
        <v>2011499</v>
      </c>
      <c r="B131" s="379" t="s">
        <v>289</v>
      </c>
      <c r="C131" s="602">
        <v>4</v>
      </c>
      <c r="D131" s="709">
        <v>3</v>
      </c>
      <c r="E131" s="710">
        <v>3</v>
      </c>
      <c r="F131" s="710">
        <v>2</v>
      </c>
      <c r="G131" s="526">
        <f t="shared" si="4"/>
        <v>-0.5</v>
      </c>
      <c r="H131" s="470">
        <f t="shared" si="5"/>
        <v>0.666666666666667</v>
      </c>
      <c r="I131" s="524" t="str">
        <f t="shared" si="7"/>
        <v>是</v>
      </c>
      <c r="J131" s="312" t="str">
        <f t="shared" si="6"/>
        <v>项</v>
      </c>
    </row>
    <row r="132" s="372" customFormat="1" ht="24" customHeight="1" spans="1:10">
      <c r="A132" s="330">
        <v>20123</v>
      </c>
      <c r="B132" s="379" t="s">
        <v>290</v>
      </c>
      <c r="C132" s="601">
        <v>390</v>
      </c>
      <c r="D132" s="708">
        <f>SUM(D133:D138)</f>
        <v>425</v>
      </c>
      <c r="E132" s="708">
        <f>SUM(E133:E138)</f>
        <v>425</v>
      </c>
      <c r="F132" s="708">
        <f>SUM(F133:F138)</f>
        <v>377</v>
      </c>
      <c r="G132" s="523">
        <f t="shared" si="4"/>
        <v>-0.0333333333333333</v>
      </c>
      <c r="H132" s="467">
        <f t="shared" si="5"/>
        <v>0.887058823529412</v>
      </c>
      <c r="I132" s="524" t="str">
        <f t="shared" si="7"/>
        <v>是</v>
      </c>
      <c r="J132" s="312" t="str">
        <f t="shared" si="6"/>
        <v>款</v>
      </c>
    </row>
    <row r="133" s="372" customFormat="1" ht="24" customHeight="1" spans="1:10">
      <c r="A133" s="330">
        <v>2012301</v>
      </c>
      <c r="B133" s="379" t="s">
        <v>212</v>
      </c>
      <c r="C133" s="602">
        <v>355</v>
      </c>
      <c r="D133" s="709">
        <v>385</v>
      </c>
      <c r="E133" s="710">
        <v>385</v>
      </c>
      <c r="F133" s="710">
        <v>335</v>
      </c>
      <c r="G133" s="526">
        <f t="shared" ref="G133:G196" si="8">IFERROR((F133-C133)/C133,"")</f>
        <v>-0.0563380281690141</v>
      </c>
      <c r="H133" s="470">
        <f t="shared" ref="H133:H196" si="9">IFERROR(F133/D133,"")</f>
        <v>0.87012987012987</v>
      </c>
      <c r="I133" s="524" t="str">
        <f t="shared" si="7"/>
        <v>是</v>
      </c>
      <c r="J133" s="312" t="str">
        <f t="shared" ref="J133:J196" si="10">IF(LEN(A133)=3,"类",IF(LEN(A133)=5,"款","项"))</f>
        <v>项</v>
      </c>
    </row>
    <row r="134" s="372" customFormat="1" ht="24" customHeight="1" spans="1:10">
      <c r="A134" s="330">
        <v>2012302</v>
      </c>
      <c r="B134" s="379" t="s">
        <v>213</v>
      </c>
      <c r="C134" s="602">
        <v>3</v>
      </c>
      <c r="D134" s="709">
        <v>5</v>
      </c>
      <c r="E134" s="710">
        <v>5</v>
      </c>
      <c r="F134" s="710">
        <v>0</v>
      </c>
      <c r="G134" s="526">
        <f t="shared" si="8"/>
        <v>-1</v>
      </c>
      <c r="H134" s="470">
        <f t="shared" si="9"/>
        <v>0</v>
      </c>
      <c r="I134" s="524" t="str">
        <f t="shared" ref="I134:I197" si="11">IF(LEN(A134)=3,"是",IF(B134&lt;&gt;"",IF(SUM(C134:F134)&lt;&gt;0,"是","否"),"是"))</f>
        <v>是</v>
      </c>
      <c r="J134" s="312" t="str">
        <f t="shared" si="10"/>
        <v>项</v>
      </c>
    </row>
    <row r="135" ht="24" hidden="1" customHeight="1" spans="1:10">
      <c r="A135" s="330">
        <v>2012303</v>
      </c>
      <c r="B135" s="379" t="s">
        <v>214</v>
      </c>
      <c r="C135" s="602">
        <v>0</v>
      </c>
      <c r="D135" s="709">
        <v>0</v>
      </c>
      <c r="E135" s="710">
        <v>0</v>
      </c>
      <c r="F135" s="710">
        <v>0</v>
      </c>
      <c r="G135" s="526" t="str">
        <f t="shared" si="8"/>
        <v/>
      </c>
      <c r="H135" s="470" t="str">
        <f t="shared" si="9"/>
        <v/>
      </c>
      <c r="I135" s="524" t="str">
        <f t="shared" si="11"/>
        <v>否</v>
      </c>
      <c r="J135" s="312" t="str">
        <f t="shared" si="10"/>
        <v>项</v>
      </c>
    </row>
    <row r="136" s="372" customFormat="1" ht="24" hidden="1" customHeight="1" spans="1:10">
      <c r="A136" s="330">
        <v>2012304</v>
      </c>
      <c r="B136" s="379" t="s">
        <v>291</v>
      </c>
      <c r="C136" s="602">
        <v>0</v>
      </c>
      <c r="D136" s="709">
        <v>0</v>
      </c>
      <c r="E136" s="710">
        <v>0</v>
      </c>
      <c r="F136" s="710">
        <v>0</v>
      </c>
      <c r="G136" s="526" t="str">
        <f t="shared" si="8"/>
        <v/>
      </c>
      <c r="H136" s="470" t="str">
        <f t="shared" si="9"/>
        <v/>
      </c>
      <c r="I136" s="524" t="str">
        <f t="shared" si="11"/>
        <v>否</v>
      </c>
      <c r="J136" s="312" t="str">
        <f t="shared" si="10"/>
        <v>项</v>
      </c>
    </row>
    <row r="137" s="372" customFormat="1" ht="24" hidden="1" customHeight="1" spans="1:10">
      <c r="A137" s="330">
        <v>2012350</v>
      </c>
      <c r="B137" s="379" t="s">
        <v>221</v>
      </c>
      <c r="C137" s="602">
        <v>0</v>
      </c>
      <c r="D137" s="709">
        <v>0</v>
      </c>
      <c r="E137" s="710">
        <v>0</v>
      </c>
      <c r="F137" s="710">
        <v>0</v>
      </c>
      <c r="G137" s="526" t="str">
        <f t="shared" si="8"/>
        <v/>
      </c>
      <c r="H137" s="470" t="str">
        <f t="shared" si="9"/>
        <v/>
      </c>
      <c r="I137" s="524" t="str">
        <f t="shared" si="11"/>
        <v>否</v>
      </c>
      <c r="J137" s="312" t="str">
        <f t="shared" si="10"/>
        <v>项</v>
      </c>
    </row>
    <row r="138" s="372" customFormat="1" ht="24" customHeight="1" spans="1:10">
      <c r="A138" s="330">
        <v>2012399</v>
      </c>
      <c r="B138" s="379" t="s">
        <v>292</v>
      </c>
      <c r="C138" s="602">
        <v>32</v>
      </c>
      <c r="D138" s="709">
        <v>35</v>
      </c>
      <c r="E138" s="710">
        <v>35</v>
      </c>
      <c r="F138" s="710">
        <v>42</v>
      </c>
      <c r="G138" s="526">
        <f t="shared" si="8"/>
        <v>0.3125</v>
      </c>
      <c r="H138" s="470">
        <f t="shared" si="9"/>
        <v>1.2</v>
      </c>
      <c r="I138" s="524" t="str">
        <f t="shared" si="11"/>
        <v>是</v>
      </c>
      <c r="J138" s="312" t="str">
        <f t="shared" si="10"/>
        <v>项</v>
      </c>
    </row>
    <row r="139" s="372" customFormat="1" ht="24" hidden="1" customHeight="1" spans="1:10">
      <c r="A139" s="330">
        <v>20125</v>
      </c>
      <c r="B139" s="379" t="s">
        <v>293</v>
      </c>
      <c r="C139" s="601">
        <v>0</v>
      </c>
      <c r="D139" s="708">
        <f>SUM(D140:D146)</f>
        <v>0</v>
      </c>
      <c r="E139" s="708">
        <f>SUM(E140:E146)</f>
        <v>0</v>
      </c>
      <c r="F139" s="708">
        <f>SUM(F140:F146)</f>
        <v>0</v>
      </c>
      <c r="G139" s="523" t="str">
        <f t="shared" si="8"/>
        <v/>
      </c>
      <c r="H139" s="467" t="str">
        <f t="shared" si="9"/>
        <v/>
      </c>
      <c r="I139" s="524" t="str">
        <f t="shared" si="11"/>
        <v>否</v>
      </c>
      <c r="J139" s="312" t="str">
        <f t="shared" si="10"/>
        <v>款</v>
      </c>
    </row>
    <row r="140" s="372" customFormat="1" ht="24" hidden="1" customHeight="1" spans="1:10">
      <c r="A140" s="330">
        <v>2012501</v>
      </c>
      <c r="B140" s="379" t="s">
        <v>212</v>
      </c>
      <c r="C140" s="602">
        <v>0</v>
      </c>
      <c r="D140" s="709"/>
      <c r="E140" s="710">
        <v>0</v>
      </c>
      <c r="F140" s="710">
        <v>0</v>
      </c>
      <c r="G140" s="526" t="str">
        <f t="shared" si="8"/>
        <v/>
      </c>
      <c r="H140" s="470" t="str">
        <f t="shared" si="9"/>
        <v/>
      </c>
      <c r="I140" s="524" t="str">
        <f t="shared" si="11"/>
        <v>否</v>
      </c>
      <c r="J140" s="312" t="str">
        <f t="shared" si="10"/>
        <v>项</v>
      </c>
    </row>
    <row r="141" s="372" customFormat="1" ht="24" hidden="1" customHeight="1" spans="1:10">
      <c r="A141" s="330">
        <v>2012502</v>
      </c>
      <c r="B141" s="379" t="s">
        <v>213</v>
      </c>
      <c r="C141" s="602">
        <v>0</v>
      </c>
      <c r="D141" s="709"/>
      <c r="E141" s="710">
        <v>0</v>
      </c>
      <c r="F141" s="710">
        <v>0</v>
      </c>
      <c r="G141" s="526" t="str">
        <f t="shared" si="8"/>
        <v/>
      </c>
      <c r="H141" s="470" t="str">
        <f t="shared" si="9"/>
        <v/>
      </c>
      <c r="I141" s="524" t="str">
        <f t="shared" si="11"/>
        <v>否</v>
      </c>
      <c r="J141" s="312" t="str">
        <f t="shared" si="10"/>
        <v>项</v>
      </c>
    </row>
    <row r="142" s="372" customFormat="1" ht="24" hidden="1" customHeight="1" spans="1:10">
      <c r="A142" s="330">
        <v>2012503</v>
      </c>
      <c r="B142" s="379" t="s">
        <v>214</v>
      </c>
      <c r="C142" s="602">
        <v>0</v>
      </c>
      <c r="D142" s="709"/>
      <c r="E142" s="710">
        <v>0</v>
      </c>
      <c r="F142" s="710">
        <v>0</v>
      </c>
      <c r="G142" s="526" t="str">
        <f t="shared" si="8"/>
        <v/>
      </c>
      <c r="H142" s="470" t="str">
        <f t="shared" si="9"/>
        <v/>
      </c>
      <c r="I142" s="524" t="str">
        <f t="shared" si="11"/>
        <v>否</v>
      </c>
      <c r="J142" s="312" t="str">
        <f t="shared" si="10"/>
        <v>项</v>
      </c>
    </row>
    <row r="143" s="372" customFormat="1" ht="24" hidden="1" customHeight="1" spans="1:10">
      <c r="A143" s="330">
        <v>2012504</v>
      </c>
      <c r="B143" s="379" t="s">
        <v>294</v>
      </c>
      <c r="C143" s="602">
        <v>0</v>
      </c>
      <c r="D143" s="709"/>
      <c r="E143" s="710">
        <v>0</v>
      </c>
      <c r="F143" s="710">
        <v>0</v>
      </c>
      <c r="G143" s="526" t="str">
        <f t="shared" si="8"/>
        <v/>
      </c>
      <c r="H143" s="470" t="str">
        <f t="shared" si="9"/>
        <v/>
      </c>
      <c r="I143" s="524" t="str">
        <f t="shared" si="11"/>
        <v>否</v>
      </c>
      <c r="J143" s="312" t="str">
        <f t="shared" si="10"/>
        <v>项</v>
      </c>
    </row>
    <row r="144" s="372" customFormat="1" ht="24" hidden="1" customHeight="1" spans="1:10">
      <c r="A144" s="330">
        <v>2012505</v>
      </c>
      <c r="B144" s="379" t="s">
        <v>295</v>
      </c>
      <c r="C144" s="602">
        <v>0</v>
      </c>
      <c r="D144" s="709"/>
      <c r="E144" s="710">
        <v>0</v>
      </c>
      <c r="F144" s="710">
        <v>0</v>
      </c>
      <c r="G144" s="526" t="str">
        <f t="shared" si="8"/>
        <v/>
      </c>
      <c r="H144" s="470" t="str">
        <f t="shared" si="9"/>
        <v/>
      </c>
      <c r="I144" s="524" t="str">
        <f t="shared" si="11"/>
        <v>否</v>
      </c>
      <c r="J144" s="312" t="str">
        <f t="shared" si="10"/>
        <v>项</v>
      </c>
    </row>
    <row r="145" s="372" customFormat="1" ht="24" hidden="1" customHeight="1" spans="1:10">
      <c r="A145" s="330">
        <v>2012550</v>
      </c>
      <c r="B145" s="379" t="s">
        <v>221</v>
      </c>
      <c r="C145" s="602">
        <v>0</v>
      </c>
      <c r="D145" s="709"/>
      <c r="E145" s="710">
        <v>0</v>
      </c>
      <c r="F145" s="710">
        <v>0</v>
      </c>
      <c r="G145" s="526" t="str">
        <f t="shared" si="8"/>
        <v/>
      </c>
      <c r="H145" s="470" t="str">
        <f t="shared" si="9"/>
        <v/>
      </c>
      <c r="I145" s="524" t="str">
        <f t="shared" si="11"/>
        <v>否</v>
      </c>
      <c r="J145" s="312" t="str">
        <f t="shared" si="10"/>
        <v>项</v>
      </c>
    </row>
    <row r="146" s="372" customFormat="1" ht="24" hidden="1" customHeight="1" spans="1:10">
      <c r="A146" s="330">
        <v>2012599</v>
      </c>
      <c r="B146" s="379" t="s">
        <v>296</v>
      </c>
      <c r="C146" s="602">
        <v>0</v>
      </c>
      <c r="D146" s="709"/>
      <c r="E146" s="710">
        <v>0</v>
      </c>
      <c r="F146" s="710">
        <v>0</v>
      </c>
      <c r="G146" s="526" t="str">
        <f t="shared" si="8"/>
        <v/>
      </c>
      <c r="H146" s="470" t="str">
        <f t="shared" si="9"/>
        <v/>
      </c>
      <c r="I146" s="524" t="str">
        <f t="shared" si="11"/>
        <v>否</v>
      </c>
      <c r="J146" s="312" t="str">
        <f t="shared" si="10"/>
        <v>项</v>
      </c>
    </row>
    <row r="147" s="372" customFormat="1" ht="24" customHeight="1" spans="1:10">
      <c r="A147" s="330">
        <v>20126</v>
      </c>
      <c r="B147" s="379" t="s">
        <v>297</v>
      </c>
      <c r="C147" s="601">
        <v>145</v>
      </c>
      <c r="D147" s="708">
        <f>SUM(D148:D152)</f>
        <v>167</v>
      </c>
      <c r="E147" s="708">
        <f>SUM(E148:E152)</f>
        <v>167</v>
      </c>
      <c r="F147" s="708">
        <f>SUM(F148:F152)</f>
        <v>264</v>
      </c>
      <c r="G147" s="523">
        <f t="shared" si="8"/>
        <v>0.820689655172414</v>
      </c>
      <c r="H147" s="467">
        <f t="shared" si="9"/>
        <v>1.58083832335329</v>
      </c>
      <c r="I147" s="524" t="str">
        <f t="shared" si="11"/>
        <v>是</v>
      </c>
      <c r="J147" s="312" t="str">
        <f t="shared" si="10"/>
        <v>款</v>
      </c>
    </row>
    <row r="148" ht="24" customHeight="1" spans="1:10">
      <c r="A148" s="330">
        <v>2012601</v>
      </c>
      <c r="B148" s="379" t="s">
        <v>212</v>
      </c>
      <c r="C148" s="602">
        <v>18</v>
      </c>
      <c r="D148" s="709">
        <v>20</v>
      </c>
      <c r="E148" s="710">
        <v>20</v>
      </c>
      <c r="F148" s="710">
        <v>20</v>
      </c>
      <c r="G148" s="526">
        <f t="shared" si="8"/>
        <v>0.111111111111111</v>
      </c>
      <c r="H148" s="470">
        <f t="shared" si="9"/>
        <v>1</v>
      </c>
      <c r="I148" s="524" t="str">
        <f t="shared" si="11"/>
        <v>是</v>
      </c>
      <c r="J148" s="312" t="str">
        <f t="shared" si="10"/>
        <v>项</v>
      </c>
    </row>
    <row r="149" s="372" customFormat="1" ht="24" hidden="1" customHeight="1" spans="1:10">
      <c r="A149" s="330">
        <v>2012602</v>
      </c>
      <c r="B149" s="379" t="s">
        <v>213</v>
      </c>
      <c r="C149" s="602">
        <v>0</v>
      </c>
      <c r="D149" s="709">
        <v>0</v>
      </c>
      <c r="E149" s="710">
        <v>0</v>
      </c>
      <c r="F149" s="710">
        <v>0</v>
      </c>
      <c r="G149" s="526" t="str">
        <f t="shared" si="8"/>
        <v/>
      </c>
      <c r="H149" s="470" t="str">
        <f t="shared" si="9"/>
        <v/>
      </c>
      <c r="I149" s="524" t="str">
        <f t="shared" si="11"/>
        <v>否</v>
      </c>
      <c r="J149" s="312" t="str">
        <f t="shared" si="10"/>
        <v>项</v>
      </c>
    </row>
    <row r="150" s="372" customFormat="1" ht="24" hidden="1" customHeight="1" spans="1:10">
      <c r="A150" s="330">
        <v>2012603</v>
      </c>
      <c r="B150" s="379" t="s">
        <v>214</v>
      </c>
      <c r="C150" s="602">
        <v>0</v>
      </c>
      <c r="D150" s="709">
        <v>0</v>
      </c>
      <c r="E150" s="710">
        <v>0</v>
      </c>
      <c r="F150" s="710">
        <v>0</v>
      </c>
      <c r="G150" s="526" t="str">
        <f t="shared" si="8"/>
        <v/>
      </c>
      <c r="H150" s="470" t="str">
        <f t="shared" si="9"/>
        <v/>
      </c>
      <c r="I150" s="524" t="str">
        <f t="shared" si="11"/>
        <v>否</v>
      </c>
      <c r="J150" s="312" t="str">
        <f t="shared" si="10"/>
        <v>项</v>
      </c>
    </row>
    <row r="151" s="372" customFormat="1" ht="24" customHeight="1" spans="1:10">
      <c r="A151" s="330">
        <v>2012604</v>
      </c>
      <c r="B151" s="379" t="s">
        <v>298</v>
      </c>
      <c r="C151" s="602">
        <v>127</v>
      </c>
      <c r="D151" s="709">
        <v>147</v>
      </c>
      <c r="E151" s="710">
        <v>147</v>
      </c>
      <c r="F151" s="710">
        <v>244</v>
      </c>
      <c r="G151" s="526">
        <f t="shared" si="8"/>
        <v>0.921259842519685</v>
      </c>
      <c r="H151" s="470">
        <f t="shared" si="9"/>
        <v>1.65986394557823</v>
      </c>
      <c r="I151" s="524" t="str">
        <f t="shared" si="11"/>
        <v>是</v>
      </c>
      <c r="J151" s="312" t="str">
        <f t="shared" si="10"/>
        <v>项</v>
      </c>
    </row>
    <row r="152" s="372" customFormat="1" ht="24" hidden="1" customHeight="1" spans="1:10">
      <c r="A152" s="330">
        <v>2012699</v>
      </c>
      <c r="B152" s="379" t="s">
        <v>299</v>
      </c>
      <c r="C152" s="602">
        <v>0</v>
      </c>
      <c r="D152" s="709">
        <v>0</v>
      </c>
      <c r="E152" s="710">
        <v>0</v>
      </c>
      <c r="F152" s="710">
        <v>0</v>
      </c>
      <c r="G152" s="526" t="str">
        <f t="shared" si="8"/>
        <v/>
      </c>
      <c r="H152" s="470" t="str">
        <f t="shared" si="9"/>
        <v/>
      </c>
      <c r="I152" s="524" t="str">
        <f t="shared" si="11"/>
        <v>否</v>
      </c>
      <c r="J152" s="312" t="str">
        <f t="shared" si="10"/>
        <v>项</v>
      </c>
    </row>
    <row r="153" s="372" customFormat="1" ht="24" customHeight="1" spans="1:10">
      <c r="A153" s="330">
        <v>20128</v>
      </c>
      <c r="B153" s="379" t="s">
        <v>300</v>
      </c>
      <c r="C153" s="601">
        <v>441</v>
      </c>
      <c r="D153" s="708">
        <f>SUM(D154:D159)</f>
        <v>482</v>
      </c>
      <c r="E153" s="708">
        <f>SUM(E154:E159)</f>
        <v>482</v>
      </c>
      <c r="F153" s="708">
        <f>SUM(F154:F159)</f>
        <v>414</v>
      </c>
      <c r="G153" s="523">
        <f t="shared" si="8"/>
        <v>-0.0612244897959184</v>
      </c>
      <c r="H153" s="467">
        <f t="shared" si="9"/>
        <v>0.858921161825726</v>
      </c>
      <c r="I153" s="524" t="str">
        <f t="shared" si="11"/>
        <v>是</v>
      </c>
      <c r="J153" s="312" t="str">
        <f t="shared" si="10"/>
        <v>款</v>
      </c>
    </row>
    <row r="154" s="372" customFormat="1" ht="24" customHeight="1" spans="1:10">
      <c r="A154" s="330">
        <v>2012801</v>
      </c>
      <c r="B154" s="379" t="s">
        <v>212</v>
      </c>
      <c r="C154" s="602">
        <v>372</v>
      </c>
      <c r="D154" s="709">
        <v>412</v>
      </c>
      <c r="E154" s="710">
        <v>412</v>
      </c>
      <c r="F154" s="710">
        <v>368</v>
      </c>
      <c r="G154" s="526">
        <f t="shared" si="8"/>
        <v>-0.010752688172043</v>
      </c>
      <c r="H154" s="470">
        <f t="shared" si="9"/>
        <v>0.893203883495146</v>
      </c>
      <c r="I154" s="524" t="str">
        <f t="shared" si="11"/>
        <v>是</v>
      </c>
      <c r="J154" s="312" t="str">
        <f t="shared" si="10"/>
        <v>项</v>
      </c>
    </row>
    <row r="155" ht="24" customHeight="1" spans="1:10">
      <c r="A155" s="330">
        <v>2012802</v>
      </c>
      <c r="B155" s="379" t="s">
        <v>213</v>
      </c>
      <c r="C155" s="602">
        <v>47</v>
      </c>
      <c r="D155" s="709">
        <v>48</v>
      </c>
      <c r="E155" s="710">
        <v>48</v>
      </c>
      <c r="F155" s="710">
        <v>34</v>
      </c>
      <c r="G155" s="526">
        <f t="shared" si="8"/>
        <v>-0.276595744680851</v>
      </c>
      <c r="H155" s="470">
        <f t="shared" si="9"/>
        <v>0.708333333333333</v>
      </c>
      <c r="I155" s="524" t="str">
        <f t="shared" si="11"/>
        <v>是</v>
      </c>
      <c r="J155" s="312" t="str">
        <f t="shared" si="10"/>
        <v>项</v>
      </c>
    </row>
    <row r="156" s="372" customFormat="1" ht="24" hidden="1" customHeight="1" spans="1:10">
      <c r="A156" s="330">
        <v>2012803</v>
      </c>
      <c r="B156" s="379" t="s">
        <v>214</v>
      </c>
      <c r="C156" s="602">
        <v>0</v>
      </c>
      <c r="D156" s="709">
        <v>0</v>
      </c>
      <c r="E156" s="710">
        <v>0</v>
      </c>
      <c r="F156" s="710">
        <v>0</v>
      </c>
      <c r="G156" s="526" t="str">
        <f t="shared" si="8"/>
        <v/>
      </c>
      <c r="H156" s="470" t="str">
        <f t="shared" si="9"/>
        <v/>
      </c>
      <c r="I156" s="524" t="str">
        <f t="shared" si="11"/>
        <v>否</v>
      </c>
      <c r="J156" s="312" t="str">
        <f t="shared" si="10"/>
        <v>项</v>
      </c>
    </row>
    <row r="157" s="372" customFormat="1" ht="24" hidden="1" customHeight="1" spans="1:10">
      <c r="A157" s="330">
        <v>2012804</v>
      </c>
      <c r="B157" s="379" t="s">
        <v>226</v>
      </c>
      <c r="C157" s="602">
        <v>0</v>
      </c>
      <c r="D157" s="709">
        <v>0</v>
      </c>
      <c r="E157" s="710">
        <v>0</v>
      </c>
      <c r="F157" s="710">
        <v>0</v>
      </c>
      <c r="G157" s="526" t="str">
        <f t="shared" si="8"/>
        <v/>
      </c>
      <c r="H157" s="470" t="str">
        <f t="shared" si="9"/>
        <v/>
      </c>
      <c r="I157" s="524" t="str">
        <f t="shared" si="11"/>
        <v>否</v>
      </c>
      <c r="J157" s="312" t="str">
        <f t="shared" si="10"/>
        <v>项</v>
      </c>
    </row>
    <row r="158" s="372" customFormat="1" ht="24" hidden="1" customHeight="1" spans="1:10">
      <c r="A158" s="330">
        <v>2012850</v>
      </c>
      <c r="B158" s="379" t="s">
        <v>221</v>
      </c>
      <c r="C158" s="602">
        <v>0</v>
      </c>
      <c r="D158" s="709">
        <v>0</v>
      </c>
      <c r="E158" s="710">
        <v>0</v>
      </c>
      <c r="F158" s="710">
        <v>0</v>
      </c>
      <c r="G158" s="526" t="str">
        <f t="shared" si="8"/>
        <v/>
      </c>
      <c r="H158" s="470" t="str">
        <f t="shared" si="9"/>
        <v/>
      </c>
      <c r="I158" s="524" t="str">
        <f t="shared" si="11"/>
        <v>否</v>
      </c>
      <c r="J158" s="312" t="str">
        <f t="shared" si="10"/>
        <v>项</v>
      </c>
    </row>
    <row r="159" s="372" customFormat="1" ht="24" customHeight="1" spans="1:10">
      <c r="A159" s="330">
        <v>2012899</v>
      </c>
      <c r="B159" s="379" t="s">
        <v>301</v>
      </c>
      <c r="C159" s="602">
        <v>22</v>
      </c>
      <c r="D159" s="709">
        <v>22</v>
      </c>
      <c r="E159" s="710">
        <v>22</v>
      </c>
      <c r="F159" s="710">
        <v>12</v>
      </c>
      <c r="G159" s="526">
        <f t="shared" si="8"/>
        <v>-0.454545454545455</v>
      </c>
      <c r="H159" s="470">
        <f t="shared" si="9"/>
        <v>0.545454545454545</v>
      </c>
      <c r="I159" s="524" t="str">
        <f t="shared" si="11"/>
        <v>是</v>
      </c>
      <c r="J159" s="312" t="str">
        <f t="shared" si="10"/>
        <v>项</v>
      </c>
    </row>
    <row r="160" s="372" customFormat="1" ht="24" customHeight="1" spans="1:10">
      <c r="A160" s="330">
        <v>20129</v>
      </c>
      <c r="B160" s="379" t="s">
        <v>302</v>
      </c>
      <c r="C160" s="601">
        <v>2378</v>
      </c>
      <c r="D160" s="708">
        <f>SUM(D161:D166)</f>
        <v>2332</v>
      </c>
      <c r="E160" s="708">
        <f>SUM(E161:E166)</f>
        <v>2332</v>
      </c>
      <c r="F160" s="708">
        <f>SUM(F161:F166)</f>
        <v>2413</v>
      </c>
      <c r="G160" s="523">
        <f t="shared" si="8"/>
        <v>0.0147182506307822</v>
      </c>
      <c r="H160" s="467">
        <f t="shared" si="9"/>
        <v>1.03473413379074</v>
      </c>
      <c r="I160" s="524" t="str">
        <f t="shared" si="11"/>
        <v>是</v>
      </c>
      <c r="J160" s="312" t="str">
        <f t="shared" si="10"/>
        <v>款</v>
      </c>
    </row>
    <row r="161" s="372" customFormat="1" ht="24" customHeight="1" spans="1:10">
      <c r="A161" s="330">
        <v>2012901</v>
      </c>
      <c r="B161" s="379" t="s">
        <v>212</v>
      </c>
      <c r="C161" s="602">
        <v>958</v>
      </c>
      <c r="D161" s="709">
        <v>1025</v>
      </c>
      <c r="E161" s="710">
        <v>1025</v>
      </c>
      <c r="F161" s="710">
        <v>985</v>
      </c>
      <c r="G161" s="526">
        <f t="shared" si="8"/>
        <v>0.0281837160751566</v>
      </c>
      <c r="H161" s="470">
        <f t="shared" si="9"/>
        <v>0.960975609756098</v>
      </c>
      <c r="I161" s="524" t="str">
        <f t="shared" si="11"/>
        <v>是</v>
      </c>
      <c r="J161" s="312" t="str">
        <f t="shared" si="10"/>
        <v>项</v>
      </c>
    </row>
    <row r="162" s="372" customFormat="1" ht="24" customHeight="1" spans="1:10">
      <c r="A162" s="330">
        <v>2012902</v>
      </c>
      <c r="B162" s="379" t="s">
        <v>213</v>
      </c>
      <c r="C162" s="602">
        <v>58</v>
      </c>
      <c r="D162" s="709">
        <v>39</v>
      </c>
      <c r="E162" s="710">
        <v>39</v>
      </c>
      <c r="F162" s="710">
        <v>61</v>
      </c>
      <c r="G162" s="526">
        <f t="shared" si="8"/>
        <v>0.0517241379310345</v>
      </c>
      <c r="H162" s="470">
        <f t="shared" si="9"/>
        <v>1.56410256410256</v>
      </c>
      <c r="I162" s="524" t="str">
        <f t="shared" si="11"/>
        <v>是</v>
      </c>
      <c r="J162" s="312" t="str">
        <f t="shared" si="10"/>
        <v>项</v>
      </c>
    </row>
    <row r="163" ht="24" hidden="1" customHeight="1" spans="1:10">
      <c r="A163" s="330">
        <v>2012903</v>
      </c>
      <c r="B163" s="379" t="s">
        <v>214</v>
      </c>
      <c r="C163" s="602">
        <v>0</v>
      </c>
      <c r="D163" s="709">
        <v>0</v>
      </c>
      <c r="E163" s="710">
        <v>0</v>
      </c>
      <c r="F163" s="710">
        <v>0</v>
      </c>
      <c r="G163" s="526" t="str">
        <f t="shared" si="8"/>
        <v/>
      </c>
      <c r="H163" s="470" t="str">
        <f t="shared" si="9"/>
        <v/>
      </c>
      <c r="I163" s="524" t="str">
        <f t="shared" si="11"/>
        <v>否</v>
      </c>
      <c r="J163" s="312" t="str">
        <f t="shared" si="10"/>
        <v>项</v>
      </c>
    </row>
    <row r="164" s="372" customFormat="1" ht="24" hidden="1" customHeight="1" spans="1:10">
      <c r="A164" s="326">
        <v>2012906</v>
      </c>
      <c r="B164" s="379" t="s">
        <v>303</v>
      </c>
      <c r="C164" s="602">
        <v>0</v>
      </c>
      <c r="D164" s="709">
        <v>0</v>
      </c>
      <c r="E164" s="710">
        <v>0</v>
      </c>
      <c r="F164" s="710">
        <v>0</v>
      </c>
      <c r="G164" s="526" t="str">
        <f t="shared" si="8"/>
        <v/>
      </c>
      <c r="H164" s="470" t="str">
        <f t="shared" si="9"/>
        <v/>
      </c>
      <c r="I164" s="524" t="str">
        <f t="shared" si="11"/>
        <v>否</v>
      </c>
      <c r="J164" s="312" t="str">
        <f t="shared" si="10"/>
        <v>项</v>
      </c>
    </row>
    <row r="165" s="372" customFormat="1" ht="24" customHeight="1" spans="1:10">
      <c r="A165" s="330">
        <v>2012950</v>
      </c>
      <c r="B165" s="379" t="s">
        <v>221</v>
      </c>
      <c r="C165" s="602">
        <v>165</v>
      </c>
      <c r="D165" s="709">
        <v>210</v>
      </c>
      <c r="E165" s="710">
        <v>210</v>
      </c>
      <c r="F165" s="710">
        <v>177</v>
      </c>
      <c r="G165" s="526">
        <f t="shared" si="8"/>
        <v>0.0727272727272727</v>
      </c>
      <c r="H165" s="470">
        <f t="shared" si="9"/>
        <v>0.842857142857143</v>
      </c>
      <c r="I165" s="524" t="str">
        <f t="shared" si="11"/>
        <v>是</v>
      </c>
      <c r="J165" s="312" t="str">
        <f t="shared" si="10"/>
        <v>项</v>
      </c>
    </row>
    <row r="166" s="372" customFormat="1" ht="24" customHeight="1" spans="1:10">
      <c r="A166" s="330">
        <v>2012999</v>
      </c>
      <c r="B166" s="379" t="s">
        <v>304</v>
      </c>
      <c r="C166" s="602">
        <v>1197</v>
      </c>
      <c r="D166" s="709">
        <v>1058</v>
      </c>
      <c r="E166" s="710">
        <v>1058</v>
      </c>
      <c r="F166" s="710">
        <v>1190</v>
      </c>
      <c r="G166" s="526">
        <f t="shared" si="8"/>
        <v>-0.00584795321637427</v>
      </c>
      <c r="H166" s="470">
        <f t="shared" si="9"/>
        <v>1.12476370510397</v>
      </c>
      <c r="I166" s="524" t="str">
        <f t="shared" si="11"/>
        <v>是</v>
      </c>
      <c r="J166" s="312" t="str">
        <f t="shared" si="10"/>
        <v>项</v>
      </c>
    </row>
    <row r="167" s="372" customFormat="1" ht="24" customHeight="1" spans="1:10">
      <c r="A167" s="330">
        <v>20131</v>
      </c>
      <c r="B167" s="379" t="s">
        <v>305</v>
      </c>
      <c r="C167" s="601">
        <v>1446</v>
      </c>
      <c r="D167" s="708">
        <f>SUM(D168:D173)</f>
        <v>1582</v>
      </c>
      <c r="E167" s="708">
        <f>SUM(E168:E173)</f>
        <v>1582</v>
      </c>
      <c r="F167" s="708">
        <f>SUM(F168:F173)</f>
        <v>1684</v>
      </c>
      <c r="G167" s="523">
        <f t="shared" si="8"/>
        <v>0.164591977869986</v>
      </c>
      <c r="H167" s="467">
        <f t="shared" si="9"/>
        <v>1.06447534766119</v>
      </c>
      <c r="I167" s="524" t="str">
        <f t="shared" si="11"/>
        <v>是</v>
      </c>
      <c r="J167" s="312" t="str">
        <f t="shared" si="10"/>
        <v>款</v>
      </c>
    </row>
    <row r="168" s="372" customFormat="1" ht="24" customHeight="1" spans="1:10">
      <c r="A168" s="330">
        <v>2013101</v>
      </c>
      <c r="B168" s="379" t="s">
        <v>212</v>
      </c>
      <c r="C168" s="602">
        <v>1113</v>
      </c>
      <c r="D168" s="709">
        <v>1208</v>
      </c>
      <c r="E168" s="710">
        <v>1208</v>
      </c>
      <c r="F168" s="710">
        <v>1176</v>
      </c>
      <c r="G168" s="526">
        <f t="shared" si="8"/>
        <v>0.0566037735849057</v>
      </c>
      <c r="H168" s="470">
        <f t="shared" si="9"/>
        <v>0.973509933774834</v>
      </c>
      <c r="I168" s="524" t="str">
        <f t="shared" si="11"/>
        <v>是</v>
      </c>
      <c r="J168" s="312" t="str">
        <f t="shared" si="10"/>
        <v>项</v>
      </c>
    </row>
    <row r="169" ht="24" customHeight="1" spans="1:10">
      <c r="A169" s="330">
        <v>2013102</v>
      </c>
      <c r="B169" s="379" t="s">
        <v>213</v>
      </c>
      <c r="C169" s="602">
        <v>146</v>
      </c>
      <c r="D169" s="709">
        <v>168</v>
      </c>
      <c r="E169" s="710">
        <v>168</v>
      </c>
      <c r="F169" s="710">
        <v>326</v>
      </c>
      <c r="G169" s="526">
        <f t="shared" si="8"/>
        <v>1.23287671232877</v>
      </c>
      <c r="H169" s="470">
        <f t="shared" si="9"/>
        <v>1.94047619047619</v>
      </c>
      <c r="I169" s="524" t="str">
        <f t="shared" si="11"/>
        <v>是</v>
      </c>
      <c r="J169" s="312" t="str">
        <f t="shared" si="10"/>
        <v>项</v>
      </c>
    </row>
    <row r="170" s="372" customFormat="1" ht="24" hidden="1" customHeight="1" spans="1:10">
      <c r="A170" s="330">
        <v>2013103</v>
      </c>
      <c r="B170" s="379" t="s">
        <v>214</v>
      </c>
      <c r="C170" s="602">
        <v>0</v>
      </c>
      <c r="D170" s="709">
        <v>0</v>
      </c>
      <c r="E170" s="710">
        <v>0</v>
      </c>
      <c r="F170" s="710">
        <v>0</v>
      </c>
      <c r="G170" s="526" t="str">
        <f t="shared" si="8"/>
        <v/>
      </c>
      <c r="H170" s="470" t="str">
        <f t="shared" si="9"/>
        <v/>
      </c>
      <c r="I170" s="524" t="str">
        <f t="shared" si="11"/>
        <v>否</v>
      </c>
      <c r="J170" s="312" t="str">
        <f t="shared" si="10"/>
        <v>项</v>
      </c>
    </row>
    <row r="171" s="372" customFormat="1" ht="24" hidden="1" customHeight="1" spans="1:10">
      <c r="A171" s="330">
        <v>2013105</v>
      </c>
      <c r="B171" s="379" t="s">
        <v>306</v>
      </c>
      <c r="C171" s="602">
        <v>0</v>
      </c>
      <c r="D171" s="709">
        <v>0</v>
      </c>
      <c r="E171" s="710">
        <v>0</v>
      </c>
      <c r="F171" s="710">
        <v>0</v>
      </c>
      <c r="G171" s="526" t="str">
        <f t="shared" si="8"/>
        <v/>
      </c>
      <c r="H171" s="470" t="str">
        <f t="shared" si="9"/>
        <v/>
      </c>
      <c r="I171" s="524" t="str">
        <f t="shared" si="11"/>
        <v>否</v>
      </c>
      <c r="J171" s="312" t="str">
        <f t="shared" si="10"/>
        <v>项</v>
      </c>
    </row>
    <row r="172" s="372" customFormat="1" ht="24" customHeight="1" spans="1:10">
      <c r="A172" s="330">
        <v>2013150</v>
      </c>
      <c r="B172" s="379" t="s">
        <v>221</v>
      </c>
      <c r="C172" s="602">
        <v>92</v>
      </c>
      <c r="D172" s="709">
        <v>110</v>
      </c>
      <c r="E172" s="710">
        <v>110</v>
      </c>
      <c r="F172" s="710">
        <v>182</v>
      </c>
      <c r="G172" s="526">
        <f t="shared" si="8"/>
        <v>0.978260869565217</v>
      </c>
      <c r="H172" s="470">
        <f t="shared" si="9"/>
        <v>1.65454545454545</v>
      </c>
      <c r="I172" s="524" t="str">
        <f t="shared" si="11"/>
        <v>是</v>
      </c>
      <c r="J172" s="312" t="str">
        <f t="shared" si="10"/>
        <v>项</v>
      </c>
    </row>
    <row r="173" s="372" customFormat="1" ht="24" customHeight="1" spans="1:10">
      <c r="A173" s="330">
        <v>2013199</v>
      </c>
      <c r="B173" s="379" t="s">
        <v>307</v>
      </c>
      <c r="C173" s="602">
        <v>95</v>
      </c>
      <c r="D173" s="709">
        <v>96</v>
      </c>
      <c r="E173" s="710">
        <v>96</v>
      </c>
      <c r="F173" s="710">
        <v>0</v>
      </c>
      <c r="G173" s="526">
        <f t="shared" si="8"/>
        <v>-1</v>
      </c>
      <c r="H173" s="470">
        <f t="shared" si="9"/>
        <v>0</v>
      </c>
      <c r="I173" s="524" t="str">
        <f t="shared" si="11"/>
        <v>是</v>
      </c>
      <c r="J173" s="312" t="str">
        <f t="shared" si="10"/>
        <v>项</v>
      </c>
    </row>
    <row r="174" s="372" customFormat="1" ht="24" customHeight="1" spans="1:10">
      <c r="A174" s="330">
        <v>20132</v>
      </c>
      <c r="B174" s="379" t="s">
        <v>308</v>
      </c>
      <c r="C174" s="601">
        <v>1687</v>
      </c>
      <c r="D174" s="708">
        <f>SUM(D175:D180)</f>
        <v>1818</v>
      </c>
      <c r="E174" s="708">
        <f>SUM(E175:E180)</f>
        <v>1818</v>
      </c>
      <c r="F174" s="708">
        <f>SUM(F175:F180)</f>
        <v>1791</v>
      </c>
      <c r="G174" s="523">
        <f t="shared" si="8"/>
        <v>0.0616478956727919</v>
      </c>
      <c r="H174" s="467">
        <f t="shared" si="9"/>
        <v>0.985148514851485</v>
      </c>
      <c r="I174" s="524" t="str">
        <f t="shared" si="11"/>
        <v>是</v>
      </c>
      <c r="J174" s="312" t="str">
        <f t="shared" si="10"/>
        <v>款</v>
      </c>
    </row>
    <row r="175" s="372" customFormat="1" ht="24" customHeight="1" spans="1:10">
      <c r="A175" s="330">
        <v>2013201</v>
      </c>
      <c r="B175" s="379" t="s">
        <v>212</v>
      </c>
      <c r="C175" s="602">
        <v>1174</v>
      </c>
      <c r="D175" s="709">
        <v>1256</v>
      </c>
      <c r="E175" s="710">
        <v>1256</v>
      </c>
      <c r="F175" s="710">
        <v>1188</v>
      </c>
      <c r="G175" s="526">
        <f t="shared" si="8"/>
        <v>0.0119250425894378</v>
      </c>
      <c r="H175" s="470">
        <f t="shared" si="9"/>
        <v>0.945859872611465</v>
      </c>
      <c r="I175" s="524" t="str">
        <f t="shared" si="11"/>
        <v>是</v>
      </c>
      <c r="J175" s="312" t="str">
        <f t="shared" si="10"/>
        <v>项</v>
      </c>
    </row>
    <row r="176" ht="24" customHeight="1" spans="1:10">
      <c r="A176" s="330">
        <v>2013202</v>
      </c>
      <c r="B176" s="379" t="s">
        <v>213</v>
      </c>
      <c r="C176" s="602">
        <v>320</v>
      </c>
      <c r="D176" s="709">
        <v>332</v>
      </c>
      <c r="E176" s="710">
        <v>332</v>
      </c>
      <c r="F176" s="710">
        <v>371</v>
      </c>
      <c r="G176" s="526">
        <f t="shared" si="8"/>
        <v>0.159375</v>
      </c>
      <c r="H176" s="470">
        <f t="shared" si="9"/>
        <v>1.11746987951807</v>
      </c>
      <c r="I176" s="524" t="str">
        <f t="shared" si="11"/>
        <v>是</v>
      </c>
      <c r="J176" s="312" t="str">
        <f t="shared" si="10"/>
        <v>项</v>
      </c>
    </row>
    <row r="177" s="372" customFormat="1" ht="24" hidden="1" customHeight="1" spans="1:10">
      <c r="A177" s="330">
        <v>2013203</v>
      </c>
      <c r="B177" s="379" t="s">
        <v>214</v>
      </c>
      <c r="C177" s="602">
        <v>0</v>
      </c>
      <c r="D177" s="709">
        <v>0</v>
      </c>
      <c r="E177" s="710">
        <v>0</v>
      </c>
      <c r="F177" s="710">
        <v>0</v>
      </c>
      <c r="G177" s="526" t="str">
        <f t="shared" si="8"/>
        <v/>
      </c>
      <c r="H177" s="470" t="str">
        <f t="shared" si="9"/>
        <v/>
      </c>
      <c r="I177" s="524" t="str">
        <f t="shared" si="11"/>
        <v>否</v>
      </c>
      <c r="J177" s="312" t="str">
        <f t="shared" si="10"/>
        <v>项</v>
      </c>
    </row>
    <row r="178" s="372" customFormat="1" ht="24" customHeight="1" spans="1:10">
      <c r="A178" s="330">
        <v>2013204</v>
      </c>
      <c r="B178" s="379" t="s">
        <v>309</v>
      </c>
      <c r="C178" s="602">
        <v>31</v>
      </c>
      <c r="D178" s="709">
        <v>45</v>
      </c>
      <c r="E178" s="710">
        <v>45</v>
      </c>
      <c r="F178" s="710">
        <v>60</v>
      </c>
      <c r="G178" s="526">
        <f t="shared" si="8"/>
        <v>0.935483870967742</v>
      </c>
      <c r="H178" s="470">
        <f t="shared" si="9"/>
        <v>1.33333333333333</v>
      </c>
      <c r="I178" s="524" t="str">
        <f t="shared" si="11"/>
        <v>是</v>
      </c>
      <c r="J178" s="312" t="str">
        <f t="shared" si="10"/>
        <v>项</v>
      </c>
    </row>
    <row r="179" s="372" customFormat="1" ht="24" customHeight="1" spans="1:10">
      <c r="A179" s="330">
        <v>2013250</v>
      </c>
      <c r="B179" s="379" t="s">
        <v>221</v>
      </c>
      <c r="C179" s="602">
        <v>37</v>
      </c>
      <c r="D179" s="709">
        <v>50</v>
      </c>
      <c r="E179" s="710">
        <v>50</v>
      </c>
      <c r="F179" s="710">
        <v>38</v>
      </c>
      <c r="G179" s="526">
        <f t="shared" si="8"/>
        <v>0.027027027027027</v>
      </c>
      <c r="H179" s="470">
        <f t="shared" si="9"/>
        <v>0.76</v>
      </c>
      <c r="I179" s="524" t="str">
        <f t="shared" si="11"/>
        <v>是</v>
      </c>
      <c r="J179" s="312" t="str">
        <f t="shared" si="10"/>
        <v>项</v>
      </c>
    </row>
    <row r="180" s="372" customFormat="1" ht="24" customHeight="1" spans="1:10">
      <c r="A180" s="330">
        <v>2013299</v>
      </c>
      <c r="B180" s="379" t="s">
        <v>310</v>
      </c>
      <c r="C180" s="602">
        <v>125</v>
      </c>
      <c r="D180" s="709">
        <v>135</v>
      </c>
      <c r="E180" s="710">
        <v>135</v>
      </c>
      <c r="F180" s="710">
        <v>134</v>
      </c>
      <c r="G180" s="526">
        <f t="shared" si="8"/>
        <v>0.072</v>
      </c>
      <c r="H180" s="470">
        <f t="shared" si="9"/>
        <v>0.992592592592593</v>
      </c>
      <c r="I180" s="524" t="str">
        <f t="shared" si="11"/>
        <v>是</v>
      </c>
      <c r="J180" s="312" t="str">
        <f t="shared" si="10"/>
        <v>项</v>
      </c>
    </row>
    <row r="181" s="372" customFormat="1" ht="24" customHeight="1" spans="1:10">
      <c r="A181" s="330">
        <v>20133</v>
      </c>
      <c r="B181" s="379" t="s">
        <v>311</v>
      </c>
      <c r="C181" s="601">
        <v>1076</v>
      </c>
      <c r="D181" s="708">
        <f>SUM(D182:D187)</f>
        <v>1150</v>
      </c>
      <c r="E181" s="708">
        <f>SUM(E182:E187)</f>
        <v>1150</v>
      </c>
      <c r="F181" s="708">
        <f>SUM(F182:F187)</f>
        <v>1511</v>
      </c>
      <c r="G181" s="523">
        <f t="shared" si="8"/>
        <v>0.404275092936803</v>
      </c>
      <c r="H181" s="467">
        <f t="shared" si="9"/>
        <v>1.31391304347826</v>
      </c>
      <c r="I181" s="524" t="str">
        <f t="shared" si="11"/>
        <v>是</v>
      </c>
      <c r="J181" s="312" t="str">
        <f t="shared" si="10"/>
        <v>款</v>
      </c>
    </row>
    <row r="182" s="372" customFormat="1" ht="24" customHeight="1" spans="1:10">
      <c r="A182" s="330">
        <v>2013301</v>
      </c>
      <c r="B182" s="379" t="s">
        <v>212</v>
      </c>
      <c r="C182" s="602">
        <v>577</v>
      </c>
      <c r="D182" s="709">
        <v>615</v>
      </c>
      <c r="E182" s="710">
        <v>615</v>
      </c>
      <c r="F182" s="710">
        <v>614</v>
      </c>
      <c r="G182" s="526">
        <f t="shared" si="8"/>
        <v>0.0641247833622184</v>
      </c>
      <c r="H182" s="470">
        <f t="shared" si="9"/>
        <v>0.998373983739837</v>
      </c>
      <c r="I182" s="524" t="str">
        <f t="shared" si="11"/>
        <v>是</v>
      </c>
      <c r="J182" s="312" t="str">
        <f t="shared" si="10"/>
        <v>项</v>
      </c>
    </row>
    <row r="183" ht="24" customHeight="1" spans="1:10">
      <c r="A183" s="330">
        <v>2013302</v>
      </c>
      <c r="B183" s="379" t="s">
        <v>213</v>
      </c>
      <c r="C183" s="602">
        <v>457</v>
      </c>
      <c r="D183" s="709">
        <v>465</v>
      </c>
      <c r="E183" s="710">
        <v>465</v>
      </c>
      <c r="F183" s="710">
        <v>829</v>
      </c>
      <c r="G183" s="526">
        <f t="shared" si="8"/>
        <v>0.814004376367615</v>
      </c>
      <c r="H183" s="470">
        <f t="shared" si="9"/>
        <v>1.78279569892473</v>
      </c>
      <c r="I183" s="524" t="str">
        <f t="shared" si="11"/>
        <v>是</v>
      </c>
      <c r="J183" s="312" t="str">
        <f t="shared" si="10"/>
        <v>项</v>
      </c>
    </row>
    <row r="184" s="372" customFormat="1" ht="24" hidden="1" customHeight="1" spans="1:10">
      <c r="A184" s="330">
        <v>2013303</v>
      </c>
      <c r="B184" s="379" t="s">
        <v>214</v>
      </c>
      <c r="C184" s="602">
        <v>0</v>
      </c>
      <c r="D184" s="709">
        <v>0</v>
      </c>
      <c r="E184" s="710">
        <v>0</v>
      </c>
      <c r="F184" s="710">
        <v>0</v>
      </c>
      <c r="G184" s="526" t="str">
        <f t="shared" si="8"/>
        <v/>
      </c>
      <c r="H184" s="470" t="str">
        <f t="shared" si="9"/>
        <v/>
      </c>
      <c r="I184" s="524" t="str">
        <f t="shared" si="11"/>
        <v>否</v>
      </c>
      <c r="J184" s="312" t="str">
        <f t="shared" si="10"/>
        <v>项</v>
      </c>
    </row>
    <row r="185" s="372" customFormat="1" ht="24" customHeight="1" spans="1:10">
      <c r="A185" s="330">
        <v>2013304</v>
      </c>
      <c r="B185" s="379" t="s">
        <v>312</v>
      </c>
      <c r="C185" s="602">
        <v>0</v>
      </c>
      <c r="D185" s="709">
        <v>0</v>
      </c>
      <c r="E185" s="710">
        <v>0</v>
      </c>
      <c r="F185" s="710">
        <v>10</v>
      </c>
      <c r="G185" s="526" t="str">
        <f t="shared" si="8"/>
        <v/>
      </c>
      <c r="H185" s="470" t="str">
        <f t="shared" si="9"/>
        <v/>
      </c>
      <c r="I185" s="524" t="str">
        <f t="shared" si="11"/>
        <v>是</v>
      </c>
      <c r="J185" s="312" t="str">
        <f t="shared" si="10"/>
        <v>项</v>
      </c>
    </row>
    <row r="186" s="372" customFormat="1" ht="24" customHeight="1" spans="1:10">
      <c r="A186" s="330">
        <v>2013350</v>
      </c>
      <c r="B186" s="379" t="s">
        <v>221</v>
      </c>
      <c r="C186" s="602">
        <v>42</v>
      </c>
      <c r="D186" s="709">
        <v>70</v>
      </c>
      <c r="E186" s="710">
        <v>70</v>
      </c>
      <c r="F186" s="710">
        <v>58</v>
      </c>
      <c r="G186" s="526">
        <f t="shared" si="8"/>
        <v>0.380952380952381</v>
      </c>
      <c r="H186" s="470">
        <f t="shared" si="9"/>
        <v>0.828571428571429</v>
      </c>
      <c r="I186" s="524" t="str">
        <f t="shared" si="11"/>
        <v>是</v>
      </c>
      <c r="J186" s="312" t="str">
        <f t="shared" si="10"/>
        <v>项</v>
      </c>
    </row>
    <row r="187" s="372" customFormat="1" ht="24" hidden="1" customHeight="1" spans="1:10">
      <c r="A187" s="330">
        <v>2013399</v>
      </c>
      <c r="B187" s="379" t="s">
        <v>313</v>
      </c>
      <c r="C187" s="602">
        <v>0</v>
      </c>
      <c r="D187" s="709">
        <v>0</v>
      </c>
      <c r="E187" s="710">
        <v>0</v>
      </c>
      <c r="F187" s="710">
        <v>0</v>
      </c>
      <c r="G187" s="526" t="str">
        <f t="shared" si="8"/>
        <v/>
      </c>
      <c r="H187" s="470" t="str">
        <f t="shared" si="9"/>
        <v/>
      </c>
      <c r="I187" s="524" t="str">
        <f t="shared" si="11"/>
        <v>否</v>
      </c>
      <c r="J187" s="312" t="str">
        <f t="shared" si="10"/>
        <v>项</v>
      </c>
    </row>
    <row r="188" s="372" customFormat="1" ht="24" customHeight="1" spans="1:10">
      <c r="A188" s="330">
        <v>20134</v>
      </c>
      <c r="B188" s="379" t="s">
        <v>314</v>
      </c>
      <c r="C188" s="601">
        <v>803</v>
      </c>
      <c r="D188" s="708">
        <f>SUM(D189:D195)</f>
        <v>801</v>
      </c>
      <c r="E188" s="708">
        <f>SUM(E189:E195)</f>
        <v>801</v>
      </c>
      <c r="F188" s="708">
        <f>SUM(F189:F195)</f>
        <v>845</v>
      </c>
      <c r="G188" s="523">
        <f t="shared" si="8"/>
        <v>0.0523038605230386</v>
      </c>
      <c r="H188" s="467">
        <f t="shared" si="9"/>
        <v>1.05493133583021</v>
      </c>
      <c r="I188" s="524" t="str">
        <f t="shared" si="11"/>
        <v>是</v>
      </c>
      <c r="J188" s="312" t="str">
        <f t="shared" si="10"/>
        <v>款</v>
      </c>
    </row>
    <row r="189" s="372" customFormat="1" ht="24" customHeight="1" spans="1:10">
      <c r="A189" s="330">
        <v>2013401</v>
      </c>
      <c r="B189" s="379" t="s">
        <v>212</v>
      </c>
      <c r="C189" s="602">
        <v>628</v>
      </c>
      <c r="D189" s="709">
        <v>675</v>
      </c>
      <c r="E189" s="710">
        <v>675</v>
      </c>
      <c r="F189" s="710">
        <v>684</v>
      </c>
      <c r="G189" s="526">
        <f t="shared" si="8"/>
        <v>0.089171974522293</v>
      </c>
      <c r="H189" s="470">
        <f t="shared" si="9"/>
        <v>1.01333333333333</v>
      </c>
      <c r="I189" s="524" t="str">
        <f t="shared" si="11"/>
        <v>是</v>
      </c>
      <c r="J189" s="312" t="str">
        <f t="shared" si="10"/>
        <v>项</v>
      </c>
    </row>
    <row r="190" ht="24" customHeight="1" spans="1:10">
      <c r="A190" s="330">
        <v>2013402</v>
      </c>
      <c r="B190" s="379" t="s">
        <v>213</v>
      </c>
      <c r="C190" s="602">
        <v>9</v>
      </c>
      <c r="D190" s="709">
        <v>9</v>
      </c>
      <c r="E190" s="710">
        <v>9</v>
      </c>
      <c r="F190" s="710">
        <v>9</v>
      </c>
      <c r="G190" s="526">
        <f t="shared" si="8"/>
        <v>0</v>
      </c>
      <c r="H190" s="470">
        <f t="shared" si="9"/>
        <v>1</v>
      </c>
      <c r="I190" s="524" t="str">
        <f t="shared" si="11"/>
        <v>是</v>
      </c>
      <c r="J190" s="312" t="str">
        <f t="shared" si="10"/>
        <v>项</v>
      </c>
    </row>
    <row r="191" s="372" customFormat="1" ht="24" hidden="1" customHeight="1" spans="1:10">
      <c r="A191" s="330">
        <v>2013403</v>
      </c>
      <c r="B191" s="379" t="s">
        <v>214</v>
      </c>
      <c r="C191" s="602">
        <v>0</v>
      </c>
      <c r="D191" s="709">
        <v>0</v>
      </c>
      <c r="E191" s="710">
        <v>0</v>
      </c>
      <c r="F191" s="710">
        <v>0</v>
      </c>
      <c r="G191" s="526" t="str">
        <f t="shared" si="8"/>
        <v/>
      </c>
      <c r="H191" s="470" t="str">
        <f t="shared" si="9"/>
        <v/>
      </c>
      <c r="I191" s="524" t="str">
        <f t="shared" si="11"/>
        <v>否</v>
      </c>
      <c r="J191" s="312" t="str">
        <f t="shared" si="10"/>
        <v>项</v>
      </c>
    </row>
    <row r="192" s="372" customFormat="1" ht="24" customHeight="1" spans="1:10">
      <c r="A192" s="330">
        <v>2013404</v>
      </c>
      <c r="B192" s="379" t="s">
        <v>315</v>
      </c>
      <c r="C192" s="602">
        <v>59</v>
      </c>
      <c r="D192" s="709">
        <v>45</v>
      </c>
      <c r="E192" s="710">
        <v>45</v>
      </c>
      <c r="F192" s="710">
        <v>59</v>
      </c>
      <c r="G192" s="526">
        <f t="shared" si="8"/>
        <v>0</v>
      </c>
      <c r="H192" s="470">
        <f t="shared" si="9"/>
        <v>1.31111111111111</v>
      </c>
      <c r="I192" s="524" t="str">
        <f t="shared" si="11"/>
        <v>是</v>
      </c>
      <c r="J192" s="312" t="str">
        <f t="shared" si="10"/>
        <v>项</v>
      </c>
    </row>
    <row r="193" s="372" customFormat="1" ht="24" hidden="1" customHeight="1" spans="1:10">
      <c r="A193" s="330">
        <v>2013405</v>
      </c>
      <c r="B193" s="379" t="s">
        <v>316</v>
      </c>
      <c r="C193" s="602">
        <v>0</v>
      </c>
      <c r="D193" s="709">
        <v>0</v>
      </c>
      <c r="E193" s="710">
        <v>0</v>
      </c>
      <c r="F193" s="710">
        <v>0</v>
      </c>
      <c r="G193" s="526" t="str">
        <f t="shared" si="8"/>
        <v/>
      </c>
      <c r="H193" s="470" t="str">
        <f t="shared" si="9"/>
        <v/>
      </c>
      <c r="I193" s="524" t="str">
        <f t="shared" si="11"/>
        <v>否</v>
      </c>
      <c r="J193" s="312" t="str">
        <f t="shared" si="10"/>
        <v>项</v>
      </c>
    </row>
    <row r="194" s="372" customFormat="1" ht="24" hidden="1" customHeight="1" spans="1:10">
      <c r="A194" s="330">
        <v>2013450</v>
      </c>
      <c r="B194" s="379" t="s">
        <v>221</v>
      </c>
      <c r="C194" s="602">
        <v>0</v>
      </c>
      <c r="D194" s="709">
        <v>0</v>
      </c>
      <c r="E194" s="710">
        <v>0</v>
      </c>
      <c r="F194" s="710">
        <v>0</v>
      </c>
      <c r="G194" s="526" t="str">
        <f t="shared" si="8"/>
        <v/>
      </c>
      <c r="H194" s="470" t="str">
        <f t="shared" si="9"/>
        <v/>
      </c>
      <c r="I194" s="524" t="str">
        <f t="shared" si="11"/>
        <v>否</v>
      </c>
      <c r="J194" s="312" t="str">
        <f t="shared" si="10"/>
        <v>项</v>
      </c>
    </row>
    <row r="195" s="372" customFormat="1" ht="24" customHeight="1" spans="1:10">
      <c r="A195" s="330">
        <v>2013499</v>
      </c>
      <c r="B195" s="379" t="s">
        <v>317</v>
      </c>
      <c r="C195" s="602">
        <v>107</v>
      </c>
      <c r="D195" s="709">
        <v>72</v>
      </c>
      <c r="E195" s="710">
        <v>72</v>
      </c>
      <c r="F195" s="710">
        <v>93</v>
      </c>
      <c r="G195" s="526">
        <f t="shared" si="8"/>
        <v>-0.130841121495327</v>
      </c>
      <c r="H195" s="470">
        <f t="shared" si="9"/>
        <v>1.29166666666667</v>
      </c>
      <c r="I195" s="524" t="str">
        <f t="shared" si="11"/>
        <v>是</v>
      </c>
      <c r="J195" s="312" t="str">
        <f t="shared" si="10"/>
        <v>项</v>
      </c>
    </row>
    <row r="196" s="372" customFormat="1" ht="24" hidden="1" customHeight="1" spans="1:10">
      <c r="A196" s="330">
        <v>20135</v>
      </c>
      <c r="B196" s="379" t="s">
        <v>318</v>
      </c>
      <c r="C196" s="601">
        <v>0</v>
      </c>
      <c r="D196" s="708">
        <f>SUM(D197:D201)</f>
        <v>0</v>
      </c>
      <c r="E196" s="708">
        <f>SUM(E197:E201)</f>
        <v>0</v>
      </c>
      <c r="F196" s="708">
        <f>SUM(F197:F201)</f>
        <v>0</v>
      </c>
      <c r="G196" s="523" t="str">
        <f t="shared" si="8"/>
        <v/>
      </c>
      <c r="H196" s="467" t="str">
        <f t="shared" si="9"/>
        <v/>
      </c>
      <c r="I196" s="524" t="str">
        <f t="shared" si="11"/>
        <v>否</v>
      </c>
      <c r="J196" s="312" t="str">
        <f t="shared" si="10"/>
        <v>款</v>
      </c>
    </row>
    <row r="197" ht="24" hidden="1" customHeight="1" spans="1:10">
      <c r="A197" s="330">
        <v>2013501</v>
      </c>
      <c r="B197" s="379" t="s">
        <v>212</v>
      </c>
      <c r="C197" s="602">
        <v>0</v>
      </c>
      <c r="D197" s="709"/>
      <c r="E197" s="710">
        <v>0</v>
      </c>
      <c r="F197" s="710">
        <v>0</v>
      </c>
      <c r="G197" s="526" t="str">
        <f t="shared" ref="G197:G260" si="12">IFERROR((F197-C197)/C197,"")</f>
        <v/>
      </c>
      <c r="H197" s="470" t="str">
        <f t="shared" ref="H197:H260" si="13">IFERROR(F197/D197,"")</f>
        <v/>
      </c>
      <c r="I197" s="524" t="str">
        <f t="shared" si="11"/>
        <v>否</v>
      </c>
      <c r="J197" s="312" t="str">
        <f t="shared" ref="J197:J260" si="14">IF(LEN(A197)=3,"类",IF(LEN(A197)=5,"款","项"))</f>
        <v>项</v>
      </c>
    </row>
    <row r="198" s="372" customFormat="1" ht="24" hidden="1" customHeight="1" spans="1:10">
      <c r="A198" s="330">
        <v>2013502</v>
      </c>
      <c r="B198" s="379" t="s">
        <v>213</v>
      </c>
      <c r="C198" s="602">
        <v>0</v>
      </c>
      <c r="D198" s="709"/>
      <c r="E198" s="710">
        <v>0</v>
      </c>
      <c r="F198" s="710">
        <v>0</v>
      </c>
      <c r="G198" s="526" t="str">
        <f t="shared" si="12"/>
        <v/>
      </c>
      <c r="H198" s="470" t="str">
        <f t="shared" si="13"/>
        <v/>
      </c>
      <c r="I198" s="524" t="str">
        <f t="shared" ref="I198:I261" si="15">IF(LEN(A198)=3,"是",IF(B198&lt;&gt;"",IF(SUM(C198:F198)&lt;&gt;0,"是","否"),"是"))</f>
        <v>否</v>
      </c>
      <c r="J198" s="312" t="str">
        <f t="shared" si="14"/>
        <v>项</v>
      </c>
    </row>
    <row r="199" s="372" customFormat="1" ht="24" hidden="1" customHeight="1" spans="1:10">
      <c r="A199" s="330">
        <v>2013503</v>
      </c>
      <c r="B199" s="379" t="s">
        <v>214</v>
      </c>
      <c r="C199" s="602">
        <v>0</v>
      </c>
      <c r="D199" s="709"/>
      <c r="E199" s="710">
        <v>0</v>
      </c>
      <c r="F199" s="710">
        <v>0</v>
      </c>
      <c r="G199" s="526" t="str">
        <f t="shared" si="12"/>
        <v/>
      </c>
      <c r="H199" s="470" t="str">
        <f t="shared" si="13"/>
        <v/>
      </c>
      <c r="I199" s="524" t="str">
        <f t="shared" si="15"/>
        <v>否</v>
      </c>
      <c r="J199" s="312" t="str">
        <f t="shared" si="14"/>
        <v>项</v>
      </c>
    </row>
    <row r="200" s="372" customFormat="1" ht="24" hidden="1" customHeight="1" spans="1:10">
      <c r="A200" s="330">
        <v>2013550</v>
      </c>
      <c r="B200" s="379" t="s">
        <v>221</v>
      </c>
      <c r="C200" s="602">
        <v>0</v>
      </c>
      <c r="D200" s="709"/>
      <c r="E200" s="710">
        <v>0</v>
      </c>
      <c r="F200" s="710">
        <v>0</v>
      </c>
      <c r="G200" s="526" t="str">
        <f t="shared" si="12"/>
        <v/>
      </c>
      <c r="H200" s="470" t="str">
        <f t="shared" si="13"/>
        <v/>
      </c>
      <c r="I200" s="524" t="str">
        <f t="shared" si="15"/>
        <v>否</v>
      </c>
      <c r="J200" s="312" t="str">
        <f t="shared" si="14"/>
        <v>项</v>
      </c>
    </row>
    <row r="201" s="372" customFormat="1" ht="24" hidden="1" customHeight="1" spans="1:10">
      <c r="A201" s="330">
        <v>2013599</v>
      </c>
      <c r="B201" s="379" t="s">
        <v>319</v>
      </c>
      <c r="C201" s="602">
        <v>0</v>
      </c>
      <c r="D201" s="709"/>
      <c r="E201" s="710">
        <v>0</v>
      </c>
      <c r="F201" s="710">
        <v>0</v>
      </c>
      <c r="G201" s="526" t="str">
        <f t="shared" si="12"/>
        <v/>
      </c>
      <c r="H201" s="470" t="str">
        <f t="shared" si="13"/>
        <v/>
      </c>
      <c r="I201" s="524" t="str">
        <f t="shared" si="15"/>
        <v>否</v>
      </c>
      <c r="J201" s="312" t="str">
        <f t="shared" si="14"/>
        <v>项</v>
      </c>
    </row>
    <row r="202" s="372" customFormat="1" ht="24" customHeight="1" spans="1:10">
      <c r="A202" s="330">
        <v>20136</v>
      </c>
      <c r="B202" s="379" t="s">
        <v>320</v>
      </c>
      <c r="C202" s="601">
        <v>2469</v>
      </c>
      <c r="D202" s="708">
        <f>SUM(D203:D207)</f>
        <v>2649</v>
      </c>
      <c r="E202" s="708">
        <f>SUM(E203:E207)</f>
        <v>2649</v>
      </c>
      <c r="F202" s="708">
        <f>SUM(F203:F207)</f>
        <v>2243</v>
      </c>
      <c r="G202" s="523">
        <f t="shared" si="12"/>
        <v>-0.0915350344268935</v>
      </c>
      <c r="H202" s="467">
        <f t="shared" si="13"/>
        <v>0.846734616836542</v>
      </c>
      <c r="I202" s="524" t="str">
        <f t="shared" si="15"/>
        <v>是</v>
      </c>
      <c r="J202" s="312" t="str">
        <f t="shared" si="14"/>
        <v>款</v>
      </c>
    </row>
    <row r="203" s="372" customFormat="1" ht="24" customHeight="1" spans="1:10">
      <c r="A203" s="330">
        <v>2013601</v>
      </c>
      <c r="B203" s="379" t="s">
        <v>212</v>
      </c>
      <c r="C203" s="602">
        <v>1704</v>
      </c>
      <c r="D203" s="709">
        <v>1815</v>
      </c>
      <c r="E203" s="710">
        <v>1815</v>
      </c>
      <c r="F203" s="710">
        <v>1719</v>
      </c>
      <c r="G203" s="526">
        <f t="shared" si="12"/>
        <v>0.00880281690140845</v>
      </c>
      <c r="H203" s="470">
        <f t="shared" si="13"/>
        <v>0.947107438016529</v>
      </c>
      <c r="I203" s="524" t="str">
        <f t="shared" si="15"/>
        <v>是</v>
      </c>
      <c r="J203" s="312" t="str">
        <f t="shared" si="14"/>
        <v>项</v>
      </c>
    </row>
    <row r="204" ht="24" customHeight="1" spans="1:10">
      <c r="A204" s="330">
        <v>2013602</v>
      </c>
      <c r="B204" s="379" t="s">
        <v>213</v>
      </c>
      <c r="C204" s="602">
        <v>584</v>
      </c>
      <c r="D204" s="709">
        <v>625</v>
      </c>
      <c r="E204" s="710">
        <v>625</v>
      </c>
      <c r="F204" s="710">
        <v>379</v>
      </c>
      <c r="G204" s="526">
        <f t="shared" si="12"/>
        <v>-0.351027397260274</v>
      </c>
      <c r="H204" s="470">
        <f t="shared" si="13"/>
        <v>0.6064</v>
      </c>
      <c r="I204" s="524" t="str">
        <f t="shared" si="15"/>
        <v>是</v>
      </c>
      <c r="J204" s="312" t="str">
        <f t="shared" si="14"/>
        <v>项</v>
      </c>
    </row>
    <row r="205" s="372" customFormat="1" ht="24" hidden="1" customHeight="1" spans="1:10">
      <c r="A205" s="330">
        <v>2013603</v>
      </c>
      <c r="B205" s="379" t="s">
        <v>214</v>
      </c>
      <c r="C205" s="602">
        <v>0</v>
      </c>
      <c r="D205" s="709">
        <v>0</v>
      </c>
      <c r="E205" s="710">
        <v>0</v>
      </c>
      <c r="F205" s="710">
        <v>0</v>
      </c>
      <c r="G205" s="526" t="str">
        <f t="shared" si="12"/>
        <v/>
      </c>
      <c r="H205" s="470" t="str">
        <f t="shared" si="13"/>
        <v/>
      </c>
      <c r="I205" s="524" t="str">
        <f t="shared" si="15"/>
        <v>否</v>
      </c>
      <c r="J205" s="312" t="str">
        <f t="shared" si="14"/>
        <v>项</v>
      </c>
    </row>
    <row r="206" s="372" customFormat="1" ht="24" customHeight="1" spans="1:10">
      <c r="A206" s="330">
        <v>2013650</v>
      </c>
      <c r="B206" s="379" t="s">
        <v>221</v>
      </c>
      <c r="C206" s="602">
        <v>134</v>
      </c>
      <c r="D206" s="709">
        <v>157</v>
      </c>
      <c r="E206" s="710">
        <v>157</v>
      </c>
      <c r="F206" s="710">
        <v>115</v>
      </c>
      <c r="G206" s="526">
        <f t="shared" si="12"/>
        <v>-0.141791044776119</v>
      </c>
      <c r="H206" s="470">
        <f t="shared" si="13"/>
        <v>0.732484076433121</v>
      </c>
      <c r="I206" s="524" t="str">
        <f t="shared" si="15"/>
        <v>是</v>
      </c>
      <c r="J206" s="312" t="str">
        <f t="shared" si="14"/>
        <v>项</v>
      </c>
    </row>
    <row r="207" s="372" customFormat="1" ht="24" customHeight="1" spans="1:10">
      <c r="A207" s="330">
        <v>2013699</v>
      </c>
      <c r="B207" s="379" t="s">
        <v>321</v>
      </c>
      <c r="C207" s="602">
        <v>47</v>
      </c>
      <c r="D207" s="709">
        <v>52</v>
      </c>
      <c r="E207" s="710">
        <v>52</v>
      </c>
      <c r="F207" s="710">
        <v>30</v>
      </c>
      <c r="G207" s="526">
        <f t="shared" si="12"/>
        <v>-0.361702127659574</v>
      </c>
      <c r="H207" s="470">
        <f t="shared" si="13"/>
        <v>0.576923076923077</v>
      </c>
      <c r="I207" s="524" t="str">
        <f t="shared" si="15"/>
        <v>是</v>
      </c>
      <c r="J207" s="312" t="str">
        <f t="shared" si="14"/>
        <v>项</v>
      </c>
    </row>
    <row r="208" s="372" customFormat="1" ht="24" customHeight="1" spans="1:10">
      <c r="A208" s="330">
        <v>20137</v>
      </c>
      <c r="B208" s="379" t="s">
        <v>322</v>
      </c>
      <c r="C208" s="601">
        <v>492</v>
      </c>
      <c r="D208" s="708">
        <f>SUM(D209:D214)</f>
        <v>535</v>
      </c>
      <c r="E208" s="708">
        <f>SUM(E209:E214)</f>
        <v>535</v>
      </c>
      <c r="F208" s="708">
        <f>SUM(F209:F214)</f>
        <v>416</v>
      </c>
      <c r="G208" s="523">
        <f t="shared" si="12"/>
        <v>-0.154471544715447</v>
      </c>
      <c r="H208" s="467">
        <f t="shared" si="13"/>
        <v>0.777570093457944</v>
      </c>
      <c r="I208" s="524" t="str">
        <f t="shared" si="15"/>
        <v>是</v>
      </c>
      <c r="J208" s="312" t="str">
        <f t="shared" si="14"/>
        <v>款</v>
      </c>
    </row>
    <row r="209" s="372" customFormat="1" ht="24" customHeight="1" spans="1:10">
      <c r="A209" s="330">
        <v>2013701</v>
      </c>
      <c r="B209" s="379" t="s">
        <v>212</v>
      </c>
      <c r="C209" s="602">
        <v>214</v>
      </c>
      <c r="D209" s="709">
        <v>228</v>
      </c>
      <c r="E209" s="710">
        <v>228</v>
      </c>
      <c r="F209" s="710">
        <v>225</v>
      </c>
      <c r="G209" s="526">
        <f t="shared" si="12"/>
        <v>0.0514018691588785</v>
      </c>
      <c r="H209" s="470">
        <f t="shared" si="13"/>
        <v>0.986842105263158</v>
      </c>
      <c r="I209" s="524" t="str">
        <f t="shared" si="15"/>
        <v>是</v>
      </c>
      <c r="J209" s="312" t="str">
        <f t="shared" si="14"/>
        <v>项</v>
      </c>
    </row>
    <row r="210" s="372" customFormat="1" ht="24" customHeight="1" spans="1:10">
      <c r="A210" s="330">
        <v>2013702</v>
      </c>
      <c r="B210" s="379" t="s">
        <v>213</v>
      </c>
      <c r="C210" s="602">
        <v>96</v>
      </c>
      <c r="D210" s="709">
        <v>110</v>
      </c>
      <c r="E210" s="710">
        <v>110</v>
      </c>
      <c r="F210" s="710">
        <v>47</v>
      </c>
      <c r="G210" s="526">
        <f t="shared" si="12"/>
        <v>-0.510416666666667</v>
      </c>
      <c r="H210" s="470">
        <f t="shared" si="13"/>
        <v>0.427272727272727</v>
      </c>
      <c r="I210" s="524" t="str">
        <f t="shared" si="15"/>
        <v>是</v>
      </c>
      <c r="J210" s="312" t="str">
        <f t="shared" si="14"/>
        <v>项</v>
      </c>
    </row>
    <row r="211" s="372" customFormat="1" ht="24" hidden="1" customHeight="1" spans="1:10">
      <c r="A211" s="330">
        <v>2013703</v>
      </c>
      <c r="B211" s="379" t="s">
        <v>214</v>
      </c>
      <c r="C211" s="602">
        <v>0</v>
      </c>
      <c r="D211" s="709">
        <v>0</v>
      </c>
      <c r="E211" s="710">
        <v>0</v>
      </c>
      <c r="F211" s="710">
        <v>0</v>
      </c>
      <c r="G211" s="526" t="str">
        <f t="shared" si="12"/>
        <v/>
      </c>
      <c r="H211" s="470" t="str">
        <f t="shared" si="13"/>
        <v/>
      </c>
      <c r="I211" s="524" t="str">
        <f t="shared" si="15"/>
        <v>否</v>
      </c>
      <c r="J211" s="312" t="str">
        <f t="shared" si="14"/>
        <v>项</v>
      </c>
    </row>
    <row r="212" ht="24" customHeight="1" spans="1:10">
      <c r="A212" s="330">
        <v>2013704</v>
      </c>
      <c r="B212" s="379" t="s">
        <v>323</v>
      </c>
      <c r="C212" s="602">
        <v>12</v>
      </c>
      <c r="D212" s="709">
        <v>0</v>
      </c>
      <c r="E212" s="710">
        <v>0</v>
      </c>
      <c r="F212" s="710">
        <v>0</v>
      </c>
      <c r="G212" s="526">
        <f t="shared" si="12"/>
        <v>-1</v>
      </c>
      <c r="H212" s="470" t="str">
        <f t="shared" si="13"/>
        <v/>
      </c>
      <c r="I212" s="524" t="str">
        <f t="shared" si="15"/>
        <v>是</v>
      </c>
      <c r="J212" s="312" t="str">
        <f t="shared" si="14"/>
        <v>项</v>
      </c>
    </row>
    <row r="213" s="372" customFormat="1" ht="24" customHeight="1" spans="1:10">
      <c r="A213" s="330">
        <v>2013750</v>
      </c>
      <c r="B213" s="379" t="s">
        <v>221</v>
      </c>
      <c r="C213" s="602">
        <v>131</v>
      </c>
      <c r="D213" s="709">
        <v>146</v>
      </c>
      <c r="E213" s="710">
        <v>146</v>
      </c>
      <c r="F213" s="710">
        <v>142</v>
      </c>
      <c r="G213" s="526">
        <f t="shared" si="12"/>
        <v>0.083969465648855</v>
      </c>
      <c r="H213" s="470">
        <f t="shared" si="13"/>
        <v>0.972602739726027</v>
      </c>
      <c r="I213" s="524" t="str">
        <f t="shared" si="15"/>
        <v>是</v>
      </c>
      <c r="J213" s="312" t="str">
        <f t="shared" si="14"/>
        <v>项</v>
      </c>
    </row>
    <row r="214" s="372" customFormat="1" ht="24" customHeight="1" spans="1:10">
      <c r="A214" s="330">
        <v>2013799</v>
      </c>
      <c r="B214" s="379" t="s">
        <v>324</v>
      </c>
      <c r="C214" s="602">
        <v>39</v>
      </c>
      <c r="D214" s="709">
        <v>51</v>
      </c>
      <c r="E214" s="710">
        <v>51</v>
      </c>
      <c r="F214" s="710">
        <v>2</v>
      </c>
      <c r="G214" s="526">
        <f t="shared" si="12"/>
        <v>-0.948717948717949</v>
      </c>
      <c r="H214" s="470">
        <f t="shared" si="13"/>
        <v>0.0392156862745098</v>
      </c>
      <c r="I214" s="524" t="str">
        <f t="shared" si="15"/>
        <v>是</v>
      </c>
      <c r="J214" s="312" t="str">
        <f t="shared" si="14"/>
        <v>项</v>
      </c>
    </row>
    <row r="215" s="372" customFormat="1" ht="24" customHeight="1" spans="1:10">
      <c r="A215" s="330">
        <v>20138</v>
      </c>
      <c r="B215" s="379" t="s">
        <v>325</v>
      </c>
      <c r="C215" s="601">
        <v>3901</v>
      </c>
      <c r="D215" s="708">
        <f>SUM(D216:D229)</f>
        <v>4228</v>
      </c>
      <c r="E215" s="708">
        <f>SUM(E216:E229)</f>
        <v>4228</v>
      </c>
      <c r="F215" s="708">
        <f>SUM(F216:F229)</f>
        <v>3926</v>
      </c>
      <c r="G215" s="523">
        <f t="shared" si="12"/>
        <v>0.00640861317610869</v>
      </c>
      <c r="H215" s="467">
        <f t="shared" si="13"/>
        <v>0.928571428571429</v>
      </c>
      <c r="I215" s="524" t="str">
        <f t="shared" si="15"/>
        <v>是</v>
      </c>
      <c r="J215" s="312" t="str">
        <f t="shared" si="14"/>
        <v>款</v>
      </c>
    </row>
    <row r="216" s="372" customFormat="1" ht="24" customHeight="1" spans="1:10">
      <c r="A216" s="330">
        <v>2013801</v>
      </c>
      <c r="B216" s="379" t="s">
        <v>212</v>
      </c>
      <c r="C216" s="602">
        <v>1729</v>
      </c>
      <c r="D216" s="709">
        <v>1915</v>
      </c>
      <c r="E216" s="710">
        <v>1915</v>
      </c>
      <c r="F216" s="710">
        <v>1718</v>
      </c>
      <c r="G216" s="526">
        <f t="shared" si="12"/>
        <v>-0.00636205899363794</v>
      </c>
      <c r="H216" s="470">
        <f t="shared" si="13"/>
        <v>0.897127937336815</v>
      </c>
      <c r="I216" s="524" t="str">
        <f t="shared" si="15"/>
        <v>是</v>
      </c>
      <c r="J216" s="312" t="str">
        <f t="shared" si="14"/>
        <v>项</v>
      </c>
    </row>
    <row r="217" s="372" customFormat="1" ht="24" customHeight="1" spans="1:10">
      <c r="A217" s="330">
        <v>2013802</v>
      </c>
      <c r="B217" s="379" t="s">
        <v>213</v>
      </c>
      <c r="C217" s="602">
        <v>159</v>
      </c>
      <c r="D217" s="709">
        <v>185</v>
      </c>
      <c r="E217" s="710">
        <v>185</v>
      </c>
      <c r="F217" s="710">
        <v>176</v>
      </c>
      <c r="G217" s="526">
        <f t="shared" si="12"/>
        <v>0.106918238993711</v>
      </c>
      <c r="H217" s="470">
        <f t="shared" si="13"/>
        <v>0.951351351351351</v>
      </c>
      <c r="I217" s="524" t="str">
        <f t="shared" si="15"/>
        <v>是</v>
      </c>
      <c r="J217" s="312" t="str">
        <f t="shared" si="14"/>
        <v>项</v>
      </c>
    </row>
    <row r="218" ht="24" hidden="1" customHeight="1" spans="1:10">
      <c r="A218" s="330">
        <v>2013803</v>
      </c>
      <c r="B218" s="379" t="s">
        <v>214</v>
      </c>
      <c r="C218" s="602">
        <v>0</v>
      </c>
      <c r="D218" s="709">
        <v>0</v>
      </c>
      <c r="E218" s="710">
        <v>0</v>
      </c>
      <c r="F218" s="710">
        <v>0</v>
      </c>
      <c r="G218" s="526" t="str">
        <f t="shared" si="12"/>
        <v/>
      </c>
      <c r="H218" s="470" t="str">
        <f t="shared" si="13"/>
        <v/>
      </c>
      <c r="I218" s="524" t="str">
        <f t="shared" si="15"/>
        <v>否</v>
      </c>
      <c r="J218" s="312" t="str">
        <f t="shared" si="14"/>
        <v>项</v>
      </c>
    </row>
    <row r="219" s="374" customFormat="1" ht="24" hidden="1" customHeight="1" spans="1:10">
      <c r="A219" s="331">
        <v>2013804</v>
      </c>
      <c r="B219" s="327" t="s">
        <v>326</v>
      </c>
      <c r="C219" s="608">
        <v>0</v>
      </c>
      <c r="D219" s="709">
        <v>0</v>
      </c>
      <c r="E219" s="710">
        <v>0</v>
      </c>
      <c r="F219" s="710">
        <v>0</v>
      </c>
      <c r="G219" s="526" t="str">
        <f t="shared" si="12"/>
        <v/>
      </c>
      <c r="H219" s="470" t="str">
        <f t="shared" si="13"/>
        <v/>
      </c>
      <c r="I219" s="524" t="str">
        <f t="shared" si="15"/>
        <v>否</v>
      </c>
      <c r="J219" s="313" t="str">
        <f t="shared" si="14"/>
        <v>项</v>
      </c>
    </row>
    <row r="220" s="372" customFormat="1" ht="24" customHeight="1" spans="1:10">
      <c r="A220" s="330">
        <v>2013805</v>
      </c>
      <c r="B220" s="379" t="s">
        <v>327</v>
      </c>
      <c r="C220" s="602">
        <v>24</v>
      </c>
      <c r="D220" s="709">
        <v>25</v>
      </c>
      <c r="E220" s="710">
        <v>25</v>
      </c>
      <c r="F220" s="710">
        <v>41</v>
      </c>
      <c r="G220" s="526">
        <f t="shared" si="12"/>
        <v>0.708333333333333</v>
      </c>
      <c r="H220" s="470">
        <f t="shared" si="13"/>
        <v>1.64</v>
      </c>
      <c r="I220" s="524" t="str">
        <f t="shared" si="15"/>
        <v>是</v>
      </c>
      <c r="J220" s="312" t="str">
        <f t="shared" si="14"/>
        <v>项</v>
      </c>
    </row>
    <row r="221" s="372" customFormat="1" ht="24" hidden="1" customHeight="1" spans="1:10">
      <c r="A221" s="330">
        <v>2013808</v>
      </c>
      <c r="B221" s="379" t="s">
        <v>252</v>
      </c>
      <c r="C221" s="602">
        <v>0</v>
      </c>
      <c r="D221" s="709">
        <v>0</v>
      </c>
      <c r="E221" s="710">
        <v>0</v>
      </c>
      <c r="F221" s="710">
        <v>0</v>
      </c>
      <c r="G221" s="526" t="str">
        <f t="shared" si="12"/>
        <v/>
      </c>
      <c r="H221" s="470" t="str">
        <f t="shared" si="13"/>
        <v/>
      </c>
      <c r="I221" s="524" t="str">
        <f t="shared" si="15"/>
        <v>否</v>
      </c>
      <c r="J221" s="312" t="str">
        <f t="shared" si="14"/>
        <v>项</v>
      </c>
    </row>
    <row r="222" s="372" customFormat="1" ht="24" customHeight="1" spans="1:10">
      <c r="A222" s="330">
        <v>2013810</v>
      </c>
      <c r="B222" s="379" t="s">
        <v>328</v>
      </c>
      <c r="C222" s="602">
        <v>0</v>
      </c>
      <c r="D222" s="709">
        <v>0</v>
      </c>
      <c r="E222" s="710">
        <v>0</v>
      </c>
      <c r="F222" s="710">
        <v>225</v>
      </c>
      <c r="G222" s="526" t="str">
        <f t="shared" si="12"/>
        <v/>
      </c>
      <c r="H222" s="470" t="str">
        <f t="shared" si="13"/>
        <v/>
      </c>
      <c r="I222" s="524" t="str">
        <f t="shared" si="15"/>
        <v>是</v>
      </c>
      <c r="J222" s="312" t="str">
        <f t="shared" si="14"/>
        <v>项</v>
      </c>
    </row>
    <row r="223" s="372" customFormat="1" ht="24" customHeight="1" spans="1:10">
      <c r="A223" s="330">
        <v>2013812</v>
      </c>
      <c r="B223" s="379" t="s">
        <v>329</v>
      </c>
      <c r="C223" s="602">
        <v>0</v>
      </c>
      <c r="D223" s="709">
        <v>0</v>
      </c>
      <c r="E223" s="710">
        <v>0</v>
      </c>
      <c r="F223" s="710">
        <v>10</v>
      </c>
      <c r="G223" s="526" t="str">
        <f t="shared" si="12"/>
        <v/>
      </c>
      <c r="H223" s="470" t="str">
        <f t="shared" si="13"/>
        <v/>
      </c>
      <c r="I223" s="524" t="str">
        <f t="shared" si="15"/>
        <v>是</v>
      </c>
      <c r="J223" s="312" t="str">
        <f t="shared" si="14"/>
        <v>项</v>
      </c>
    </row>
    <row r="224" ht="24" hidden="1" customHeight="1" spans="1:10">
      <c r="A224" s="330">
        <v>2013813</v>
      </c>
      <c r="B224" s="379" t="s">
        <v>330</v>
      </c>
      <c r="C224" s="602">
        <v>0</v>
      </c>
      <c r="D224" s="709">
        <v>0</v>
      </c>
      <c r="E224" s="710">
        <v>0</v>
      </c>
      <c r="F224" s="710">
        <v>0</v>
      </c>
      <c r="G224" s="526" t="str">
        <f t="shared" si="12"/>
        <v/>
      </c>
      <c r="H224" s="470" t="str">
        <f t="shared" si="13"/>
        <v/>
      </c>
      <c r="I224" s="524" t="str">
        <f t="shared" si="15"/>
        <v>否</v>
      </c>
      <c r="J224" s="312" t="str">
        <f t="shared" si="14"/>
        <v>项</v>
      </c>
    </row>
    <row r="225" s="372" customFormat="1" ht="24" hidden="1" customHeight="1" spans="1:10">
      <c r="A225" s="330">
        <v>2013814</v>
      </c>
      <c r="B225" s="379" t="s">
        <v>331</v>
      </c>
      <c r="C225" s="602">
        <v>0</v>
      </c>
      <c r="D225" s="709">
        <v>0</v>
      </c>
      <c r="E225" s="710">
        <v>0</v>
      </c>
      <c r="F225" s="710">
        <v>0</v>
      </c>
      <c r="G225" s="526" t="str">
        <f t="shared" si="12"/>
        <v/>
      </c>
      <c r="H225" s="470" t="str">
        <f t="shared" si="13"/>
        <v/>
      </c>
      <c r="I225" s="524" t="str">
        <f t="shared" si="15"/>
        <v>否</v>
      </c>
      <c r="J225" s="312" t="str">
        <f t="shared" si="14"/>
        <v>项</v>
      </c>
    </row>
    <row r="226" s="372" customFormat="1" ht="24" customHeight="1" spans="1:10">
      <c r="A226" s="330">
        <v>2013815</v>
      </c>
      <c r="B226" s="379" t="s">
        <v>332</v>
      </c>
      <c r="C226" s="602">
        <v>50</v>
      </c>
      <c r="D226" s="709">
        <v>50</v>
      </c>
      <c r="E226" s="710">
        <v>50</v>
      </c>
      <c r="F226" s="710">
        <v>38</v>
      </c>
      <c r="G226" s="526">
        <f t="shared" si="12"/>
        <v>-0.24</v>
      </c>
      <c r="H226" s="470">
        <f t="shared" si="13"/>
        <v>0.76</v>
      </c>
      <c r="I226" s="524" t="str">
        <f t="shared" si="15"/>
        <v>是</v>
      </c>
      <c r="J226" s="312" t="str">
        <f t="shared" si="14"/>
        <v>项</v>
      </c>
    </row>
    <row r="227" s="372" customFormat="1" ht="24" customHeight="1" spans="1:10">
      <c r="A227" s="330">
        <v>2013816</v>
      </c>
      <c r="B227" s="379" t="s">
        <v>333</v>
      </c>
      <c r="C227" s="602">
        <v>224</v>
      </c>
      <c r="D227" s="709">
        <v>170</v>
      </c>
      <c r="E227" s="710">
        <v>170</v>
      </c>
      <c r="F227" s="710">
        <v>220</v>
      </c>
      <c r="G227" s="526">
        <f t="shared" si="12"/>
        <v>-0.0178571428571429</v>
      </c>
      <c r="H227" s="470">
        <f t="shared" si="13"/>
        <v>1.29411764705882</v>
      </c>
      <c r="I227" s="524" t="str">
        <f t="shared" si="15"/>
        <v>是</v>
      </c>
      <c r="J227" s="312" t="str">
        <f t="shared" si="14"/>
        <v>项</v>
      </c>
    </row>
    <row r="228" s="372" customFormat="1" ht="24" customHeight="1" spans="1:10">
      <c r="A228" s="330">
        <v>2013850</v>
      </c>
      <c r="B228" s="379" t="s">
        <v>221</v>
      </c>
      <c r="C228" s="602">
        <v>1491</v>
      </c>
      <c r="D228" s="709">
        <v>1648</v>
      </c>
      <c r="E228" s="710">
        <v>1648</v>
      </c>
      <c r="F228" s="710">
        <v>1414</v>
      </c>
      <c r="G228" s="526">
        <f t="shared" si="12"/>
        <v>-0.0516431924882629</v>
      </c>
      <c r="H228" s="470">
        <f t="shared" si="13"/>
        <v>0.858009708737864</v>
      </c>
      <c r="I228" s="524" t="str">
        <f t="shared" si="15"/>
        <v>是</v>
      </c>
      <c r="J228" s="312" t="str">
        <f t="shared" si="14"/>
        <v>项</v>
      </c>
    </row>
    <row r="229" s="372" customFormat="1" ht="24" customHeight="1" spans="1:10">
      <c r="A229" s="330">
        <v>2013899</v>
      </c>
      <c r="B229" s="379" t="s">
        <v>334</v>
      </c>
      <c r="C229" s="602">
        <v>224</v>
      </c>
      <c r="D229" s="709">
        <v>235</v>
      </c>
      <c r="E229" s="710">
        <v>235</v>
      </c>
      <c r="F229" s="710">
        <v>84</v>
      </c>
      <c r="G229" s="526">
        <f t="shared" si="12"/>
        <v>-0.625</v>
      </c>
      <c r="H229" s="470">
        <f t="shared" si="13"/>
        <v>0.357446808510638</v>
      </c>
      <c r="I229" s="524" t="str">
        <f t="shared" si="15"/>
        <v>是</v>
      </c>
      <c r="J229" s="312" t="str">
        <f t="shared" si="14"/>
        <v>项</v>
      </c>
    </row>
    <row r="230" s="372" customFormat="1" ht="24" customHeight="1" spans="1:10">
      <c r="A230" s="330">
        <v>20139</v>
      </c>
      <c r="B230" s="379" t="s">
        <v>335</v>
      </c>
      <c r="C230" s="601">
        <v>183</v>
      </c>
      <c r="D230" s="708">
        <f>SUM(D231:D236)</f>
        <v>339</v>
      </c>
      <c r="E230" s="708">
        <f>SUM(E231:E236)</f>
        <v>339</v>
      </c>
      <c r="F230" s="708">
        <f>SUM(F231:F236)</f>
        <v>282</v>
      </c>
      <c r="G230" s="523">
        <f t="shared" si="12"/>
        <v>0.540983606557377</v>
      </c>
      <c r="H230" s="467">
        <f t="shared" si="13"/>
        <v>0.831858407079646</v>
      </c>
      <c r="I230" s="524" t="str">
        <f t="shared" si="15"/>
        <v>是</v>
      </c>
      <c r="J230" s="312" t="str">
        <f t="shared" si="14"/>
        <v>款</v>
      </c>
    </row>
    <row r="231" s="372" customFormat="1" ht="24" customHeight="1" spans="1:10">
      <c r="A231" s="330">
        <v>2013901</v>
      </c>
      <c r="B231" s="379" t="s">
        <v>212</v>
      </c>
      <c r="C231" s="602">
        <v>133</v>
      </c>
      <c r="D231" s="709">
        <v>158</v>
      </c>
      <c r="E231" s="710">
        <v>158</v>
      </c>
      <c r="F231" s="710">
        <v>222</v>
      </c>
      <c r="G231" s="526">
        <f t="shared" si="12"/>
        <v>0.669172932330827</v>
      </c>
      <c r="H231" s="470">
        <f t="shared" si="13"/>
        <v>1.40506329113924</v>
      </c>
      <c r="I231" s="524" t="str">
        <f t="shared" si="15"/>
        <v>是</v>
      </c>
      <c r="J231" s="312" t="str">
        <f t="shared" si="14"/>
        <v>项</v>
      </c>
    </row>
    <row r="232" s="372" customFormat="1" ht="24" customHeight="1" spans="1:10">
      <c r="A232" s="330">
        <v>2013902</v>
      </c>
      <c r="B232" s="379" t="s">
        <v>213</v>
      </c>
      <c r="C232" s="602">
        <v>37</v>
      </c>
      <c r="D232" s="709">
        <v>45</v>
      </c>
      <c r="E232" s="710">
        <v>45</v>
      </c>
      <c r="F232" s="710">
        <v>26</v>
      </c>
      <c r="G232" s="526">
        <f t="shared" si="12"/>
        <v>-0.297297297297297</v>
      </c>
      <c r="H232" s="470">
        <f t="shared" si="13"/>
        <v>0.577777777777778</v>
      </c>
      <c r="I232" s="524" t="str">
        <f t="shared" si="15"/>
        <v>是</v>
      </c>
      <c r="J232" s="312" t="str">
        <f t="shared" si="14"/>
        <v>项</v>
      </c>
    </row>
    <row r="233" s="372" customFormat="1" ht="24" hidden="1" customHeight="1" spans="1:10">
      <c r="A233" s="330">
        <v>2013903</v>
      </c>
      <c r="B233" s="379" t="s">
        <v>214</v>
      </c>
      <c r="C233" s="602">
        <v>0</v>
      </c>
      <c r="D233" s="709">
        <v>0</v>
      </c>
      <c r="E233" s="710">
        <v>0</v>
      </c>
      <c r="F233" s="710">
        <v>0</v>
      </c>
      <c r="G233" s="526" t="str">
        <f t="shared" si="12"/>
        <v/>
      </c>
      <c r="H233" s="470" t="str">
        <f t="shared" si="13"/>
        <v/>
      </c>
      <c r="I233" s="524" t="str">
        <f t="shared" si="15"/>
        <v>否</v>
      </c>
      <c r="J233" s="312" t="str">
        <f t="shared" si="14"/>
        <v>项</v>
      </c>
    </row>
    <row r="234" s="372" customFormat="1" ht="24" customHeight="1" spans="1:10">
      <c r="A234" s="330">
        <v>2013904</v>
      </c>
      <c r="B234" s="379" t="s">
        <v>306</v>
      </c>
      <c r="C234" s="602">
        <v>0</v>
      </c>
      <c r="D234" s="709">
        <v>120</v>
      </c>
      <c r="E234" s="710">
        <v>120</v>
      </c>
      <c r="F234" s="710">
        <v>0</v>
      </c>
      <c r="G234" s="526" t="str">
        <f t="shared" si="12"/>
        <v/>
      </c>
      <c r="H234" s="470">
        <f t="shared" si="13"/>
        <v>0</v>
      </c>
      <c r="I234" s="524" t="str">
        <f t="shared" si="15"/>
        <v>是</v>
      </c>
      <c r="J234" s="312" t="str">
        <f t="shared" si="14"/>
        <v>项</v>
      </c>
    </row>
    <row r="235" s="372" customFormat="1" ht="24" customHeight="1" spans="1:10">
      <c r="A235" s="330">
        <v>2013950</v>
      </c>
      <c r="B235" s="379" t="s">
        <v>221</v>
      </c>
      <c r="C235" s="602">
        <v>13</v>
      </c>
      <c r="D235" s="709">
        <v>16</v>
      </c>
      <c r="E235" s="710">
        <v>16</v>
      </c>
      <c r="F235" s="710">
        <v>34</v>
      </c>
      <c r="G235" s="526">
        <f t="shared" si="12"/>
        <v>1.61538461538462</v>
      </c>
      <c r="H235" s="470">
        <f t="shared" si="13"/>
        <v>2.125</v>
      </c>
      <c r="I235" s="524" t="str">
        <f t="shared" si="15"/>
        <v>是</v>
      </c>
      <c r="J235" s="312" t="str">
        <f t="shared" si="14"/>
        <v>项</v>
      </c>
    </row>
    <row r="236" s="372" customFormat="1" ht="24" hidden="1" customHeight="1" spans="1:10">
      <c r="A236" s="330">
        <v>2013999</v>
      </c>
      <c r="B236" s="379" t="s">
        <v>336</v>
      </c>
      <c r="C236" s="602">
        <v>0</v>
      </c>
      <c r="D236" s="709">
        <v>0</v>
      </c>
      <c r="E236" s="710">
        <v>0</v>
      </c>
      <c r="F236" s="710">
        <v>0</v>
      </c>
      <c r="G236" s="526" t="str">
        <f t="shared" si="12"/>
        <v/>
      </c>
      <c r="H236" s="470" t="str">
        <f t="shared" si="13"/>
        <v/>
      </c>
      <c r="I236" s="524" t="str">
        <f t="shared" si="15"/>
        <v>否</v>
      </c>
      <c r="J236" s="312" t="str">
        <f t="shared" si="14"/>
        <v>项</v>
      </c>
    </row>
    <row r="237" s="372" customFormat="1" ht="24" customHeight="1" spans="1:10">
      <c r="A237" s="330">
        <v>20140</v>
      </c>
      <c r="B237" s="379" t="s">
        <v>337</v>
      </c>
      <c r="C237" s="601">
        <v>364</v>
      </c>
      <c r="D237" s="708">
        <f>SUM(D238:D243)</f>
        <v>416</v>
      </c>
      <c r="E237" s="708">
        <f>SUM(E238:E243)</f>
        <v>416</v>
      </c>
      <c r="F237" s="708">
        <f>SUM(F238:F243)</f>
        <v>384</v>
      </c>
      <c r="G237" s="523">
        <f t="shared" si="12"/>
        <v>0.0549450549450549</v>
      </c>
      <c r="H237" s="467">
        <f t="shared" si="13"/>
        <v>0.923076923076923</v>
      </c>
      <c r="I237" s="524" t="str">
        <f t="shared" si="15"/>
        <v>是</v>
      </c>
      <c r="J237" s="312" t="str">
        <f t="shared" si="14"/>
        <v>款</v>
      </c>
    </row>
    <row r="238" s="506" customFormat="1" ht="24" customHeight="1" spans="1:10">
      <c r="A238" s="528">
        <v>2014001</v>
      </c>
      <c r="B238" s="327" t="s">
        <v>212</v>
      </c>
      <c r="C238" s="602">
        <v>338</v>
      </c>
      <c r="D238" s="709">
        <v>366</v>
      </c>
      <c r="E238" s="710">
        <v>366</v>
      </c>
      <c r="F238" s="710">
        <v>337</v>
      </c>
      <c r="G238" s="526">
        <f t="shared" si="12"/>
        <v>-0.0029585798816568</v>
      </c>
      <c r="H238" s="470">
        <f t="shared" si="13"/>
        <v>0.920765027322404</v>
      </c>
      <c r="I238" s="524" t="str">
        <f t="shared" si="15"/>
        <v>是</v>
      </c>
      <c r="J238" s="309" t="str">
        <f t="shared" si="14"/>
        <v>项</v>
      </c>
    </row>
    <row r="239" s="374" customFormat="1" ht="24" customHeight="1" spans="1:10">
      <c r="A239" s="331">
        <v>2014002</v>
      </c>
      <c r="B239" s="327" t="s">
        <v>213</v>
      </c>
      <c r="C239" s="602">
        <v>0</v>
      </c>
      <c r="D239" s="709">
        <v>0</v>
      </c>
      <c r="E239" s="710">
        <v>0</v>
      </c>
      <c r="F239" s="710">
        <v>20</v>
      </c>
      <c r="G239" s="526" t="str">
        <f t="shared" si="12"/>
        <v/>
      </c>
      <c r="H239" s="470" t="str">
        <f t="shared" si="13"/>
        <v/>
      </c>
      <c r="I239" s="524" t="str">
        <f t="shared" si="15"/>
        <v>是</v>
      </c>
      <c r="J239" s="313" t="str">
        <f t="shared" si="14"/>
        <v>项</v>
      </c>
    </row>
    <row r="240" s="372" customFormat="1" ht="24" hidden="1" customHeight="1" spans="1:10">
      <c r="A240" s="330">
        <v>2014003</v>
      </c>
      <c r="B240" s="379" t="s">
        <v>214</v>
      </c>
      <c r="C240" s="602">
        <v>0</v>
      </c>
      <c r="D240" s="709">
        <v>0</v>
      </c>
      <c r="E240" s="710">
        <v>0</v>
      </c>
      <c r="F240" s="710">
        <v>0</v>
      </c>
      <c r="G240" s="526" t="str">
        <f t="shared" si="12"/>
        <v/>
      </c>
      <c r="H240" s="470" t="str">
        <f t="shared" si="13"/>
        <v/>
      </c>
      <c r="I240" s="524" t="str">
        <f t="shared" si="15"/>
        <v>否</v>
      </c>
      <c r="J240" s="312" t="str">
        <f t="shared" si="14"/>
        <v>项</v>
      </c>
    </row>
    <row r="241" s="372" customFormat="1" ht="24" customHeight="1" spans="1:10">
      <c r="A241" s="330">
        <v>2014004</v>
      </c>
      <c r="B241" s="379" t="s">
        <v>338</v>
      </c>
      <c r="C241" s="602">
        <v>26</v>
      </c>
      <c r="D241" s="709">
        <v>50</v>
      </c>
      <c r="E241" s="710">
        <v>50</v>
      </c>
      <c r="F241" s="710">
        <v>0</v>
      </c>
      <c r="G241" s="526">
        <f t="shared" si="12"/>
        <v>-1</v>
      </c>
      <c r="H241" s="470">
        <f t="shared" si="13"/>
        <v>0</v>
      </c>
      <c r="I241" s="524" t="str">
        <f t="shared" si="15"/>
        <v>是</v>
      </c>
      <c r="J241" s="312" t="str">
        <f t="shared" si="14"/>
        <v>项</v>
      </c>
    </row>
    <row r="242" s="374" customFormat="1" ht="24" customHeight="1" spans="1:10">
      <c r="A242" s="354">
        <v>2014050</v>
      </c>
      <c r="B242" s="327" t="s">
        <v>221</v>
      </c>
      <c r="C242" s="608"/>
      <c r="D242" s="709">
        <v>0</v>
      </c>
      <c r="E242" s="710">
        <v>0</v>
      </c>
      <c r="F242" s="710">
        <v>27</v>
      </c>
      <c r="G242" s="526" t="str">
        <f t="shared" si="12"/>
        <v/>
      </c>
      <c r="H242" s="470" t="str">
        <f t="shared" si="13"/>
        <v/>
      </c>
      <c r="I242" s="524" t="str">
        <f t="shared" si="15"/>
        <v>是</v>
      </c>
      <c r="J242" s="313" t="str">
        <f t="shared" si="14"/>
        <v>项</v>
      </c>
    </row>
    <row r="243" s="374" customFormat="1" ht="24" hidden="1" customHeight="1" spans="1:10">
      <c r="A243" s="331">
        <v>2014099</v>
      </c>
      <c r="B243" s="327" t="s">
        <v>339</v>
      </c>
      <c r="C243" s="608">
        <v>0</v>
      </c>
      <c r="D243" s="709">
        <v>0</v>
      </c>
      <c r="E243" s="710">
        <v>0</v>
      </c>
      <c r="F243" s="710">
        <v>0</v>
      </c>
      <c r="G243" s="526" t="str">
        <f t="shared" si="12"/>
        <v/>
      </c>
      <c r="H243" s="470" t="str">
        <f t="shared" si="13"/>
        <v/>
      </c>
      <c r="I243" s="524" t="str">
        <f t="shared" si="15"/>
        <v>否</v>
      </c>
      <c r="J243" s="313" t="str">
        <f t="shared" si="14"/>
        <v>项</v>
      </c>
    </row>
    <row r="244" s="374" customFormat="1" ht="24" hidden="1" customHeight="1" spans="1:10">
      <c r="A244" s="331">
        <v>20141</v>
      </c>
      <c r="B244" s="327" t="s">
        <v>340</v>
      </c>
      <c r="C244" s="359"/>
      <c r="D244" s="711"/>
      <c r="E244" s="711"/>
      <c r="F244" s="711"/>
      <c r="G244" s="523" t="str">
        <f t="shared" si="12"/>
        <v/>
      </c>
      <c r="H244" s="467" t="str">
        <f t="shared" si="13"/>
        <v/>
      </c>
      <c r="I244" s="524" t="str">
        <f t="shared" si="15"/>
        <v>否</v>
      </c>
      <c r="J244" s="313" t="str">
        <f t="shared" si="14"/>
        <v>款</v>
      </c>
    </row>
    <row r="245" s="374" customFormat="1" ht="24" hidden="1" customHeight="1" spans="1:10">
      <c r="A245" s="331">
        <v>2014101</v>
      </c>
      <c r="B245" s="530" t="s">
        <v>212</v>
      </c>
      <c r="C245" s="608"/>
      <c r="D245" s="709"/>
      <c r="E245" s="710">
        <v>0</v>
      </c>
      <c r="F245" s="710">
        <v>0</v>
      </c>
      <c r="G245" s="526" t="str">
        <f t="shared" si="12"/>
        <v/>
      </c>
      <c r="H245" s="470" t="str">
        <f t="shared" si="13"/>
        <v/>
      </c>
      <c r="I245" s="524" t="str">
        <f t="shared" si="15"/>
        <v>否</v>
      </c>
      <c r="J245" s="313" t="str">
        <f t="shared" si="14"/>
        <v>项</v>
      </c>
    </row>
    <row r="246" s="374" customFormat="1" ht="24" hidden="1" customHeight="1" spans="1:10">
      <c r="A246" s="331">
        <v>2014102</v>
      </c>
      <c r="B246" s="530" t="s">
        <v>213</v>
      </c>
      <c r="C246" s="608"/>
      <c r="D246" s="709"/>
      <c r="E246" s="710">
        <v>0</v>
      </c>
      <c r="F246" s="710">
        <v>0</v>
      </c>
      <c r="G246" s="526" t="str">
        <f t="shared" si="12"/>
        <v/>
      </c>
      <c r="H246" s="470" t="str">
        <f t="shared" si="13"/>
        <v/>
      </c>
      <c r="I246" s="524" t="str">
        <f t="shared" si="15"/>
        <v>否</v>
      </c>
      <c r="J246" s="313" t="str">
        <f t="shared" si="14"/>
        <v>项</v>
      </c>
    </row>
    <row r="247" s="374" customFormat="1" ht="24" hidden="1" customHeight="1" spans="1:10">
      <c r="A247" s="331">
        <v>2014103</v>
      </c>
      <c r="B247" s="530" t="s">
        <v>214</v>
      </c>
      <c r="C247" s="608"/>
      <c r="D247" s="709"/>
      <c r="E247" s="710">
        <v>0</v>
      </c>
      <c r="F247" s="710">
        <v>0</v>
      </c>
      <c r="G247" s="526" t="str">
        <f t="shared" si="12"/>
        <v/>
      </c>
      <c r="H247" s="470" t="str">
        <f t="shared" si="13"/>
        <v/>
      </c>
      <c r="I247" s="524" t="str">
        <f t="shared" si="15"/>
        <v>否</v>
      </c>
      <c r="J247" s="313" t="str">
        <f t="shared" si="14"/>
        <v>项</v>
      </c>
    </row>
    <row r="248" s="374" customFormat="1" ht="24" hidden="1" customHeight="1" spans="1:10">
      <c r="A248" s="331">
        <v>2014150</v>
      </c>
      <c r="B248" s="530" t="s">
        <v>221</v>
      </c>
      <c r="C248" s="608"/>
      <c r="D248" s="709"/>
      <c r="E248" s="710">
        <v>0</v>
      </c>
      <c r="F248" s="710">
        <v>0</v>
      </c>
      <c r="G248" s="526" t="str">
        <f t="shared" si="12"/>
        <v/>
      </c>
      <c r="H248" s="470" t="str">
        <f t="shared" si="13"/>
        <v/>
      </c>
      <c r="I248" s="524" t="str">
        <f t="shared" si="15"/>
        <v>否</v>
      </c>
      <c r="J248" s="313" t="str">
        <f t="shared" si="14"/>
        <v>项</v>
      </c>
    </row>
    <row r="249" s="374" customFormat="1" ht="24" hidden="1" customHeight="1" spans="1:10">
      <c r="A249" s="331">
        <v>2014199</v>
      </c>
      <c r="B249" s="530" t="s">
        <v>341</v>
      </c>
      <c r="C249" s="608"/>
      <c r="D249" s="709"/>
      <c r="E249" s="710">
        <v>0</v>
      </c>
      <c r="F249" s="710">
        <v>0</v>
      </c>
      <c r="G249" s="526" t="str">
        <f t="shared" si="12"/>
        <v/>
      </c>
      <c r="H249" s="470" t="str">
        <f t="shared" si="13"/>
        <v/>
      </c>
      <c r="I249" s="524" t="str">
        <f t="shared" si="15"/>
        <v>否</v>
      </c>
      <c r="J249" s="313" t="str">
        <f t="shared" si="14"/>
        <v>项</v>
      </c>
    </row>
    <row r="250" s="372" customFormat="1" ht="24" customHeight="1" spans="1:10">
      <c r="A250" s="330">
        <v>20199</v>
      </c>
      <c r="B250" s="379" t="s">
        <v>342</v>
      </c>
      <c r="C250" s="601">
        <v>-2002</v>
      </c>
      <c r="D250" s="708">
        <f>SUM(D251:D252)</f>
        <v>0</v>
      </c>
      <c r="E250" s="708">
        <f>SUM(E251:E252)</f>
        <v>0</v>
      </c>
      <c r="F250" s="708">
        <f>SUM(F251:F252)</f>
        <v>-556</v>
      </c>
      <c r="G250" s="523">
        <f>-IFERROR((F250-C250)/C250,"")</f>
        <v>0.722277722277722</v>
      </c>
      <c r="H250" s="467" t="str">
        <f t="shared" si="13"/>
        <v/>
      </c>
      <c r="I250" s="524" t="str">
        <f t="shared" si="15"/>
        <v>是</v>
      </c>
      <c r="J250" s="312" t="str">
        <f t="shared" si="14"/>
        <v>款</v>
      </c>
    </row>
    <row r="251" ht="24" hidden="1" customHeight="1" spans="1:10">
      <c r="A251" s="330">
        <v>2019901</v>
      </c>
      <c r="B251" s="379" t="s">
        <v>343</v>
      </c>
      <c r="C251" s="602">
        <v>0</v>
      </c>
      <c r="D251" s="709">
        <v>0</v>
      </c>
      <c r="E251" s="710">
        <v>0</v>
      </c>
      <c r="F251" s="710">
        <v>0</v>
      </c>
      <c r="G251" s="526" t="str">
        <f t="shared" si="12"/>
        <v/>
      </c>
      <c r="H251" s="470" t="str">
        <f t="shared" si="13"/>
        <v/>
      </c>
      <c r="I251" s="524" t="str">
        <f t="shared" si="15"/>
        <v>否</v>
      </c>
      <c r="J251" s="312" t="str">
        <f t="shared" si="14"/>
        <v>项</v>
      </c>
    </row>
    <row r="252" s="372" customFormat="1" ht="24" customHeight="1" spans="1:10">
      <c r="A252" s="330">
        <v>2019999</v>
      </c>
      <c r="B252" s="379" t="s">
        <v>344</v>
      </c>
      <c r="C252" s="602">
        <v>-2002</v>
      </c>
      <c r="D252" s="709">
        <v>0</v>
      </c>
      <c r="E252" s="710">
        <v>0</v>
      </c>
      <c r="F252" s="710">
        <v>-556</v>
      </c>
      <c r="G252" s="526">
        <f>-IFERROR((F252-C252)/C252,"")</f>
        <v>0.722277722277722</v>
      </c>
      <c r="H252" s="470" t="str">
        <f t="shared" si="13"/>
        <v/>
      </c>
      <c r="I252" s="524" t="str">
        <f t="shared" si="15"/>
        <v>是</v>
      </c>
      <c r="J252" s="312" t="str">
        <f t="shared" si="14"/>
        <v>项</v>
      </c>
    </row>
    <row r="253" s="372" customFormat="1" ht="24" customHeight="1" spans="1:10">
      <c r="A253" s="330">
        <v>202</v>
      </c>
      <c r="B253" s="377" t="s">
        <v>176</v>
      </c>
      <c r="C253" s="601">
        <v>0</v>
      </c>
      <c r="D253" s="708">
        <f>D254+D261+D264+D267+D273+D278+D280+D285+D291</f>
        <v>0</v>
      </c>
      <c r="E253" s="708">
        <f>E254+E261+E264+E267+E273+E278+E280+E285+E291</f>
        <v>0</v>
      </c>
      <c r="F253" s="708">
        <f>F254+F261+F264+F267+F273+F278+F280+F285+F291</f>
        <v>0</v>
      </c>
      <c r="G253" s="523" t="str">
        <f t="shared" si="12"/>
        <v/>
      </c>
      <c r="H253" s="467" t="str">
        <f t="shared" si="13"/>
        <v/>
      </c>
      <c r="I253" s="524" t="str">
        <f t="shared" si="15"/>
        <v>是</v>
      </c>
      <c r="J253" s="312" t="str">
        <f t="shared" si="14"/>
        <v>类</v>
      </c>
    </row>
    <row r="254" s="372" customFormat="1" ht="24" hidden="1" customHeight="1" spans="1:10">
      <c r="A254" s="330">
        <v>20201</v>
      </c>
      <c r="B254" s="379" t="s">
        <v>345</v>
      </c>
      <c r="C254" s="601">
        <v>0</v>
      </c>
      <c r="D254" s="708">
        <f>SUM(D255:D260)</f>
        <v>0</v>
      </c>
      <c r="E254" s="708">
        <f>SUM(E255:E260)</f>
        <v>0</v>
      </c>
      <c r="F254" s="708">
        <f>SUM(F255:F260)</f>
        <v>0</v>
      </c>
      <c r="G254" s="523" t="str">
        <f t="shared" si="12"/>
        <v/>
      </c>
      <c r="H254" s="467" t="str">
        <f t="shared" si="13"/>
        <v/>
      </c>
      <c r="I254" s="524" t="str">
        <f t="shared" si="15"/>
        <v>否</v>
      </c>
      <c r="J254" s="312" t="str">
        <f t="shared" si="14"/>
        <v>款</v>
      </c>
    </row>
    <row r="255" s="372" customFormat="1" ht="24" hidden="1" customHeight="1" spans="1:10">
      <c r="A255" s="330">
        <v>2020101</v>
      </c>
      <c r="B255" s="379" t="s">
        <v>212</v>
      </c>
      <c r="C255" s="602">
        <v>0</v>
      </c>
      <c r="D255" s="709"/>
      <c r="E255" s="710">
        <v>0</v>
      </c>
      <c r="F255" s="710">
        <v>0</v>
      </c>
      <c r="G255" s="526" t="str">
        <f t="shared" si="12"/>
        <v/>
      </c>
      <c r="H255" s="470" t="str">
        <f t="shared" si="13"/>
        <v/>
      </c>
      <c r="I255" s="524" t="str">
        <f t="shared" si="15"/>
        <v>否</v>
      </c>
      <c r="J255" s="312" t="str">
        <f t="shared" si="14"/>
        <v>项</v>
      </c>
    </row>
    <row r="256" s="372" customFormat="1" ht="24" hidden="1" customHeight="1" spans="1:10">
      <c r="A256" s="330">
        <v>2020102</v>
      </c>
      <c r="B256" s="379" t="s">
        <v>213</v>
      </c>
      <c r="C256" s="602">
        <v>0</v>
      </c>
      <c r="D256" s="709"/>
      <c r="E256" s="710">
        <v>0</v>
      </c>
      <c r="F256" s="710">
        <v>0</v>
      </c>
      <c r="G256" s="526" t="str">
        <f t="shared" si="12"/>
        <v/>
      </c>
      <c r="H256" s="470" t="str">
        <f t="shared" si="13"/>
        <v/>
      </c>
      <c r="I256" s="524" t="str">
        <f t="shared" si="15"/>
        <v>否</v>
      </c>
      <c r="J256" s="312" t="str">
        <f t="shared" si="14"/>
        <v>项</v>
      </c>
    </row>
    <row r="257" s="372" customFormat="1" ht="24" hidden="1" customHeight="1" spans="1:10">
      <c r="A257" s="330">
        <v>2020103</v>
      </c>
      <c r="B257" s="379" t="s">
        <v>214</v>
      </c>
      <c r="C257" s="602">
        <v>0</v>
      </c>
      <c r="D257" s="709"/>
      <c r="E257" s="710">
        <v>0</v>
      </c>
      <c r="F257" s="710">
        <v>0</v>
      </c>
      <c r="G257" s="526" t="str">
        <f t="shared" si="12"/>
        <v/>
      </c>
      <c r="H257" s="470" t="str">
        <f t="shared" si="13"/>
        <v/>
      </c>
      <c r="I257" s="524" t="str">
        <f t="shared" si="15"/>
        <v>否</v>
      </c>
      <c r="J257" s="312" t="str">
        <f t="shared" si="14"/>
        <v>项</v>
      </c>
    </row>
    <row r="258" s="372" customFormat="1" ht="24" hidden="1" customHeight="1" spans="1:10">
      <c r="A258" s="330">
        <v>2020104</v>
      </c>
      <c r="B258" s="379" t="s">
        <v>306</v>
      </c>
      <c r="C258" s="602">
        <v>0</v>
      </c>
      <c r="D258" s="709"/>
      <c r="E258" s="710">
        <v>0</v>
      </c>
      <c r="F258" s="710">
        <v>0</v>
      </c>
      <c r="G258" s="526" t="str">
        <f t="shared" si="12"/>
        <v/>
      </c>
      <c r="H258" s="470" t="str">
        <f t="shared" si="13"/>
        <v/>
      </c>
      <c r="I258" s="524" t="str">
        <f t="shared" si="15"/>
        <v>否</v>
      </c>
      <c r="J258" s="312" t="str">
        <f t="shared" si="14"/>
        <v>项</v>
      </c>
    </row>
    <row r="259" s="372" customFormat="1" ht="24" hidden="1" customHeight="1" spans="1:10">
      <c r="A259" s="330">
        <v>2020150</v>
      </c>
      <c r="B259" s="379" t="s">
        <v>221</v>
      </c>
      <c r="C259" s="602">
        <v>0</v>
      </c>
      <c r="D259" s="709"/>
      <c r="E259" s="710">
        <v>0</v>
      </c>
      <c r="F259" s="710">
        <v>0</v>
      </c>
      <c r="G259" s="526" t="str">
        <f t="shared" si="12"/>
        <v/>
      </c>
      <c r="H259" s="470" t="str">
        <f t="shared" si="13"/>
        <v/>
      </c>
      <c r="I259" s="524" t="str">
        <f t="shared" si="15"/>
        <v>否</v>
      </c>
      <c r="J259" s="312" t="str">
        <f t="shared" si="14"/>
        <v>项</v>
      </c>
    </row>
    <row r="260" s="372" customFormat="1" ht="24" hidden="1" customHeight="1" spans="1:10">
      <c r="A260" s="330">
        <v>2020199</v>
      </c>
      <c r="B260" s="379" t="s">
        <v>346</v>
      </c>
      <c r="C260" s="602">
        <v>0</v>
      </c>
      <c r="D260" s="709"/>
      <c r="E260" s="710">
        <v>0</v>
      </c>
      <c r="F260" s="710">
        <v>0</v>
      </c>
      <c r="G260" s="526" t="str">
        <f t="shared" si="12"/>
        <v/>
      </c>
      <c r="H260" s="470" t="str">
        <f t="shared" si="13"/>
        <v/>
      </c>
      <c r="I260" s="524" t="str">
        <f t="shared" si="15"/>
        <v>否</v>
      </c>
      <c r="J260" s="312" t="str">
        <f t="shared" si="14"/>
        <v>项</v>
      </c>
    </row>
    <row r="261" s="372" customFormat="1" ht="24" hidden="1" customHeight="1" spans="1:10">
      <c r="A261" s="330">
        <v>20202</v>
      </c>
      <c r="B261" s="379" t="s">
        <v>347</v>
      </c>
      <c r="C261" s="601">
        <v>0</v>
      </c>
      <c r="D261" s="708">
        <f>SUM(D262:D263)</f>
        <v>0</v>
      </c>
      <c r="E261" s="708">
        <f>SUM(E262:E263)</f>
        <v>0</v>
      </c>
      <c r="F261" s="708">
        <f>SUM(F262:F263)</f>
        <v>0</v>
      </c>
      <c r="G261" s="523" t="str">
        <f t="shared" ref="G261:G324" si="16">IFERROR((F261-C261)/C261,"")</f>
        <v/>
      </c>
      <c r="H261" s="467" t="str">
        <f t="shared" ref="H261:H324" si="17">IFERROR(F261/D261,"")</f>
        <v/>
      </c>
      <c r="I261" s="524" t="str">
        <f t="shared" si="15"/>
        <v>否</v>
      </c>
      <c r="J261" s="312" t="str">
        <f t="shared" ref="J261:J324" si="18">IF(LEN(A261)=3,"类",IF(LEN(A261)=5,"款","项"))</f>
        <v>款</v>
      </c>
    </row>
    <row r="262" s="372" customFormat="1" ht="24" hidden="1" customHeight="1" spans="1:10">
      <c r="A262" s="330">
        <v>2020201</v>
      </c>
      <c r="B262" s="379" t="s">
        <v>348</v>
      </c>
      <c r="C262" s="602">
        <v>0</v>
      </c>
      <c r="D262" s="709"/>
      <c r="E262" s="710">
        <v>0</v>
      </c>
      <c r="F262" s="710">
        <v>0</v>
      </c>
      <c r="G262" s="526" t="str">
        <f t="shared" si="16"/>
        <v/>
      </c>
      <c r="H262" s="470" t="str">
        <f t="shared" si="17"/>
        <v/>
      </c>
      <c r="I262" s="524" t="str">
        <f t="shared" ref="I262:I325" si="19">IF(LEN(A262)=3,"是",IF(B262&lt;&gt;"",IF(SUM(C262:F262)&lt;&gt;0,"是","否"),"是"))</f>
        <v>否</v>
      </c>
      <c r="J262" s="312" t="str">
        <f t="shared" si="18"/>
        <v>项</v>
      </c>
    </row>
    <row r="263" s="372" customFormat="1" ht="24" hidden="1" customHeight="1" spans="1:10">
      <c r="A263" s="330">
        <v>2020202</v>
      </c>
      <c r="B263" s="379" t="s">
        <v>349</v>
      </c>
      <c r="C263" s="602">
        <v>0</v>
      </c>
      <c r="D263" s="709"/>
      <c r="E263" s="710">
        <v>0</v>
      </c>
      <c r="F263" s="710">
        <v>0</v>
      </c>
      <c r="G263" s="526" t="str">
        <f t="shared" si="16"/>
        <v/>
      </c>
      <c r="H263" s="470" t="str">
        <f t="shared" si="17"/>
        <v/>
      </c>
      <c r="I263" s="524" t="str">
        <f t="shared" si="19"/>
        <v>否</v>
      </c>
      <c r="J263" s="312" t="str">
        <f t="shared" si="18"/>
        <v>项</v>
      </c>
    </row>
    <row r="264" s="372" customFormat="1" ht="24" hidden="1" customHeight="1" spans="1:10">
      <c r="A264" s="330">
        <v>20203</v>
      </c>
      <c r="B264" s="379" t="s">
        <v>350</v>
      </c>
      <c r="C264" s="601">
        <v>0</v>
      </c>
      <c r="D264" s="708">
        <f>SUM(D265:D266)</f>
        <v>0</v>
      </c>
      <c r="E264" s="708">
        <f>SUM(E265:E266)</f>
        <v>0</v>
      </c>
      <c r="F264" s="708">
        <f>SUM(F265:F266)</f>
        <v>0</v>
      </c>
      <c r="G264" s="523" t="str">
        <f t="shared" si="16"/>
        <v/>
      </c>
      <c r="H264" s="467" t="str">
        <f t="shared" si="17"/>
        <v/>
      </c>
      <c r="I264" s="524" t="str">
        <f t="shared" si="19"/>
        <v>否</v>
      </c>
      <c r="J264" s="312" t="str">
        <f t="shared" si="18"/>
        <v>款</v>
      </c>
    </row>
    <row r="265" s="372" customFormat="1" ht="24" hidden="1" customHeight="1" spans="1:10">
      <c r="A265" s="330">
        <v>2020304</v>
      </c>
      <c r="B265" s="379" t="s">
        <v>351</v>
      </c>
      <c r="C265" s="602">
        <v>0</v>
      </c>
      <c r="D265" s="709"/>
      <c r="E265" s="710">
        <v>0</v>
      </c>
      <c r="F265" s="710">
        <v>0</v>
      </c>
      <c r="G265" s="526" t="str">
        <f t="shared" si="16"/>
        <v/>
      </c>
      <c r="H265" s="470" t="str">
        <f t="shared" si="17"/>
        <v/>
      </c>
      <c r="I265" s="524" t="str">
        <f t="shared" si="19"/>
        <v>否</v>
      </c>
      <c r="J265" s="312" t="str">
        <f t="shared" si="18"/>
        <v>项</v>
      </c>
    </row>
    <row r="266" s="372" customFormat="1" ht="24" hidden="1" customHeight="1" spans="1:10">
      <c r="A266" s="330">
        <v>2020306</v>
      </c>
      <c r="B266" s="379" t="s">
        <v>352</v>
      </c>
      <c r="C266" s="602">
        <v>0</v>
      </c>
      <c r="D266" s="709"/>
      <c r="E266" s="710">
        <v>0</v>
      </c>
      <c r="F266" s="710">
        <v>0</v>
      </c>
      <c r="G266" s="526" t="str">
        <f t="shared" si="16"/>
        <v/>
      </c>
      <c r="H266" s="470" t="str">
        <f t="shared" si="17"/>
        <v/>
      </c>
      <c r="I266" s="524" t="str">
        <f t="shared" si="19"/>
        <v>否</v>
      </c>
      <c r="J266" s="312" t="str">
        <f t="shared" si="18"/>
        <v>项</v>
      </c>
    </row>
    <row r="267" s="372" customFormat="1" ht="24" hidden="1" customHeight="1" spans="1:10">
      <c r="A267" s="330">
        <v>20204</v>
      </c>
      <c r="B267" s="379" t="s">
        <v>353</v>
      </c>
      <c r="C267" s="601">
        <v>0</v>
      </c>
      <c r="D267" s="708">
        <f>SUM(D268:D272)</f>
        <v>0</v>
      </c>
      <c r="E267" s="708">
        <f>SUM(E268:E272)</f>
        <v>0</v>
      </c>
      <c r="F267" s="708">
        <f>SUM(F268:F272)</f>
        <v>0</v>
      </c>
      <c r="G267" s="523" t="str">
        <f t="shared" si="16"/>
        <v/>
      </c>
      <c r="H267" s="467" t="str">
        <f t="shared" si="17"/>
        <v/>
      </c>
      <c r="I267" s="524" t="str">
        <f t="shared" si="19"/>
        <v>否</v>
      </c>
      <c r="J267" s="312" t="str">
        <f t="shared" si="18"/>
        <v>款</v>
      </c>
    </row>
    <row r="268" s="372" customFormat="1" ht="24" hidden="1" customHeight="1" spans="1:10">
      <c r="A268" s="330">
        <v>2020401</v>
      </c>
      <c r="B268" s="379" t="s">
        <v>354</v>
      </c>
      <c r="C268" s="602">
        <v>0</v>
      </c>
      <c r="D268" s="709"/>
      <c r="E268" s="710">
        <v>0</v>
      </c>
      <c r="F268" s="710">
        <v>0</v>
      </c>
      <c r="G268" s="526" t="str">
        <f t="shared" si="16"/>
        <v/>
      </c>
      <c r="H268" s="470" t="str">
        <f t="shared" si="17"/>
        <v/>
      </c>
      <c r="I268" s="524" t="str">
        <f t="shared" si="19"/>
        <v>否</v>
      </c>
      <c r="J268" s="312" t="str">
        <f t="shared" si="18"/>
        <v>项</v>
      </c>
    </row>
    <row r="269" s="372" customFormat="1" ht="24" hidden="1" customHeight="1" spans="1:10">
      <c r="A269" s="330">
        <v>2020402</v>
      </c>
      <c r="B269" s="379" t="s">
        <v>355</v>
      </c>
      <c r="C269" s="602">
        <v>0</v>
      </c>
      <c r="D269" s="709"/>
      <c r="E269" s="710">
        <v>0</v>
      </c>
      <c r="F269" s="710">
        <v>0</v>
      </c>
      <c r="G269" s="526" t="str">
        <f t="shared" si="16"/>
        <v/>
      </c>
      <c r="H269" s="470" t="str">
        <f t="shared" si="17"/>
        <v/>
      </c>
      <c r="I269" s="524" t="str">
        <f t="shared" si="19"/>
        <v>否</v>
      </c>
      <c r="J269" s="312" t="str">
        <f t="shared" si="18"/>
        <v>项</v>
      </c>
    </row>
    <row r="270" s="372" customFormat="1" ht="24" hidden="1" customHeight="1" spans="1:10">
      <c r="A270" s="330">
        <v>2020403</v>
      </c>
      <c r="B270" s="379" t="s">
        <v>356</v>
      </c>
      <c r="C270" s="602">
        <v>0</v>
      </c>
      <c r="D270" s="709"/>
      <c r="E270" s="710">
        <v>0</v>
      </c>
      <c r="F270" s="710">
        <v>0</v>
      </c>
      <c r="G270" s="526" t="str">
        <f t="shared" si="16"/>
        <v/>
      </c>
      <c r="H270" s="470" t="str">
        <f t="shared" si="17"/>
        <v/>
      </c>
      <c r="I270" s="524" t="str">
        <f t="shared" si="19"/>
        <v>否</v>
      </c>
      <c r="J270" s="312" t="str">
        <f t="shared" si="18"/>
        <v>项</v>
      </c>
    </row>
    <row r="271" s="372" customFormat="1" ht="24" hidden="1" customHeight="1" spans="1:10">
      <c r="A271" s="330">
        <v>2020404</v>
      </c>
      <c r="B271" s="379" t="s">
        <v>357</v>
      </c>
      <c r="C271" s="602">
        <v>0</v>
      </c>
      <c r="D271" s="709"/>
      <c r="E271" s="710">
        <v>0</v>
      </c>
      <c r="F271" s="710">
        <v>0</v>
      </c>
      <c r="G271" s="526" t="str">
        <f t="shared" si="16"/>
        <v/>
      </c>
      <c r="H271" s="470" t="str">
        <f t="shared" si="17"/>
        <v/>
      </c>
      <c r="I271" s="524" t="str">
        <f t="shared" si="19"/>
        <v>否</v>
      </c>
      <c r="J271" s="312" t="str">
        <f t="shared" si="18"/>
        <v>项</v>
      </c>
    </row>
    <row r="272" s="372" customFormat="1" ht="24" hidden="1" customHeight="1" spans="1:10">
      <c r="A272" s="330">
        <v>2020499</v>
      </c>
      <c r="B272" s="379" t="s">
        <v>358</v>
      </c>
      <c r="C272" s="602">
        <v>0</v>
      </c>
      <c r="D272" s="709"/>
      <c r="E272" s="710">
        <v>0</v>
      </c>
      <c r="F272" s="710">
        <v>0</v>
      </c>
      <c r="G272" s="526" t="str">
        <f t="shared" si="16"/>
        <v/>
      </c>
      <c r="H272" s="470" t="str">
        <f t="shared" si="17"/>
        <v/>
      </c>
      <c r="I272" s="524" t="str">
        <f t="shared" si="19"/>
        <v>否</v>
      </c>
      <c r="J272" s="312" t="str">
        <f t="shared" si="18"/>
        <v>项</v>
      </c>
    </row>
    <row r="273" s="372" customFormat="1" ht="24" hidden="1" customHeight="1" spans="1:10">
      <c r="A273" s="330">
        <v>20205</v>
      </c>
      <c r="B273" s="379" t="s">
        <v>359</v>
      </c>
      <c r="C273" s="601">
        <v>0</v>
      </c>
      <c r="D273" s="708">
        <f>SUM(D274:D277)</f>
        <v>0</v>
      </c>
      <c r="E273" s="708">
        <f>SUM(E274:E277)</f>
        <v>0</v>
      </c>
      <c r="F273" s="708">
        <f>SUM(F274:F277)</f>
        <v>0</v>
      </c>
      <c r="G273" s="523" t="str">
        <f t="shared" si="16"/>
        <v/>
      </c>
      <c r="H273" s="467" t="str">
        <f t="shared" si="17"/>
        <v/>
      </c>
      <c r="I273" s="524" t="str">
        <f t="shared" si="19"/>
        <v>否</v>
      </c>
      <c r="J273" s="312" t="str">
        <f t="shared" si="18"/>
        <v>款</v>
      </c>
    </row>
    <row r="274" s="372" customFormat="1" ht="24" hidden="1" customHeight="1" spans="1:10">
      <c r="A274" s="330">
        <v>2020503</v>
      </c>
      <c r="B274" s="379" t="s">
        <v>360</v>
      </c>
      <c r="C274" s="602">
        <v>0</v>
      </c>
      <c r="D274" s="709"/>
      <c r="E274" s="710">
        <v>0</v>
      </c>
      <c r="F274" s="710">
        <v>0</v>
      </c>
      <c r="G274" s="526" t="str">
        <f t="shared" si="16"/>
        <v/>
      </c>
      <c r="H274" s="470" t="str">
        <f t="shared" si="17"/>
        <v/>
      </c>
      <c r="I274" s="524" t="str">
        <f t="shared" si="19"/>
        <v>否</v>
      </c>
      <c r="J274" s="312" t="str">
        <f t="shared" si="18"/>
        <v>项</v>
      </c>
    </row>
    <row r="275" s="372" customFormat="1" ht="24" hidden="1" customHeight="1" spans="1:10">
      <c r="A275" s="330">
        <v>2020504</v>
      </c>
      <c r="B275" s="379" t="s">
        <v>361</v>
      </c>
      <c r="C275" s="602">
        <v>0</v>
      </c>
      <c r="D275" s="709"/>
      <c r="E275" s="710">
        <v>0</v>
      </c>
      <c r="F275" s="710">
        <v>0</v>
      </c>
      <c r="G275" s="526" t="str">
        <f t="shared" si="16"/>
        <v/>
      </c>
      <c r="H275" s="470" t="str">
        <f t="shared" si="17"/>
        <v/>
      </c>
      <c r="I275" s="524" t="str">
        <f t="shared" si="19"/>
        <v>否</v>
      </c>
      <c r="J275" s="312" t="str">
        <f t="shared" si="18"/>
        <v>项</v>
      </c>
    </row>
    <row r="276" s="372" customFormat="1" ht="24" hidden="1" customHeight="1" spans="1:10">
      <c r="A276" s="330">
        <v>2020505</v>
      </c>
      <c r="B276" s="379" t="s">
        <v>362</v>
      </c>
      <c r="C276" s="602">
        <v>0</v>
      </c>
      <c r="D276" s="709"/>
      <c r="E276" s="710">
        <v>0</v>
      </c>
      <c r="F276" s="710">
        <v>0</v>
      </c>
      <c r="G276" s="526" t="str">
        <f t="shared" si="16"/>
        <v/>
      </c>
      <c r="H276" s="470" t="str">
        <f t="shared" si="17"/>
        <v/>
      </c>
      <c r="I276" s="524" t="str">
        <f t="shared" si="19"/>
        <v>否</v>
      </c>
      <c r="J276" s="312" t="str">
        <f t="shared" si="18"/>
        <v>项</v>
      </c>
    </row>
    <row r="277" s="372" customFormat="1" ht="24" hidden="1" customHeight="1" spans="1:10">
      <c r="A277" s="330">
        <v>2020599</v>
      </c>
      <c r="B277" s="379" t="s">
        <v>363</v>
      </c>
      <c r="C277" s="602">
        <v>0</v>
      </c>
      <c r="D277" s="709"/>
      <c r="E277" s="710">
        <v>0</v>
      </c>
      <c r="F277" s="710">
        <v>0</v>
      </c>
      <c r="G277" s="526" t="str">
        <f t="shared" si="16"/>
        <v/>
      </c>
      <c r="H277" s="470" t="str">
        <f t="shared" si="17"/>
        <v/>
      </c>
      <c r="I277" s="524" t="str">
        <f t="shared" si="19"/>
        <v>否</v>
      </c>
      <c r="J277" s="312" t="str">
        <f t="shared" si="18"/>
        <v>项</v>
      </c>
    </row>
    <row r="278" s="372" customFormat="1" ht="24" hidden="1" customHeight="1" spans="1:10">
      <c r="A278" s="330">
        <v>20206</v>
      </c>
      <c r="B278" s="379" t="s">
        <v>364</v>
      </c>
      <c r="C278" s="601">
        <v>0</v>
      </c>
      <c r="D278" s="708">
        <f>D279</f>
        <v>0</v>
      </c>
      <c r="E278" s="708">
        <f>E279</f>
        <v>0</v>
      </c>
      <c r="F278" s="708">
        <f>F279</f>
        <v>0</v>
      </c>
      <c r="G278" s="523" t="str">
        <f t="shared" si="16"/>
        <v/>
      </c>
      <c r="H278" s="467" t="str">
        <f t="shared" si="17"/>
        <v/>
      </c>
      <c r="I278" s="524" t="str">
        <f t="shared" si="19"/>
        <v>否</v>
      </c>
      <c r="J278" s="312" t="str">
        <f t="shared" si="18"/>
        <v>款</v>
      </c>
    </row>
    <row r="279" s="372" customFormat="1" ht="24" hidden="1" customHeight="1" spans="1:10">
      <c r="A279" s="330">
        <v>2020601</v>
      </c>
      <c r="B279" s="379" t="s">
        <v>365</v>
      </c>
      <c r="C279" s="602">
        <v>0</v>
      </c>
      <c r="D279" s="709"/>
      <c r="E279" s="710">
        <v>0</v>
      </c>
      <c r="F279" s="710">
        <v>0</v>
      </c>
      <c r="G279" s="526" t="str">
        <f t="shared" si="16"/>
        <v/>
      </c>
      <c r="H279" s="470" t="str">
        <f t="shared" si="17"/>
        <v/>
      </c>
      <c r="I279" s="524" t="str">
        <f t="shared" si="19"/>
        <v>否</v>
      </c>
      <c r="J279" s="312" t="str">
        <f t="shared" si="18"/>
        <v>项</v>
      </c>
    </row>
    <row r="280" s="372" customFormat="1" ht="24" hidden="1" customHeight="1" spans="1:10">
      <c r="A280" s="330">
        <v>20207</v>
      </c>
      <c r="B280" s="379" t="s">
        <v>366</v>
      </c>
      <c r="C280" s="601">
        <v>0</v>
      </c>
      <c r="D280" s="708">
        <f>SUM(D281:D284)</f>
        <v>0</v>
      </c>
      <c r="E280" s="708">
        <f>SUM(E281:E284)</f>
        <v>0</v>
      </c>
      <c r="F280" s="708">
        <f>SUM(F281:F284)</f>
        <v>0</v>
      </c>
      <c r="G280" s="523" t="str">
        <f t="shared" si="16"/>
        <v/>
      </c>
      <c r="H280" s="467" t="str">
        <f t="shared" si="17"/>
        <v/>
      </c>
      <c r="I280" s="524" t="str">
        <f t="shared" si="19"/>
        <v>否</v>
      </c>
      <c r="J280" s="312" t="str">
        <f t="shared" si="18"/>
        <v>款</v>
      </c>
    </row>
    <row r="281" s="372" customFormat="1" ht="24" hidden="1" customHeight="1" spans="1:10">
      <c r="A281" s="330">
        <v>2020701</v>
      </c>
      <c r="B281" s="379" t="s">
        <v>367</v>
      </c>
      <c r="C281" s="602">
        <v>0</v>
      </c>
      <c r="D281" s="709"/>
      <c r="E281" s="710">
        <v>0</v>
      </c>
      <c r="F281" s="710">
        <v>0</v>
      </c>
      <c r="G281" s="526" t="str">
        <f t="shared" si="16"/>
        <v/>
      </c>
      <c r="H281" s="470" t="str">
        <f t="shared" si="17"/>
        <v/>
      </c>
      <c r="I281" s="524" t="str">
        <f t="shared" si="19"/>
        <v>否</v>
      </c>
      <c r="J281" s="312" t="str">
        <f t="shared" si="18"/>
        <v>项</v>
      </c>
    </row>
    <row r="282" s="372" customFormat="1" ht="24" hidden="1" customHeight="1" spans="1:10">
      <c r="A282" s="330">
        <v>2020702</v>
      </c>
      <c r="B282" s="379" t="s">
        <v>368</v>
      </c>
      <c r="C282" s="602">
        <v>0</v>
      </c>
      <c r="D282" s="709"/>
      <c r="E282" s="710">
        <v>0</v>
      </c>
      <c r="F282" s="710">
        <v>0</v>
      </c>
      <c r="G282" s="526" t="str">
        <f t="shared" si="16"/>
        <v/>
      </c>
      <c r="H282" s="470" t="str">
        <f t="shared" si="17"/>
        <v/>
      </c>
      <c r="I282" s="524" t="str">
        <f t="shared" si="19"/>
        <v>否</v>
      </c>
      <c r="J282" s="312" t="str">
        <f t="shared" si="18"/>
        <v>项</v>
      </c>
    </row>
    <row r="283" s="372" customFormat="1" ht="24" hidden="1" customHeight="1" spans="1:10">
      <c r="A283" s="330">
        <v>2020703</v>
      </c>
      <c r="B283" s="379" t="s">
        <v>369</v>
      </c>
      <c r="C283" s="602">
        <v>0</v>
      </c>
      <c r="D283" s="709"/>
      <c r="E283" s="710">
        <v>0</v>
      </c>
      <c r="F283" s="710">
        <v>0</v>
      </c>
      <c r="G283" s="526" t="str">
        <f t="shared" si="16"/>
        <v/>
      </c>
      <c r="H283" s="470" t="str">
        <f t="shared" si="17"/>
        <v/>
      </c>
      <c r="I283" s="524" t="str">
        <f t="shared" si="19"/>
        <v>否</v>
      </c>
      <c r="J283" s="312" t="str">
        <f t="shared" si="18"/>
        <v>项</v>
      </c>
    </row>
    <row r="284" s="372" customFormat="1" ht="24" hidden="1" customHeight="1" spans="1:10">
      <c r="A284" s="330">
        <v>2020799</v>
      </c>
      <c r="B284" s="379" t="s">
        <v>370</v>
      </c>
      <c r="C284" s="602">
        <v>0</v>
      </c>
      <c r="D284" s="709"/>
      <c r="E284" s="710">
        <v>0</v>
      </c>
      <c r="F284" s="710">
        <v>0</v>
      </c>
      <c r="G284" s="526" t="str">
        <f t="shared" si="16"/>
        <v/>
      </c>
      <c r="H284" s="470" t="str">
        <f t="shared" si="17"/>
        <v/>
      </c>
      <c r="I284" s="524" t="str">
        <f t="shared" si="19"/>
        <v>否</v>
      </c>
      <c r="J284" s="312" t="str">
        <f t="shared" si="18"/>
        <v>项</v>
      </c>
    </row>
    <row r="285" s="372" customFormat="1" ht="24" hidden="1" customHeight="1" spans="1:10">
      <c r="A285" s="330">
        <v>20208</v>
      </c>
      <c r="B285" s="379" t="s">
        <v>371</v>
      </c>
      <c r="C285" s="601">
        <v>0</v>
      </c>
      <c r="D285" s="708">
        <f>SUM(D286:D290)</f>
        <v>0</v>
      </c>
      <c r="E285" s="708">
        <f>SUM(E286:E290)</f>
        <v>0</v>
      </c>
      <c r="F285" s="708">
        <f>SUM(F286:F290)</f>
        <v>0</v>
      </c>
      <c r="G285" s="523" t="str">
        <f t="shared" si="16"/>
        <v/>
      </c>
      <c r="H285" s="467" t="str">
        <f t="shared" si="17"/>
        <v/>
      </c>
      <c r="I285" s="524" t="str">
        <f t="shared" si="19"/>
        <v>否</v>
      </c>
      <c r="J285" s="312" t="str">
        <f t="shared" si="18"/>
        <v>款</v>
      </c>
    </row>
    <row r="286" s="372" customFormat="1" ht="24" hidden="1" customHeight="1" spans="1:10">
      <c r="A286" s="330">
        <v>2020801</v>
      </c>
      <c r="B286" s="379" t="s">
        <v>212</v>
      </c>
      <c r="C286" s="602">
        <v>0</v>
      </c>
      <c r="D286" s="709"/>
      <c r="E286" s="710">
        <v>0</v>
      </c>
      <c r="F286" s="710">
        <v>0</v>
      </c>
      <c r="G286" s="526" t="str">
        <f t="shared" si="16"/>
        <v/>
      </c>
      <c r="H286" s="470" t="str">
        <f t="shared" si="17"/>
        <v/>
      </c>
      <c r="I286" s="524" t="str">
        <f t="shared" si="19"/>
        <v>否</v>
      </c>
      <c r="J286" s="312" t="str">
        <f t="shared" si="18"/>
        <v>项</v>
      </c>
    </row>
    <row r="287" s="372" customFormat="1" ht="24" hidden="1" customHeight="1" spans="1:10">
      <c r="A287" s="330">
        <v>2020802</v>
      </c>
      <c r="B287" s="379" t="s">
        <v>213</v>
      </c>
      <c r="C287" s="602">
        <v>0</v>
      </c>
      <c r="D287" s="709"/>
      <c r="E287" s="710">
        <v>0</v>
      </c>
      <c r="F287" s="710">
        <v>0</v>
      </c>
      <c r="G287" s="526" t="str">
        <f t="shared" si="16"/>
        <v/>
      </c>
      <c r="H287" s="470" t="str">
        <f t="shared" si="17"/>
        <v/>
      </c>
      <c r="I287" s="524" t="str">
        <f t="shared" si="19"/>
        <v>否</v>
      </c>
      <c r="J287" s="312" t="str">
        <f t="shared" si="18"/>
        <v>项</v>
      </c>
    </row>
    <row r="288" s="372" customFormat="1" ht="24" hidden="1" customHeight="1" spans="1:10">
      <c r="A288" s="330">
        <v>2020803</v>
      </c>
      <c r="B288" s="379" t="s">
        <v>214</v>
      </c>
      <c r="C288" s="602">
        <v>0</v>
      </c>
      <c r="D288" s="709"/>
      <c r="E288" s="710">
        <v>0</v>
      </c>
      <c r="F288" s="710">
        <v>0</v>
      </c>
      <c r="G288" s="526" t="str">
        <f t="shared" si="16"/>
        <v/>
      </c>
      <c r="H288" s="470" t="str">
        <f t="shared" si="17"/>
        <v/>
      </c>
      <c r="I288" s="524" t="str">
        <f t="shared" si="19"/>
        <v>否</v>
      </c>
      <c r="J288" s="312" t="str">
        <f t="shared" si="18"/>
        <v>项</v>
      </c>
    </row>
    <row r="289" s="372" customFormat="1" ht="24" hidden="1" customHeight="1" spans="1:10">
      <c r="A289" s="330">
        <v>2020850</v>
      </c>
      <c r="B289" s="379" t="s">
        <v>221</v>
      </c>
      <c r="C289" s="602">
        <v>0</v>
      </c>
      <c r="D289" s="709"/>
      <c r="E289" s="710">
        <v>0</v>
      </c>
      <c r="F289" s="710">
        <v>0</v>
      </c>
      <c r="G289" s="526" t="str">
        <f t="shared" si="16"/>
        <v/>
      </c>
      <c r="H289" s="470" t="str">
        <f t="shared" si="17"/>
        <v/>
      </c>
      <c r="I289" s="524" t="str">
        <f t="shared" si="19"/>
        <v>否</v>
      </c>
      <c r="J289" s="312" t="str">
        <f t="shared" si="18"/>
        <v>项</v>
      </c>
    </row>
    <row r="290" s="372" customFormat="1" ht="24" hidden="1" customHeight="1" spans="1:10">
      <c r="A290" s="330">
        <v>2020899</v>
      </c>
      <c r="B290" s="379" t="s">
        <v>372</v>
      </c>
      <c r="C290" s="602">
        <v>0</v>
      </c>
      <c r="D290" s="709"/>
      <c r="E290" s="710">
        <v>0</v>
      </c>
      <c r="F290" s="710">
        <v>0</v>
      </c>
      <c r="G290" s="526" t="str">
        <f t="shared" si="16"/>
        <v/>
      </c>
      <c r="H290" s="470" t="str">
        <f t="shared" si="17"/>
        <v/>
      </c>
      <c r="I290" s="524" t="str">
        <f t="shared" si="19"/>
        <v>否</v>
      </c>
      <c r="J290" s="312" t="str">
        <f t="shared" si="18"/>
        <v>项</v>
      </c>
    </row>
    <row r="291" s="372" customFormat="1" ht="24" hidden="1" customHeight="1" spans="1:10">
      <c r="A291" s="330">
        <v>20299</v>
      </c>
      <c r="B291" s="379" t="s">
        <v>373</v>
      </c>
      <c r="C291" s="601">
        <v>0</v>
      </c>
      <c r="D291" s="708">
        <f>D292</f>
        <v>0</v>
      </c>
      <c r="E291" s="708">
        <f>E292</f>
        <v>0</v>
      </c>
      <c r="F291" s="708">
        <f>F292</f>
        <v>0</v>
      </c>
      <c r="G291" s="523" t="str">
        <f t="shared" si="16"/>
        <v/>
      </c>
      <c r="H291" s="467" t="str">
        <f t="shared" si="17"/>
        <v/>
      </c>
      <c r="I291" s="524" t="str">
        <f t="shared" si="19"/>
        <v>否</v>
      </c>
      <c r="J291" s="312" t="str">
        <f t="shared" si="18"/>
        <v>款</v>
      </c>
    </row>
    <row r="292" s="372" customFormat="1" ht="24" hidden="1" customHeight="1" spans="1:10">
      <c r="A292" s="330">
        <v>2029999</v>
      </c>
      <c r="B292" s="379" t="s">
        <v>374</v>
      </c>
      <c r="C292" s="602">
        <v>0</v>
      </c>
      <c r="D292" s="709"/>
      <c r="E292" s="710">
        <v>0</v>
      </c>
      <c r="F292" s="710">
        <v>0</v>
      </c>
      <c r="G292" s="526" t="str">
        <f t="shared" si="16"/>
        <v/>
      </c>
      <c r="H292" s="470" t="str">
        <f t="shared" si="17"/>
        <v/>
      </c>
      <c r="I292" s="524" t="str">
        <f t="shared" si="19"/>
        <v>否</v>
      </c>
      <c r="J292" s="312" t="str">
        <f t="shared" si="18"/>
        <v>项</v>
      </c>
    </row>
    <row r="293" s="372" customFormat="1" ht="24" customHeight="1" spans="1:10">
      <c r="A293" s="329">
        <v>203</v>
      </c>
      <c r="B293" s="377" t="s">
        <v>177</v>
      </c>
      <c r="C293" s="601">
        <v>770</v>
      </c>
      <c r="D293" s="708">
        <f>D294+D298+D300+D302+D310</f>
        <v>781</v>
      </c>
      <c r="E293" s="708">
        <f>E294+E298+E300+E302+E310</f>
        <v>781</v>
      </c>
      <c r="F293" s="708">
        <f>F294+F298+F300+F302+F310</f>
        <v>1279</v>
      </c>
      <c r="G293" s="523">
        <f t="shared" si="16"/>
        <v>0.661038961038961</v>
      </c>
      <c r="H293" s="467">
        <f t="shared" si="17"/>
        <v>1.63764404609475</v>
      </c>
      <c r="I293" s="524" t="str">
        <f t="shared" si="19"/>
        <v>是</v>
      </c>
      <c r="J293" s="312" t="str">
        <f t="shared" si="18"/>
        <v>类</v>
      </c>
    </row>
    <row r="294" s="372" customFormat="1" ht="24" hidden="1" customHeight="1" spans="1:10">
      <c r="A294" s="356">
        <v>20301</v>
      </c>
      <c r="B294" s="405" t="s">
        <v>375</v>
      </c>
      <c r="C294" s="601">
        <v>0</v>
      </c>
      <c r="D294" s="708">
        <f>SUM(D295:D297)</f>
        <v>0</v>
      </c>
      <c r="E294" s="708">
        <f>SUM(E295:E297)</f>
        <v>0</v>
      </c>
      <c r="F294" s="708">
        <f>SUM(F295:F297)</f>
        <v>0</v>
      </c>
      <c r="G294" s="523" t="str">
        <f t="shared" si="16"/>
        <v/>
      </c>
      <c r="H294" s="467" t="str">
        <f t="shared" si="17"/>
        <v/>
      </c>
      <c r="I294" s="524" t="str">
        <f t="shared" si="19"/>
        <v>否</v>
      </c>
      <c r="J294" s="312" t="str">
        <f t="shared" si="18"/>
        <v>款</v>
      </c>
    </row>
    <row r="295" s="372" customFormat="1" ht="24" hidden="1" customHeight="1" spans="1:10">
      <c r="A295" s="356">
        <v>2030101</v>
      </c>
      <c r="B295" s="379" t="s">
        <v>376</v>
      </c>
      <c r="C295" s="602">
        <v>0</v>
      </c>
      <c r="D295" s="709">
        <v>0</v>
      </c>
      <c r="E295" s="710">
        <v>0</v>
      </c>
      <c r="F295" s="710">
        <v>0</v>
      </c>
      <c r="G295" s="526" t="str">
        <f t="shared" si="16"/>
        <v/>
      </c>
      <c r="H295" s="470" t="str">
        <f t="shared" si="17"/>
        <v/>
      </c>
      <c r="I295" s="524" t="str">
        <f t="shared" si="19"/>
        <v>否</v>
      </c>
      <c r="J295" s="312" t="str">
        <f t="shared" si="18"/>
        <v>项</v>
      </c>
    </row>
    <row r="296" s="372" customFormat="1" ht="24" hidden="1" customHeight="1" spans="1:10">
      <c r="A296" s="351">
        <v>2030102</v>
      </c>
      <c r="B296" s="379" t="s">
        <v>377</v>
      </c>
      <c r="C296" s="602">
        <v>0</v>
      </c>
      <c r="D296" s="709">
        <v>0</v>
      </c>
      <c r="E296" s="710">
        <v>0</v>
      </c>
      <c r="F296" s="710">
        <v>0</v>
      </c>
      <c r="G296" s="526" t="str">
        <f t="shared" si="16"/>
        <v/>
      </c>
      <c r="H296" s="470" t="str">
        <f t="shared" si="17"/>
        <v/>
      </c>
      <c r="I296" s="524" t="str">
        <f t="shared" si="19"/>
        <v>否</v>
      </c>
      <c r="J296" s="312" t="str">
        <f t="shared" si="18"/>
        <v>项</v>
      </c>
    </row>
    <row r="297" s="372" customFormat="1" ht="24" hidden="1" customHeight="1" spans="1:10">
      <c r="A297" s="351">
        <v>2030199</v>
      </c>
      <c r="B297" s="379" t="s">
        <v>378</v>
      </c>
      <c r="C297" s="602">
        <v>0</v>
      </c>
      <c r="D297" s="709">
        <v>0</v>
      </c>
      <c r="E297" s="710">
        <v>0</v>
      </c>
      <c r="F297" s="710">
        <v>0</v>
      </c>
      <c r="G297" s="526" t="str">
        <f t="shared" si="16"/>
        <v/>
      </c>
      <c r="H297" s="470" t="str">
        <f t="shared" si="17"/>
        <v/>
      </c>
      <c r="I297" s="524" t="str">
        <f t="shared" si="19"/>
        <v>否</v>
      </c>
      <c r="J297" s="312" t="str">
        <f t="shared" si="18"/>
        <v>项</v>
      </c>
    </row>
    <row r="298" s="372" customFormat="1" ht="24" hidden="1" customHeight="1" spans="1:10">
      <c r="A298" s="356">
        <v>20304</v>
      </c>
      <c r="B298" s="379" t="s">
        <v>379</v>
      </c>
      <c r="C298" s="601">
        <v>0</v>
      </c>
      <c r="D298" s="708">
        <f>D299</f>
        <v>0</v>
      </c>
      <c r="E298" s="708">
        <f>E299</f>
        <v>0</v>
      </c>
      <c r="F298" s="708">
        <f>F299</f>
        <v>0</v>
      </c>
      <c r="G298" s="523" t="str">
        <f t="shared" si="16"/>
        <v/>
      </c>
      <c r="H298" s="467" t="str">
        <f t="shared" si="17"/>
        <v/>
      </c>
      <c r="I298" s="524" t="str">
        <f t="shared" si="19"/>
        <v>否</v>
      </c>
      <c r="J298" s="312" t="str">
        <f t="shared" si="18"/>
        <v>款</v>
      </c>
    </row>
    <row r="299" s="372" customFormat="1" ht="24" hidden="1" customHeight="1" spans="1:10">
      <c r="A299" s="356">
        <v>2030401</v>
      </c>
      <c r="B299" s="379" t="s">
        <v>380</v>
      </c>
      <c r="C299" s="602">
        <v>0</v>
      </c>
      <c r="D299" s="709">
        <v>0</v>
      </c>
      <c r="E299" s="710">
        <v>0</v>
      </c>
      <c r="F299" s="710">
        <v>0</v>
      </c>
      <c r="G299" s="526" t="str">
        <f t="shared" si="16"/>
        <v/>
      </c>
      <c r="H299" s="470" t="str">
        <f t="shared" si="17"/>
        <v/>
      </c>
      <c r="I299" s="524" t="str">
        <f t="shared" si="19"/>
        <v>否</v>
      </c>
      <c r="J299" s="312" t="str">
        <f t="shared" si="18"/>
        <v>项</v>
      </c>
    </row>
    <row r="300" s="372" customFormat="1" ht="24" customHeight="1" spans="1:10">
      <c r="A300" s="356">
        <v>20305</v>
      </c>
      <c r="B300" s="379" t="s">
        <v>381</v>
      </c>
      <c r="C300" s="601">
        <v>106</v>
      </c>
      <c r="D300" s="708">
        <f>D301</f>
        <v>95</v>
      </c>
      <c r="E300" s="708">
        <f>E301</f>
        <v>95</v>
      </c>
      <c r="F300" s="708">
        <f>F301</f>
        <v>0</v>
      </c>
      <c r="G300" s="523">
        <f t="shared" si="16"/>
        <v>-1</v>
      </c>
      <c r="H300" s="467">
        <f t="shared" si="17"/>
        <v>0</v>
      </c>
      <c r="I300" s="524" t="str">
        <f t="shared" si="19"/>
        <v>是</v>
      </c>
      <c r="J300" s="312" t="str">
        <f t="shared" si="18"/>
        <v>款</v>
      </c>
    </row>
    <row r="301" s="372" customFormat="1" ht="24" customHeight="1" spans="1:10">
      <c r="A301" s="356">
        <v>2030501</v>
      </c>
      <c r="B301" s="379" t="s">
        <v>382</v>
      </c>
      <c r="C301" s="602">
        <v>106</v>
      </c>
      <c r="D301" s="709">
        <v>95</v>
      </c>
      <c r="E301" s="710">
        <v>95</v>
      </c>
      <c r="F301" s="710">
        <v>0</v>
      </c>
      <c r="G301" s="526">
        <f t="shared" si="16"/>
        <v>-1</v>
      </c>
      <c r="H301" s="470">
        <f t="shared" si="17"/>
        <v>0</v>
      </c>
      <c r="I301" s="524" t="str">
        <f t="shared" si="19"/>
        <v>是</v>
      </c>
      <c r="J301" s="312" t="str">
        <f t="shared" si="18"/>
        <v>项</v>
      </c>
    </row>
    <row r="302" s="372" customFormat="1" ht="24" customHeight="1" spans="1:10">
      <c r="A302" s="330">
        <v>20306</v>
      </c>
      <c r="B302" s="379" t="s">
        <v>383</v>
      </c>
      <c r="C302" s="601">
        <v>664</v>
      </c>
      <c r="D302" s="708">
        <f>SUM(D303:D309)</f>
        <v>686</v>
      </c>
      <c r="E302" s="708">
        <f>SUM(E303:E309)</f>
        <v>686</v>
      </c>
      <c r="F302" s="708">
        <f>SUM(F303:F309)</f>
        <v>1279</v>
      </c>
      <c r="G302" s="523">
        <f t="shared" si="16"/>
        <v>0.926204819277108</v>
      </c>
      <c r="H302" s="467">
        <f t="shared" si="17"/>
        <v>1.86443148688047</v>
      </c>
      <c r="I302" s="524" t="str">
        <f t="shared" si="19"/>
        <v>是</v>
      </c>
      <c r="J302" s="312" t="str">
        <f t="shared" si="18"/>
        <v>款</v>
      </c>
    </row>
    <row r="303" ht="24" customHeight="1" spans="1:10">
      <c r="A303" s="330">
        <v>2030601</v>
      </c>
      <c r="B303" s="379" t="s">
        <v>384</v>
      </c>
      <c r="C303" s="602">
        <v>75</v>
      </c>
      <c r="D303" s="709">
        <v>75</v>
      </c>
      <c r="E303" s="710">
        <v>75</v>
      </c>
      <c r="F303" s="710">
        <v>75</v>
      </c>
      <c r="G303" s="526">
        <f t="shared" si="16"/>
        <v>0</v>
      </c>
      <c r="H303" s="470">
        <f t="shared" si="17"/>
        <v>1</v>
      </c>
      <c r="I303" s="524" t="str">
        <f t="shared" si="19"/>
        <v>是</v>
      </c>
      <c r="J303" s="312" t="str">
        <f t="shared" si="18"/>
        <v>项</v>
      </c>
    </row>
    <row r="304" s="372" customFormat="1" ht="24" hidden="1" customHeight="1" spans="1:10">
      <c r="A304" s="330">
        <v>2030602</v>
      </c>
      <c r="B304" s="379" t="s">
        <v>385</v>
      </c>
      <c r="C304" s="602">
        <v>0</v>
      </c>
      <c r="D304" s="709">
        <v>0</v>
      </c>
      <c r="E304" s="710">
        <v>0</v>
      </c>
      <c r="F304" s="710">
        <v>0</v>
      </c>
      <c r="G304" s="526" t="str">
        <f t="shared" si="16"/>
        <v/>
      </c>
      <c r="H304" s="470" t="str">
        <f t="shared" si="17"/>
        <v/>
      </c>
      <c r="I304" s="524" t="str">
        <f t="shared" si="19"/>
        <v>否</v>
      </c>
      <c r="J304" s="312" t="str">
        <f t="shared" si="18"/>
        <v>项</v>
      </c>
    </row>
    <row r="305" s="372" customFormat="1" ht="24" customHeight="1" spans="1:10">
      <c r="A305" s="330">
        <v>2030603</v>
      </c>
      <c r="B305" s="379" t="s">
        <v>386</v>
      </c>
      <c r="C305" s="602">
        <v>15</v>
      </c>
      <c r="D305" s="709">
        <v>21</v>
      </c>
      <c r="E305" s="710">
        <v>21</v>
      </c>
      <c r="F305" s="710">
        <v>753</v>
      </c>
      <c r="G305" s="526">
        <f t="shared" si="16"/>
        <v>49.2</v>
      </c>
      <c r="H305" s="470">
        <f t="shared" si="17"/>
        <v>35.8571428571429</v>
      </c>
      <c r="I305" s="524" t="str">
        <f t="shared" si="19"/>
        <v>是</v>
      </c>
      <c r="J305" s="312" t="str">
        <f t="shared" si="18"/>
        <v>项</v>
      </c>
    </row>
    <row r="306" ht="24" hidden="1" customHeight="1" spans="1:10">
      <c r="A306" s="330">
        <v>2030604</v>
      </c>
      <c r="B306" s="379" t="s">
        <v>387</v>
      </c>
      <c r="C306" s="602">
        <v>0</v>
      </c>
      <c r="D306" s="709">
        <v>0</v>
      </c>
      <c r="E306" s="710">
        <v>0</v>
      </c>
      <c r="F306" s="710">
        <v>0</v>
      </c>
      <c r="G306" s="526" t="str">
        <f t="shared" si="16"/>
        <v/>
      </c>
      <c r="H306" s="470" t="str">
        <f t="shared" si="17"/>
        <v/>
      </c>
      <c r="I306" s="524" t="str">
        <f t="shared" si="19"/>
        <v>否</v>
      </c>
      <c r="J306" s="312" t="str">
        <f t="shared" si="18"/>
        <v>项</v>
      </c>
    </row>
    <row r="307" s="372" customFormat="1" ht="24" customHeight="1" spans="1:10">
      <c r="A307" s="330">
        <v>2030607</v>
      </c>
      <c r="B307" s="379" t="s">
        <v>388</v>
      </c>
      <c r="C307" s="602">
        <v>352</v>
      </c>
      <c r="D307" s="709">
        <v>362</v>
      </c>
      <c r="E307" s="710">
        <v>362</v>
      </c>
      <c r="F307" s="710">
        <v>237</v>
      </c>
      <c r="G307" s="526">
        <f t="shared" si="16"/>
        <v>-0.326704545454545</v>
      </c>
      <c r="H307" s="470">
        <f t="shared" si="17"/>
        <v>0.654696132596685</v>
      </c>
      <c r="I307" s="524" t="str">
        <f t="shared" si="19"/>
        <v>是</v>
      </c>
      <c r="J307" s="312" t="str">
        <f t="shared" si="18"/>
        <v>项</v>
      </c>
    </row>
    <row r="308" s="372" customFormat="1" ht="24" hidden="1" customHeight="1" spans="1:10">
      <c r="A308" s="330">
        <v>2030608</v>
      </c>
      <c r="B308" s="379" t="s">
        <v>389</v>
      </c>
      <c r="C308" s="602">
        <v>0</v>
      </c>
      <c r="D308" s="709">
        <v>0</v>
      </c>
      <c r="E308" s="710">
        <v>0</v>
      </c>
      <c r="F308" s="710">
        <v>0</v>
      </c>
      <c r="G308" s="526" t="str">
        <f t="shared" si="16"/>
        <v/>
      </c>
      <c r="H308" s="470" t="str">
        <f t="shared" si="17"/>
        <v/>
      </c>
      <c r="I308" s="524" t="str">
        <f t="shared" si="19"/>
        <v>否</v>
      </c>
      <c r="J308" s="312" t="str">
        <f t="shared" si="18"/>
        <v>项</v>
      </c>
    </row>
    <row r="309" ht="24" customHeight="1" spans="1:10">
      <c r="A309" s="330">
        <v>2030699</v>
      </c>
      <c r="B309" s="379" t="s">
        <v>390</v>
      </c>
      <c r="C309" s="602">
        <v>222</v>
      </c>
      <c r="D309" s="709">
        <v>228</v>
      </c>
      <c r="E309" s="710">
        <v>228</v>
      </c>
      <c r="F309" s="710">
        <v>214</v>
      </c>
      <c r="G309" s="526">
        <f t="shared" si="16"/>
        <v>-0.036036036036036</v>
      </c>
      <c r="H309" s="470">
        <f t="shared" si="17"/>
        <v>0.93859649122807</v>
      </c>
      <c r="I309" s="524" t="str">
        <f t="shared" si="19"/>
        <v>是</v>
      </c>
      <c r="J309" s="312" t="str">
        <f t="shared" si="18"/>
        <v>项</v>
      </c>
    </row>
    <row r="310" ht="24" hidden="1" customHeight="1" spans="1:10">
      <c r="A310" s="330">
        <v>20399</v>
      </c>
      <c r="B310" s="379" t="s">
        <v>391</v>
      </c>
      <c r="C310" s="601">
        <v>0</v>
      </c>
      <c r="D310" s="708">
        <f>D311</f>
        <v>0</v>
      </c>
      <c r="E310" s="708">
        <f>E311</f>
        <v>0</v>
      </c>
      <c r="F310" s="708">
        <f>F311</f>
        <v>0</v>
      </c>
      <c r="G310" s="523" t="str">
        <f t="shared" si="16"/>
        <v/>
      </c>
      <c r="H310" s="467" t="str">
        <f t="shared" si="17"/>
        <v/>
      </c>
      <c r="I310" s="524" t="str">
        <f t="shared" si="19"/>
        <v>否</v>
      </c>
      <c r="J310" s="312" t="str">
        <f t="shared" si="18"/>
        <v>款</v>
      </c>
    </row>
    <row r="311" s="372" customFormat="1" ht="24" hidden="1" customHeight="1" spans="1:10">
      <c r="A311" s="531">
        <v>2039999</v>
      </c>
      <c r="B311" s="379" t="s">
        <v>392</v>
      </c>
      <c r="C311" s="602">
        <v>0</v>
      </c>
      <c r="D311" s="709">
        <v>0</v>
      </c>
      <c r="E311" s="710">
        <v>0</v>
      </c>
      <c r="F311" s="710">
        <v>0</v>
      </c>
      <c r="G311" s="526" t="str">
        <f t="shared" si="16"/>
        <v/>
      </c>
      <c r="H311" s="470" t="str">
        <f t="shared" si="17"/>
        <v/>
      </c>
      <c r="I311" s="524" t="str">
        <f t="shared" si="19"/>
        <v>否</v>
      </c>
      <c r="J311" s="312" t="str">
        <f t="shared" si="18"/>
        <v>项</v>
      </c>
    </row>
    <row r="312" s="372" customFormat="1" ht="24" customHeight="1" spans="1:10">
      <c r="A312" s="329">
        <v>204</v>
      </c>
      <c r="B312" s="377" t="s">
        <v>178</v>
      </c>
      <c r="C312" s="601">
        <v>18147</v>
      </c>
      <c r="D312" s="708">
        <f>D313+D316+D327+D334+D342+D351+D365+D375+D385+D393+D399</f>
        <v>18644</v>
      </c>
      <c r="E312" s="708">
        <f>E313+E316+E327+E334+E342+E351+E365+E375+E385+E393+E399</f>
        <v>18597</v>
      </c>
      <c r="F312" s="708">
        <f>F313+F316+F327+F334+F342+F351+F365+F375+F385+F393+F399</f>
        <v>22295</v>
      </c>
      <c r="G312" s="523">
        <f t="shared" si="16"/>
        <v>0.228577726345952</v>
      </c>
      <c r="H312" s="467">
        <f t="shared" si="17"/>
        <v>1.19582707573482</v>
      </c>
      <c r="I312" s="524" t="str">
        <f t="shared" si="19"/>
        <v>是</v>
      </c>
      <c r="J312" s="312" t="str">
        <f t="shared" si="18"/>
        <v>类</v>
      </c>
    </row>
    <row r="313" s="372" customFormat="1" ht="24" customHeight="1" spans="1:10">
      <c r="A313" s="330">
        <v>20401</v>
      </c>
      <c r="B313" s="379" t="s">
        <v>393</v>
      </c>
      <c r="C313" s="601">
        <v>98</v>
      </c>
      <c r="D313" s="708">
        <f>SUM(D314:D315)</f>
        <v>98</v>
      </c>
      <c r="E313" s="708">
        <f>SUM(E314:E315)</f>
        <v>98</v>
      </c>
      <c r="F313" s="708">
        <f>SUM(F314:F315)</f>
        <v>141</v>
      </c>
      <c r="G313" s="523">
        <f t="shared" si="16"/>
        <v>0.438775510204082</v>
      </c>
      <c r="H313" s="467">
        <f t="shared" si="17"/>
        <v>1.43877551020408</v>
      </c>
      <c r="I313" s="524" t="str">
        <f t="shared" si="19"/>
        <v>是</v>
      </c>
      <c r="J313" s="312" t="str">
        <f t="shared" si="18"/>
        <v>款</v>
      </c>
    </row>
    <row r="314" s="372" customFormat="1" ht="24" hidden="1" customHeight="1" spans="1:10">
      <c r="A314" s="330">
        <v>2040101</v>
      </c>
      <c r="B314" s="379" t="s">
        <v>394</v>
      </c>
      <c r="C314" s="602">
        <v>0</v>
      </c>
      <c r="D314" s="709">
        <v>0</v>
      </c>
      <c r="E314" s="710">
        <v>0</v>
      </c>
      <c r="F314" s="710">
        <v>0</v>
      </c>
      <c r="G314" s="526" t="str">
        <f t="shared" si="16"/>
        <v/>
      </c>
      <c r="H314" s="470" t="str">
        <f t="shared" si="17"/>
        <v/>
      </c>
      <c r="I314" s="524" t="str">
        <f t="shared" si="19"/>
        <v>否</v>
      </c>
      <c r="J314" s="312" t="str">
        <f t="shared" si="18"/>
        <v>项</v>
      </c>
    </row>
    <row r="315" s="372" customFormat="1" ht="24" customHeight="1" spans="1:10">
      <c r="A315" s="330">
        <v>2040199</v>
      </c>
      <c r="B315" s="379" t="s">
        <v>395</v>
      </c>
      <c r="C315" s="602">
        <v>98</v>
      </c>
      <c r="D315" s="709">
        <v>98</v>
      </c>
      <c r="E315" s="710">
        <v>98</v>
      </c>
      <c r="F315" s="710">
        <v>141</v>
      </c>
      <c r="G315" s="526">
        <f t="shared" si="16"/>
        <v>0.438775510204082</v>
      </c>
      <c r="H315" s="470">
        <f t="shared" si="17"/>
        <v>1.43877551020408</v>
      </c>
      <c r="I315" s="524" t="str">
        <f t="shared" si="19"/>
        <v>是</v>
      </c>
      <c r="J315" s="312" t="str">
        <f t="shared" si="18"/>
        <v>项</v>
      </c>
    </row>
    <row r="316" s="372" customFormat="1" ht="24" customHeight="1" spans="1:10">
      <c r="A316" s="330">
        <v>20402</v>
      </c>
      <c r="B316" s="379" t="s">
        <v>396</v>
      </c>
      <c r="C316" s="601">
        <v>16623</v>
      </c>
      <c r="D316" s="708">
        <f>SUM(D317:D326)</f>
        <v>17129</v>
      </c>
      <c r="E316" s="708">
        <f>SUM(E317:E326)</f>
        <v>17082</v>
      </c>
      <c r="F316" s="708">
        <f>SUM(F317:F326)</f>
        <v>20713</v>
      </c>
      <c r="G316" s="523">
        <f t="shared" si="16"/>
        <v>0.246044636948806</v>
      </c>
      <c r="H316" s="467">
        <f t="shared" si="17"/>
        <v>1.20923579893747</v>
      </c>
      <c r="I316" s="524" t="str">
        <f t="shared" si="19"/>
        <v>是</v>
      </c>
      <c r="J316" s="312" t="str">
        <f t="shared" si="18"/>
        <v>款</v>
      </c>
    </row>
    <row r="317" s="372" customFormat="1" ht="24" customHeight="1" spans="1:10">
      <c r="A317" s="330">
        <v>2040201</v>
      </c>
      <c r="B317" s="379" t="s">
        <v>212</v>
      </c>
      <c r="C317" s="602">
        <v>10950</v>
      </c>
      <c r="D317" s="709">
        <v>11256</v>
      </c>
      <c r="E317" s="710">
        <v>11256</v>
      </c>
      <c r="F317" s="710">
        <v>11789</v>
      </c>
      <c r="G317" s="526">
        <f t="shared" si="16"/>
        <v>0.07662100456621</v>
      </c>
      <c r="H317" s="470">
        <f t="shared" si="17"/>
        <v>1.04735252309879</v>
      </c>
      <c r="I317" s="524" t="str">
        <f t="shared" si="19"/>
        <v>是</v>
      </c>
      <c r="J317" s="312" t="str">
        <f t="shared" si="18"/>
        <v>项</v>
      </c>
    </row>
    <row r="318" ht="24" hidden="1" customHeight="1" spans="1:10">
      <c r="A318" s="330">
        <v>2040202</v>
      </c>
      <c r="B318" s="379" t="s">
        <v>213</v>
      </c>
      <c r="C318" s="602">
        <v>0</v>
      </c>
      <c r="D318" s="709">
        <v>0</v>
      </c>
      <c r="E318" s="710">
        <v>0</v>
      </c>
      <c r="F318" s="710">
        <v>0</v>
      </c>
      <c r="G318" s="526" t="str">
        <f t="shared" si="16"/>
        <v/>
      </c>
      <c r="H318" s="470" t="str">
        <f t="shared" si="17"/>
        <v/>
      </c>
      <c r="I318" s="524" t="str">
        <f t="shared" si="19"/>
        <v>否</v>
      </c>
      <c r="J318" s="312" t="str">
        <f t="shared" si="18"/>
        <v>项</v>
      </c>
    </row>
    <row r="319" s="372" customFormat="1" ht="24" hidden="1" customHeight="1" spans="1:10">
      <c r="A319" s="330">
        <v>2040203</v>
      </c>
      <c r="B319" s="379" t="s">
        <v>214</v>
      </c>
      <c r="C319" s="602">
        <v>0</v>
      </c>
      <c r="D319" s="709">
        <v>0</v>
      </c>
      <c r="E319" s="710">
        <v>0</v>
      </c>
      <c r="F319" s="710">
        <v>0</v>
      </c>
      <c r="G319" s="526" t="str">
        <f t="shared" si="16"/>
        <v/>
      </c>
      <c r="H319" s="470" t="str">
        <f t="shared" si="17"/>
        <v/>
      </c>
      <c r="I319" s="524" t="str">
        <f t="shared" si="19"/>
        <v>否</v>
      </c>
      <c r="J319" s="312" t="str">
        <f t="shared" si="18"/>
        <v>项</v>
      </c>
    </row>
    <row r="320" s="372" customFormat="1" ht="24" customHeight="1" spans="1:10">
      <c r="A320" s="330">
        <v>2040219</v>
      </c>
      <c r="B320" s="379" t="s">
        <v>252</v>
      </c>
      <c r="C320" s="602">
        <v>100</v>
      </c>
      <c r="D320" s="709">
        <v>112</v>
      </c>
      <c r="E320" s="710">
        <v>415</v>
      </c>
      <c r="F320" s="710">
        <v>1867</v>
      </c>
      <c r="G320" s="526">
        <f t="shared" si="16"/>
        <v>17.67</v>
      </c>
      <c r="H320" s="470">
        <f t="shared" si="17"/>
        <v>16.6696428571429</v>
      </c>
      <c r="I320" s="524" t="str">
        <f t="shared" si="19"/>
        <v>是</v>
      </c>
      <c r="J320" s="312" t="str">
        <f t="shared" si="18"/>
        <v>项</v>
      </c>
    </row>
    <row r="321" s="372" customFormat="1" ht="24" customHeight="1" spans="1:10">
      <c r="A321" s="330">
        <v>2040220</v>
      </c>
      <c r="B321" s="379" t="s">
        <v>397</v>
      </c>
      <c r="C321" s="602">
        <v>3678</v>
      </c>
      <c r="D321" s="709">
        <v>3768</v>
      </c>
      <c r="E321" s="710">
        <v>3768</v>
      </c>
      <c r="F321" s="710">
        <v>4417</v>
      </c>
      <c r="G321" s="526">
        <f t="shared" si="16"/>
        <v>0.200924415443176</v>
      </c>
      <c r="H321" s="470">
        <f t="shared" si="17"/>
        <v>1.17223991507431</v>
      </c>
      <c r="I321" s="524" t="str">
        <f t="shared" si="19"/>
        <v>是</v>
      </c>
      <c r="J321" s="312" t="str">
        <f t="shared" si="18"/>
        <v>项</v>
      </c>
    </row>
    <row r="322" s="372" customFormat="1" ht="24" hidden="1" customHeight="1" spans="1:10">
      <c r="A322" s="330">
        <v>2040221</v>
      </c>
      <c r="B322" s="379" t="s">
        <v>398</v>
      </c>
      <c r="C322" s="602">
        <v>0</v>
      </c>
      <c r="D322" s="709">
        <v>0</v>
      </c>
      <c r="E322" s="710">
        <v>0</v>
      </c>
      <c r="F322" s="710">
        <v>0</v>
      </c>
      <c r="G322" s="526" t="str">
        <f t="shared" si="16"/>
        <v/>
      </c>
      <c r="H322" s="470" t="str">
        <f t="shared" si="17"/>
        <v/>
      </c>
      <c r="I322" s="524" t="str">
        <f t="shared" si="19"/>
        <v>否</v>
      </c>
      <c r="J322" s="312" t="str">
        <f t="shared" si="18"/>
        <v>项</v>
      </c>
    </row>
    <row r="323" s="372" customFormat="1" ht="24" hidden="1" customHeight="1" spans="1:10">
      <c r="A323" s="330">
        <v>2040222</v>
      </c>
      <c r="B323" s="379" t="s">
        <v>399</v>
      </c>
      <c r="C323" s="602">
        <v>0</v>
      </c>
      <c r="D323" s="709">
        <v>0</v>
      </c>
      <c r="E323" s="710">
        <v>0</v>
      </c>
      <c r="F323" s="710">
        <v>0</v>
      </c>
      <c r="G323" s="526" t="str">
        <f t="shared" si="16"/>
        <v/>
      </c>
      <c r="H323" s="470" t="str">
        <f t="shared" si="17"/>
        <v/>
      </c>
      <c r="I323" s="524" t="str">
        <f t="shared" si="19"/>
        <v>否</v>
      </c>
      <c r="J323" s="312" t="str">
        <f t="shared" si="18"/>
        <v>项</v>
      </c>
    </row>
    <row r="324" s="372" customFormat="1" ht="24" customHeight="1" spans="1:10">
      <c r="A324" s="330">
        <v>2040223</v>
      </c>
      <c r="B324" s="379" t="s">
        <v>400</v>
      </c>
      <c r="C324" s="602">
        <v>16</v>
      </c>
      <c r="D324" s="709">
        <v>6</v>
      </c>
      <c r="E324" s="710">
        <v>6</v>
      </c>
      <c r="F324" s="710">
        <v>0</v>
      </c>
      <c r="G324" s="526">
        <f t="shared" si="16"/>
        <v>-1</v>
      </c>
      <c r="H324" s="470">
        <f t="shared" si="17"/>
        <v>0</v>
      </c>
      <c r="I324" s="524" t="str">
        <f t="shared" si="19"/>
        <v>是</v>
      </c>
      <c r="J324" s="312" t="str">
        <f t="shared" si="18"/>
        <v>项</v>
      </c>
    </row>
    <row r="325" s="372" customFormat="1" ht="24" customHeight="1" spans="1:10">
      <c r="A325" s="330">
        <v>2040250</v>
      </c>
      <c r="B325" s="379" t="s">
        <v>221</v>
      </c>
      <c r="C325" s="602">
        <v>120</v>
      </c>
      <c r="D325" s="709">
        <v>135</v>
      </c>
      <c r="E325" s="710">
        <v>135</v>
      </c>
      <c r="F325" s="710">
        <v>112</v>
      </c>
      <c r="G325" s="526">
        <f t="shared" ref="G325:G388" si="20">IFERROR((F325-C325)/C325,"")</f>
        <v>-0.0666666666666667</v>
      </c>
      <c r="H325" s="470">
        <f t="shared" ref="H325:H388" si="21">IFERROR(F325/D325,"")</f>
        <v>0.82962962962963</v>
      </c>
      <c r="I325" s="524" t="str">
        <f t="shared" si="19"/>
        <v>是</v>
      </c>
      <c r="J325" s="312" t="str">
        <f t="shared" ref="J325:J388" si="22">IF(LEN(A325)=3,"类",IF(LEN(A325)=5,"款","项"))</f>
        <v>项</v>
      </c>
    </row>
    <row r="326" s="372" customFormat="1" ht="24" customHeight="1" spans="1:10">
      <c r="A326" s="330">
        <v>2040299</v>
      </c>
      <c r="B326" s="379" t="s">
        <v>401</v>
      </c>
      <c r="C326" s="602">
        <v>1759</v>
      </c>
      <c r="D326" s="709">
        <v>1852</v>
      </c>
      <c r="E326" s="710">
        <v>1502</v>
      </c>
      <c r="F326" s="710">
        <v>2528</v>
      </c>
      <c r="G326" s="526">
        <f t="shared" si="20"/>
        <v>0.437180216031836</v>
      </c>
      <c r="H326" s="470">
        <f t="shared" si="21"/>
        <v>1.36501079913607</v>
      </c>
      <c r="I326" s="524" t="str">
        <f t="shared" ref="I326:I389" si="23">IF(LEN(A326)=3,"是",IF(B326&lt;&gt;"",IF(SUM(C326:F326)&lt;&gt;0,"是","否"),"是"))</f>
        <v>是</v>
      </c>
      <c r="J326" s="312" t="str">
        <f t="shared" si="22"/>
        <v>项</v>
      </c>
    </row>
    <row r="327" s="372" customFormat="1" ht="24" customHeight="1" spans="1:10">
      <c r="A327" s="330">
        <v>20403</v>
      </c>
      <c r="B327" s="379" t="s">
        <v>402</v>
      </c>
      <c r="C327" s="601">
        <v>20</v>
      </c>
      <c r="D327" s="708">
        <f>SUM(D328:D333)</f>
        <v>23</v>
      </c>
      <c r="E327" s="708">
        <f>SUM(E328:E333)</f>
        <v>23</v>
      </c>
      <c r="F327" s="708">
        <f>SUM(F328:F333)</f>
        <v>50</v>
      </c>
      <c r="G327" s="523">
        <f t="shared" si="20"/>
        <v>1.5</v>
      </c>
      <c r="H327" s="467">
        <f t="shared" si="21"/>
        <v>2.17391304347826</v>
      </c>
      <c r="I327" s="524" t="str">
        <f t="shared" si="23"/>
        <v>是</v>
      </c>
      <c r="J327" s="312" t="str">
        <f t="shared" si="22"/>
        <v>款</v>
      </c>
    </row>
    <row r="328" ht="24" hidden="1" customHeight="1" spans="1:10">
      <c r="A328" s="330">
        <v>2040301</v>
      </c>
      <c r="B328" s="379" t="s">
        <v>212</v>
      </c>
      <c r="C328" s="602">
        <v>0</v>
      </c>
      <c r="D328" s="709">
        <v>0</v>
      </c>
      <c r="E328" s="710">
        <v>0</v>
      </c>
      <c r="F328" s="710">
        <v>0</v>
      </c>
      <c r="G328" s="526" t="str">
        <f t="shared" si="20"/>
        <v/>
      </c>
      <c r="H328" s="470" t="str">
        <f t="shared" si="21"/>
        <v/>
      </c>
      <c r="I328" s="524" t="str">
        <f t="shared" si="23"/>
        <v>否</v>
      </c>
      <c r="J328" s="312" t="str">
        <f t="shared" si="22"/>
        <v>项</v>
      </c>
    </row>
    <row r="329" s="372" customFormat="1" ht="24" hidden="1" customHeight="1" spans="1:10">
      <c r="A329" s="330">
        <v>2040302</v>
      </c>
      <c r="B329" s="379" t="s">
        <v>213</v>
      </c>
      <c r="C329" s="602">
        <v>0</v>
      </c>
      <c r="D329" s="709">
        <v>0</v>
      </c>
      <c r="E329" s="710">
        <v>0</v>
      </c>
      <c r="F329" s="710">
        <v>0</v>
      </c>
      <c r="G329" s="526" t="str">
        <f t="shared" si="20"/>
        <v/>
      </c>
      <c r="H329" s="470" t="str">
        <f t="shared" si="21"/>
        <v/>
      </c>
      <c r="I329" s="524" t="str">
        <f t="shared" si="23"/>
        <v>否</v>
      </c>
      <c r="J329" s="312" t="str">
        <f t="shared" si="22"/>
        <v>项</v>
      </c>
    </row>
    <row r="330" ht="24" hidden="1" customHeight="1" spans="1:10">
      <c r="A330" s="330">
        <v>2040303</v>
      </c>
      <c r="B330" s="379" t="s">
        <v>214</v>
      </c>
      <c r="C330" s="602">
        <v>0</v>
      </c>
      <c r="D330" s="709">
        <v>0</v>
      </c>
      <c r="E330" s="710">
        <v>0</v>
      </c>
      <c r="F330" s="710">
        <v>0</v>
      </c>
      <c r="G330" s="526" t="str">
        <f t="shared" si="20"/>
        <v/>
      </c>
      <c r="H330" s="470" t="str">
        <f t="shared" si="21"/>
        <v/>
      </c>
      <c r="I330" s="524" t="str">
        <f t="shared" si="23"/>
        <v>否</v>
      </c>
      <c r="J330" s="312" t="str">
        <f t="shared" si="22"/>
        <v>项</v>
      </c>
    </row>
    <row r="331" ht="24" hidden="1" customHeight="1" spans="1:10">
      <c r="A331" s="330">
        <v>2040304</v>
      </c>
      <c r="B331" s="379" t="s">
        <v>403</v>
      </c>
      <c r="C331" s="602">
        <v>0</v>
      </c>
      <c r="D331" s="709">
        <v>0</v>
      </c>
      <c r="E331" s="710">
        <v>0</v>
      </c>
      <c r="F331" s="710">
        <v>0</v>
      </c>
      <c r="G331" s="526" t="str">
        <f t="shared" si="20"/>
        <v/>
      </c>
      <c r="H331" s="470" t="str">
        <f t="shared" si="21"/>
        <v/>
      </c>
      <c r="I331" s="524" t="str">
        <f t="shared" si="23"/>
        <v>否</v>
      </c>
      <c r="J331" s="312" t="str">
        <f t="shared" si="22"/>
        <v>项</v>
      </c>
    </row>
    <row r="332" s="372" customFormat="1" ht="24" hidden="1" customHeight="1" spans="1:10">
      <c r="A332" s="330">
        <v>2040350</v>
      </c>
      <c r="B332" s="379" t="s">
        <v>221</v>
      </c>
      <c r="C332" s="602">
        <v>0</v>
      </c>
      <c r="D332" s="709">
        <v>0</v>
      </c>
      <c r="E332" s="710">
        <v>0</v>
      </c>
      <c r="F332" s="710">
        <v>0</v>
      </c>
      <c r="G332" s="526" t="str">
        <f t="shared" si="20"/>
        <v/>
      </c>
      <c r="H332" s="470" t="str">
        <f t="shared" si="21"/>
        <v/>
      </c>
      <c r="I332" s="524" t="str">
        <f t="shared" si="23"/>
        <v>否</v>
      </c>
      <c r="J332" s="312" t="str">
        <f t="shared" si="22"/>
        <v>项</v>
      </c>
    </row>
    <row r="333" s="372" customFormat="1" ht="24" customHeight="1" spans="1:10">
      <c r="A333" s="330">
        <v>2040399</v>
      </c>
      <c r="B333" s="379" t="s">
        <v>404</v>
      </c>
      <c r="C333" s="602">
        <v>20</v>
      </c>
      <c r="D333" s="709">
        <v>23</v>
      </c>
      <c r="E333" s="710">
        <v>23</v>
      </c>
      <c r="F333" s="710">
        <v>50</v>
      </c>
      <c r="G333" s="526">
        <f t="shared" si="20"/>
        <v>1.5</v>
      </c>
      <c r="H333" s="470">
        <f t="shared" si="21"/>
        <v>2.17391304347826</v>
      </c>
      <c r="I333" s="524" t="str">
        <f t="shared" si="23"/>
        <v>是</v>
      </c>
      <c r="J333" s="312" t="str">
        <f t="shared" si="22"/>
        <v>项</v>
      </c>
    </row>
    <row r="334" ht="24" customHeight="1" spans="1:10">
      <c r="A334" s="330">
        <v>20404</v>
      </c>
      <c r="B334" s="379" t="s">
        <v>405</v>
      </c>
      <c r="C334" s="601">
        <v>16</v>
      </c>
      <c r="D334" s="708">
        <f>SUM(D335:D341)</f>
        <v>11</v>
      </c>
      <c r="E334" s="708">
        <f>SUM(E335:E341)</f>
        <v>11</v>
      </c>
      <c r="F334" s="708">
        <f>SUM(F335:F341)</f>
        <v>9</v>
      </c>
      <c r="G334" s="523">
        <f t="shared" si="20"/>
        <v>-0.4375</v>
      </c>
      <c r="H334" s="467">
        <f t="shared" si="21"/>
        <v>0.818181818181818</v>
      </c>
      <c r="I334" s="524" t="str">
        <f t="shared" si="23"/>
        <v>是</v>
      </c>
      <c r="J334" s="312" t="str">
        <f t="shared" si="22"/>
        <v>款</v>
      </c>
    </row>
    <row r="335" s="372" customFormat="1" ht="24" customHeight="1" spans="1:10">
      <c r="A335" s="330">
        <v>2040401</v>
      </c>
      <c r="B335" s="379" t="s">
        <v>212</v>
      </c>
      <c r="C335" s="602">
        <v>1</v>
      </c>
      <c r="D335" s="709">
        <v>1</v>
      </c>
      <c r="E335" s="710">
        <v>1</v>
      </c>
      <c r="F335" s="710">
        <v>0</v>
      </c>
      <c r="G335" s="526">
        <f t="shared" si="20"/>
        <v>-1</v>
      </c>
      <c r="H335" s="470">
        <f t="shared" si="21"/>
        <v>0</v>
      </c>
      <c r="I335" s="524" t="str">
        <f t="shared" si="23"/>
        <v>是</v>
      </c>
      <c r="J335" s="312" t="str">
        <f t="shared" si="22"/>
        <v>项</v>
      </c>
    </row>
    <row r="336" s="372" customFormat="1" ht="24" hidden="1" customHeight="1" spans="1:10">
      <c r="A336" s="330">
        <v>2040402</v>
      </c>
      <c r="B336" s="379" t="s">
        <v>213</v>
      </c>
      <c r="C336" s="602">
        <v>0</v>
      </c>
      <c r="D336" s="709">
        <v>0</v>
      </c>
      <c r="E336" s="710">
        <v>0</v>
      </c>
      <c r="F336" s="710">
        <v>0</v>
      </c>
      <c r="G336" s="526" t="str">
        <f t="shared" si="20"/>
        <v/>
      </c>
      <c r="H336" s="470" t="str">
        <f t="shared" si="21"/>
        <v/>
      </c>
      <c r="I336" s="524" t="str">
        <f t="shared" si="23"/>
        <v>否</v>
      </c>
      <c r="J336" s="312" t="str">
        <f t="shared" si="22"/>
        <v>项</v>
      </c>
    </row>
    <row r="337" s="372" customFormat="1" ht="24" hidden="1" customHeight="1" spans="1:10">
      <c r="A337" s="330">
        <v>2040403</v>
      </c>
      <c r="B337" s="379" t="s">
        <v>214</v>
      </c>
      <c r="C337" s="602">
        <v>0</v>
      </c>
      <c r="D337" s="709">
        <v>0</v>
      </c>
      <c r="E337" s="710">
        <v>0</v>
      </c>
      <c r="F337" s="710">
        <v>0</v>
      </c>
      <c r="G337" s="526" t="str">
        <f t="shared" si="20"/>
        <v/>
      </c>
      <c r="H337" s="470" t="str">
        <f t="shared" si="21"/>
        <v/>
      </c>
      <c r="I337" s="524" t="str">
        <f t="shared" si="23"/>
        <v>否</v>
      </c>
      <c r="J337" s="312" t="str">
        <f t="shared" si="22"/>
        <v>项</v>
      </c>
    </row>
    <row r="338" s="372" customFormat="1" ht="24" hidden="1" customHeight="1" spans="1:10">
      <c r="A338" s="330">
        <v>2040409</v>
      </c>
      <c r="B338" s="379" t="s">
        <v>406</v>
      </c>
      <c r="C338" s="602">
        <v>0</v>
      </c>
      <c r="D338" s="709">
        <v>0</v>
      </c>
      <c r="E338" s="710">
        <v>0</v>
      </c>
      <c r="F338" s="710">
        <v>0</v>
      </c>
      <c r="G338" s="526" t="str">
        <f t="shared" si="20"/>
        <v/>
      </c>
      <c r="H338" s="470" t="str">
        <f t="shared" si="21"/>
        <v/>
      </c>
      <c r="I338" s="524" t="str">
        <f t="shared" si="23"/>
        <v>否</v>
      </c>
      <c r="J338" s="312" t="str">
        <f t="shared" si="22"/>
        <v>项</v>
      </c>
    </row>
    <row r="339" s="372" customFormat="1" ht="24" hidden="1" customHeight="1" spans="1:10">
      <c r="A339" s="330">
        <v>2040410</v>
      </c>
      <c r="B339" s="379" t="s">
        <v>407</v>
      </c>
      <c r="C339" s="602">
        <v>0</v>
      </c>
      <c r="D339" s="709">
        <v>0</v>
      </c>
      <c r="E339" s="710">
        <v>0</v>
      </c>
      <c r="F339" s="710">
        <v>0</v>
      </c>
      <c r="G339" s="526" t="str">
        <f t="shared" si="20"/>
        <v/>
      </c>
      <c r="H339" s="470" t="str">
        <f t="shared" si="21"/>
        <v/>
      </c>
      <c r="I339" s="524" t="str">
        <f t="shared" si="23"/>
        <v>否</v>
      </c>
      <c r="J339" s="312" t="str">
        <f t="shared" si="22"/>
        <v>项</v>
      </c>
    </row>
    <row r="340" s="372" customFormat="1" ht="24" hidden="1" customHeight="1" spans="1:10">
      <c r="A340" s="330">
        <v>2040450</v>
      </c>
      <c r="B340" s="379" t="s">
        <v>221</v>
      </c>
      <c r="C340" s="602">
        <v>0</v>
      </c>
      <c r="D340" s="709">
        <v>0</v>
      </c>
      <c r="E340" s="710">
        <v>0</v>
      </c>
      <c r="F340" s="710">
        <v>0</v>
      </c>
      <c r="G340" s="526" t="str">
        <f t="shared" si="20"/>
        <v/>
      </c>
      <c r="H340" s="470" t="str">
        <f t="shared" si="21"/>
        <v/>
      </c>
      <c r="I340" s="524" t="str">
        <f t="shared" si="23"/>
        <v>否</v>
      </c>
      <c r="J340" s="312" t="str">
        <f t="shared" si="22"/>
        <v>项</v>
      </c>
    </row>
    <row r="341" s="372" customFormat="1" ht="24" customHeight="1" spans="1:10">
      <c r="A341" s="330">
        <v>2040499</v>
      </c>
      <c r="B341" s="379" t="s">
        <v>408</v>
      </c>
      <c r="C341" s="602">
        <v>15</v>
      </c>
      <c r="D341" s="709">
        <v>10</v>
      </c>
      <c r="E341" s="710">
        <v>10</v>
      </c>
      <c r="F341" s="710">
        <v>9</v>
      </c>
      <c r="G341" s="526">
        <f t="shared" si="20"/>
        <v>-0.4</v>
      </c>
      <c r="H341" s="470">
        <f t="shared" si="21"/>
        <v>0.9</v>
      </c>
      <c r="I341" s="524" t="str">
        <f t="shared" si="23"/>
        <v>是</v>
      </c>
      <c r="J341" s="312" t="str">
        <f t="shared" si="22"/>
        <v>项</v>
      </c>
    </row>
    <row r="342" s="372" customFormat="1" ht="24" customHeight="1" spans="1:10">
      <c r="A342" s="330">
        <v>20405</v>
      </c>
      <c r="B342" s="379" t="s">
        <v>409</v>
      </c>
      <c r="C342" s="601">
        <v>17</v>
      </c>
      <c r="D342" s="708">
        <f>SUM(D343:D350)</f>
        <v>10</v>
      </c>
      <c r="E342" s="708">
        <f>SUM(E343:E350)</f>
        <v>10</v>
      </c>
      <c r="F342" s="708">
        <f>SUM(F343:F350)</f>
        <v>12</v>
      </c>
      <c r="G342" s="523">
        <f t="shared" si="20"/>
        <v>-0.294117647058824</v>
      </c>
      <c r="H342" s="467">
        <f t="shared" si="21"/>
        <v>1.2</v>
      </c>
      <c r="I342" s="524" t="str">
        <f t="shared" si="23"/>
        <v>是</v>
      </c>
      <c r="J342" s="312" t="str">
        <f t="shared" si="22"/>
        <v>款</v>
      </c>
    </row>
    <row r="343" s="372" customFormat="1" ht="24" hidden="1" customHeight="1" spans="1:10">
      <c r="A343" s="330">
        <v>2040501</v>
      </c>
      <c r="B343" s="379" t="s">
        <v>212</v>
      </c>
      <c r="C343" s="602">
        <v>0</v>
      </c>
      <c r="D343" s="709">
        <v>0</v>
      </c>
      <c r="E343" s="710">
        <v>0</v>
      </c>
      <c r="F343" s="710">
        <v>0</v>
      </c>
      <c r="G343" s="526" t="str">
        <f t="shared" si="20"/>
        <v/>
      </c>
      <c r="H343" s="470" t="str">
        <f t="shared" si="21"/>
        <v/>
      </c>
      <c r="I343" s="524" t="str">
        <f t="shared" si="23"/>
        <v>否</v>
      </c>
      <c r="J343" s="312" t="str">
        <f t="shared" si="22"/>
        <v>项</v>
      </c>
    </row>
    <row r="344" s="372" customFormat="1" ht="24" hidden="1" customHeight="1" spans="1:10">
      <c r="A344" s="330">
        <v>2040502</v>
      </c>
      <c r="B344" s="379" t="s">
        <v>213</v>
      </c>
      <c r="C344" s="602">
        <v>0</v>
      </c>
      <c r="D344" s="709">
        <v>0</v>
      </c>
      <c r="E344" s="710">
        <v>0</v>
      </c>
      <c r="F344" s="710">
        <v>0</v>
      </c>
      <c r="G344" s="526" t="str">
        <f t="shared" si="20"/>
        <v/>
      </c>
      <c r="H344" s="470" t="str">
        <f t="shared" si="21"/>
        <v/>
      </c>
      <c r="I344" s="524" t="str">
        <f t="shared" si="23"/>
        <v>否</v>
      </c>
      <c r="J344" s="312" t="str">
        <f t="shared" si="22"/>
        <v>项</v>
      </c>
    </row>
    <row r="345" ht="24" hidden="1" customHeight="1" spans="1:10">
      <c r="A345" s="330">
        <v>2040503</v>
      </c>
      <c r="B345" s="379" t="s">
        <v>214</v>
      </c>
      <c r="C345" s="602">
        <v>0</v>
      </c>
      <c r="D345" s="709">
        <v>0</v>
      </c>
      <c r="E345" s="710">
        <v>0</v>
      </c>
      <c r="F345" s="710">
        <v>0</v>
      </c>
      <c r="G345" s="526" t="str">
        <f t="shared" si="20"/>
        <v/>
      </c>
      <c r="H345" s="470" t="str">
        <f t="shared" si="21"/>
        <v/>
      </c>
      <c r="I345" s="524" t="str">
        <f t="shared" si="23"/>
        <v>否</v>
      </c>
      <c r="J345" s="312" t="str">
        <f t="shared" si="22"/>
        <v>项</v>
      </c>
    </row>
    <row r="346" s="372" customFormat="1" ht="24" customHeight="1" spans="1:10">
      <c r="A346" s="330">
        <v>2040504</v>
      </c>
      <c r="B346" s="379" t="s">
        <v>410</v>
      </c>
      <c r="C346" s="602">
        <v>4</v>
      </c>
      <c r="D346" s="709">
        <v>0</v>
      </c>
      <c r="E346" s="710">
        <v>0</v>
      </c>
      <c r="F346" s="710">
        <v>3</v>
      </c>
      <c r="G346" s="526">
        <f t="shared" si="20"/>
        <v>-0.25</v>
      </c>
      <c r="H346" s="470" t="str">
        <f t="shared" si="21"/>
        <v/>
      </c>
      <c r="I346" s="524" t="str">
        <f t="shared" si="23"/>
        <v>是</v>
      </c>
      <c r="J346" s="312" t="str">
        <f t="shared" si="22"/>
        <v>项</v>
      </c>
    </row>
    <row r="347" s="372" customFormat="1" ht="24" hidden="1" customHeight="1" spans="1:10">
      <c r="A347" s="330">
        <v>2040505</v>
      </c>
      <c r="B347" s="379" t="s">
        <v>411</v>
      </c>
      <c r="C347" s="602">
        <v>0</v>
      </c>
      <c r="D347" s="709">
        <v>0</v>
      </c>
      <c r="E347" s="710">
        <v>0</v>
      </c>
      <c r="F347" s="710">
        <v>0</v>
      </c>
      <c r="G347" s="526" t="str">
        <f t="shared" si="20"/>
        <v/>
      </c>
      <c r="H347" s="470" t="str">
        <f t="shared" si="21"/>
        <v/>
      </c>
      <c r="I347" s="524" t="str">
        <f t="shared" si="23"/>
        <v>否</v>
      </c>
      <c r="J347" s="312" t="str">
        <f t="shared" si="22"/>
        <v>项</v>
      </c>
    </row>
    <row r="348" s="372" customFormat="1" ht="24" hidden="1" customHeight="1" spans="1:10">
      <c r="A348" s="330">
        <v>2040506</v>
      </c>
      <c r="B348" s="379" t="s">
        <v>412</v>
      </c>
      <c r="C348" s="602">
        <v>0</v>
      </c>
      <c r="D348" s="709">
        <v>0</v>
      </c>
      <c r="E348" s="710">
        <v>0</v>
      </c>
      <c r="F348" s="710">
        <v>0</v>
      </c>
      <c r="G348" s="526" t="str">
        <f t="shared" si="20"/>
        <v/>
      </c>
      <c r="H348" s="470" t="str">
        <f t="shared" si="21"/>
        <v/>
      </c>
      <c r="I348" s="524" t="str">
        <f t="shared" si="23"/>
        <v>否</v>
      </c>
      <c r="J348" s="312" t="str">
        <f t="shared" si="22"/>
        <v>项</v>
      </c>
    </row>
    <row r="349" s="372" customFormat="1" ht="24" hidden="1" customHeight="1" spans="1:10">
      <c r="A349" s="330">
        <v>2040550</v>
      </c>
      <c r="B349" s="379" t="s">
        <v>221</v>
      </c>
      <c r="C349" s="602">
        <v>0</v>
      </c>
      <c r="D349" s="709">
        <v>0</v>
      </c>
      <c r="E349" s="710">
        <v>0</v>
      </c>
      <c r="F349" s="710">
        <v>0</v>
      </c>
      <c r="G349" s="526" t="str">
        <f t="shared" si="20"/>
        <v/>
      </c>
      <c r="H349" s="470" t="str">
        <f t="shared" si="21"/>
        <v/>
      </c>
      <c r="I349" s="524" t="str">
        <f t="shared" si="23"/>
        <v>否</v>
      </c>
      <c r="J349" s="312" t="str">
        <f t="shared" si="22"/>
        <v>项</v>
      </c>
    </row>
    <row r="350" s="372" customFormat="1" ht="24" customHeight="1" spans="1:10">
      <c r="A350" s="330">
        <v>2040599</v>
      </c>
      <c r="B350" s="379" t="s">
        <v>413</v>
      </c>
      <c r="C350" s="602">
        <v>13</v>
      </c>
      <c r="D350" s="709">
        <v>10</v>
      </c>
      <c r="E350" s="710">
        <v>10</v>
      </c>
      <c r="F350" s="710">
        <v>9</v>
      </c>
      <c r="G350" s="526">
        <f t="shared" si="20"/>
        <v>-0.307692307692308</v>
      </c>
      <c r="H350" s="470">
        <f t="shared" si="21"/>
        <v>0.9</v>
      </c>
      <c r="I350" s="524" t="str">
        <f t="shared" si="23"/>
        <v>是</v>
      </c>
      <c r="J350" s="312" t="str">
        <f t="shared" si="22"/>
        <v>项</v>
      </c>
    </row>
    <row r="351" s="372" customFormat="1" ht="24" customHeight="1" spans="1:10">
      <c r="A351" s="330">
        <v>20406</v>
      </c>
      <c r="B351" s="379" t="s">
        <v>414</v>
      </c>
      <c r="C351" s="601">
        <v>1217</v>
      </c>
      <c r="D351" s="708">
        <f>SUM(D352:D364)</f>
        <v>1183</v>
      </c>
      <c r="E351" s="708">
        <f>SUM(E352:E364)</f>
        <v>1183</v>
      </c>
      <c r="F351" s="708">
        <f>SUM(F352:F364)</f>
        <v>1287</v>
      </c>
      <c r="G351" s="523">
        <f t="shared" si="20"/>
        <v>0.057518488085456</v>
      </c>
      <c r="H351" s="467">
        <f t="shared" si="21"/>
        <v>1.08791208791209</v>
      </c>
      <c r="I351" s="524" t="str">
        <f t="shared" si="23"/>
        <v>是</v>
      </c>
      <c r="J351" s="312" t="str">
        <f t="shared" si="22"/>
        <v>款</v>
      </c>
    </row>
    <row r="352" ht="24" customHeight="1" spans="1:10">
      <c r="A352" s="330">
        <v>2040601</v>
      </c>
      <c r="B352" s="379" t="s">
        <v>212</v>
      </c>
      <c r="C352" s="602">
        <v>725</v>
      </c>
      <c r="D352" s="709">
        <v>785</v>
      </c>
      <c r="E352" s="710">
        <v>785</v>
      </c>
      <c r="F352" s="710">
        <v>751</v>
      </c>
      <c r="G352" s="526">
        <f t="shared" si="20"/>
        <v>0.0358620689655172</v>
      </c>
      <c r="H352" s="470">
        <f t="shared" si="21"/>
        <v>0.956687898089172</v>
      </c>
      <c r="I352" s="524" t="str">
        <f t="shared" si="23"/>
        <v>是</v>
      </c>
      <c r="J352" s="312" t="str">
        <f t="shared" si="22"/>
        <v>项</v>
      </c>
    </row>
    <row r="353" s="372" customFormat="1" ht="24" hidden="1" customHeight="1" spans="1:10">
      <c r="A353" s="330">
        <v>2040602</v>
      </c>
      <c r="B353" s="379" t="s">
        <v>213</v>
      </c>
      <c r="C353" s="602">
        <v>0</v>
      </c>
      <c r="D353" s="709">
        <v>0</v>
      </c>
      <c r="E353" s="710">
        <v>0</v>
      </c>
      <c r="F353" s="710">
        <v>0</v>
      </c>
      <c r="G353" s="526" t="str">
        <f t="shared" si="20"/>
        <v/>
      </c>
      <c r="H353" s="470" t="str">
        <f t="shared" si="21"/>
        <v/>
      </c>
      <c r="I353" s="524" t="str">
        <f t="shared" si="23"/>
        <v>否</v>
      </c>
      <c r="J353" s="312" t="str">
        <f t="shared" si="22"/>
        <v>项</v>
      </c>
    </row>
    <row r="354" s="372" customFormat="1" ht="24" hidden="1" customHeight="1" spans="1:10">
      <c r="A354" s="330">
        <v>2040603</v>
      </c>
      <c r="B354" s="379" t="s">
        <v>214</v>
      </c>
      <c r="C354" s="602">
        <v>0</v>
      </c>
      <c r="D354" s="709">
        <v>0</v>
      </c>
      <c r="E354" s="710">
        <v>0</v>
      </c>
      <c r="F354" s="710">
        <v>0</v>
      </c>
      <c r="G354" s="526" t="str">
        <f t="shared" si="20"/>
        <v/>
      </c>
      <c r="H354" s="470" t="str">
        <f t="shared" si="21"/>
        <v/>
      </c>
      <c r="I354" s="524" t="str">
        <f t="shared" si="23"/>
        <v>否</v>
      </c>
      <c r="J354" s="312" t="str">
        <f t="shared" si="22"/>
        <v>项</v>
      </c>
    </row>
    <row r="355" s="372" customFormat="1" ht="24" customHeight="1" spans="1:10">
      <c r="A355" s="330">
        <v>2040604</v>
      </c>
      <c r="B355" s="379" t="s">
        <v>415</v>
      </c>
      <c r="C355" s="602">
        <v>68</v>
      </c>
      <c r="D355" s="709">
        <v>56</v>
      </c>
      <c r="E355" s="710">
        <v>56</v>
      </c>
      <c r="F355" s="710">
        <v>156</v>
      </c>
      <c r="G355" s="526">
        <f t="shared" si="20"/>
        <v>1.29411764705882</v>
      </c>
      <c r="H355" s="470">
        <f t="shared" si="21"/>
        <v>2.78571428571429</v>
      </c>
      <c r="I355" s="524" t="str">
        <f t="shared" si="23"/>
        <v>是</v>
      </c>
      <c r="J355" s="312" t="str">
        <f t="shared" si="22"/>
        <v>项</v>
      </c>
    </row>
    <row r="356" s="372" customFormat="1" ht="24" customHeight="1" spans="1:10">
      <c r="A356" s="330">
        <v>2040605</v>
      </c>
      <c r="B356" s="379" t="s">
        <v>416</v>
      </c>
      <c r="C356" s="602">
        <v>142</v>
      </c>
      <c r="D356" s="709">
        <v>113</v>
      </c>
      <c r="E356" s="710">
        <v>113</v>
      </c>
      <c r="F356" s="710">
        <v>44</v>
      </c>
      <c r="G356" s="526">
        <f t="shared" si="20"/>
        <v>-0.690140845070423</v>
      </c>
      <c r="H356" s="470">
        <f t="shared" si="21"/>
        <v>0.389380530973451</v>
      </c>
      <c r="I356" s="524" t="str">
        <f t="shared" si="23"/>
        <v>是</v>
      </c>
      <c r="J356" s="312" t="str">
        <f t="shared" si="22"/>
        <v>项</v>
      </c>
    </row>
    <row r="357" s="372" customFormat="1" ht="24" hidden="1" customHeight="1" spans="1:10">
      <c r="A357" s="532">
        <v>2040606</v>
      </c>
      <c r="B357" s="379" t="s">
        <v>417</v>
      </c>
      <c r="C357" s="602">
        <v>0</v>
      </c>
      <c r="D357" s="709">
        <v>0</v>
      </c>
      <c r="E357" s="710">
        <v>0</v>
      </c>
      <c r="F357" s="710">
        <v>0</v>
      </c>
      <c r="G357" s="526" t="str">
        <f t="shared" si="20"/>
        <v/>
      </c>
      <c r="H357" s="470" t="str">
        <f t="shared" si="21"/>
        <v/>
      </c>
      <c r="I357" s="524" t="str">
        <f t="shared" si="23"/>
        <v>否</v>
      </c>
      <c r="J357" s="312" t="str">
        <f t="shared" si="22"/>
        <v>项</v>
      </c>
    </row>
    <row r="358" s="372" customFormat="1" ht="24" customHeight="1" spans="1:10">
      <c r="A358" s="532">
        <v>2040607</v>
      </c>
      <c r="B358" s="379" t="s">
        <v>418</v>
      </c>
      <c r="C358" s="602">
        <v>43</v>
      </c>
      <c r="D358" s="709">
        <v>29</v>
      </c>
      <c r="E358" s="710">
        <v>29</v>
      </c>
      <c r="F358" s="710">
        <v>62</v>
      </c>
      <c r="G358" s="526">
        <f t="shared" si="20"/>
        <v>0.441860465116279</v>
      </c>
      <c r="H358" s="470">
        <f t="shared" si="21"/>
        <v>2.13793103448276</v>
      </c>
      <c r="I358" s="524" t="str">
        <f t="shared" si="23"/>
        <v>是</v>
      </c>
      <c r="J358" s="312" t="str">
        <f t="shared" si="22"/>
        <v>项</v>
      </c>
    </row>
    <row r="359" s="372" customFormat="1" ht="24" customHeight="1" spans="1:10">
      <c r="A359" s="330">
        <v>2040608</v>
      </c>
      <c r="B359" s="379" t="s">
        <v>419</v>
      </c>
      <c r="C359" s="602">
        <v>14</v>
      </c>
      <c r="D359" s="709">
        <v>11</v>
      </c>
      <c r="E359" s="710">
        <v>11</v>
      </c>
      <c r="F359" s="710">
        <v>19</v>
      </c>
      <c r="G359" s="526">
        <f t="shared" si="20"/>
        <v>0.357142857142857</v>
      </c>
      <c r="H359" s="470">
        <f t="shared" si="21"/>
        <v>1.72727272727273</v>
      </c>
      <c r="I359" s="524" t="str">
        <f t="shared" si="23"/>
        <v>是</v>
      </c>
      <c r="J359" s="312" t="str">
        <f t="shared" si="22"/>
        <v>项</v>
      </c>
    </row>
    <row r="360" ht="24" customHeight="1" spans="1:10">
      <c r="A360" s="330">
        <v>2040610</v>
      </c>
      <c r="B360" s="379" t="s">
        <v>420</v>
      </c>
      <c r="C360" s="602">
        <v>7</v>
      </c>
      <c r="D360" s="709">
        <v>5</v>
      </c>
      <c r="E360" s="710">
        <v>5</v>
      </c>
      <c r="F360" s="710">
        <v>11</v>
      </c>
      <c r="G360" s="526">
        <f t="shared" si="20"/>
        <v>0.571428571428571</v>
      </c>
      <c r="H360" s="470">
        <f t="shared" si="21"/>
        <v>2.2</v>
      </c>
      <c r="I360" s="524" t="str">
        <f t="shared" si="23"/>
        <v>是</v>
      </c>
      <c r="J360" s="312" t="str">
        <f t="shared" si="22"/>
        <v>项</v>
      </c>
    </row>
    <row r="361" s="372" customFormat="1" ht="24" customHeight="1" spans="1:10">
      <c r="A361" s="330">
        <v>2040612</v>
      </c>
      <c r="B361" s="405" t="s">
        <v>421</v>
      </c>
      <c r="C361" s="602">
        <v>91</v>
      </c>
      <c r="D361" s="709">
        <v>75</v>
      </c>
      <c r="E361" s="710">
        <v>75</v>
      </c>
      <c r="F361" s="710">
        <v>47</v>
      </c>
      <c r="G361" s="526">
        <f t="shared" si="20"/>
        <v>-0.483516483516484</v>
      </c>
      <c r="H361" s="470">
        <f t="shared" si="21"/>
        <v>0.626666666666667</v>
      </c>
      <c r="I361" s="524" t="str">
        <f t="shared" si="23"/>
        <v>是</v>
      </c>
      <c r="J361" s="312" t="str">
        <f t="shared" si="22"/>
        <v>项</v>
      </c>
    </row>
    <row r="362" s="372" customFormat="1" ht="24" hidden="1" customHeight="1" spans="1:10">
      <c r="A362" s="330">
        <v>2040613</v>
      </c>
      <c r="B362" s="379" t="s">
        <v>252</v>
      </c>
      <c r="C362" s="602">
        <v>0</v>
      </c>
      <c r="D362" s="709">
        <v>0</v>
      </c>
      <c r="E362" s="710">
        <v>0</v>
      </c>
      <c r="F362" s="710">
        <v>0</v>
      </c>
      <c r="G362" s="526" t="str">
        <f t="shared" si="20"/>
        <v/>
      </c>
      <c r="H362" s="470" t="str">
        <f t="shared" si="21"/>
        <v/>
      </c>
      <c r="I362" s="524" t="str">
        <f t="shared" si="23"/>
        <v>否</v>
      </c>
      <c r="J362" s="312" t="str">
        <f t="shared" si="22"/>
        <v>项</v>
      </c>
    </row>
    <row r="363" s="372" customFormat="1" ht="24" customHeight="1" spans="1:10">
      <c r="A363" s="330">
        <v>2040650</v>
      </c>
      <c r="B363" s="379" t="s">
        <v>221</v>
      </c>
      <c r="C363" s="602">
        <v>26</v>
      </c>
      <c r="D363" s="709">
        <v>29</v>
      </c>
      <c r="E363" s="710">
        <v>29</v>
      </c>
      <c r="F363" s="710">
        <v>40</v>
      </c>
      <c r="G363" s="526">
        <f t="shared" si="20"/>
        <v>0.538461538461538</v>
      </c>
      <c r="H363" s="470">
        <f t="shared" si="21"/>
        <v>1.37931034482759</v>
      </c>
      <c r="I363" s="524" t="str">
        <f t="shared" si="23"/>
        <v>是</v>
      </c>
      <c r="J363" s="312" t="str">
        <f t="shared" si="22"/>
        <v>项</v>
      </c>
    </row>
    <row r="364" s="372" customFormat="1" ht="24" customHeight="1" spans="1:10">
      <c r="A364" s="330">
        <v>2040699</v>
      </c>
      <c r="B364" s="379" t="s">
        <v>422</v>
      </c>
      <c r="C364" s="602">
        <v>101</v>
      </c>
      <c r="D364" s="709">
        <v>80</v>
      </c>
      <c r="E364" s="710">
        <v>80</v>
      </c>
      <c r="F364" s="710">
        <v>157</v>
      </c>
      <c r="G364" s="526">
        <f t="shared" si="20"/>
        <v>0.554455445544555</v>
      </c>
      <c r="H364" s="470">
        <f t="shared" si="21"/>
        <v>1.9625</v>
      </c>
      <c r="I364" s="524" t="str">
        <f t="shared" si="23"/>
        <v>是</v>
      </c>
      <c r="J364" s="312" t="str">
        <f t="shared" si="22"/>
        <v>项</v>
      </c>
    </row>
    <row r="365" s="372" customFormat="1" ht="24" hidden="1" customHeight="1" spans="1:10">
      <c r="A365" s="330">
        <v>20407</v>
      </c>
      <c r="B365" s="379" t="s">
        <v>423</v>
      </c>
      <c r="C365" s="601">
        <v>0</v>
      </c>
      <c r="D365" s="708">
        <f>SUM(D366:D374)</f>
        <v>0</v>
      </c>
      <c r="E365" s="708">
        <f>SUM(E366:E374)</f>
        <v>0</v>
      </c>
      <c r="F365" s="708">
        <f>SUM(F366:F374)</f>
        <v>0</v>
      </c>
      <c r="G365" s="523" t="str">
        <f t="shared" si="20"/>
        <v/>
      </c>
      <c r="H365" s="467" t="str">
        <f t="shared" si="21"/>
        <v/>
      </c>
      <c r="I365" s="524" t="str">
        <f t="shared" si="23"/>
        <v>否</v>
      </c>
      <c r="J365" s="312" t="str">
        <f t="shared" si="22"/>
        <v>款</v>
      </c>
    </row>
    <row r="366" s="372" customFormat="1" ht="24" hidden="1" customHeight="1" spans="1:10">
      <c r="A366" s="330">
        <v>2040701</v>
      </c>
      <c r="B366" s="379" t="s">
        <v>212</v>
      </c>
      <c r="C366" s="602">
        <v>0</v>
      </c>
      <c r="D366" s="709"/>
      <c r="E366" s="710">
        <v>0</v>
      </c>
      <c r="F366" s="710">
        <v>0</v>
      </c>
      <c r="G366" s="526" t="str">
        <f t="shared" si="20"/>
        <v/>
      </c>
      <c r="H366" s="470" t="str">
        <f t="shared" si="21"/>
        <v/>
      </c>
      <c r="I366" s="524" t="str">
        <f t="shared" si="23"/>
        <v>否</v>
      </c>
      <c r="J366" s="312" t="str">
        <f t="shared" si="22"/>
        <v>项</v>
      </c>
    </row>
    <row r="367" s="372" customFormat="1" ht="24" hidden="1" customHeight="1" spans="1:10">
      <c r="A367" s="330">
        <v>2040702</v>
      </c>
      <c r="B367" s="379" t="s">
        <v>213</v>
      </c>
      <c r="C367" s="602">
        <v>0</v>
      </c>
      <c r="D367" s="709"/>
      <c r="E367" s="710">
        <v>0</v>
      </c>
      <c r="F367" s="710">
        <v>0</v>
      </c>
      <c r="G367" s="526" t="str">
        <f t="shared" si="20"/>
        <v/>
      </c>
      <c r="H367" s="470" t="str">
        <f t="shared" si="21"/>
        <v/>
      </c>
      <c r="I367" s="524" t="str">
        <f t="shared" si="23"/>
        <v>否</v>
      </c>
      <c r="J367" s="312" t="str">
        <f t="shared" si="22"/>
        <v>项</v>
      </c>
    </row>
    <row r="368" s="372" customFormat="1" ht="24" hidden="1" customHeight="1" spans="1:10">
      <c r="A368" s="330">
        <v>2040703</v>
      </c>
      <c r="B368" s="379" t="s">
        <v>214</v>
      </c>
      <c r="C368" s="602">
        <v>0</v>
      </c>
      <c r="D368" s="709"/>
      <c r="E368" s="710">
        <v>0</v>
      </c>
      <c r="F368" s="710">
        <v>0</v>
      </c>
      <c r="G368" s="526" t="str">
        <f t="shared" si="20"/>
        <v/>
      </c>
      <c r="H368" s="470" t="str">
        <f t="shared" si="21"/>
        <v/>
      </c>
      <c r="I368" s="524" t="str">
        <f t="shared" si="23"/>
        <v>否</v>
      </c>
      <c r="J368" s="312" t="str">
        <f t="shared" si="22"/>
        <v>项</v>
      </c>
    </row>
    <row r="369" ht="24" hidden="1" customHeight="1" spans="1:10">
      <c r="A369" s="330">
        <v>2040704</v>
      </c>
      <c r="B369" s="405" t="s">
        <v>424</v>
      </c>
      <c r="C369" s="602">
        <v>0</v>
      </c>
      <c r="D369" s="709"/>
      <c r="E369" s="710">
        <v>0</v>
      </c>
      <c r="F369" s="710">
        <v>0</v>
      </c>
      <c r="G369" s="526" t="str">
        <f t="shared" si="20"/>
        <v/>
      </c>
      <c r="H369" s="470" t="str">
        <f t="shared" si="21"/>
        <v/>
      </c>
      <c r="I369" s="524" t="str">
        <f t="shared" si="23"/>
        <v>否</v>
      </c>
      <c r="J369" s="312" t="str">
        <f t="shared" si="22"/>
        <v>项</v>
      </c>
    </row>
    <row r="370" s="372" customFormat="1" ht="24" hidden="1" customHeight="1" spans="1:10">
      <c r="A370" s="330">
        <v>2040705</v>
      </c>
      <c r="B370" s="405" t="s">
        <v>425</v>
      </c>
      <c r="C370" s="602">
        <v>0</v>
      </c>
      <c r="D370" s="709"/>
      <c r="E370" s="710">
        <v>0</v>
      </c>
      <c r="F370" s="710">
        <v>0</v>
      </c>
      <c r="G370" s="526" t="str">
        <f t="shared" si="20"/>
        <v/>
      </c>
      <c r="H370" s="470" t="str">
        <f t="shared" si="21"/>
        <v/>
      </c>
      <c r="I370" s="524" t="str">
        <f t="shared" si="23"/>
        <v>否</v>
      </c>
      <c r="J370" s="312" t="str">
        <f t="shared" si="22"/>
        <v>项</v>
      </c>
    </row>
    <row r="371" s="372" customFormat="1" ht="24" hidden="1" customHeight="1" spans="1:10">
      <c r="A371" s="330">
        <v>2040706</v>
      </c>
      <c r="B371" s="379" t="s">
        <v>426</v>
      </c>
      <c r="C371" s="602">
        <v>0</v>
      </c>
      <c r="D371" s="709"/>
      <c r="E371" s="710">
        <v>0</v>
      </c>
      <c r="F371" s="710">
        <v>0</v>
      </c>
      <c r="G371" s="526" t="str">
        <f t="shared" si="20"/>
        <v/>
      </c>
      <c r="H371" s="470" t="str">
        <f t="shared" si="21"/>
        <v/>
      </c>
      <c r="I371" s="524" t="str">
        <f t="shared" si="23"/>
        <v>否</v>
      </c>
      <c r="J371" s="312" t="str">
        <f t="shared" si="22"/>
        <v>项</v>
      </c>
    </row>
    <row r="372" s="372" customFormat="1" ht="24" hidden="1" customHeight="1" spans="1:10">
      <c r="A372" s="330">
        <v>2040707</v>
      </c>
      <c r="B372" s="379" t="s">
        <v>252</v>
      </c>
      <c r="C372" s="602">
        <v>0</v>
      </c>
      <c r="D372" s="709"/>
      <c r="E372" s="710">
        <v>0</v>
      </c>
      <c r="F372" s="710">
        <v>0</v>
      </c>
      <c r="G372" s="526" t="str">
        <f t="shared" si="20"/>
        <v/>
      </c>
      <c r="H372" s="470" t="str">
        <f t="shared" si="21"/>
        <v/>
      </c>
      <c r="I372" s="524" t="str">
        <f t="shared" si="23"/>
        <v>否</v>
      </c>
      <c r="J372" s="312" t="str">
        <f t="shared" si="22"/>
        <v>项</v>
      </c>
    </row>
    <row r="373" s="372" customFormat="1" ht="24" hidden="1" customHeight="1" spans="1:10">
      <c r="A373" s="330">
        <v>2040750</v>
      </c>
      <c r="B373" s="379" t="s">
        <v>221</v>
      </c>
      <c r="C373" s="602">
        <v>0</v>
      </c>
      <c r="D373" s="709"/>
      <c r="E373" s="710">
        <v>0</v>
      </c>
      <c r="F373" s="710">
        <v>0</v>
      </c>
      <c r="G373" s="526" t="str">
        <f t="shared" si="20"/>
        <v/>
      </c>
      <c r="H373" s="470" t="str">
        <f t="shared" si="21"/>
        <v/>
      </c>
      <c r="I373" s="524" t="str">
        <f t="shared" si="23"/>
        <v>否</v>
      </c>
      <c r="J373" s="312" t="str">
        <f t="shared" si="22"/>
        <v>项</v>
      </c>
    </row>
    <row r="374" s="372" customFormat="1" ht="24" hidden="1" customHeight="1" spans="1:10">
      <c r="A374" s="330">
        <v>2040799</v>
      </c>
      <c r="B374" s="379" t="s">
        <v>427</v>
      </c>
      <c r="C374" s="602">
        <v>0</v>
      </c>
      <c r="D374" s="709"/>
      <c r="E374" s="710">
        <v>0</v>
      </c>
      <c r="F374" s="710">
        <v>0</v>
      </c>
      <c r="G374" s="526" t="str">
        <f t="shared" si="20"/>
        <v/>
      </c>
      <c r="H374" s="470" t="str">
        <f t="shared" si="21"/>
        <v/>
      </c>
      <c r="I374" s="524" t="str">
        <f t="shared" si="23"/>
        <v>否</v>
      </c>
      <c r="J374" s="312" t="str">
        <f t="shared" si="22"/>
        <v>项</v>
      </c>
    </row>
    <row r="375" s="372" customFormat="1" ht="24" customHeight="1" spans="1:10">
      <c r="A375" s="330">
        <v>20408</v>
      </c>
      <c r="B375" s="379" t="s">
        <v>428</v>
      </c>
      <c r="C375" s="601">
        <v>20</v>
      </c>
      <c r="D375" s="708">
        <f>SUM(D376:D384)</f>
        <v>20</v>
      </c>
      <c r="E375" s="708">
        <f>SUM(E376:E384)</f>
        <v>20</v>
      </c>
      <c r="F375" s="708">
        <f>SUM(F376:F384)</f>
        <v>17</v>
      </c>
      <c r="G375" s="523">
        <f t="shared" si="20"/>
        <v>-0.15</v>
      </c>
      <c r="H375" s="467">
        <f t="shared" si="21"/>
        <v>0.85</v>
      </c>
      <c r="I375" s="524" t="str">
        <f t="shared" si="23"/>
        <v>是</v>
      </c>
      <c r="J375" s="312" t="str">
        <f t="shared" si="22"/>
        <v>款</v>
      </c>
    </row>
    <row r="376" s="372" customFormat="1" ht="24" hidden="1" customHeight="1" spans="1:10">
      <c r="A376" s="330">
        <v>2040801</v>
      </c>
      <c r="B376" s="379" t="s">
        <v>212</v>
      </c>
      <c r="C376" s="602">
        <v>0</v>
      </c>
      <c r="D376" s="709">
        <v>0</v>
      </c>
      <c r="E376" s="710">
        <v>0</v>
      </c>
      <c r="F376" s="710">
        <v>0</v>
      </c>
      <c r="G376" s="526" t="str">
        <f t="shared" si="20"/>
        <v/>
      </c>
      <c r="H376" s="470" t="str">
        <f t="shared" si="21"/>
        <v/>
      </c>
      <c r="I376" s="524" t="str">
        <f t="shared" si="23"/>
        <v>否</v>
      </c>
      <c r="J376" s="312" t="str">
        <f t="shared" si="22"/>
        <v>项</v>
      </c>
    </row>
    <row r="377" s="372" customFormat="1" ht="24" hidden="1" customHeight="1" spans="1:10">
      <c r="A377" s="330">
        <v>2040802</v>
      </c>
      <c r="B377" s="379" t="s">
        <v>213</v>
      </c>
      <c r="C377" s="602">
        <v>0</v>
      </c>
      <c r="D377" s="709">
        <v>0</v>
      </c>
      <c r="E377" s="710">
        <v>0</v>
      </c>
      <c r="F377" s="710">
        <v>0</v>
      </c>
      <c r="G377" s="526" t="str">
        <f t="shared" si="20"/>
        <v/>
      </c>
      <c r="H377" s="470" t="str">
        <f t="shared" si="21"/>
        <v/>
      </c>
      <c r="I377" s="524" t="str">
        <f t="shared" si="23"/>
        <v>否</v>
      </c>
      <c r="J377" s="312" t="str">
        <f t="shared" si="22"/>
        <v>项</v>
      </c>
    </row>
    <row r="378" s="372" customFormat="1" ht="24" hidden="1" customHeight="1" spans="1:10">
      <c r="A378" s="330">
        <v>2040803</v>
      </c>
      <c r="B378" s="379" t="s">
        <v>214</v>
      </c>
      <c r="C378" s="602">
        <v>0</v>
      </c>
      <c r="D378" s="709">
        <v>0</v>
      </c>
      <c r="E378" s="710">
        <v>0</v>
      </c>
      <c r="F378" s="710">
        <v>0</v>
      </c>
      <c r="G378" s="526" t="str">
        <f t="shared" si="20"/>
        <v/>
      </c>
      <c r="H378" s="470" t="str">
        <f t="shared" si="21"/>
        <v/>
      </c>
      <c r="I378" s="524" t="str">
        <f t="shared" si="23"/>
        <v>否</v>
      </c>
      <c r="J378" s="312" t="str">
        <f t="shared" si="22"/>
        <v>项</v>
      </c>
    </row>
    <row r="379" s="372" customFormat="1" ht="24" hidden="1" customHeight="1" spans="1:10">
      <c r="A379" s="330">
        <v>2040804</v>
      </c>
      <c r="B379" s="379" t="s">
        <v>429</v>
      </c>
      <c r="C379" s="602">
        <v>0</v>
      </c>
      <c r="D379" s="709">
        <v>0</v>
      </c>
      <c r="E379" s="710">
        <v>0</v>
      </c>
      <c r="F379" s="710">
        <v>0</v>
      </c>
      <c r="G379" s="526" t="str">
        <f t="shared" si="20"/>
        <v/>
      </c>
      <c r="H379" s="470" t="str">
        <f t="shared" si="21"/>
        <v/>
      </c>
      <c r="I379" s="524" t="str">
        <f t="shared" si="23"/>
        <v>否</v>
      </c>
      <c r="J379" s="312" t="str">
        <f t="shared" si="22"/>
        <v>项</v>
      </c>
    </row>
    <row r="380" s="372" customFormat="1" ht="24" hidden="1" customHeight="1" spans="1:10">
      <c r="A380" s="330">
        <v>2040805</v>
      </c>
      <c r="B380" s="379" t="s">
        <v>430</v>
      </c>
      <c r="C380" s="602">
        <v>0</v>
      </c>
      <c r="D380" s="709">
        <v>0</v>
      </c>
      <c r="E380" s="710">
        <v>0</v>
      </c>
      <c r="F380" s="710">
        <v>0</v>
      </c>
      <c r="G380" s="526" t="str">
        <f t="shared" si="20"/>
        <v/>
      </c>
      <c r="H380" s="470" t="str">
        <f t="shared" si="21"/>
        <v/>
      </c>
      <c r="I380" s="524" t="str">
        <f t="shared" si="23"/>
        <v>否</v>
      </c>
      <c r="J380" s="312" t="str">
        <f t="shared" si="22"/>
        <v>项</v>
      </c>
    </row>
    <row r="381" s="372" customFormat="1" ht="24" hidden="1" customHeight="1" spans="1:10">
      <c r="A381" s="330">
        <v>2040806</v>
      </c>
      <c r="B381" s="379" t="s">
        <v>431</v>
      </c>
      <c r="C381" s="602">
        <v>0</v>
      </c>
      <c r="D381" s="709">
        <v>0</v>
      </c>
      <c r="E381" s="710">
        <v>0</v>
      </c>
      <c r="F381" s="710">
        <v>0</v>
      </c>
      <c r="G381" s="526" t="str">
        <f t="shared" si="20"/>
        <v/>
      </c>
      <c r="H381" s="470" t="str">
        <f t="shared" si="21"/>
        <v/>
      </c>
      <c r="I381" s="524" t="str">
        <f t="shared" si="23"/>
        <v>否</v>
      </c>
      <c r="J381" s="312" t="str">
        <f t="shared" si="22"/>
        <v>项</v>
      </c>
    </row>
    <row r="382" s="372" customFormat="1" ht="24" hidden="1" customHeight="1" spans="1:10">
      <c r="A382" s="330">
        <v>2040807</v>
      </c>
      <c r="B382" s="379" t="s">
        <v>252</v>
      </c>
      <c r="C382" s="602">
        <v>0</v>
      </c>
      <c r="D382" s="709">
        <v>0</v>
      </c>
      <c r="E382" s="710">
        <v>0</v>
      </c>
      <c r="F382" s="710">
        <v>0</v>
      </c>
      <c r="G382" s="526" t="str">
        <f t="shared" si="20"/>
        <v/>
      </c>
      <c r="H382" s="470" t="str">
        <f t="shared" si="21"/>
        <v/>
      </c>
      <c r="I382" s="524" t="str">
        <f t="shared" si="23"/>
        <v>否</v>
      </c>
      <c r="J382" s="312" t="str">
        <f t="shared" si="22"/>
        <v>项</v>
      </c>
    </row>
    <row r="383" ht="24" hidden="1" customHeight="1" spans="1:10">
      <c r="A383" s="330">
        <v>2040850</v>
      </c>
      <c r="B383" s="379" t="s">
        <v>221</v>
      </c>
      <c r="C383" s="602">
        <v>0</v>
      </c>
      <c r="D383" s="709">
        <v>0</v>
      </c>
      <c r="E383" s="710">
        <v>0</v>
      </c>
      <c r="F383" s="710">
        <v>0</v>
      </c>
      <c r="G383" s="526" t="str">
        <f t="shared" si="20"/>
        <v/>
      </c>
      <c r="H383" s="470" t="str">
        <f t="shared" si="21"/>
        <v/>
      </c>
      <c r="I383" s="524" t="str">
        <f t="shared" si="23"/>
        <v>否</v>
      </c>
      <c r="J383" s="312" t="str">
        <f t="shared" si="22"/>
        <v>项</v>
      </c>
    </row>
    <row r="384" s="372" customFormat="1" ht="24" customHeight="1" spans="1:10">
      <c r="A384" s="330">
        <v>2040899</v>
      </c>
      <c r="B384" s="379" t="s">
        <v>432</v>
      </c>
      <c r="C384" s="602">
        <v>20</v>
      </c>
      <c r="D384" s="709">
        <v>20</v>
      </c>
      <c r="E384" s="710">
        <v>20</v>
      </c>
      <c r="F384" s="710">
        <v>17</v>
      </c>
      <c r="G384" s="526">
        <f t="shared" si="20"/>
        <v>-0.15</v>
      </c>
      <c r="H384" s="470">
        <f t="shared" si="21"/>
        <v>0.85</v>
      </c>
      <c r="I384" s="524" t="str">
        <f t="shared" si="23"/>
        <v>是</v>
      </c>
      <c r="J384" s="312" t="str">
        <f t="shared" si="22"/>
        <v>项</v>
      </c>
    </row>
    <row r="385" s="372" customFormat="1" ht="24" hidden="1" customHeight="1" spans="1:10">
      <c r="A385" s="330">
        <v>20409</v>
      </c>
      <c r="B385" s="379" t="s">
        <v>433</v>
      </c>
      <c r="C385" s="601">
        <v>0</v>
      </c>
      <c r="D385" s="708">
        <f>SUM(D386:D392)</f>
        <v>0</v>
      </c>
      <c r="E385" s="708">
        <f>SUM(E386:E392)</f>
        <v>0</v>
      </c>
      <c r="F385" s="708">
        <f>SUM(F386:F392)</f>
        <v>0</v>
      </c>
      <c r="G385" s="523" t="str">
        <f t="shared" si="20"/>
        <v/>
      </c>
      <c r="H385" s="467" t="str">
        <f t="shared" si="21"/>
        <v/>
      </c>
      <c r="I385" s="524" t="str">
        <f t="shared" si="23"/>
        <v>否</v>
      </c>
      <c r="J385" s="312" t="str">
        <f t="shared" si="22"/>
        <v>款</v>
      </c>
    </row>
    <row r="386" s="372" customFormat="1" ht="24" hidden="1" customHeight="1" spans="1:10">
      <c r="A386" s="330">
        <v>2040901</v>
      </c>
      <c r="B386" s="379" t="s">
        <v>212</v>
      </c>
      <c r="C386" s="602">
        <v>0</v>
      </c>
      <c r="D386" s="709"/>
      <c r="E386" s="710">
        <v>0</v>
      </c>
      <c r="F386" s="710">
        <v>0</v>
      </c>
      <c r="G386" s="526" t="str">
        <f t="shared" si="20"/>
        <v/>
      </c>
      <c r="H386" s="470" t="str">
        <f t="shared" si="21"/>
        <v/>
      </c>
      <c r="I386" s="524" t="str">
        <f t="shared" si="23"/>
        <v>否</v>
      </c>
      <c r="J386" s="312" t="str">
        <f t="shared" si="22"/>
        <v>项</v>
      </c>
    </row>
    <row r="387" s="372" customFormat="1" ht="24" hidden="1" customHeight="1" spans="1:10">
      <c r="A387" s="330">
        <v>2040902</v>
      </c>
      <c r="B387" s="379" t="s">
        <v>213</v>
      </c>
      <c r="C387" s="602">
        <v>0</v>
      </c>
      <c r="D387" s="709"/>
      <c r="E387" s="710">
        <v>0</v>
      </c>
      <c r="F387" s="710">
        <v>0</v>
      </c>
      <c r="G387" s="526" t="str">
        <f t="shared" si="20"/>
        <v/>
      </c>
      <c r="H387" s="470" t="str">
        <f t="shared" si="21"/>
        <v/>
      </c>
      <c r="I387" s="524" t="str">
        <f t="shared" si="23"/>
        <v>否</v>
      </c>
      <c r="J387" s="312" t="str">
        <f t="shared" si="22"/>
        <v>项</v>
      </c>
    </row>
    <row r="388" s="372" customFormat="1" ht="24" hidden="1" customHeight="1" spans="1:10">
      <c r="A388" s="330">
        <v>2040903</v>
      </c>
      <c r="B388" s="379" t="s">
        <v>214</v>
      </c>
      <c r="C388" s="602">
        <v>0</v>
      </c>
      <c r="D388" s="709"/>
      <c r="E388" s="710">
        <v>0</v>
      </c>
      <c r="F388" s="710">
        <v>0</v>
      </c>
      <c r="G388" s="526" t="str">
        <f t="shared" si="20"/>
        <v/>
      </c>
      <c r="H388" s="470" t="str">
        <f t="shared" si="21"/>
        <v/>
      </c>
      <c r="I388" s="524" t="str">
        <f t="shared" si="23"/>
        <v>否</v>
      </c>
      <c r="J388" s="312" t="str">
        <f t="shared" si="22"/>
        <v>项</v>
      </c>
    </row>
    <row r="389" s="372" customFormat="1" ht="24" hidden="1" customHeight="1" spans="1:10">
      <c r="A389" s="330">
        <v>2040904</v>
      </c>
      <c r="B389" s="379" t="s">
        <v>434</v>
      </c>
      <c r="C389" s="602">
        <v>0</v>
      </c>
      <c r="D389" s="709"/>
      <c r="E389" s="710">
        <v>0</v>
      </c>
      <c r="F389" s="710">
        <v>0</v>
      </c>
      <c r="G389" s="526" t="str">
        <f t="shared" ref="G389:G452" si="24">IFERROR((F389-C389)/C389,"")</f>
        <v/>
      </c>
      <c r="H389" s="470" t="str">
        <f t="shared" ref="H389:H452" si="25">IFERROR(F389/D389,"")</f>
        <v/>
      </c>
      <c r="I389" s="524" t="str">
        <f t="shared" si="23"/>
        <v>否</v>
      </c>
      <c r="J389" s="312" t="str">
        <f t="shared" ref="J389:J452" si="26">IF(LEN(A389)=3,"类",IF(LEN(A389)=5,"款","项"))</f>
        <v>项</v>
      </c>
    </row>
    <row r="390" s="372" customFormat="1" ht="24" hidden="1" customHeight="1" spans="1:10">
      <c r="A390" s="330">
        <v>2040905</v>
      </c>
      <c r="B390" s="379" t="s">
        <v>435</v>
      </c>
      <c r="C390" s="602">
        <v>0</v>
      </c>
      <c r="D390" s="709"/>
      <c r="E390" s="710">
        <v>0</v>
      </c>
      <c r="F390" s="710">
        <v>0</v>
      </c>
      <c r="G390" s="526" t="str">
        <f t="shared" si="24"/>
        <v/>
      </c>
      <c r="H390" s="470" t="str">
        <f t="shared" si="25"/>
        <v/>
      </c>
      <c r="I390" s="524" t="str">
        <f t="shared" ref="I390:I453" si="27">IF(LEN(A390)=3,"是",IF(B390&lt;&gt;"",IF(SUM(C390:F390)&lt;&gt;0,"是","否"),"是"))</f>
        <v>否</v>
      </c>
      <c r="J390" s="312" t="str">
        <f t="shared" si="26"/>
        <v>项</v>
      </c>
    </row>
    <row r="391" s="372" customFormat="1" ht="24" hidden="1" customHeight="1" spans="1:10">
      <c r="A391" s="330">
        <v>2040950</v>
      </c>
      <c r="B391" s="379" t="s">
        <v>221</v>
      </c>
      <c r="C391" s="602">
        <v>0</v>
      </c>
      <c r="D391" s="709"/>
      <c r="E391" s="710">
        <v>0</v>
      </c>
      <c r="F391" s="710">
        <v>0</v>
      </c>
      <c r="G391" s="526" t="str">
        <f t="shared" si="24"/>
        <v/>
      </c>
      <c r="H391" s="470" t="str">
        <f t="shared" si="25"/>
        <v/>
      </c>
      <c r="I391" s="524" t="str">
        <f t="shared" si="27"/>
        <v>否</v>
      </c>
      <c r="J391" s="312" t="str">
        <f t="shared" si="26"/>
        <v>项</v>
      </c>
    </row>
    <row r="392" s="372" customFormat="1" ht="24" hidden="1" customHeight="1" spans="1:10">
      <c r="A392" s="330">
        <v>2040999</v>
      </c>
      <c r="B392" s="379" t="s">
        <v>436</v>
      </c>
      <c r="C392" s="602">
        <v>0</v>
      </c>
      <c r="D392" s="709"/>
      <c r="E392" s="710">
        <v>0</v>
      </c>
      <c r="F392" s="710">
        <v>0</v>
      </c>
      <c r="G392" s="526" t="str">
        <f t="shared" si="24"/>
        <v/>
      </c>
      <c r="H392" s="470" t="str">
        <f t="shared" si="25"/>
        <v/>
      </c>
      <c r="I392" s="524" t="str">
        <f t="shared" si="27"/>
        <v>否</v>
      </c>
      <c r="J392" s="312" t="str">
        <f t="shared" si="26"/>
        <v>项</v>
      </c>
    </row>
    <row r="393" ht="24" hidden="1" customHeight="1" spans="1:10">
      <c r="A393" s="330">
        <v>20410</v>
      </c>
      <c r="B393" s="379" t="s">
        <v>437</v>
      </c>
      <c r="C393" s="601">
        <v>0</v>
      </c>
      <c r="D393" s="708">
        <f>SUM(D394:D398)</f>
        <v>0</v>
      </c>
      <c r="E393" s="708">
        <f>SUM(E394:E398)</f>
        <v>0</v>
      </c>
      <c r="F393" s="708">
        <f>SUM(F394:F398)</f>
        <v>0</v>
      </c>
      <c r="G393" s="523" t="str">
        <f t="shared" si="24"/>
        <v/>
      </c>
      <c r="H393" s="467" t="str">
        <f t="shared" si="25"/>
        <v/>
      </c>
      <c r="I393" s="524" t="str">
        <f t="shared" si="27"/>
        <v>否</v>
      </c>
      <c r="J393" s="312" t="str">
        <f t="shared" si="26"/>
        <v>款</v>
      </c>
    </row>
    <row r="394" s="372" customFormat="1" ht="24" hidden="1" customHeight="1" spans="1:10">
      <c r="A394" s="330">
        <v>2041001</v>
      </c>
      <c r="B394" s="379" t="s">
        <v>212</v>
      </c>
      <c r="C394" s="602">
        <v>0</v>
      </c>
      <c r="D394" s="709"/>
      <c r="E394" s="710">
        <v>0</v>
      </c>
      <c r="F394" s="710">
        <v>0</v>
      </c>
      <c r="G394" s="526" t="str">
        <f t="shared" si="24"/>
        <v/>
      </c>
      <c r="H394" s="470" t="str">
        <f t="shared" si="25"/>
        <v/>
      </c>
      <c r="I394" s="524" t="str">
        <f t="shared" si="27"/>
        <v>否</v>
      </c>
      <c r="J394" s="312" t="str">
        <f t="shared" si="26"/>
        <v>项</v>
      </c>
    </row>
    <row r="395" s="372" customFormat="1" ht="24" hidden="1" customHeight="1" spans="1:10">
      <c r="A395" s="330">
        <v>2041002</v>
      </c>
      <c r="B395" s="379" t="s">
        <v>213</v>
      </c>
      <c r="C395" s="602">
        <v>0</v>
      </c>
      <c r="D395" s="709"/>
      <c r="E395" s="710">
        <v>0</v>
      </c>
      <c r="F395" s="710">
        <v>0</v>
      </c>
      <c r="G395" s="526" t="str">
        <f t="shared" si="24"/>
        <v/>
      </c>
      <c r="H395" s="470" t="str">
        <f t="shared" si="25"/>
        <v/>
      </c>
      <c r="I395" s="524" t="str">
        <f t="shared" si="27"/>
        <v>否</v>
      </c>
      <c r="J395" s="312" t="str">
        <f t="shared" si="26"/>
        <v>项</v>
      </c>
    </row>
    <row r="396" s="372" customFormat="1" ht="24" hidden="1" customHeight="1" spans="1:10">
      <c r="A396" s="330">
        <v>2041006</v>
      </c>
      <c r="B396" s="379" t="s">
        <v>252</v>
      </c>
      <c r="C396" s="602">
        <v>0</v>
      </c>
      <c r="D396" s="709"/>
      <c r="E396" s="710">
        <v>0</v>
      </c>
      <c r="F396" s="710">
        <v>0</v>
      </c>
      <c r="G396" s="526" t="str">
        <f t="shared" si="24"/>
        <v/>
      </c>
      <c r="H396" s="470" t="str">
        <f t="shared" si="25"/>
        <v/>
      </c>
      <c r="I396" s="524" t="str">
        <f t="shared" si="27"/>
        <v>否</v>
      </c>
      <c r="J396" s="312" t="str">
        <f t="shared" si="26"/>
        <v>项</v>
      </c>
    </row>
    <row r="397" s="372" customFormat="1" ht="24" hidden="1" customHeight="1" spans="1:10">
      <c r="A397" s="330">
        <v>2041007</v>
      </c>
      <c r="B397" s="379" t="s">
        <v>438</v>
      </c>
      <c r="C397" s="602">
        <v>0</v>
      </c>
      <c r="D397" s="709"/>
      <c r="E397" s="710">
        <v>0</v>
      </c>
      <c r="F397" s="710">
        <v>0</v>
      </c>
      <c r="G397" s="526" t="str">
        <f t="shared" si="24"/>
        <v/>
      </c>
      <c r="H397" s="470" t="str">
        <f t="shared" si="25"/>
        <v/>
      </c>
      <c r="I397" s="524" t="str">
        <f t="shared" si="27"/>
        <v>否</v>
      </c>
      <c r="J397" s="312" t="str">
        <f t="shared" si="26"/>
        <v>项</v>
      </c>
    </row>
    <row r="398" s="372" customFormat="1" ht="24" hidden="1" customHeight="1" spans="1:10">
      <c r="A398" s="330">
        <v>2041099</v>
      </c>
      <c r="B398" s="379" t="s">
        <v>439</v>
      </c>
      <c r="C398" s="602">
        <v>0</v>
      </c>
      <c r="D398" s="709"/>
      <c r="E398" s="710">
        <v>0</v>
      </c>
      <c r="F398" s="710">
        <v>0</v>
      </c>
      <c r="G398" s="526" t="str">
        <f t="shared" si="24"/>
        <v/>
      </c>
      <c r="H398" s="470" t="str">
        <f t="shared" si="25"/>
        <v/>
      </c>
      <c r="I398" s="524" t="str">
        <f t="shared" si="27"/>
        <v>否</v>
      </c>
      <c r="J398" s="312" t="str">
        <f t="shared" si="26"/>
        <v>项</v>
      </c>
    </row>
    <row r="399" s="372" customFormat="1" ht="24" customHeight="1" spans="1:10">
      <c r="A399" s="330">
        <v>20499</v>
      </c>
      <c r="B399" s="379" t="s">
        <v>440</v>
      </c>
      <c r="C399" s="601">
        <v>136</v>
      </c>
      <c r="D399" s="708">
        <f>SUM(D400:D401)</f>
        <v>170</v>
      </c>
      <c r="E399" s="708">
        <f>SUM(E400:E401)</f>
        <v>170</v>
      </c>
      <c r="F399" s="708">
        <f>SUM(F400:F401)</f>
        <v>66</v>
      </c>
      <c r="G399" s="523">
        <f t="shared" si="24"/>
        <v>-0.514705882352941</v>
      </c>
      <c r="H399" s="467">
        <f t="shared" si="25"/>
        <v>0.388235294117647</v>
      </c>
      <c r="I399" s="524" t="str">
        <f t="shared" si="27"/>
        <v>是</v>
      </c>
      <c r="J399" s="312" t="str">
        <f t="shared" si="26"/>
        <v>款</v>
      </c>
    </row>
    <row r="400" s="372" customFormat="1" ht="24" customHeight="1" spans="1:10">
      <c r="A400" s="326">
        <v>2049902</v>
      </c>
      <c r="B400" s="379" t="s">
        <v>441</v>
      </c>
      <c r="C400" s="602">
        <v>0</v>
      </c>
      <c r="D400" s="709">
        <v>20</v>
      </c>
      <c r="E400" s="710">
        <v>20</v>
      </c>
      <c r="F400" s="710">
        <v>0</v>
      </c>
      <c r="G400" s="526" t="str">
        <f t="shared" si="24"/>
        <v/>
      </c>
      <c r="H400" s="470">
        <f t="shared" si="25"/>
        <v>0</v>
      </c>
      <c r="I400" s="524" t="str">
        <f t="shared" si="27"/>
        <v>是</v>
      </c>
      <c r="J400" s="312" t="str">
        <f t="shared" si="26"/>
        <v>项</v>
      </c>
    </row>
    <row r="401" s="372" customFormat="1" ht="24" customHeight="1" spans="1:10">
      <c r="A401" s="533">
        <v>2049999</v>
      </c>
      <c r="B401" s="379" t="s">
        <v>442</v>
      </c>
      <c r="C401" s="602">
        <v>136</v>
      </c>
      <c r="D401" s="709">
        <v>150</v>
      </c>
      <c r="E401" s="710">
        <v>150</v>
      </c>
      <c r="F401" s="710">
        <v>66</v>
      </c>
      <c r="G401" s="526">
        <f t="shared" si="24"/>
        <v>-0.514705882352941</v>
      </c>
      <c r="H401" s="470">
        <f t="shared" si="25"/>
        <v>0.44</v>
      </c>
      <c r="I401" s="524" t="str">
        <f t="shared" si="27"/>
        <v>是</v>
      </c>
      <c r="J401" s="312" t="str">
        <f t="shared" si="26"/>
        <v>项</v>
      </c>
    </row>
    <row r="402" s="372" customFormat="1" ht="24" customHeight="1" spans="1:10">
      <c r="A402" s="329">
        <v>205</v>
      </c>
      <c r="B402" s="377" t="s">
        <v>179</v>
      </c>
      <c r="C402" s="601">
        <v>27952</v>
      </c>
      <c r="D402" s="708">
        <f>D403+D408+D415+D421+D427+D431+D435+D439+D445+D452</f>
        <v>29431</v>
      </c>
      <c r="E402" s="708">
        <f>E403+E408+E415+E421+E427+E431+E435+E439+E445+E452</f>
        <v>30309</v>
      </c>
      <c r="F402" s="708">
        <f>F403+F408+F415+F421+F427+F431+F435+F439+F445+F452</f>
        <v>38236</v>
      </c>
      <c r="G402" s="523">
        <f t="shared" si="24"/>
        <v>0.367916428162564</v>
      </c>
      <c r="H402" s="467">
        <f t="shared" si="25"/>
        <v>1.29917433998165</v>
      </c>
      <c r="I402" s="524" t="str">
        <f t="shared" si="27"/>
        <v>是</v>
      </c>
      <c r="J402" s="312" t="str">
        <f t="shared" si="26"/>
        <v>类</v>
      </c>
    </row>
    <row r="403" ht="24" customHeight="1" spans="1:10">
      <c r="A403" s="330">
        <v>20501</v>
      </c>
      <c r="B403" s="379" t="s">
        <v>443</v>
      </c>
      <c r="C403" s="601">
        <v>788</v>
      </c>
      <c r="D403" s="708">
        <f>SUM(D404:D407)</f>
        <v>828</v>
      </c>
      <c r="E403" s="708">
        <f>SUM(E404:E407)</f>
        <v>828</v>
      </c>
      <c r="F403" s="708">
        <f>SUM(F404:F407)</f>
        <v>713</v>
      </c>
      <c r="G403" s="523">
        <f t="shared" si="24"/>
        <v>-0.0951776649746193</v>
      </c>
      <c r="H403" s="467">
        <f t="shared" si="25"/>
        <v>0.861111111111111</v>
      </c>
      <c r="I403" s="524" t="str">
        <f t="shared" si="27"/>
        <v>是</v>
      </c>
      <c r="J403" s="312" t="str">
        <f t="shared" si="26"/>
        <v>款</v>
      </c>
    </row>
    <row r="404" s="372" customFormat="1" ht="24" customHeight="1" spans="1:10">
      <c r="A404" s="330">
        <v>2050101</v>
      </c>
      <c r="B404" s="379" t="s">
        <v>212</v>
      </c>
      <c r="C404" s="602">
        <v>524</v>
      </c>
      <c r="D404" s="709">
        <v>558</v>
      </c>
      <c r="E404" s="710">
        <v>558</v>
      </c>
      <c r="F404" s="710">
        <v>552</v>
      </c>
      <c r="G404" s="526">
        <f t="shared" si="24"/>
        <v>0.0534351145038168</v>
      </c>
      <c r="H404" s="470">
        <f t="shared" si="25"/>
        <v>0.989247311827957</v>
      </c>
      <c r="I404" s="524" t="str">
        <f t="shared" si="27"/>
        <v>是</v>
      </c>
      <c r="J404" s="312" t="str">
        <f t="shared" si="26"/>
        <v>项</v>
      </c>
    </row>
    <row r="405" s="372" customFormat="1" ht="24" customHeight="1" spans="1:10">
      <c r="A405" s="330">
        <v>2050102</v>
      </c>
      <c r="B405" s="379" t="s">
        <v>213</v>
      </c>
      <c r="C405" s="602">
        <v>204</v>
      </c>
      <c r="D405" s="709">
        <v>195</v>
      </c>
      <c r="E405" s="710">
        <v>195</v>
      </c>
      <c r="F405" s="710">
        <v>47</v>
      </c>
      <c r="G405" s="526">
        <f t="shared" si="24"/>
        <v>-0.769607843137255</v>
      </c>
      <c r="H405" s="470">
        <f t="shared" si="25"/>
        <v>0.241025641025641</v>
      </c>
      <c r="I405" s="524" t="str">
        <f t="shared" si="27"/>
        <v>是</v>
      </c>
      <c r="J405" s="312" t="str">
        <f t="shared" si="26"/>
        <v>项</v>
      </c>
    </row>
    <row r="406" s="372" customFormat="1" ht="24" hidden="1" customHeight="1" spans="1:10">
      <c r="A406" s="330">
        <v>2050103</v>
      </c>
      <c r="B406" s="379" t="s">
        <v>214</v>
      </c>
      <c r="C406" s="602">
        <v>0</v>
      </c>
      <c r="D406" s="709">
        <v>0</v>
      </c>
      <c r="E406" s="710">
        <v>0</v>
      </c>
      <c r="F406" s="710">
        <v>0</v>
      </c>
      <c r="G406" s="526" t="str">
        <f t="shared" si="24"/>
        <v/>
      </c>
      <c r="H406" s="470" t="str">
        <f t="shared" si="25"/>
        <v/>
      </c>
      <c r="I406" s="524" t="str">
        <f t="shared" si="27"/>
        <v>否</v>
      </c>
      <c r="J406" s="312" t="str">
        <f t="shared" si="26"/>
        <v>项</v>
      </c>
    </row>
    <row r="407" s="372" customFormat="1" ht="24" customHeight="1" spans="1:10">
      <c r="A407" s="330">
        <v>2050199</v>
      </c>
      <c r="B407" s="379" t="s">
        <v>444</v>
      </c>
      <c r="C407" s="602">
        <v>60</v>
      </c>
      <c r="D407" s="709">
        <v>75</v>
      </c>
      <c r="E407" s="710">
        <v>75</v>
      </c>
      <c r="F407" s="710">
        <v>114</v>
      </c>
      <c r="G407" s="526">
        <f t="shared" si="24"/>
        <v>0.9</v>
      </c>
      <c r="H407" s="470">
        <f t="shared" si="25"/>
        <v>1.52</v>
      </c>
      <c r="I407" s="524" t="str">
        <f t="shared" si="27"/>
        <v>是</v>
      </c>
      <c r="J407" s="312" t="str">
        <f t="shared" si="26"/>
        <v>项</v>
      </c>
    </row>
    <row r="408" s="372" customFormat="1" ht="24" customHeight="1" spans="1:10">
      <c r="A408" s="330">
        <v>20502</v>
      </c>
      <c r="B408" s="379" t="s">
        <v>445</v>
      </c>
      <c r="C408" s="601">
        <v>16722</v>
      </c>
      <c r="D408" s="708">
        <f>SUM(D409:D414)</f>
        <v>17638</v>
      </c>
      <c r="E408" s="708">
        <f>SUM(E409:E414)</f>
        <v>17638</v>
      </c>
      <c r="F408" s="708">
        <f>SUM(F409:F414)</f>
        <v>20984</v>
      </c>
      <c r="G408" s="523">
        <f t="shared" si="24"/>
        <v>0.254873818921182</v>
      </c>
      <c r="H408" s="467">
        <f t="shared" si="25"/>
        <v>1.18970404807801</v>
      </c>
      <c r="I408" s="524" t="str">
        <f t="shared" si="27"/>
        <v>是</v>
      </c>
      <c r="J408" s="312" t="str">
        <f t="shared" si="26"/>
        <v>款</v>
      </c>
    </row>
    <row r="409" s="372" customFormat="1" ht="24" customHeight="1" spans="1:10">
      <c r="A409" s="330">
        <v>2050201</v>
      </c>
      <c r="B409" s="379" t="s">
        <v>446</v>
      </c>
      <c r="C409" s="602">
        <v>2648</v>
      </c>
      <c r="D409" s="709">
        <v>3015</v>
      </c>
      <c r="E409" s="710">
        <v>3015</v>
      </c>
      <c r="F409" s="710">
        <v>2891</v>
      </c>
      <c r="G409" s="526">
        <f t="shared" si="24"/>
        <v>0.0917673716012085</v>
      </c>
      <c r="H409" s="470">
        <f t="shared" si="25"/>
        <v>0.958872305140962</v>
      </c>
      <c r="I409" s="524" t="str">
        <f t="shared" si="27"/>
        <v>是</v>
      </c>
      <c r="J409" s="312" t="str">
        <f t="shared" si="26"/>
        <v>项</v>
      </c>
    </row>
    <row r="410" s="372" customFormat="1" ht="24" customHeight="1" spans="1:10">
      <c r="A410" s="330">
        <v>2050202</v>
      </c>
      <c r="B410" s="379" t="s">
        <v>447</v>
      </c>
      <c r="C410" s="602">
        <v>4043</v>
      </c>
      <c r="D410" s="709">
        <v>4389</v>
      </c>
      <c r="E410" s="710">
        <v>4389</v>
      </c>
      <c r="F410" s="710">
        <v>4892</v>
      </c>
      <c r="G410" s="526">
        <f t="shared" si="24"/>
        <v>0.209992579767499</v>
      </c>
      <c r="H410" s="470">
        <f t="shared" si="25"/>
        <v>1.11460469355206</v>
      </c>
      <c r="I410" s="524" t="str">
        <f t="shared" si="27"/>
        <v>是</v>
      </c>
      <c r="J410" s="312" t="str">
        <f t="shared" si="26"/>
        <v>项</v>
      </c>
    </row>
    <row r="411" ht="24" customHeight="1" spans="1:10">
      <c r="A411" s="330">
        <v>2050203</v>
      </c>
      <c r="B411" s="379" t="s">
        <v>448</v>
      </c>
      <c r="C411" s="602">
        <v>670</v>
      </c>
      <c r="D411" s="709">
        <v>685</v>
      </c>
      <c r="E411" s="710">
        <v>685</v>
      </c>
      <c r="F411" s="710">
        <v>822</v>
      </c>
      <c r="G411" s="526">
        <f t="shared" si="24"/>
        <v>0.226865671641791</v>
      </c>
      <c r="H411" s="470">
        <f t="shared" si="25"/>
        <v>1.2</v>
      </c>
      <c r="I411" s="524" t="str">
        <f t="shared" si="27"/>
        <v>是</v>
      </c>
      <c r="J411" s="312" t="str">
        <f t="shared" si="26"/>
        <v>项</v>
      </c>
    </row>
    <row r="412" s="372" customFormat="1" ht="24" customHeight="1" spans="1:10">
      <c r="A412" s="330">
        <v>2050204</v>
      </c>
      <c r="B412" s="379" t="s">
        <v>449</v>
      </c>
      <c r="C412" s="602">
        <v>9009</v>
      </c>
      <c r="D412" s="709">
        <v>9213</v>
      </c>
      <c r="E412" s="710">
        <v>9213</v>
      </c>
      <c r="F412" s="710">
        <v>8213</v>
      </c>
      <c r="G412" s="526">
        <f t="shared" si="24"/>
        <v>-0.0883560883560884</v>
      </c>
      <c r="H412" s="470">
        <f t="shared" si="25"/>
        <v>0.891457722783024</v>
      </c>
      <c r="I412" s="524" t="str">
        <f t="shared" si="27"/>
        <v>是</v>
      </c>
      <c r="J412" s="312" t="str">
        <f t="shared" si="26"/>
        <v>项</v>
      </c>
    </row>
    <row r="413" s="372" customFormat="1" ht="24" customHeight="1" spans="1:10">
      <c r="A413" s="330">
        <v>2050205</v>
      </c>
      <c r="B413" s="379" t="s">
        <v>450</v>
      </c>
      <c r="C413" s="602">
        <v>334</v>
      </c>
      <c r="D413" s="709">
        <v>336</v>
      </c>
      <c r="E413" s="710">
        <v>336</v>
      </c>
      <c r="F413" s="710">
        <v>4110</v>
      </c>
      <c r="G413" s="526">
        <f t="shared" si="24"/>
        <v>11.3053892215569</v>
      </c>
      <c r="H413" s="470">
        <f t="shared" si="25"/>
        <v>12.2321428571429</v>
      </c>
      <c r="I413" s="524" t="str">
        <f t="shared" si="27"/>
        <v>是</v>
      </c>
      <c r="J413" s="312" t="str">
        <f t="shared" si="26"/>
        <v>项</v>
      </c>
    </row>
    <row r="414" s="372" customFormat="1" ht="24" customHeight="1" spans="1:10">
      <c r="A414" s="330">
        <v>2050299</v>
      </c>
      <c r="B414" s="379" t="s">
        <v>451</v>
      </c>
      <c r="C414" s="602">
        <v>18</v>
      </c>
      <c r="D414" s="709">
        <v>0</v>
      </c>
      <c r="E414" s="710">
        <v>0</v>
      </c>
      <c r="F414" s="710">
        <v>56</v>
      </c>
      <c r="G414" s="526">
        <f t="shared" si="24"/>
        <v>2.11111111111111</v>
      </c>
      <c r="H414" s="470" t="str">
        <f t="shared" si="25"/>
        <v/>
      </c>
      <c r="I414" s="524" t="str">
        <f t="shared" si="27"/>
        <v>是</v>
      </c>
      <c r="J414" s="312" t="str">
        <f t="shared" si="26"/>
        <v>项</v>
      </c>
    </row>
    <row r="415" s="372" customFormat="1" ht="24" customHeight="1" spans="1:10">
      <c r="A415" s="330">
        <v>20503</v>
      </c>
      <c r="B415" s="379" t="s">
        <v>452</v>
      </c>
      <c r="C415" s="601">
        <v>7851</v>
      </c>
      <c r="D415" s="708">
        <f>SUM(D416:D420)</f>
        <v>8336</v>
      </c>
      <c r="E415" s="708">
        <f>SUM(E416:E420)</f>
        <v>9214</v>
      </c>
      <c r="F415" s="708">
        <f>SUM(F416:F420)</f>
        <v>12066</v>
      </c>
      <c r="G415" s="523">
        <f t="shared" si="24"/>
        <v>0.53687428353076</v>
      </c>
      <c r="H415" s="467">
        <f t="shared" si="25"/>
        <v>1.44745681381958</v>
      </c>
      <c r="I415" s="524" t="str">
        <f t="shared" si="27"/>
        <v>是</v>
      </c>
      <c r="J415" s="312" t="str">
        <f t="shared" si="26"/>
        <v>款</v>
      </c>
    </row>
    <row r="416" s="372" customFormat="1" ht="24" hidden="1" customHeight="1" spans="1:10">
      <c r="A416" s="330">
        <v>2050301</v>
      </c>
      <c r="B416" s="379" t="s">
        <v>453</v>
      </c>
      <c r="C416" s="602">
        <v>0</v>
      </c>
      <c r="D416" s="709">
        <v>0</v>
      </c>
      <c r="E416" s="710">
        <v>0</v>
      </c>
      <c r="F416" s="710">
        <v>0</v>
      </c>
      <c r="G416" s="526" t="str">
        <f t="shared" si="24"/>
        <v/>
      </c>
      <c r="H416" s="470" t="str">
        <f t="shared" si="25"/>
        <v/>
      </c>
      <c r="I416" s="524" t="str">
        <f t="shared" si="27"/>
        <v>否</v>
      </c>
      <c r="J416" s="312" t="str">
        <f t="shared" si="26"/>
        <v>项</v>
      </c>
    </row>
    <row r="417" ht="24" customHeight="1" spans="1:10">
      <c r="A417" s="330">
        <v>2050302</v>
      </c>
      <c r="B417" s="379" t="s">
        <v>454</v>
      </c>
      <c r="C417" s="602">
        <v>5067</v>
      </c>
      <c r="D417" s="709">
        <v>5368</v>
      </c>
      <c r="E417" s="710">
        <v>5368</v>
      </c>
      <c r="F417" s="710">
        <v>5227</v>
      </c>
      <c r="G417" s="526">
        <f t="shared" si="24"/>
        <v>0.0315768699427669</v>
      </c>
      <c r="H417" s="470">
        <f t="shared" si="25"/>
        <v>0.973733233979136</v>
      </c>
      <c r="I417" s="524" t="str">
        <f t="shared" si="27"/>
        <v>是</v>
      </c>
      <c r="J417" s="312" t="str">
        <f t="shared" si="26"/>
        <v>项</v>
      </c>
    </row>
    <row r="418" s="372" customFormat="1" ht="24" customHeight="1" spans="1:10">
      <c r="A418" s="330">
        <v>2050303</v>
      </c>
      <c r="B418" s="379" t="s">
        <v>455</v>
      </c>
      <c r="C418" s="602">
        <v>181</v>
      </c>
      <c r="D418" s="709">
        <v>183</v>
      </c>
      <c r="E418" s="710">
        <v>304</v>
      </c>
      <c r="F418" s="710">
        <v>386</v>
      </c>
      <c r="G418" s="526">
        <f t="shared" si="24"/>
        <v>1.13259668508287</v>
      </c>
      <c r="H418" s="470">
        <f t="shared" si="25"/>
        <v>2.10928961748634</v>
      </c>
      <c r="I418" s="524" t="str">
        <f t="shared" si="27"/>
        <v>是</v>
      </c>
      <c r="J418" s="312" t="str">
        <f t="shared" si="26"/>
        <v>项</v>
      </c>
    </row>
    <row r="419" s="372" customFormat="1" ht="24" customHeight="1" spans="1:10">
      <c r="A419" s="330">
        <v>2050305</v>
      </c>
      <c r="B419" s="379" t="s">
        <v>456</v>
      </c>
      <c r="C419" s="602">
        <v>2603</v>
      </c>
      <c r="D419" s="709">
        <v>2785</v>
      </c>
      <c r="E419" s="710">
        <v>3542</v>
      </c>
      <c r="F419" s="710">
        <v>6453</v>
      </c>
      <c r="G419" s="526">
        <f t="shared" si="24"/>
        <v>1.47906262005378</v>
      </c>
      <c r="H419" s="470">
        <f t="shared" si="25"/>
        <v>2.31705565529623</v>
      </c>
      <c r="I419" s="524" t="str">
        <f t="shared" si="27"/>
        <v>是</v>
      </c>
      <c r="J419" s="312" t="str">
        <f t="shared" si="26"/>
        <v>项</v>
      </c>
    </row>
    <row r="420" ht="24" hidden="1" customHeight="1" spans="1:10">
      <c r="A420" s="330">
        <v>2050399</v>
      </c>
      <c r="B420" s="379" t="s">
        <v>457</v>
      </c>
      <c r="C420" s="602">
        <v>0</v>
      </c>
      <c r="D420" s="709">
        <v>0</v>
      </c>
      <c r="E420" s="710">
        <v>0</v>
      </c>
      <c r="F420" s="710">
        <v>0</v>
      </c>
      <c r="G420" s="526" t="str">
        <f t="shared" si="24"/>
        <v/>
      </c>
      <c r="H420" s="470" t="str">
        <f t="shared" si="25"/>
        <v/>
      </c>
      <c r="I420" s="524" t="str">
        <f t="shared" si="27"/>
        <v>否</v>
      </c>
      <c r="J420" s="312" t="str">
        <f t="shared" si="26"/>
        <v>项</v>
      </c>
    </row>
    <row r="421" ht="24" hidden="1" customHeight="1" spans="1:10">
      <c r="A421" s="330">
        <v>20504</v>
      </c>
      <c r="B421" s="379" t="s">
        <v>458</v>
      </c>
      <c r="C421" s="601">
        <v>0</v>
      </c>
      <c r="D421" s="708">
        <f>SUM(D422:D426)</f>
        <v>0</v>
      </c>
      <c r="E421" s="708">
        <f>SUM(E422:E426)</f>
        <v>0</v>
      </c>
      <c r="F421" s="708">
        <f>SUM(F422:F426)</f>
        <v>0</v>
      </c>
      <c r="G421" s="523" t="str">
        <f t="shared" si="24"/>
        <v/>
      </c>
      <c r="H421" s="467" t="str">
        <f t="shared" si="25"/>
        <v/>
      </c>
      <c r="I421" s="524" t="str">
        <f t="shared" si="27"/>
        <v>否</v>
      </c>
      <c r="J421" s="312" t="str">
        <f t="shared" si="26"/>
        <v>款</v>
      </c>
    </row>
    <row r="422" s="372" customFormat="1" ht="24" hidden="1" customHeight="1" spans="1:10">
      <c r="A422" s="330">
        <v>2050401</v>
      </c>
      <c r="B422" s="379" t="s">
        <v>459</v>
      </c>
      <c r="C422" s="602">
        <v>0</v>
      </c>
      <c r="D422" s="709"/>
      <c r="E422" s="710">
        <v>0</v>
      </c>
      <c r="F422" s="710">
        <v>0</v>
      </c>
      <c r="G422" s="526" t="str">
        <f t="shared" si="24"/>
        <v/>
      </c>
      <c r="H422" s="470" t="str">
        <f t="shared" si="25"/>
        <v/>
      </c>
      <c r="I422" s="524" t="str">
        <f t="shared" si="27"/>
        <v>否</v>
      </c>
      <c r="J422" s="312" t="str">
        <f t="shared" si="26"/>
        <v>项</v>
      </c>
    </row>
    <row r="423" s="372" customFormat="1" ht="24" hidden="1" customHeight="1" spans="1:10">
      <c r="A423" s="330">
        <v>2050402</v>
      </c>
      <c r="B423" s="379" t="s">
        <v>460</v>
      </c>
      <c r="C423" s="602">
        <v>0</v>
      </c>
      <c r="D423" s="709"/>
      <c r="E423" s="710">
        <v>0</v>
      </c>
      <c r="F423" s="710">
        <v>0</v>
      </c>
      <c r="G423" s="526" t="str">
        <f t="shared" si="24"/>
        <v/>
      </c>
      <c r="H423" s="470" t="str">
        <f t="shared" si="25"/>
        <v/>
      </c>
      <c r="I423" s="524" t="str">
        <f t="shared" si="27"/>
        <v>否</v>
      </c>
      <c r="J423" s="312" t="str">
        <f t="shared" si="26"/>
        <v>项</v>
      </c>
    </row>
    <row r="424" s="372" customFormat="1" ht="24" hidden="1" customHeight="1" spans="1:10">
      <c r="A424" s="330">
        <v>2050403</v>
      </c>
      <c r="B424" s="379" t="s">
        <v>461</v>
      </c>
      <c r="C424" s="602">
        <v>0</v>
      </c>
      <c r="D424" s="709"/>
      <c r="E424" s="710">
        <v>0</v>
      </c>
      <c r="F424" s="710">
        <v>0</v>
      </c>
      <c r="G424" s="526" t="str">
        <f t="shared" si="24"/>
        <v/>
      </c>
      <c r="H424" s="470" t="str">
        <f t="shared" si="25"/>
        <v/>
      </c>
      <c r="I424" s="524" t="str">
        <f t="shared" si="27"/>
        <v>否</v>
      </c>
      <c r="J424" s="312" t="str">
        <f t="shared" si="26"/>
        <v>项</v>
      </c>
    </row>
    <row r="425" s="372" customFormat="1" ht="24" hidden="1" customHeight="1" spans="1:10">
      <c r="A425" s="330">
        <v>2050404</v>
      </c>
      <c r="B425" s="379" t="s">
        <v>462</v>
      </c>
      <c r="C425" s="602">
        <v>0</v>
      </c>
      <c r="D425" s="709"/>
      <c r="E425" s="710">
        <v>0</v>
      </c>
      <c r="F425" s="710">
        <v>0</v>
      </c>
      <c r="G425" s="526" t="str">
        <f t="shared" si="24"/>
        <v/>
      </c>
      <c r="H425" s="470" t="str">
        <f t="shared" si="25"/>
        <v/>
      </c>
      <c r="I425" s="524" t="str">
        <f t="shared" si="27"/>
        <v>否</v>
      </c>
      <c r="J425" s="312" t="str">
        <f t="shared" si="26"/>
        <v>项</v>
      </c>
    </row>
    <row r="426" ht="24" hidden="1" customHeight="1" spans="1:10">
      <c r="A426" s="330">
        <v>2050499</v>
      </c>
      <c r="B426" s="379" t="s">
        <v>463</v>
      </c>
      <c r="C426" s="602">
        <v>0</v>
      </c>
      <c r="D426" s="709"/>
      <c r="E426" s="710">
        <v>0</v>
      </c>
      <c r="F426" s="710">
        <v>0</v>
      </c>
      <c r="G426" s="526" t="str">
        <f t="shared" si="24"/>
        <v/>
      </c>
      <c r="H426" s="470" t="str">
        <f t="shared" si="25"/>
        <v/>
      </c>
      <c r="I426" s="524" t="str">
        <f t="shared" si="27"/>
        <v>否</v>
      </c>
      <c r="J426" s="312" t="str">
        <f t="shared" si="26"/>
        <v>项</v>
      </c>
    </row>
    <row r="427" s="372" customFormat="1" ht="24" hidden="1" customHeight="1" spans="1:10">
      <c r="A427" s="330">
        <v>20505</v>
      </c>
      <c r="B427" s="379" t="s">
        <v>464</v>
      </c>
      <c r="C427" s="601">
        <v>0</v>
      </c>
      <c r="D427" s="708">
        <f>SUM(D428:D430)</f>
        <v>0</v>
      </c>
      <c r="E427" s="708">
        <f>SUM(E428:E430)</f>
        <v>0</v>
      </c>
      <c r="F427" s="708">
        <f>SUM(F428:F430)</f>
        <v>0</v>
      </c>
      <c r="G427" s="523" t="str">
        <f t="shared" si="24"/>
        <v/>
      </c>
      <c r="H427" s="467" t="str">
        <f t="shared" si="25"/>
        <v/>
      </c>
      <c r="I427" s="524" t="str">
        <f t="shared" si="27"/>
        <v>否</v>
      </c>
      <c r="J427" s="312" t="str">
        <f t="shared" si="26"/>
        <v>款</v>
      </c>
    </row>
    <row r="428" s="372" customFormat="1" ht="24" hidden="1" customHeight="1" spans="1:10">
      <c r="A428" s="330">
        <v>2050501</v>
      </c>
      <c r="B428" s="379" t="s">
        <v>465</v>
      </c>
      <c r="C428" s="602">
        <v>0</v>
      </c>
      <c r="D428" s="709"/>
      <c r="E428" s="710">
        <v>0</v>
      </c>
      <c r="F428" s="710">
        <v>0</v>
      </c>
      <c r="G428" s="526" t="str">
        <f t="shared" si="24"/>
        <v/>
      </c>
      <c r="H428" s="470" t="str">
        <f t="shared" si="25"/>
        <v/>
      </c>
      <c r="I428" s="524" t="str">
        <f t="shared" si="27"/>
        <v>否</v>
      </c>
      <c r="J428" s="312" t="str">
        <f t="shared" si="26"/>
        <v>项</v>
      </c>
    </row>
    <row r="429" s="372" customFormat="1" ht="24" hidden="1" customHeight="1" spans="1:10">
      <c r="A429" s="330">
        <v>2050502</v>
      </c>
      <c r="B429" s="379" t="s">
        <v>466</v>
      </c>
      <c r="C429" s="602">
        <v>0</v>
      </c>
      <c r="D429" s="709"/>
      <c r="E429" s="710">
        <v>0</v>
      </c>
      <c r="F429" s="710">
        <v>0</v>
      </c>
      <c r="G429" s="526" t="str">
        <f t="shared" si="24"/>
        <v/>
      </c>
      <c r="H429" s="470" t="str">
        <f t="shared" si="25"/>
        <v/>
      </c>
      <c r="I429" s="524" t="str">
        <f t="shared" si="27"/>
        <v>否</v>
      </c>
      <c r="J429" s="312" t="str">
        <f t="shared" si="26"/>
        <v>项</v>
      </c>
    </row>
    <row r="430" s="372" customFormat="1" ht="24" hidden="1" customHeight="1" spans="1:10">
      <c r="A430" s="330">
        <v>2050599</v>
      </c>
      <c r="B430" s="379" t="s">
        <v>467</v>
      </c>
      <c r="C430" s="602">
        <v>0</v>
      </c>
      <c r="D430" s="709"/>
      <c r="E430" s="710">
        <v>0</v>
      </c>
      <c r="F430" s="710">
        <v>0</v>
      </c>
      <c r="G430" s="526" t="str">
        <f t="shared" si="24"/>
        <v/>
      </c>
      <c r="H430" s="470" t="str">
        <f t="shared" si="25"/>
        <v/>
      </c>
      <c r="I430" s="524" t="str">
        <f t="shared" si="27"/>
        <v>否</v>
      </c>
      <c r="J430" s="312" t="str">
        <f t="shared" si="26"/>
        <v>项</v>
      </c>
    </row>
    <row r="431" s="372" customFormat="1" ht="24" hidden="1" customHeight="1" spans="1:10">
      <c r="A431" s="330">
        <v>20506</v>
      </c>
      <c r="B431" s="379" t="s">
        <v>468</v>
      </c>
      <c r="C431" s="601">
        <v>0</v>
      </c>
      <c r="D431" s="708">
        <f>SUM(D432:D434)</f>
        <v>0</v>
      </c>
      <c r="E431" s="708">
        <f>SUM(E432:E434)</f>
        <v>0</v>
      </c>
      <c r="F431" s="708">
        <f>SUM(F432:F434)</f>
        <v>0</v>
      </c>
      <c r="G431" s="523" t="str">
        <f t="shared" si="24"/>
        <v/>
      </c>
      <c r="H431" s="467" t="str">
        <f t="shared" si="25"/>
        <v/>
      </c>
      <c r="I431" s="524" t="str">
        <f t="shared" si="27"/>
        <v>否</v>
      </c>
      <c r="J431" s="312" t="str">
        <f t="shared" si="26"/>
        <v>款</v>
      </c>
    </row>
    <row r="432" s="372" customFormat="1" ht="24" hidden="1" customHeight="1" spans="1:10">
      <c r="A432" s="330">
        <v>2050601</v>
      </c>
      <c r="B432" s="379" t="s">
        <v>469</v>
      </c>
      <c r="C432" s="602">
        <v>0</v>
      </c>
      <c r="D432" s="709"/>
      <c r="E432" s="710">
        <v>0</v>
      </c>
      <c r="F432" s="710">
        <v>0</v>
      </c>
      <c r="G432" s="526" t="str">
        <f t="shared" si="24"/>
        <v/>
      </c>
      <c r="H432" s="470" t="str">
        <f t="shared" si="25"/>
        <v/>
      </c>
      <c r="I432" s="524" t="str">
        <f t="shared" si="27"/>
        <v>否</v>
      </c>
      <c r="J432" s="312" t="str">
        <f t="shared" si="26"/>
        <v>项</v>
      </c>
    </row>
    <row r="433" ht="24" hidden="1" customHeight="1" spans="1:10">
      <c r="A433" s="330">
        <v>2050602</v>
      </c>
      <c r="B433" s="379" t="s">
        <v>470</v>
      </c>
      <c r="C433" s="602">
        <v>0</v>
      </c>
      <c r="D433" s="709"/>
      <c r="E433" s="710">
        <v>0</v>
      </c>
      <c r="F433" s="710">
        <v>0</v>
      </c>
      <c r="G433" s="526" t="str">
        <f t="shared" si="24"/>
        <v/>
      </c>
      <c r="H433" s="470" t="str">
        <f t="shared" si="25"/>
        <v/>
      </c>
      <c r="I433" s="524" t="str">
        <f t="shared" si="27"/>
        <v>否</v>
      </c>
      <c r="J433" s="312" t="str">
        <f t="shared" si="26"/>
        <v>项</v>
      </c>
    </row>
    <row r="434" s="372" customFormat="1" ht="24" hidden="1" customHeight="1" spans="1:10">
      <c r="A434" s="330">
        <v>2050699</v>
      </c>
      <c r="B434" s="379" t="s">
        <v>471</v>
      </c>
      <c r="C434" s="602">
        <v>0</v>
      </c>
      <c r="D434" s="709"/>
      <c r="E434" s="710">
        <v>0</v>
      </c>
      <c r="F434" s="710">
        <v>0</v>
      </c>
      <c r="G434" s="526" t="str">
        <f t="shared" si="24"/>
        <v/>
      </c>
      <c r="H434" s="470" t="str">
        <f t="shared" si="25"/>
        <v/>
      </c>
      <c r="I434" s="524" t="str">
        <f t="shared" si="27"/>
        <v>否</v>
      </c>
      <c r="J434" s="312" t="str">
        <f t="shared" si="26"/>
        <v>项</v>
      </c>
    </row>
    <row r="435" s="372" customFormat="1" ht="24" customHeight="1" spans="1:10">
      <c r="A435" s="330">
        <v>20507</v>
      </c>
      <c r="B435" s="379" t="s">
        <v>472</v>
      </c>
      <c r="C435" s="601">
        <v>1106</v>
      </c>
      <c r="D435" s="708">
        <f>SUM(D436:D438)</f>
        <v>1136</v>
      </c>
      <c r="E435" s="708">
        <f>SUM(E436:E438)</f>
        <v>1136</v>
      </c>
      <c r="F435" s="708">
        <f>SUM(F436:F438)</f>
        <v>2808</v>
      </c>
      <c r="G435" s="523">
        <f t="shared" si="24"/>
        <v>1.53887884267631</v>
      </c>
      <c r="H435" s="467">
        <f t="shared" si="25"/>
        <v>2.47183098591549</v>
      </c>
      <c r="I435" s="524" t="str">
        <f t="shared" si="27"/>
        <v>是</v>
      </c>
      <c r="J435" s="312" t="str">
        <f t="shared" si="26"/>
        <v>款</v>
      </c>
    </row>
    <row r="436" s="372" customFormat="1" ht="24" customHeight="1" spans="1:10">
      <c r="A436" s="330">
        <v>2050701</v>
      </c>
      <c r="B436" s="379" t="s">
        <v>473</v>
      </c>
      <c r="C436" s="602">
        <v>952</v>
      </c>
      <c r="D436" s="709">
        <v>971</v>
      </c>
      <c r="E436" s="710">
        <v>971</v>
      </c>
      <c r="F436" s="710">
        <v>2483</v>
      </c>
      <c r="G436" s="526">
        <f t="shared" si="24"/>
        <v>1.60819327731092</v>
      </c>
      <c r="H436" s="470">
        <f t="shared" si="25"/>
        <v>2.55715756951596</v>
      </c>
      <c r="I436" s="524" t="str">
        <f t="shared" si="27"/>
        <v>是</v>
      </c>
      <c r="J436" s="312" t="str">
        <f t="shared" si="26"/>
        <v>项</v>
      </c>
    </row>
    <row r="437" s="374" customFormat="1" ht="24" customHeight="1" spans="1:10">
      <c r="A437" s="331">
        <v>2050702</v>
      </c>
      <c r="B437" s="327" t="s">
        <v>474</v>
      </c>
      <c r="C437" s="608">
        <v>154</v>
      </c>
      <c r="D437" s="709">
        <v>165</v>
      </c>
      <c r="E437" s="710">
        <v>165</v>
      </c>
      <c r="F437" s="710">
        <v>325</v>
      </c>
      <c r="G437" s="526">
        <f t="shared" si="24"/>
        <v>1.11038961038961</v>
      </c>
      <c r="H437" s="470">
        <f t="shared" si="25"/>
        <v>1.96969696969697</v>
      </c>
      <c r="I437" s="524" t="str">
        <f t="shared" si="27"/>
        <v>是</v>
      </c>
      <c r="J437" s="313" t="str">
        <f t="shared" si="26"/>
        <v>项</v>
      </c>
    </row>
    <row r="438" s="372" customFormat="1" ht="24" hidden="1" customHeight="1" spans="1:10">
      <c r="A438" s="330">
        <v>2050799</v>
      </c>
      <c r="B438" s="379" t="s">
        <v>475</v>
      </c>
      <c r="C438" s="602">
        <v>0</v>
      </c>
      <c r="D438" s="709">
        <v>0</v>
      </c>
      <c r="E438" s="710">
        <v>0</v>
      </c>
      <c r="F438" s="710">
        <v>0</v>
      </c>
      <c r="G438" s="526" t="str">
        <f t="shared" si="24"/>
        <v/>
      </c>
      <c r="H438" s="470" t="str">
        <f t="shared" si="25"/>
        <v/>
      </c>
      <c r="I438" s="524" t="str">
        <f t="shared" si="27"/>
        <v>否</v>
      </c>
      <c r="J438" s="312" t="str">
        <f t="shared" si="26"/>
        <v>项</v>
      </c>
    </row>
    <row r="439" ht="24" customHeight="1" spans="1:10">
      <c r="A439" s="330">
        <v>20508</v>
      </c>
      <c r="B439" s="379" t="s">
        <v>476</v>
      </c>
      <c r="C439" s="601">
        <v>1483</v>
      </c>
      <c r="D439" s="708">
        <f>SUM(D440:D444)</f>
        <v>1493</v>
      </c>
      <c r="E439" s="708">
        <f>SUM(E440:E444)</f>
        <v>1493</v>
      </c>
      <c r="F439" s="708">
        <f>SUM(F440:F444)</f>
        <v>1663</v>
      </c>
      <c r="G439" s="523">
        <f t="shared" si="24"/>
        <v>0.121375590020229</v>
      </c>
      <c r="H439" s="467">
        <f t="shared" si="25"/>
        <v>1.1138647019424</v>
      </c>
      <c r="I439" s="524" t="str">
        <f t="shared" si="27"/>
        <v>是</v>
      </c>
      <c r="J439" s="312" t="str">
        <f t="shared" si="26"/>
        <v>款</v>
      </c>
    </row>
    <row r="440" s="372" customFormat="1" ht="24" customHeight="1" spans="1:10">
      <c r="A440" s="330">
        <v>2050801</v>
      </c>
      <c r="B440" s="379" t="s">
        <v>477</v>
      </c>
      <c r="C440" s="602">
        <v>543</v>
      </c>
      <c r="D440" s="709">
        <v>525</v>
      </c>
      <c r="E440" s="710">
        <v>525</v>
      </c>
      <c r="F440" s="710">
        <v>528</v>
      </c>
      <c r="G440" s="526">
        <f t="shared" si="24"/>
        <v>-0.0276243093922652</v>
      </c>
      <c r="H440" s="470">
        <f t="shared" si="25"/>
        <v>1.00571428571429</v>
      </c>
      <c r="I440" s="524" t="str">
        <f t="shared" si="27"/>
        <v>是</v>
      </c>
      <c r="J440" s="312" t="str">
        <f t="shared" si="26"/>
        <v>项</v>
      </c>
    </row>
    <row r="441" s="372" customFormat="1" ht="24" customHeight="1" spans="1:10">
      <c r="A441" s="330">
        <v>2050802</v>
      </c>
      <c r="B441" s="379" t="s">
        <v>478</v>
      </c>
      <c r="C441" s="602">
        <v>920</v>
      </c>
      <c r="D441" s="709">
        <v>950</v>
      </c>
      <c r="E441" s="710">
        <v>950</v>
      </c>
      <c r="F441" s="710">
        <v>916</v>
      </c>
      <c r="G441" s="526">
        <f t="shared" si="24"/>
        <v>-0.00434782608695652</v>
      </c>
      <c r="H441" s="470">
        <f t="shared" si="25"/>
        <v>0.96421052631579</v>
      </c>
      <c r="I441" s="524" t="str">
        <f t="shared" si="27"/>
        <v>是</v>
      </c>
      <c r="J441" s="312" t="str">
        <f t="shared" si="26"/>
        <v>项</v>
      </c>
    </row>
    <row r="442" s="372" customFormat="1" ht="24" hidden="1" customHeight="1" spans="1:10">
      <c r="A442" s="330">
        <v>2050803</v>
      </c>
      <c r="B442" s="379" t="s">
        <v>479</v>
      </c>
      <c r="C442" s="602">
        <v>0</v>
      </c>
      <c r="D442" s="709">
        <v>0</v>
      </c>
      <c r="E442" s="710">
        <v>0</v>
      </c>
      <c r="F442" s="710">
        <v>0</v>
      </c>
      <c r="G442" s="526" t="str">
        <f t="shared" si="24"/>
        <v/>
      </c>
      <c r="H442" s="470" t="str">
        <f t="shared" si="25"/>
        <v/>
      </c>
      <c r="I442" s="524" t="str">
        <f t="shared" si="27"/>
        <v>否</v>
      </c>
      <c r="J442" s="312" t="str">
        <f t="shared" si="26"/>
        <v>项</v>
      </c>
    </row>
    <row r="443" s="372" customFormat="1" ht="24" hidden="1" customHeight="1" spans="1:10">
      <c r="A443" s="330">
        <v>2050804</v>
      </c>
      <c r="B443" s="379" t="s">
        <v>480</v>
      </c>
      <c r="C443" s="602">
        <v>0</v>
      </c>
      <c r="D443" s="709">
        <v>0</v>
      </c>
      <c r="E443" s="710">
        <v>0</v>
      </c>
      <c r="F443" s="710">
        <v>0</v>
      </c>
      <c r="G443" s="526" t="str">
        <f t="shared" si="24"/>
        <v/>
      </c>
      <c r="H443" s="470" t="str">
        <f t="shared" si="25"/>
        <v/>
      </c>
      <c r="I443" s="524" t="str">
        <f t="shared" si="27"/>
        <v>否</v>
      </c>
      <c r="J443" s="312" t="str">
        <f t="shared" si="26"/>
        <v>项</v>
      </c>
    </row>
    <row r="444" s="372" customFormat="1" ht="24" customHeight="1" spans="1:10">
      <c r="A444" s="330">
        <v>2050899</v>
      </c>
      <c r="B444" s="379" t="s">
        <v>481</v>
      </c>
      <c r="C444" s="602">
        <v>20</v>
      </c>
      <c r="D444" s="709">
        <v>18</v>
      </c>
      <c r="E444" s="710">
        <v>18</v>
      </c>
      <c r="F444" s="710">
        <v>219</v>
      </c>
      <c r="G444" s="526">
        <f t="shared" si="24"/>
        <v>9.95</v>
      </c>
      <c r="H444" s="470">
        <f t="shared" si="25"/>
        <v>12.1666666666667</v>
      </c>
      <c r="I444" s="524" t="str">
        <f t="shared" si="27"/>
        <v>是</v>
      </c>
      <c r="J444" s="312" t="str">
        <f t="shared" si="26"/>
        <v>项</v>
      </c>
    </row>
    <row r="445" ht="24" hidden="1" customHeight="1" spans="1:10">
      <c r="A445" s="330">
        <v>20509</v>
      </c>
      <c r="B445" s="379" t="s">
        <v>482</v>
      </c>
      <c r="C445" s="601">
        <v>0</v>
      </c>
      <c r="D445" s="708">
        <f>SUM(D446:D451)</f>
        <v>0</v>
      </c>
      <c r="E445" s="708">
        <f>SUM(E446:E451)</f>
        <v>0</v>
      </c>
      <c r="F445" s="708">
        <f>SUM(F446:F451)</f>
        <v>0</v>
      </c>
      <c r="G445" s="523" t="str">
        <f t="shared" si="24"/>
        <v/>
      </c>
      <c r="H445" s="467" t="str">
        <f t="shared" si="25"/>
        <v/>
      </c>
      <c r="I445" s="524" t="str">
        <f t="shared" si="27"/>
        <v>否</v>
      </c>
      <c r="J445" s="312" t="str">
        <f t="shared" si="26"/>
        <v>款</v>
      </c>
    </row>
    <row r="446" s="372" customFormat="1" ht="24" hidden="1" customHeight="1" spans="1:10">
      <c r="A446" s="330">
        <v>2050901</v>
      </c>
      <c r="B446" s="379" t="s">
        <v>483</v>
      </c>
      <c r="C446" s="602">
        <v>0</v>
      </c>
      <c r="D446" s="709"/>
      <c r="E446" s="710">
        <v>0</v>
      </c>
      <c r="F446" s="710">
        <v>0</v>
      </c>
      <c r="G446" s="526" t="str">
        <f t="shared" si="24"/>
        <v/>
      </c>
      <c r="H446" s="470" t="str">
        <f t="shared" si="25"/>
        <v/>
      </c>
      <c r="I446" s="524" t="str">
        <f t="shared" si="27"/>
        <v>否</v>
      </c>
      <c r="J446" s="312" t="str">
        <f t="shared" si="26"/>
        <v>项</v>
      </c>
    </row>
    <row r="447" s="372" customFormat="1" ht="24" hidden="1" customHeight="1" spans="1:10">
      <c r="A447" s="330">
        <v>2050902</v>
      </c>
      <c r="B447" s="379" t="s">
        <v>484</v>
      </c>
      <c r="C447" s="602">
        <v>0</v>
      </c>
      <c r="D447" s="709"/>
      <c r="E447" s="710">
        <v>0</v>
      </c>
      <c r="F447" s="710">
        <v>0</v>
      </c>
      <c r="G447" s="526" t="str">
        <f t="shared" si="24"/>
        <v/>
      </c>
      <c r="H447" s="470" t="str">
        <f t="shared" si="25"/>
        <v/>
      </c>
      <c r="I447" s="524" t="str">
        <f t="shared" si="27"/>
        <v>否</v>
      </c>
      <c r="J447" s="312" t="str">
        <f t="shared" si="26"/>
        <v>项</v>
      </c>
    </row>
    <row r="448" s="372" customFormat="1" ht="24" hidden="1" customHeight="1" spans="1:10">
      <c r="A448" s="330">
        <v>2050903</v>
      </c>
      <c r="B448" s="379" t="s">
        <v>485</v>
      </c>
      <c r="C448" s="602">
        <v>0</v>
      </c>
      <c r="D448" s="709"/>
      <c r="E448" s="710">
        <v>0</v>
      </c>
      <c r="F448" s="710">
        <v>0</v>
      </c>
      <c r="G448" s="526" t="str">
        <f t="shared" si="24"/>
        <v/>
      </c>
      <c r="H448" s="470" t="str">
        <f t="shared" si="25"/>
        <v/>
      </c>
      <c r="I448" s="524" t="str">
        <f t="shared" si="27"/>
        <v>否</v>
      </c>
      <c r="J448" s="312" t="str">
        <f t="shared" si="26"/>
        <v>项</v>
      </c>
    </row>
    <row r="449" s="507" customFormat="1" ht="24" hidden="1" customHeight="1" spans="1:10">
      <c r="A449" s="330">
        <v>2050904</v>
      </c>
      <c r="B449" s="379" t="s">
        <v>486</v>
      </c>
      <c r="C449" s="602">
        <v>0</v>
      </c>
      <c r="D449" s="709"/>
      <c r="E449" s="710">
        <v>0</v>
      </c>
      <c r="F449" s="710">
        <v>0</v>
      </c>
      <c r="G449" s="526" t="str">
        <f t="shared" si="24"/>
        <v/>
      </c>
      <c r="H449" s="470" t="str">
        <f t="shared" si="25"/>
        <v/>
      </c>
      <c r="I449" s="524" t="str">
        <f t="shared" si="27"/>
        <v>否</v>
      </c>
      <c r="J449" s="312" t="str">
        <f t="shared" si="26"/>
        <v>项</v>
      </c>
    </row>
    <row r="450" s="372" customFormat="1" ht="24" hidden="1" customHeight="1" spans="1:10">
      <c r="A450" s="330">
        <v>2050905</v>
      </c>
      <c r="B450" s="379" t="s">
        <v>487</v>
      </c>
      <c r="C450" s="602">
        <v>0</v>
      </c>
      <c r="D450" s="709"/>
      <c r="E450" s="710">
        <v>0</v>
      </c>
      <c r="F450" s="710">
        <v>0</v>
      </c>
      <c r="G450" s="526" t="str">
        <f t="shared" si="24"/>
        <v/>
      </c>
      <c r="H450" s="470" t="str">
        <f t="shared" si="25"/>
        <v/>
      </c>
      <c r="I450" s="524" t="str">
        <f t="shared" si="27"/>
        <v>否</v>
      </c>
      <c r="J450" s="312" t="str">
        <f t="shared" si="26"/>
        <v>项</v>
      </c>
    </row>
    <row r="451" s="372" customFormat="1" ht="24" hidden="1" customHeight="1" spans="1:10">
      <c r="A451" s="330">
        <v>2050999</v>
      </c>
      <c r="B451" s="379" t="s">
        <v>488</v>
      </c>
      <c r="C451" s="602">
        <v>0</v>
      </c>
      <c r="D451" s="709"/>
      <c r="E451" s="710">
        <v>0</v>
      </c>
      <c r="F451" s="710">
        <v>0</v>
      </c>
      <c r="G451" s="526" t="str">
        <f t="shared" si="24"/>
        <v/>
      </c>
      <c r="H451" s="470" t="str">
        <f t="shared" si="25"/>
        <v/>
      </c>
      <c r="I451" s="524" t="str">
        <f t="shared" si="27"/>
        <v>否</v>
      </c>
      <c r="J451" s="312" t="str">
        <f t="shared" si="26"/>
        <v>项</v>
      </c>
    </row>
    <row r="452" s="507" customFormat="1" ht="24" customHeight="1" spans="1:10">
      <c r="A452" s="330">
        <v>20599</v>
      </c>
      <c r="B452" s="379" t="s">
        <v>489</v>
      </c>
      <c r="C452" s="601">
        <v>2</v>
      </c>
      <c r="D452" s="708">
        <f>D453</f>
        <v>0</v>
      </c>
      <c r="E452" s="708">
        <f>E453</f>
        <v>0</v>
      </c>
      <c r="F452" s="708">
        <f>F453</f>
        <v>2</v>
      </c>
      <c r="G452" s="523">
        <f t="shared" si="24"/>
        <v>0</v>
      </c>
      <c r="H452" s="467" t="str">
        <f t="shared" si="25"/>
        <v/>
      </c>
      <c r="I452" s="524" t="str">
        <f t="shared" si="27"/>
        <v>是</v>
      </c>
      <c r="J452" s="312" t="str">
        <f t="shared" si="26"/>
        <v>款</v>
      </c>
    </row>
    <row r="453" ht="24" customHeight="1" spans="1:10">
      <c r="A453" s="406">
        <v>2059999</v>
      </c>
      <c r="B453" s="379" t="s">
        <v>490</v>
      </c>
      <c r="C453" s="602">
        <v>2</v>
      </c>
      <c r="D453" s="709"/>
      <c r="E453" s="710">
        <v>0</v>
      </c>
      <c r="F453" s="710">
        <v>2</v>
      </c>
      <c r="G453" s="526">
        <f t="shared" ref="G453:G516" si="28">IFERROR((F453-C453)/C453,"")</f>
        <v>0</v>
      </c>
      <c r="H453" s="470" t="str">
        <f t="shared" ref="H453:H516" si="29">IFERROR(F453/D453,"")</f>
        <v/>
      </c>
      <c r="I453" s="524" t="str">
        <f t="shared" si="27"/>
        <v>是</v>
      </c>
      <c r="J453" s="312" t="str">
        <f t="shared" ref="J453:J516" si="30">IF(LEN(A453)=3,"类",IF(LEN(A453)=5,"款","项"))</f>
        <v>项</v>
      </c>
    </row>
    <row r="454" s="372" customFormat="1" ht="24" customHeight="1" spans="1:10">
      <c r="A454" s="329">
        <v>206</v>
      </c>
      <c r="B454" s="377" t="s">
        <v>180</v>
      </c>
      <c r="C454" s="601">
        <v>2477</v>
      </c>
      <c r="D454" s="708">
        <f>D455+D460+D469+D475+D480+D485+D490+D497+D501+D505</f>
        <v>2553</v>
      </c>
      <c r="E454" s="708">
        <f>E455+E460+E469+E475+E480+E485+E490+E497+E501+E505</f>
        <v>2553</v>
      </c>
      <c r="F454" s="708">
        <f>F455+F460+F469+F475+F480+F485+F490+F497+F501+F505</f>
        <v>3289</v>
      </c>
      <c r="G454" s="523">
        <f t="shared" si="28"/>
        <v>0.327815906338312</v>
      </c>
      <c r="H454" s="467">
        <f t="shared" si="29"/>
        <v>1.28828828828829</v>
      </c>
      <c r="I454" s="524" t="str">
        <f t="shared" ref="I454:I517" si="31">IF(LEN(A454)=3,"是",IF(B454&lt;&gt;"",IF(SUM(C454:F454)&lt;&gt;0,"是","否"),"是"))</f>
        <v>是</v>
      </c>
      <c r="J454" s="312" t="str">
        <f t="shared" si="30"/>
        <v>类</v>
      </c>
    </row>
    <row r="455" s="372" customFormat="1" ht="24" customHeight="1" spans="1:10">
      <c r="A455" s="330">
        <v>20601</v>
      </c>
      <c r="B455" s="379" t="s">
        <v>491</v>
      </c>
      <c r="C455" s="601">
        <v>578</v>
      </c>
      <c r="D455" s="708">
        <f>SUM(D456:D459)</f>
        <v>608</v>
      </c>
      <c r="E455" s="708">
        <f>SUM(E456:E459)</f>
        <v>608</v>
      </c>
      <c r="F455" s="708">
        <f>SUM(F456:F459)</f>
        <v>964</v>
      </c>
      <c r="G455" s="523">
        <f t="shared" si="28"/>
        <v>0.667820069204152</v>
      </c>
      <c r="H455" s="467">
        <f t="shared" si="29"/>
        <v>1.58552631578947</v>
      </c>
      <c r="I455" s="524" t="str">
        <f t="shared" si="31"/>
        <v>是</v>
      </c>
      <c r="J455" s="312" t="str">
        <f t="shared" si="30"/>
        <v>款</v>
      </c>
    </row>
    <row r="456" s="372" customFormat="1" ht="24" customHeight="1" spans="1:10">
      <c r="A456" s="330">
        <v>2060101</v>
      </c>
      <c r="B456" s="379" t="s">
        <v>212</v>
      </c>
      <c r="C456" s="602">
        <v>421</v>
      </c>
      <c r="D456" s="709">
        <v>456</v>
      </c>
      <c r="E456" s="710">
        <v>456</v>
      </c>
      <c r="F456" s="710">
        <v>418</v>
      </c>
      <c r="G456" s="526">
        <f t="shared" si="28"/>
        <v>-0.00712589073634204</v>
      </c>
      <c r="H456" s="470">
        <f t="shared" si="29"/>
        <v>0.916666666666667</v>
      </c>
      <c r="I456" s="524" t="str">
        <f t="shared" si="31"/>
        <v>是</v>
      </c>
      <c r="J456" s="312" t="str">
        <f t="shared" si="30"/>
        <v>项</v>
      </c>
    </row>
    <row r="457" ht="24" hidden="1" customHeight="1" spans="1:10">
      <c r="A457" s="330">
        <v>2060102</v>
      </c>
      <c r="B457" s="379" t="s">
        <v>213</v>
      </c>
      <c r="C457" s="602">
        <v>0</v>
      </c>
      <c r="D457" s="709">
        <v>0</v>
      </c>
      <c r="E457" s="710">
        <v>0</v>
      </c>
      <c r="F457" s="710">
        <v>0</v>
      </c>
      <c r="G457" s="526" t="str">
        <f t="shared" si="28"/>
        <v/>
      </c>
      <c r="H457" s="470" t="str">
        <f t="shared" si="29"/>
        <v/>
      </c>
      <c r="I457" s="524" t="str">
        <f t="shared" si="31"/>
        <v>否</v>
      </c>
      <c r="J457" s="312" t="str">
        <f t="shared" si="30"/>
        <v>项</v>
      </c>
    </row>
    <row r="458" s="372" customFormat="1" ht="24" hidden="1" customHeight="1" spans="1:10">
      <c r="A458" s="330">
        <v>2060103</v>
      </c>
      <c r="B458" s="379" t="s">
        <v>214</v>
      </c>
      <c r="C458" s="602">
        <v>0</v>
      </c>
      <c r="D458" s="709">
        <v>0</v>
      </c>
      <c r="E458" s="710">
        <v>0</v>
      </c>
      <c r="F458" s="710">
        <v>0</v>
      </c>
      <c r="G458" s="526" t="str">
        <f t="shared" si="28"/>
        <v/>
      </c>
      <c r="H458" s="470" t="str">
        <f t="shared" si="29"/>
        <v/>
      </c>
      <c r="I458" s="524" t="str">
        <f t="shared" si="31"/>
        <v>否</v>
      </c>
      <c r="J458" s="312" t="str">
        <f t="shared" si="30"/>
        <v>项</v>
      </c>
    </row>
    <row r="459" s="372" customFormat="1" ht="24" customHeight="1" spans="1:10">
      <c r="A459" s="330">
        <v>2060199</v>
      </c>
      <c r="B459" s="379" t="s">
        <v>492</v>
      </c>
      <c r="C459" s="602">
        <v>157</v>
      </c>
      <c r="D459" s="709">
        <v>152</v>
      </c>
      <c r="E459" s="710">
        <v>152</v>
      </c>
      <c r="F459" s="710">
        <v>546</v>
      </c>
      <c r="G459" s="526">
        <f t="shared" si="28"/>
        <v>2.47770700636943</v>
      </c>
      <c r="H459" s="470">
        <f t="shared" si="29"/>
        <v>3.59210526315789</v>
      </c>
      <c r="I459" s="524" t="str">
        <f t="shared" si="31"/>
        <v>是</v>
      </c>
      <c r="J459" s="312" t="str">
        <f t="shared" si="30"/>
        <v>项</v>
      </c>
    </row>
    <row r="460" s="372" customFormat="1" ht="24" hidden="1" customHeight="1" spans="1:10">
      <c r="A460" s="330">
        <v>20602</v>
      </c>
      <c r="B460" s="379" t="s">
        <v>493</v>
      </c>
      <c r="C460" s="601">
        <v>0</v>
      </c>
      <c r="D460" s="708">
        <f>SUM(D461:D468)</f>
        <v>0</v>
      </c>
      <c r="E460" s="708">
        <f>SUM(E461:E468)</f>
        <v>0</v>
      </c>
      <c r="F460" s="708">
        <f>SUM(F461:F468)</f>
        <v>0</v>
      </c>
      <c r="G460" s="523" t="str">
        <f t="shared" si="28"/>
        <v/>
      </c>
      <c r="H460" s="467" t="str">
        <f t="shared" si="29"/>
        <v/>
      </c>
      <c r="I460" s="524" t="str">
        <f t="shared" si="31"/>
        <v>否</v>
      </c>
      <c r="J460" s="312" t="str">
        <f t="shared" si="30"/>
        <v>款</v>
      </c>
    </row>
    <row r="461" s="372" customFormat="1" ht="24" hidden="1" customHeight="1" spans="1:10">
      <c r="A461" s="330">
        <v>2060201</v>
      </c>
      <c r="B461" s="379" t="s">
        <v>494</v>
      </c>
      <c r="C461" s="602">
        <v>0</v>
      </c>
      <c r="D461" s="709"/>
      <c r="E461" s="710">
        <v>0</v>
      </c>
      <c r="F461" s="710">
        <v>0</v>
      </c>
      <c r="G461" s="526" t="str">
        <f t="shared" si="28"/>
        <v/>
      </c>
      <c r="H461" s="470" t="str">
        <f t="shared" si="29"/>
        <v/>
      </c>
      <c r="I461" s="524" t="str">
        <f t="shared" si="31"/>
        <v>否</v>
      </c>
      <c r="J461" s="312" t="str">
        <f t="shared" si="30"/>
        <v>项</v>
      </c>
    </row>
    <row r="462" s="372" customFormat="1" ht="24" hidden="1" customHeight="1" spans="1:10">
      <c r="A462" s="330">
        <v>2060203</v>
      </c>
      <c r="B462" s="379" t="s">
        <v>495</v>
      </c>
      <c r="C462" s="602">
        <v>0</v>
      </c>
      <c r="D462" s="709"/>
      <c r="E462" s="710">
        <v>0</v>
      </c>
      <c r="F462" s="710">
        <v>0</v>
      </c>
      <c r="G462" s="526" t="str">
        <f t="shared" si="28"/>
        <v/>
      </c>
      <c r="H462" s="470" t="str">
        <f t="shared" si="29"/>
        <v/>
      </c>
      <c r="I462" s="524" t="str">
        <f t="shared" si="31"/>
        <v>否</v>
      </c>
      <c r="J462" s="312" t="str">
        <f t="shared" si="30"/>
        <v>项</v>
      </c>
    </row>
    <row r="463" ht="24" hidden="1" customHeight="1" spans="1:10">
      <c r="A463" s="330">
        <v>2060204</v>
      </c>
      <c r="B463" s="379" t="s">
        <v>496</v>
      </c>
      <c r="C463" s="602">
        <v>0</v>
      </c>
      <c r="D463" s="709"/>
      <c r="E463" s="710">
        <v>0</v>
      </c>
      <c r="F463" s="710">
        <v>0</v>
      </c>
      <c r="G463" s="526" t="str">
        <f t="shared" si="28"/>
        <v/>
      </c>
      <c r="H463" s="470" t="str">
        <f t="shared" si="29"/>
        <v/>
      </c>
      <c r="I463" s="524" t="str">
        <f t="shared" si="31"/>
        <v>否</v>
      </c>
      <c r="J463" s="312" t="str">
        <f t="shared" si="30"/>
        <v>项</v>
      </c>
    </row>
    <row r="464" s="372" customFormat="1" ht="24" hidden="1" customHeight="1" spans="1:10">
      <c r="A464" s="330">
        <v>2060205</v>
      </c>
      <c r="B464" s="379" t="s">
        <v>497</v>
      </c>
      <c r="C464" s="602">
        <v>0</v>
      </c>
      <c r="D464" s="709"/>
      <c r="E464" s="710">
        <v>0</v>
      </c>
      <c r="F464" s="710">
        <v>0</v>
      </c>
      <c r="G464" s="526" t="str">
        <f t="shared" si="28"/>
        <v/>
      </c>
      <c r="H464" s="470" t="str">
        <f t="shared" si="29"/>
        <v/>
      </c>
      <c r="I464" s="524" t="str">
        <f t="shared" si="31"/>
        <v>否</v>
      </c>
      <c r="J464" s="312" t="str">
        <f t="shared" si="30"/>
        <v>项</v>
      </c>
    </row>
    <row r="465" s="372" customFormat="1" ht="24" hidden="1" customHeight="1" spans="1:10">
      <c r="A465" s="330">
        <v>2060206</v>
      </c>
      <c r="B465" s="379" t="s">
        <v>498</v>
      </c>
      <c r="C465" s="602">
        <v>0</v>
      </c>
      <c r="D465" s="709"/>
      <c r="E465" s="710">
        <v>0</v>
      </c>
      <c r="F465" s="710">
        <v>0</v>
      </c>
      <c r="G465" s="526" t="str">
        <f t="shared" si="28"/>
        <v/>
      </c>
      <c r="H465" s="470" t="str">
        <f t="shared" si="29"/>
        <v/>
      </c>
      <c r="I465" s="524" t="str">
        <f t="shared" si="31"/>
        <v>否</v>
      </c>
      <c r="J465" s="312" t="str">
        <f t="shared" si="30"/>
        <v>项</v>
      </c>
    </row>
    <row r="466" s="372" customFormat="1" ht="24" hidden="1" customHeight="1" spans="1:10">
      <c r="A466" s="330">
        <v>2060207</v>
      </c>
      <c r="B466" s="379" t="s">
        <v>499</v>
      </c>
      <c r="C466" s="602">
        <v>0</v>
      </c>
      <c r="D466" s="709"/>
      <c r="E466" s="710">
        <v>0</v>
      </c>
      <c r="F466" s="710">
        <v>0</v>
      </c>
      <c r="G466" s="526" t="str">
        <f t="shared" si="28"/>
        <v/>
      </c>
      <c r="H466" s="470" t="str">
        <f t="shared" si="29"/>
        <v/>
      </c>
      <c r="I466" s="524" t="str">
        <f t="shared" si="31"/>
        <v>否</v>
      </c>
      <c r="J466" s="312" t="str">
        <f t="shared" si="30"/>
        <v>项</v>
      </c>
    </row>
    <row r="467" s="372" customFormat="1" ht="24" hidden="1" customHeight="1" spans="1:10">
      <c r="A467" s="527">
        <v>2060208</v>
      </c>
      <c r="B467" s="534" t="s">
        <v>500</v>
      </c>
      <c r="C467" s="602">
        <v>0</v>
      </c>
      <c r="D467" s="709"/>
      <c r="E467" s="710">
        <v>0</v>
      </c>
      <c r="F467" s="710">
        <v>0</v>
      </c>
      <c r="G467" s="526" t="str">
        <f t="shared" si="28"/>
        <v/>
      </c>
      <c r="H467" s="470" t="str">
        <f t="shared" si="29"/>
        <v/>
      </c>
      <c r="I467" s="524" t="str">
        <f t="shared" si="31"/>
        <v>否</v>
      </c>
      <c r="J467" s="312" t="str">
        <f t="shared" si="30"/>
        <v>项</v>
      </c>
    </row>
    <row r="468" s="372" customFormat="1" ht="24" hidden="1" customHeight="1" spans="1:10">
      <c r="A468" s="330">
        <v>2060299</v>
      </c>
      <c r="B468" s="379" t="s">
        <v>501</v>
      </c>
      <c r="C468" s="602">
        <v>0</v>
      </c>
      <c r="D468" s="709"/>
      <c r="E468" s="710">
        <v>0</v>
      </c>
      <c r="F468" s="710">
        <v>0</v>
      </c>
      <c r="G468" s="526" t="str">
        <f t="shared" si="28"/>
        <v/>
      </c>
      <c r="H468" s="470" t="str">
        <f t="shared" si="29"/>
        <v/>
      </c>
      <c r="I468" s="524" t="str">
        <f t="shared" si="31"/>
        <v>否</v>
      </c>
      <c r="J468" s="312" t="str">
        <f t="shared" si="30"/>
        <v>项</v>
      </c>
    </row>
    <row r="469" s="372" customFormat="1" ht="24" customHeight="1" spans="1:10">
      <c r="A469" s="330">
        <v>20603</v>
      </c>
      <c r="B469" s="379" t="s">
        <v>502</v>
      </c>
      <c r="C469" s="601">
        <v>887</v>
      </c>
      <c r="D469" s="708">
        <f>SUM(D470:D474)</f>
        <v>912</v>
      </c>
      <c r="E469" s="708">
        <f>SUM(E470:E474)</f>
        <v>912</v>
      </c>
      <c r="F469" s="708">
        <f>SUM(F470:F474)</f>
        <v>955</v>
      </c>
      <c r="G469" s="523">
        <f t="shared" si="28"/>
        <v>0.076662908680947</v>
      </c>
      <c r="H469" s="467">
        <f t="shared" si="29"/>
        <v>1.04714912280702</v>
      </c>
      <c r="I469" s="524" t="str">
        <f t="shared" si="31"/>
        <v>是</v>
      </c>
      <c r="J469" s="312" t="str">
        <f t="shared" si="30"/>
        <v>款</v>
      </c>
    </row>
    <row r="470" ht="24" customHeight="1" spans="1:10">
      <c r="A470" s="330">
        <v>2060301</v>
      </c>
      <c r="B470" s="379" t="s">
        <v>494</v>
      </c>
      <c r="C470" s="602">
        <v>877</v>
      </c>
      <c r="D470" s="709">
        <v>902</v>
      </c>
      <c r="E470" s="710">
        <v>902</v>
      </c>
      <c r="F470" s="710">
        <v>955</v>
      </c>
      <c r="G470" s="526">
        <f t="shared" si="28"/>
        <v>0.088939566704675</v>
      </c>
      <c r="H470" s="470">
        <f t="shared" si="29"/>
        <v>1.05875831485588</v>
      </c>
      <c r="I470" s="524" t="str">
        <f t="shared" si="31"/>
        <v>是</v>
      </c>
      <c r="J470" s="312" t="str">
        <f t="shared" si="30"/>
        <v>项</v>
      </c>
    </row>
    <row r="471" s="372" customFormat="1" ht="24" customHeight="1" spans="1:10">
      <c r="A471" s="330">
        <v>2060302</v>
      </c>
      <c r="B471" s="379" t="s">
        <v>503</v>
      </c>
      <c r="C471" s="602">
        <v>10</v>
      </c>
      <c r="D471" s="709">
        <v>10</v>
      </c>
      <c r="E471" s="710">
        <v>10</v>
      </c>
      <c r="F471" s="710">
        <v>0</v>
      </c>
      <c r="G471" s="526">
        <f t="shared" si="28"/>
        <v>-1</v>
      </c>
      <c r="H471" s="470">
        <f t="shared" si="29"/>
        <v>0</v>
      </c>
      <c r="I471" s="524" t="str">
        <f t="shared" si="31"/>
        <v>是</v>
      </c>
      <c r="J471" s="312" t="str">
        <f t="shared" si="30"/>
        <v>项</v>
      </c>
    </row>
    <row r="472" ht="24" hidden="1" customHeight="1" spans="1:10">
      <c r="A472" s="330">
        <v>2060303</v>
      </c>
      <c r="B472" s="379" t="s">
        <v>504</v>
      </c>
      <c r="C472" s="602">
        <v>0</v>
      </c>
      <c r="D472" s="709">
        <v>0</v>
      </c>
      <c r="E472" s="710">
        <v>0</v>
      </c>
      <c r="F472" s="710">
        <v>0</v>
      </c>
      <c r="G472" s="526" t="str">
        <f t="shared" si="28"/>
        <v/>
      </c>
      <c r="H472" s="470" t="str">
        <f t="shared" si="29"/>
        <v/>
      </c>
      <c r="I472" s="524" t="str">
        <f t="shared" si="31"/>
        <v>否</v>
      </c>
      <c r="J472" s="312" t="str">
        <f t="shared" si="30"/>
        <v>项</v>
      </c>
    </row>
    <row r="473" ht="24" hidden="1" customHeight="1" spans="1:10">
      <c r="A473" s="330">
        <v>2060304</v>
      </c>
      <c r="B473" s="379" t="s">
        <v>505</v>
      </c>
      <c r="C473" s="602">
        <v>0</v>
      </c>
      <c r="D473" s="709">
        <v>0</v>
      </c>
      <c r="E473" s="710">
        <v>0</v>
      </c>
      <c r="F473" s="710">
        <v>0</v>
      </c>
      <c r="G473" s="526" t="str">
        <f t="shared" si="28"/>
        <v/>
      </c>
      <c r="H473" s="470" t="str">
        <f t="shared" si="29"/>
        <v/>
      </c>
      <c r="I473" s="524" t="str">
        <f t="shared" si="31"/>
        <v>否</v>
      </c>
      <c r="J473" s="312" t="str">
        <f t="shared" si="30"/>
        <v>项</v>
      </c>
    </row>
    <row r="474" s="372" customFormat="1" ht="24" hidden="1" customHeight="1" spans="1:10">
      <c r="A474" s="330">
        <v>2060399</v>
      </c>
      <c r="B474" s="379" t="s">
        <v>506</v>
      </c>
      <c r="C474" s="602">
        <v>0</v>
      </c>
      <c r="D474" s="709">
        <v>0</v>
      </c>
      <c r="E474" s="710">
        <v>0</v>
      </c>
      <c r="F474" s="710">
        <v>0</v>
      </c>
      <c r="G474" s="526" t="str">
        <f t="shared" si="28"/>
        <v/>
      </c>
      <c r="H474" s="470" t="str">
        <f t="shared" si="29"/>
        <v/>
      </c>
      <c r="I474" s="524" t="str">
        <f t="shared" si="31"/>
        <v>否</v>
      </c>
      <c r="J474" s="312" t="str">
        <f t="shared" si="30"/>
        <v>项</v>
      </c>
    </row>
    <row r="475" s="372" customFormat="1" ht="24" customHeight="1" spans="1:10">
      <c r="A475" s="330">
        <v>20604</v>
      </c>
      <c r="B475" s="379" t="s">
        <v>507</v>
      </c>
      <c r="C475" s="601">
        <v>251</v>
      </c>
      <c r="D475" s="708">
        <f>SUM(D476:D479)</f>
        <v>265</v>
      </c>
      <c r="E475" s="708">
        <f>SUM(E476:E479)</f>
        <v>265</v>
      </c>
      <c r="F475" s="708">
        <f>SUM(F476:F479)</f>
        <v>147</v>
      </c>
      <c r="G475" s="523">
        <f t="shared" si="28"/>
        <v>-0.414342629482072</v>
      </c>
      <c r="H475" s="467">
        <f t="shared" si="29"/>
        <v>0.554716981132075</v>
      </c>
      <c r="I475" s="524" t="str">
        <f t="shared" si="31"/>
        <v>是</v>
      </c>
      <c r="J475" s="312" t="str">
        <f t="shared" si="30"/>
        <v>款</v>
      </c>
    </row>
    <row r="476" s="372" customFormat="1" ht="24" hidden="1" customHeight="1" spans="1:10">
      <c r="A476" s="330">
        <v>2060401</v>
      </c>
      <c r="B476" s="379" t="s">
        <v>494</v>
      </c>
      <c r="C476" s="602">
        <v>0</v>
      </c>
      <c r="D476" s="709">
        <v>0</v>
      </c>
      <c r="E476" s="710">
        <v>0</v>
      </c>
      <c r="F476" s="710">
        <v>0</v>
      </c>
      <c r="G476" s="526" t="str">
        <f t="shared" si="28"/>
        <v/>
      </c>
      <c r="H476" s="470" t="str">
        <f t="shared" si="29"/>
        <v/>
      </c>
      <c r="I476" s="524" t="str">
        <f t="shared" si="31"/>
        <v>否</v>
      </c>
      <c r="J476" s="312" t="str">
        <f t="shared" si="30"/>
        <v>项</v>
      </c>
    </row>
    <row r="477" s="372" customFormat="1" ht="24" customHeight="1" spans="1:10">
      <c r="A477" s="330">
        <v>2060404</v>
      </c>
      <c r="B477" s="379" t="s">
        <v>508</v>
      </c>
      <c r="C477" s="602">
        <v>212</v>
      </c>
      <c r="D477" s="709">
        <v>223</v>
      </c>
      <c r="E477" s="710">
        <v>223</v>
      </c>
      <c r="F477" s="710">
        <v>21</v>
      </c>
      <c r="G477" s="526">
        <f t="shared" si="28"/>
        <v>-0.900943396226415</v>
      </c>
      <c r="H477" s="470">
        <f t="shared" si="29"/>
        <v>0.0941704035874439</v>
      </c>
      <c r="I477" s="524" t="str">
        <f t="shared" si="31"/>
        <v>是</v>
      </c>
      <c r="J477" s="312" t="str">
        <f t="shared" si="30"/>
        <v>项</v>
      </c>
    </row>
    <row r="478" ht="24" customHeight="1" spans="1:10">
      <c r="A478" s="535">
        <v>2060405</v>
      </c>
      <c r="B478" s="379" t="s">
        <v>509</v>
      </c>
      <c r="C478" s="602">
        <v>0</v>
      </c>
      <c r="D478" s="709">
        <v>0</v>
      </c>
      <c r="E478" s="710">
        <v>0</v>
      </c>
      <c r="F478" s="710">
        <v>14</v>
      </c>
      <c r="G478" s="526" t="str">
        <f t="shared" si="28"/>
        <v/>
      </c>
      <c r="H478" s="470" t="str">
        <f t="shared" si="29"/>
        <v/>
      </c>
      <c r="I478" s="524" t="str">
        <f t="shared" si="31"/>
        <v>是</v>
      </c>
      <c r="J478" s="312" t="str">
        <f t="shared" si="30"/>
        <v>项</v>
      </c>
    </row>
    <row r="479" s="372" customFormat="1" ht="24" customHeight="1" spans="1:10">
      <c r="A479" s="330">
        <v>2060499</v>
      </c>
      <c r="B479" s="379" t="s">
        <v>510</v>
      </c>
      <c r="C479" s="602">
        <v>39</v>
      </c>
      <c r="D479" s="709">
        <v>42</v>
      </c>
      <c r="E479" s="710">
        <v>42</v>
      </c>
      <c r="F479" s="710">
        <v>112</v>
      </c>
      <c r="G479" s="526">
        <f t="shared" si="28"/>
        <v>1.87179487179487</v>
      </c>
      <c r="H479" s="470">
        <f t="shared" si="29"/>
        <v>2.66666666666667</v>
      </c>
      <c r="I479" s="524" t="str">
        <f t="shared" si="31"/>
        <v>是</v>
      </c>
      <c r="J479" s="312" t="str">
        <f t="shared" si="30"/>
        <v>项</v>
      </c>
    </row>
    <row r="480" s="372" customFormat="1" ht="24" hidden="1" customHeight="1" spans="1:10">
      <c r="A480" s="330">
        <v>20605</v>
      </c>
      <c r="B480" s="379" t="s">
        <v>511</v>
      </c>
      <c r="C480" s="601">
        <v>0</v>
      </c>
      <c r="D480" s="708">
        <f>SUM(D481:D484)</f>
        <v>0</v>
      </c>
      <c r="E480" s="708">
        <f>SUM(E481:E484)</f>
        <v>0</v>
      </c>
      <c r="F480" s="708">
        <f>SUM(F481:F484)</f>
        <v>0</v>
      </c>
      <c r="G480" s="523" t="str">
        <f t="shared" si="28"/>
        <v/>
      </c>
      <c r="H480" s="467" t="str">
        <f t="shared" si="29"/>
        <v/>
      </c>
      <c r="I480" s="524" t="str">
        <f t="shared" si="31"/>
        <v>否</v>
      </c>
      <c r="J480" s="312" t="str">
        <f t="shared" si="30"/>
        <v>款</v>
      </c>
    </row>
    <row r="481" s="372" customFormat="1" ht="24" hidden="1" customHeight="1" spans="1:10">
      <c r="A481" s="330">
        <v>2060501</v>
      </c>
      <c r="B481" s="379" t="s">
        <v>494</v>
      </c>
      <c r="C481" s="602">
        <v>0</v>
      </c>
      <c r="D481" s="709"/>
      <c r="E481" s="710">
        <v>0</v>
      </c>
      <c r="F481" s="710">
        <v>0</v>
      </c>
      <c r="G481" s="526" t="str">
        <f t="shared" si="28"/>
        <v/>
      </c>
      <c r="H481" s="470" t="str">
        <f t="shared" si="29"/>
        <v/>
      </c>
      <c r="I481" s="524" t="str">
        <f t="shared" si="31"/>
        <v>否</v>
      </c>
      <c r="J481" s="312" t="str">
        <f t="shared" si="30"/>
        <v>项</v>
      </c>
    </row>
    <row r="482" s="372" customFormat="1" ht="24" hidden="1" customHeight="1" spans="1:10">
      <c r="A482" s="330">
        <v>2060502</v>
      </c>
      <c r="B482" s="379" t="s">
        <v>512</v>
      </c>
      <c r="C482" s="602">
        <v>0</v>
      </c>
      <c r="D482" s="709"/>
      <c r="E482" s="710">
        <v>0</v>
      </c>
      <c r="F482" s="710">
        <v>0</v>
      </c>
      <c r="G482" s="526" t="str">
        <f t="shared" si="28"/>
        <v/>
      </c>
      <c r="H482" s="470" t="str">
        <f t="shared" si="29"/>
        <v/>
      </c>
      <c r="I482" s="524" t="str">
        <f t="shared" si="31"/>
        <v>否</v>
      </c>
      <c r="J482" s="312" t="str">
        <f t="shared" si="30"/>
        <v>项</v>
      </c>
    </row>
    <row r="483" s="372" customFormat="1" ht="24" hidden="1" customHeight="1" spans="1:10">
      <c r="A483" s="330">
        <v>2060503</v>
      </c>
      <c r="B483" s="379" t="s">
        <v>513</v>
      </c>
      <c r="C483" s="602">
        <v>0</v>
      </c>
      <c r="D483" s="709"/>
      <c r="E483" s="710">
        <v>0</v>
      </c>
      <c r="F483" s="710">
        <v>0</v>
      </c>
      <c r="G483" s="526" t="str">
        <f t="shared" si="28"/>
        <v/>
      </c>
      <c r="H483" s="470" t="str">
        <f t="shared" si="29"/>
        <v/>
      </c>
      <c r="I483" s="524" t="str">
        <f t="shared" si="31"/>
        <v>否</v>
      </c>
      <c r="J483" s="312" t="str">
        <f t="shared" si="30"/>
        <v>项</v>
      </c>
    </row>
    <row r="484" s="372" customFormat="1" ht="24" hidden="1" customHeight="1" spans="1:10">
      <c r="A484" s="330">
        <v>2060599</v>
      </c>
      <c r="B484" s="379" t="s">
        <v>514</v>
      </c>
      <c r="C484" s="602">
        <v>0</v>
      </c>
      <c r="D484" s="709"/>
      <c r="E484" s="710">
        <v>0</v>
      </c>
      <c r="F484" s="710">
        <v>0</v>
      </c>
      <c r="G484" s="526" t="str">
        <f t="shared" si="28"/>
        <v/>
      </c>
      <c r="H484" s="470" t="str">
        <f t="shared" si="29"/>
        <v/>
      </c>
      <c r="I484" s="524" t="str">
        <f t="shared" si="31"/>
        <v>否</v>
      </c>
      <c r="J484" s="312" t="str">
        <f t="shared" si="30"/>
        <v>项</v>
      </c>
    </row>
    <row r="485" s="372" customFormat="1" ht="24" customHeight="1" spans="1:10">
      <c r="A485" s="330">
        <v>20606</v>
      </c>
      <c r="B485" s="379" t="s">
        <v>515</v>
      </c>
      <c r="C485" s="601">
        <v>318</v>
      </c>
      <c r="D485" s="708">
        <f>SUM(D486:D489)</f>
        <v>326</v>
      </c>
      <c r="E485" s="708">
        <f>SUM(E486:E489)</f>
        <v>326</v>
      </c>
      <c r="F485" s="708">
        <f>SUM(F486:F489)</f>
        <v>249</v>
      </c>
      <c r="G485" s="523">
        <f t="shared" si="28"/>
        <v>-0.216981132075472</v>
      </c>
      <c r="H485" s="467">
        <f t="shared" si="29"/>
        <v>0.763803680981595</v>
      </c>
      <c r="I485" s="524" t="str">
        <f t="shared" si="31"/>
        <v>是</v>
      </c>
      <c r="J485" s="312" t="str">
        <f t="shared" si="30"/>
        <v>款</v>
      </c>
    </row>
    <row r="486" s="372" customFormat="1" ht="24" customHeight="1" spans="1:10">
      <c r="A486" s="330">
        <v>2060601</v>
      </c>
      <c r="B486" s="379" t="s">
        <v>516</v>
      </c>
      <c r="C486" s="602">
        <v>303</v>
      </c>
      <c r="D486" s="709">
        <v>311</v>
      </c>
      <c r="E486" s="710">
        <v>311</v>
      </c>
      <c r="F486" s="710">
        <v>276</v>
      </c>
      <c r="G486" s="526">
        <f t="shared" si="28"/>
        <v>-0.0891089108910891</v>
      </c>
      <c r="H486" s="470">
        <f t="shared" si="29"/>
        <v>0.887459807073955</v>
      </c>
      <c r="I486" s="524" t="str">
        <f t="shared" si="31"/>
        <v>是</v>
      </c>
      <c r="J486" s="312" t="str">
        <f t="shared" si="30"/>
        <v>项</v>
      </c>
    </row>
    <row r="487" ht="24" customHeight="1" spans="1:10">
      <c r="A487" s="330">
        <v>2060602</v>
      </c>
      <c r="B487" s="379" t="s">
        <v>517</v>
      </c>
      <c r="C487" s="602">
        <v>15</v>
      </c>
      <c r="D487" s="709">
        <v>15</v>
      </c>
      <c r="E487" s="710">
        <v>15</v>
      </c>
      <c r="F487" s="710">
        <v>-27</v>
      </c>
      <c r="G487" s="526">
        <f t="shared" si="28"/>
        <v>-2.8</v>
      </c>
      <c r="H487" s="470">
        <f t="shared" si="29"/>
        <v>-1.8</v>
      </c>
      <c r="I487" s="524" t="str">
        <f t="shared" si="31"/>
        <v>是</v>
      </c>
      <c r="J487" s="312" t="str">
        <f t="shared" si="30"/>
        <v>项</v>
      </c>
    </row>
    <row r="488" s="372" customFormat="1" ht="24" hidden="1" customHeight="1" spans="1:10">
      <c r="A488" s="330">
        <v>2060603</v>
      </c>
      <c r="B488" s="379" t="s">
        <v>518</v>
      </c>
      <c r="C488" s="602">
        <v>0</v>
      </c>
      <c r="D488" s="709">
        <v>0</v>
      </c>
      <c r="E488" s="710">
        <v>0</v>
      </c>
      <c r="F488" s="710">
        <v>0</v>
      </c>
      <c r="G488" s="526" t="str">
        <f t="shared" si="28"/>
        <v/>
      </c>
      <c r="H488" s="470" t="str">
        <f t="shared" si="29"/>
        <v/>
      </c>
      <c r="I488" s="524" t="str">
        <f t="shared" si="31"/>
        <v>否</v>
      </c>
      <c r="J488" s="312" t="str">
        <f t="shared" si="30"/>
        <v>项</v>
      </c>
    </row>
    <row r="489" s="372" customFormat="1" ht="24" hidden="1" customHeight="1" spans="1:10">
      <c r="A489" s="330">
        <v>2060699</v>
      </c>
      <c r="B489" s="379" t="s">
        <v>519</v>
      </c>
      <c r="C489" s="602">
        <v>0</v>
      </c>
      <c r="D489" s="709">
        <v>0</v>
      </c>
      <c r="E489" s="710">
        <v>0</v>
      </c>
      <c r="F489" s="710">
        <v>0</v>
      </c>
      <c r="G489" s="526" t="str">
        <f t="shared" si="28"/>
        <v/>
      </c>
      <c r="H489" s="470" t="str">
        <f t="shared" si="29"/>
        <v/>
      </c>
      <c r="I489" s="524" t="str">
        <f t="shared" si="31"/>
        <v>否</v>
      </c>
      <c r="J489" s="312" t="str">
        <f t="shared" si="30"/>
        <v>项</v>
      </c>
    </row>
    <row r="490" s="372" customFormat="1" ht="24" customHeight="1" spans="1:10">
      <c r="A490" s="330">
        <v>20607</v>
      </c>
      <c r="B490" s="379" t="s">
        <v>520</v>
      </c>
      <c r="C490" s="601">
        <v>350</v>
      </c>
      <c r="D490" s="708">
        <f>SUM(D491:D496)</f>
        <v>375</v>
      </c>
      <c r="E490" s="708">
        <f>SUM(E491:E496)</f>
        <v>375</v>
      </c>
      <c r="F490" s="708">
        <f>SUM(F491:F496)</f>
        <v>660</v>
      </c>
      <c r="G490" s="523">
        <f t="shared" si="28"/>
        <v>0.885714285714286</v>
      </c>
      <c r="H490" s="467">
        <f t="shared" si="29"/>
        <v>1.76</v>
      </c>
      <c r="I490" s="524" t="str">
        <f t="shared" si="31"/>
        <v>是</v>
      </c>
      <c r="J490" s="312" t="str">
        <f t="shared" si="30"/>
        <v>款</v>
      </c>
    </row>
    <row r="491" s="372" customFormat="1" ht="24" customHeight="1" spans="1:10">
      <c r="A491" s="330">
        <v>2060701</v>
      </c>
      <c r="B491" s="379" t="s">
        <v>494</v>
      </c>
      <c r="C491" s="602">
        <v>194</v>
      </c>
      <c r="D491" s="709">
        <v>205</v>
      </c>
      <c r="E491" s="710">
        <v>205</v>
      </c>
      <c r="F491" s="710">
        <v>204</v>
      </c>
      <c r="G491" s="526">
        <f t="shared" si="28"/>
        <v>0.0515463917525773</v>
      </c>
      <c r="H491" s="470">
        <f t="shared" si="29"/>
        <v>0.995121951219512</v>
      </c>
      <c r="I491" s="524" t="str">
        <f t="shared" si="31"/>
        <v>是</v>
      </c>
      <c r="J491" s="312" t="str">
        <f t="shared" si="30"/>
        <v>项</v>
      </c>
    </row>
    <row r="492" s="372" customFormat="1" ht="24" customHeight="1" spans="1:10">
      <c r="A492" s="330">
        <v>2060702</v>
      </c>
      <c r="B492" s="379" t="s">
        <v>521</v>
      </c>
      <c r="C492" s="602">
        <v>50</v>
      </c>
      <c r="D492" s="709">
        <v>53</v>
      </c>
      <c r="E492" s="710">
        <v>53</v>
      </c>
      <c r="F492" s="710">
        <v>164</v>
      </c>
      <c r="G492" s="526">
        <f t="shared" si="28"/>
        <v>2.28</v>
      </c>
      <c r="H492" s="470">
        <f t="shared" si="29"/>
        <v>3.09433962264151</v>
      </c>
      <c r="I492" s="524" t="str">
        <f t="shared" si="31"/>
        <v>是</v>
      </c>
      <c r="J492" s="312" t="str">
        <f t="shared" si="30"/>
        <v>项</v>
      </c>
    </row>
    <row r="493" ht="24" hidden="1" customHeight="1" spans="1:10">
      <c r="A493" s="330">
        <v>2060703</v>
      </c>
      <c r="B493" s="379" t="s">
        <v>522</v>
      </c>
      <c r="C493" s="602">
        <v>0</v>
      </c>
      <c r="D493" s="709">
        <v>0</v>
      </c>
      <c r="E493" s="710">
        <v>0</v>
      </c>
      <c r="F493" s="710">
        <v>0</v>
      </c>
      <c r="G493" s="526" t="str">
        <f t="shared" si="28"/>
        <v/>
      </c>
      <c r="H493" s="470" t="str">
        <f t="shared" si="29"/>
        <v/>
      </c>
      <c r="I493" s="524" t="str">
        <f t="shared" si="31"/>
        <v>否</v>
      </c>
      <c r="J493" s="312" t="str">
        <f t="shared" si="30"/>
        <v>项</v>
      </c>
    </row>
    <row r="494" s="372" customFormat="1" ht="24" hidden="1" customHeight="1" spans="1:10">
      <c r="A494" s="330">
        <v>2060704</v>
      </c>
      <c r="B494" s="379" t="s">
        <v>523</v>
      </c>
      <c r="C494" s="602">
        <v>0</v>
      </c>
      <c r="D494" s="709">
        <v>0</v>
      </c>
      <c r="E494" s="710">
        <v>0</v>
      </c>
      <c r="F494" s="710">
        <v>0</v>
      </c>
      <c r="G494" s="526" t="str">
        <f t="shared" si="28"/>
        <v/>
      </c>
      <c r="H494" s="470" t="str">
        <f t="shared" si="29"/>
        <v/>
      </c>
      <c r="I494" s="524" t="str">
        <f t="shared" si="31"/>
        <v>否</v>
      </c>
      <c r="J494" s="312" t="str">
        <f t="shared" si="30"/>
        <v>项</v>
      </c>
    </row>
    <row r="495" s="372" customFormat="1" ht="24" customHeight="1" spans="1:10">
      <c r="A495" s="330">
        <v>2060705</v>
      </c>
      <c r="B495" s="379" t="s">
        <v>524</v>
      </c>
      <c r="C495" s="602">
        <v>57</v>
      </c>
      <c r="D495" s="709">
        <v>65</v>
      </c>
      <c r="E495" s="710">
        <v>65</v>
      </c>
      <c r="F495" s="710">
        <v>143</v>
      </c>
      <c r="G495" s="526">
        <f t="shared" si="28"/>
        <v>1.50877192982456</v>
      </c>
      <c r="H495" s="470">
        <f t="shared" si="29"/>
        <v>2.2</v>
      </c>
      <c r="I495" s="524" t="str">
        <f t="shared" si="31"/>
        <v>是</v>
      </c>
      <c r="J495" s="312" t="str">
        <f t="shared" si="30"/>
        <v>项</v>
      </c>
    </row>
    <row r="496" s="372" customFormat="1" ht="24" customHeight="1" spans="1:10">
      <c r="A496" s="330">
        <v>2060799</v>
      </c>
      <c r="B496" s="379" t="s">
        <v>525</v>
      </c>
      <c r="C496" s="602">
        <v>49</v>
      </c>
      <c r="D496" s="709">
        <v>52</v>
      </c>
      <c r="E496" s="710">
        <v>52</v>
      </c>
      <c r="F496" s="710">
        <v>149</v>
      </c>
      <c r="G496" s="526">
        <f t="shared" si="28"/>
        <v>2.04081632653061</v>
      </c>
      <c r="H496" s="470">
        <f t="shared" si="29"/>
        <v>2.86538461538462</v>
      </c>
      <c r="I496" s="524" t="str">
        <f t="shared" si="31"/>
        <v>是</v>
      </c>
      <c r="J496" s="312" t="str">
        <f t="shared" si="30"/>
        <v>项</v>
      </c>
    </row>
    <row r="497" s="372" customFormat="1" ht="24" hidden="1" customHeight="1" spans="1:10">
      <c r="A497" s="330">
        <v>20608</v>
      </c>
      <c r="B497" s="379" t="s">
        <v>526</v>
      </c>
      <c r="C497" s="601">
        <v>0</v>
      </c>
      <c r="D497" s="708">
        <f>SUM(D498:D500)</f>
        <v>0</v>
      </c>
      <c r="E497" s="708">
        <f>SUM(E498:E500)</f>
        <v>0</v>
      </c>
      <c r="F497" s="708">
        <f>SUM(F498:F500)</f>
        <v>0</v>
      </c>
      <c r="G497" s="523" t="str">
        <f t="shared" si="28"/>
        <v/>
      </c>
      <c r="H497" s="467" t="str">
        <f t="shared" si="29"/>
        <v/>
      </c>
      <c r="I497" s="524" t="str">
        <f t="shared" si="31"/>
        <v>否</v>
      </c>
      <c r="J497" s="312" t="str">
        <f t="shared" si="30"/>
        <v>款</v>
      </c>
    </row>
    <row r="498" ht="24" hidden="1" customHeight="1" spans="1:10">
      <c r="A498" s="330">
        <v>2060801</v>
      </c>
      <c r="B498" s="379" t="s">
        <v>527</v>
      </c>
      <c r="C498" s="602">
        <v>0</v>
      </c>
      <c r="D498" s="709"/>
      <c r="E498" s="710">
        <v>0</v>
      </c>
      <c r="F498" s="710">
        <v>0</v>
      </c>
      <c r="G498" s="526" t="str">
        <f t="shared" si="28"/>
        <v/>
      </c>
      <c r="H498" s="470" t="str">
        <f t="shared" si="29"/>
        <v/>
      </c>
      <c r="I498" s="524" t="str">
        <f t="shared" si="31"/>
        <v>否</v>
      </c>
      <c r="J498" s="312" t="str">
        <f t="shared" si="30"/>
        <v>项</v>
      </c>
    </row>
    <row r="499" s="372" customFormat="1" ht="24" hidden="1" customHeight="1" spans="1:10">
      <c r="A499" s="330">
        <v>2060802</v>
      </c>
      <c r="B499" s="379" t="s">
        <v>528</v>
      </c>
      <c r="C499" s="602">
        <v>0</v>
      </c>
      <c r="D499" s="709"/>
      <c r="E499" s="710">
        <v>0</v>
      </c>
      <c r="F499" s="710">
        <v>0</v>
      </c>
      <c r="G499" s="526" t="str">
        <f t="shared" si="28"/>
        <v/>
      </c>
      <c r="H499" s="470" t="str">
        <f t="shared" si="29"/>
        <v/>
      </c>
      <c r="I499" s="524" t="str">
        <f t="shared" si="31"/>
        <v>否</v>
      </c>
      <c r="J499" s="312" t="str">
        <f t="shared" si="30"/>
        <v>项</v>
      </c>
    </row>
    <row r="500" s="372" customFormat="1" ht="24" hidden="1" customHeight="1" spans="1:10">
      <c r="A500" s="330">
        <v>2060899</v>
      </c>
      <c r="B500" s="379" t="s">
        <v>529</v>
      </c>
      <c r="C500" s="602">
        <v>0</v>
      </c>
      <c r="D500" s="709"/>
      <c r="E500" s="710">
        <v>0</v>
      </c>
      <c r="F500" s="710">
        <v>0</v>
      </c>
      <c r="G500" s="526" t="str">
        <f t="shared" si="28"/>
        <v/>
      </c>
      <c r="H500" s="470" t="str">
        <f t="shared" si="29"/>
        <v/>
      </c>
      <c r="I500" s="524" t="str">
        <f t="shared" si="31"/>
        <v>否</v>
      </c>
      <c r="J500" s="312" t="str">
        <f t="shared" si="30"/>
        <v>项</v>
      </c>
    </row>
    <row r="501" s="372" customFormat="1" ht="24" customHeight="1" spans="1:10">
      <c r="A501" s="330">
        <v>20609</v>
      </c>
      <c r="B501" s="379" t="s">
        <v>530</v>
      </c>
      <c r="C501" s="601">
        <v>0</v>
      </c>
      <c r="D501" s="708">
        <f>SUM(D502:D504)</f>
        <v>0</v>
      </c>
      <c r="E501" s="708">
        <f>SUM(E502:E504)</f>
        <v>0</v>
      </c>
      <c r="F501" s="708">
        <f>SUM(F502:F504)</f>
        <v>26</v>
      </c>
      <c r="G501" s="523" t="str">
        <f t="shared" si="28"/>
        <v/>
      </c>
      <c r="H501" s="467" t="str">
        <f t="shared" si="29"/>
        <v/>
      </c>
      <c r="I501" s="524" t="str">
        <f t="shared" si="31"/>
        <v>是</v>
      </c>
      <c r="J501" s="312" t="str">
        <f t="shared" si="30"/>
        <v>款</v>
      </c>
    </row>
    <row r="502" s="372" customFormat="1" ht="24" hidden="1" customHeight="1" spans="1:10">
      <c r="A502" s="330">
        <v>2060901</v>
      </c>
      <c r="B502" s="379" t="s">
        <v>531</v>
      </c>
      <c r="C502" s="602">
        <v>0</v>
      </c>
      <c r="D502" s="709"/>
      <c r="E502" s="710">
        <v>0</v>
      </c>
      <c r="F502" s="710">
        <v>0</v>
      </c>
      <c r="G502" s="526" t="str">
        <f t="shared" si="28"/>
        <v/>
      </c>
      <c r="H502" s="470" t="str">
        <f t="shared" si="29"/>
        <v/>
      </c>
      <c r="I502" s="524" t="str">
        <f t="shared" si="31"/>
        <v>否</v>
      </c>
      <c r="J502" s="312" t="str">
        <f t="shared" si="30"/>
        <v>项</v>
      </c>
    </row>
    <row r="503" ht="24" customHeight="1" spans="1:10">
      <c r="A503" s="330">
        <v>2060902</v>
      </c>
      <c r="B503" s="379" t="s">
        <v>532</v>
      </c>
      <c r="C503" s="602">
        <v>0</v>
      </c>
      <c r="D503" s="709"/>
      <c r="E503" s="710">
        <v>0</v>
      </c>
      <c r="F503" s="710">
        <v>25</v>
      </c>
      <c r="G503" s="526" t="str">
        <f t="shared" si="28"/>
        <v/>
      </c>
      <c r="H503" s="470" t="str">
        <f t="shared" si="29"/>
        <v/>
      </c>
      <c r="I503" s="524" t="str">
        <f t="shared" si="31"/>
        <v>是</v>
      </c>
      <c r="J503" s="312" t="str">
        <f t="shared" si="30"/>
        <v>项</v>
      </c>
    </row>
    <row r="504" s="372" customFormat="1" ht="24" customHeight="1" spans="1:10">
      <c r="A504" s="330">
        <v>2060999</v>
      </c>
      <c r="B504" s="379" t="s">
        <v>533</v>
      </c>
      <c r="C504" s="602">
        <v>0</v>
      </c>
      <c r="D504" s="709"/>
      <c r="E504" s="710">
        <v>0</v>
      </c>
      <c r="F504" s="710">
        <v>1</v>
      </c>
      <c r="G504" s="526" t="str">
        <f t="shared" si="28"/>
        <v/>
      </c>
      <c r="H504" s="470" t="str">
        <f t="shared" si="29"/>
        <v/>
      </c>
      <c r="I504" s="524" t="str">
        <f t="shared" si="31"/>
        <v>是</v>
      </c>
      <c r="J504" s="312" t="str">
        <f t="shared" si="30"/>
        <v>项</v>
      </c>
    </row>
    <row r="505" s="372" customFormat="1" ht="24" customHeight="1" spans="1:10">
      <c r="A505" s="330">
        <v>20699</v>
      </c>
      <c r="B505" s="379" t="s">
        <v>534</v>
      </c>
      <c r="C505" s="601">
        <v>93</v>
      </c>
      <c r="D505" s="708">
        <f>SUM(D506:D509)</f>
        <v>67</v>
      </c>
      <c r="E505" s="708">
        <f>SUM(E506:E509)</f>
        <v>67</v>
      </c>
      <c r="F505" s="708">
        <f>SUM(F506:F509)</f>
        <v>288</v>
      </c>
      <c r="G505" s="523">
        <f t="shared" si="28"/>
        <v>2.09677419354839</v>
      </c>
      <c r="H505" s="467">
        <f t="shared" si="29"/>
        <v>4.29850746268657</v>
      </c>
      <c r="I505" s="524" t="str">
        <f t="shared" si="31"/>
        <v>是</v>
      </c>
      <c r="J505" s="312" t="str">
        <f t="shared" si="30"/>
        <v>款</v>
      </c>
    </row>
    <row r="506" s="372" customFormat="1" ht="24" customHeight="1" spans="1:10">
      <c r="A506" s="330">
        <v>2069901</v>
      </c>
      <c r="B506" s="379" t="s">
        <v>535</v>
      </c>
      <c r="C506" s="602">
        <v>3</v>
      </c>
      <c r="D506" s="709">
        <v>0</v>
      </c>
      <c r="E506" s="710">
        <v>0</v>
      </c>
      <c r="F506" s="710">
        <v>5</v>
      </c>
      <c r="G506" s="526">
        <f t="shared" si="28"/>
        <v>0.666666666666667</v>
      </c>
      <c r="H506" s="470" t="str">
        <f t="shared" si="29"/>
        <v/>
      </c>
      <c r="I506" s="524" t="str">
        <f t="shared" si="31"/>
        <v>是</v>
      </c>
      <c r="J506" s="312" t="str">
        <f t="shared" si="30"/>
        <v>项</v>
      </c>
    </row>
    <row r="507" s="372" customFormat="1" ht="24" hidden="1" customHeight="1" spans="1:10">
      <c r="A507" s="330">
        <v>2069902</v>
      </c>
      <c r="B507" s="379" t="s">
        <v>536</v>
      </c>
      <c r="C507" s="602">
        <v>0</v>
      </c>
      <c r="D507" s="709">
        <v>0</v>
      </c>
      <c r="E507" s="710">
        <v>0</v>
      </c>
      <c r="F507" s="710">
        <v>0</v>
      </c>
      <c r="G507" s="526" t="str">
        <f t="shared" si="28"/>
        <v/>
      </c>
      <c r="H507" s="470" t="str">
        <f t="shared" si="29"/>
        <v/>
      </c>
      <c r="I507" s="524" t="str">
        <f t="shared" si="31"/>
        <v>否</v>
      </c>
      <c r="J507" s="312" t="str">
        <f t="shared" si="30"/>
        <v>项</v>
      </c>
    </row>
    <row r="508" ht="24" hidden="1" customHeight="1" spans="1:10">
      <c r="A508" s="330">
        <v>2069903</v>
      </c>
      <c r="B508" s="379" t="s">
        <v>537</v>
      </c>
      <c r="C508" s="602">
        <v>0</v>
      </c>
      <c r="D508" s="709">
        <v>0</v>
      </c>
      <c r="E508" s="710">
        <v>0</v>
      </c>
      <c r="F508" s="710">
        <v>0</v>
      </c>
      <c r="G508" s="526" t="str">
        <f t="shared" si="28"/>
        <v/>
      </c>
      <c r="H508" s="470" t="str">
        <f t="shared" si="29"/>
        <v/>
      </c>
      <c r="I508" s="524" t="str">
        <f t="shared" si="31"/>
        <v>否</v>
      </c>
      <c r="J508" s="312" t="str">
        <f t="shared" si="30"/>
        <v>项</v>
      </c>
    </row>
    <row r="509" s="372" customFormat="1" ht="24" customHeight="1" spans="1:10">
      <c r="A509" s="330">
        <v>2069999</v>
      </c>
      <c r="B509" s="379" t="s">
        <v>538</v>
      </c>
      <c r="C509" s="602">
        <v>90</v>
      </c>
      <c r="D509" s="709">
        <v>67</v>
      </c>
      <c r="E509" s="710">
        <v>67</v>
      </c>
      <c r="F509" s="710">
        <v>283</v>
      </c>
      <c r="G509" s="526">
        <f t="shared" si="28"/>
        <v>2.14444444444444</v>
      </c>
      <c r="H509" s="470">
        <f t="shared" si="29"/>
        <v>4.22388059701493</v>
      </c>
      <c r="I509" s="524" t="str">
        <f t="shared" si="31"/>
        <v>是</v>
      </c>
      <c r="J509" s="312" t="str">
        <f t="shared" si="30"/>
        <v>项</v>
      </c>
    </row>
    <row r="510" s="372" customFormat="1" ht="24" customHeight="1" spans="1:10">
      <c r="A510" s="329">
        <v>207</v>
      </c>
      <c r="B510" s="377" t="s">
        <v>181</v>
      </c>
      <c r="C510" s="601">
        <v>12275</v>
      </c>
      <c r="D510" s="708">
        <f>D511+D527+D535+D546+D555+D563</f>
        <v>12540</v>
      </c>
      <c r="E510" s="708">
        <f>E511+E527+E535+E546+E555+E563</f>
        <v>12638</v>
      </c>
      <c r="F510" s="708">
        <f>F511+F527+F535+F546+F555+F563</f>
        <v>11167</v>
      </c>
      <c r="G510" s="523">
        <f t="shared" si="28"/>
        <v>-0.090264765784114</v>
      </c>
      <c r="H510" s="467">
        <f t="shared" si="29"/>
        <v>0.890510366826156</v>
      </c>
      <c r="I510" s="524" t="str">
        <f t="shared" si="31"/>
        <v>是</v>
      </c>
      <c r="J510" s="312" t="str">
        <f t="shared" si="30"/>
        <v>类</v>
      </c>
    </row>
    <row r="511" s="372" customFormat="1" ht="24" customHeight="1" spans="1:10">
      <c r="A511" s="330">
        <v>20701</v>
      </c>
      <c r="B511" s="379" t="s">
        <v>539</v>
      </c>
      <c r="C511" s="601">
        <v>5014</v>
      </c>
      <c r="D511" s="708">
        <f>SUM(D512:D526)</f>
        <v>5068</v>
      </c>
      <c r="E511" s="708">
        <f>SUM(E512:E526)</f>
        <v>5166</v>
      </c>
      <c r="F511" s="708">
        <f>SUM(F512:F526)</f>
        <v>6421</v>
      </c>
      <c r="G511" s="523">
        <f t="shared" si="28"/>
        <v>0.280614280015955</v>
      </c>
      <c r="H511" s="467">
        <f t="shared" si="29"/>
        <v>1.26696921862668</v>
      </c>
      <c r="I511" s="524" t="str">
        <f t="shared" si="31"/>
        <v>是</v>
      </c>
      <c r="J511" s="312" t="str">
        <f t="shared" si="30"/>
        <v>款</v>
      </c>
    </row>
    <row r="512" s="372" customFormat="1" ht="24" customHeight="1" spans="1:10">
      <c r="A512" s="330">
        <v>2070101</v>
      </c>
      <c r="B512" s="379" t="s">
        <v>212</v>
      </c>
      <c r="C512" s="602">
        <v>590</v>
      </c>
      <c r="D512" s="709">
        <v>645</v>
      </c>
      <c r="E512" s="710">
        <v>645</v>
      </c>
      <c r="F512" s="710">
        <v>600</v>
      </c>
      <c r="G512" s="526">
        <f t="shared" si="28"/>
        <v>0.0169491525423729</v>
      </c>
      <c r="H512" s="470">
        <f t="shared" si="29"/>
        <v>0.930232558139535</v>
      </c>
      <c r="I512" s="524" t="str">
        <f t="shared" si="31"/>
        <v>是</v>
      </c>
      <c r="J512" s="312" t="str">
        <f t="shared" si="30"/>
        <v>项</v>
      </c>
    </row>
    <row r="513" s="372" customFormat="1" ht="24" customHeight="1" spans="1:10">
      <c r="A513" s="330">
        <v>2070102</v>
      </c>
      <c r="B513" s="379" t="s">
        <v>213</v>
      </c>
      <c r="C513" s="602">
        <v>32</v>
      </c>
      <c r="D513" s="709">
        <v>35</v>
      </c>
      <c r="E513" s="710">
        <v>35</v>
      </c>
      <c r="F513" s="710">
        <v>56</v>
      </c>
      <c r="G513" s="526">
        <f t="shared" si="28"/>
        <v>0.75</v>
      </c>
      <c r="H513" s="470">
        <f t="shared" si="29"/>
        <v>1.6</v>
      </c>
      <c r="I513" s="524" t="str">
        <f t="shared" si="31"/>
        <v>是</v>
      </c>
      <c r="J513" s="312" t="str">
        <f t="shared" si="30"/>
        <v>项</v>
      </c>
    </row>
    <row r="514" s="372" customFormat="1" ht="24" hidden="1" customHeight="1" spans="1:10">
      <c r="A514" s="330">
        <v>2070103</v>
      </c>
      <c r="B514" s="379" t="s">
        <v>214</v>
      </c>
      <c r="C514" s="602">
        <v>0</v>
      </c>
      <c r="D514" s="709">
        <v>0</v>
      </c>
      <c r="E514" s="710">
        <v>0</v>
      </c>
      <c r="F514" s="710">
        <v>0</v>
      </c>
      <c r="G514" s="526" t="str">
        <f t="shared" si="28"/>
        <v/>
      </c>
      <c r="H514" s="470" t="str">
        <f t="shared" si="29"/>
        <v/>
      </c>
      <c r="I514" s="524" t="str">
        <f t="shared" si="31"/>
        <v>否</v>
      </c>
      <c r="J514" s="312" t="str">
        <f t="shared" si="30"/>
        <v>项</v>
      </c>
    </row>
    <row r="515" ht="24" customHeight="1" spans="1:10">
      <c r="A515" s="330">
        <v>2070104</v>
      </c>
      <c r="B515" s="379" t="s">
        <v>540</v>
      </c>
      <c r="C515" s="602">
        <v>483</v>
      </c>
      <c r="D515" s="709">
        <v>513</v>
      </c>
      <c r="E515" s="710">
        <v>513</v>
      </c>
      <c r="F515" s="710">
        <v>692</v>
      </c>
      <c r="G515" s="526">
        <f t="shared" si="28"/>
        <v>0.432712215320911</v>
      </c>
      <c r="H515" s="470">
        <f t="shared" si="29"/>
        <v>1.34892787524366</v>
      </c>
      <c r="I515" s="524" t="str">
        <f t="shared" si="31"/>
        <v>是</v>
      </c>
      <c r="J515" s="312" t="str">
        <f t="shared" si="30"/>
        <v>项</v>
      </c>
    </row>
    <row r="516" s="372" customFormat="1" ht="24" hidden="1" customHeight="1" spans="1:10">
      <c r="A516" s="330">
        <v>2070105</v>
      </c>
      <c r="B516" s="379" t="s">
        <v>541</v>
      </c>
      <c r="C516" s="602">
        <v>0</v>
      </c>
      <c r="D516" s="709">
        <v>0</v>
      </c>
      <c r="E516" s="710">
        <v>0</v>
      </c>
      <c r="F516" s="710">
        <v>0</v>
      </c>
      <c r="G516" s="526" t="str">
        <f t="shared" si="28"/>
        <v/>
      </c>
      <c r="H516" s="470" t="str">
        <f t="shared" si="29"/>
        <v/>
      </c>
      <c r="I516" s="524" t="str">
        <f t="shared" si="31"/>
        <v>否</v>
      </c>
      <c r="J516" s="312" t="str">
        <f t="shared" si="30"/>
        <v>项</v>
      </c>
    </row>
    <row r="517" s="372" customFormat="1" ht="24" hidden="1" customHeight="1" spans="1:10">
      <c r="A517" s="330">
        <v>2070106</v>
      </c>
      <c r="B517" s="379" t="s">
        <v>542</v>
      </c>
      <c r="C517" s="602">
        <v>0</v>
      </c>
      <c r="D517" s="709">
        <v>0</v>
      </c>
      <c r="E517" s="710">
        <v>0</v>
      </c>
      <c r="F517" s="710">
        <v>0</v>
      </c>
      <c r="G517" s="526" t="str">
        <f t="shared" ref="G517:G580" si="32">IFERROR((F517-C517)/C517,"")</f>
        <v/>
      </c>
      <c r="H517" s="470" t="str">
        <f t="shared" ref="H517:H580" si="33">IFERROR(F517/D517,"")</f>
        <v/>
      </c>
      <c r="I517" s="524" t="str">
        <f t="shared" si="31"/>
        <v>否</v>
      </c>
      <c r="J517" s="312" t="str">
        <f t="shared" ref="J517:J580" si="34">IF(LEN(A517)=3,"类",IF(LEN(A517)=5,"款","项"))</f>
        <v>项</v>
      </c>
    </row>
    <row r="518" s="372" customFormat="1" ht="24" hidden="1" customHeight="1" spans="1:10">
      <c r="A518" s="330">
        <v>2070107</v>
      </c>
      <c r="B518" s="379" t="s">
        <v>543</v>
      </c>
      <c r="C518" s="602">
        <v>0</v>
      </c>
      <c r="D518" s="709">
        <v>0</v>
      </c>
      <c r="E518" s="710">
        <v>0</v>
      </c>
      <c r="F518" s="710">
        <v>0</v>
      </c>
      <c r="G518" s="526" t="str">
        <f t="shared" si="32"/>
        <v/>
      </c>
      <c r="H518" s="470" t="str">
        <f t="shared" si="33"/>
        <v/>
      </c>
      <c r="I518" s="524" t="str">
        <f t="shared" ref="I518:I581" si="35">IF(LEN(A518)=3,"是",IF(B518&lt;&gt;"",IF(SUM(C518:F518)&lt;&gt;0,"是","否"),"是"))</f>
        <v>否</v>
      </c>
      <c r="J518" s="312" t="str">
        <f t="shared" si="34"/>
        <v>项</v>
      </c>
    </row>
    <row r="519" ht="24" customHeight="1" spans="1:10">
      <c r="A519" s="330">
        <v>2070108</v>
      </c>
      <c r="B519" s="379" t="s">
        <v>544</v>
      </c>
      <c r="C519" s="602">
        <v>0</v>
      </c>
      <c r="D519" s="709">
        <v>0</v>
      </c>
      <c r="E519" s="710">
        <v>0</v>
      </c>
      <c r="F519" s="710">
        <v>36</v>
      </c>
      <c r="G519" s="526" t="str">
        <f t="shared" si="32"/>
        <v/>
      </c>
      <c r="H519" s="470" t="str">
        <f t="shared" si="33"/>
        <v/>
      </c>
      <c r="I519" s="524" t="str">
        <f t="shared" si="35"/>
        <v>是</v>
      </c>
      <c r="J519" s="312" t="str">
        <f t="shared" si="34"/>
        <v>项</v>
      </c>
    </row>
    <row r="520" s="372" customFormat="1" ht="24" customHeight="1" spans="1:10">
      <c r="A520" s="330">
        <v>2070109</v>
      </c>
      <c r="B520" s="379" t="s">
        <v>545</v>
      </c>
      <c r="C520" s="602">
        <v>559</v>
      </c>
      <c r="D520" s="709">
        <v>571</v>
      </c>
      <c r="E520" s="710">
        <v>571</v>
      </c>
      <c r="F520" s="710">
        <v>594</v>
      </c>
      <c r="G520" s="526">
        <f t="shared" si="32"/>
        <v>0.0626118067978533</v>
      </c>
      <c r="H520" s="470">
        <f t="shared" si="33"/>
        <v>1.04028021015762</v>
      </c>
      <c r="I520" s="524" t="str">
        <f t="shared" si="35"/>
        <v>是</v>
      </c>
      <c r="J520" s="312" t="str">
        <f t="shared" si="34"/>
        <v>项</v>
      </c>
    </row>
    <row r="521" s="372" customFormat="1" ht="24" hidden="1" customHeight="1" spans="1:10">
      <c r="A521" s="330">
        <v>2070110</v>
      </c>
      <c r="B521" s="379" t="s">
        <v>546</v>
      </c>
      <c r="C521" s="602">
        <v>0</v>
      </c>
      <c r="D521" s="709">
        <v>0</v>
      </c>
      <c r="E521" s="710">
        <v>0</v>
      </c>
      <c r="F521" s="710">
        <v>0</v>
      </c>
      <c r="G521" s="526" t="str">
        <f t="shared" si="32"/>
        <v/>
      </c>
      <c r="H521" s="470" t="str">
        <f t="shared" si="33"/>
        <v/>
      </c>
      <c r="I521" s="524" t="str">
        <f t="shared" si="35"/>
        <v>否</v>
      </c>
      <c r="J521" s="312" t="str">
        <f t="shared" si="34"/>
        <v>项</v>
      </c>
    </row>
    <row r="522" s="372" customFormat="1" ht="24" customHeight="1" spans="1:10">
      <c r="A522" s="330">
        <v>2070111</v>
      </c>
      <c r="B522" s="379" t="s">
        <v>547</v>
      </c>
      <c r="C522" s="602">
        <v>201</v>
      </c>
      <c r="D522" s="709">
        <v>212</v>
      </c>
      <c r="E522" s="710">
        <v>212</v>
      </c>
      <c r="F522" s="710">
        <v>501</v>
      </c>
      <c r="G522" s="526">
        <f t="shared" si="32"/>
        <v>1.49253731343284</v>
      </c>
      <c r="H522" s="470">
        <f t="shared" si="33"/>
        <v>2.36320754716981</v>
      </c>
      <c r="I522" s="524" t="str">
        <f t="shared" si="35"/>
        <v>是</v>
      </c>
      <c r="J522" s="312" t="str">
        <f t="shared" si="34"/>
        <v>项</v>
      </c>
    </row>
    <row r="523" ht="24" customHeight="1" spans="1:10">
      <c r="A523" s="330">
        <v>2070112</v>
      </c>
      <c r="B523" s="379" t="s">
        <v>548</v>
      </c>
      <c r="C523" s="602">
        <v>946</v>
      </c>
      <c r="D523" s="709">
        <v>921</v>
      </c>
      <c r="E523" s="710">
        <v>921</v>
      </c>
      <c r="F523" s="710">
        <v>827</v>
      </c>
      <c r="G523" s="526">
        <f t="shared" si="32"/>
        <v>-0.125792811839323</v>
      </c>
      <c r="H523" s="470">
        <f t="shared" si="33"/>
        <v>0.897937024972856</v>
      </c>
      <c r="I523" s="524" t="str">
        <f t="shared" si="35"/>
        <v>是</v>
      </c>
      <c r="J523" s="312" t="str">
        <f t="shared" si="34"/>
        <v>项</v>
      </c>
    </row>
    <row r="524" s="372" customFormat="1" ht="24" customHeight="1" spans="1:10">
      <c r="A524" s="330">
        <v>2070113</v>
      </c>
      <c r="B524" s="379" t="s">
        <v>549</v>
      </c>
      <c r="C524" s="602">
        <v>492</v>
      </c>
      <c r="D524" s="709">
        <v>513</v>
      </c>
      <c r="E524" s="710">
        <v>513</v>
      </c>
      <c r="F524" s="710">
        <v>114</v>
      </c>
      <c r="G524" s="526">
        <f t="shared" si="32"/>
        <v>-0.768292682926829</v>
      </c>
      <c r="H524" s="470">
        <f t="shared" si="33"/>
        <v>0.222222222222222</v>
      </c>
      <c r="I524" s="524" t="str">
        <f t="shared" si="35"/>
        <v>是</v>
      </c>
      <c r="J524" s="312" t="str">
        <f t="shared" si="34"/>
        <v>项</v>
      </c>
    </row>
    <row r="525" s="372" customFormat="1" ht="24" customHeight="1" spans="1:10">
      <c r="A525" s="330">
        <v>2070114</v>
      </c>
      <c r="B525" s="379" t="s">
        <v>550</v>
      </c>
      <c r="C525" s="602">
        <v>3</v>
      </c>
      <c r="D525" s="709">
        <v>0</v>
      </c>
      <c r="E525" s="710">
        <v>0</v>
      </c>
      <c r="F525" s="710">
        <v>283</v>
      </c>
      <c r="G525" s="526">
        <f t="shared" si="32"/>
        <v>93.3333333333333</v>
      </c>
      <c r="H525" s="470" t="str">
        <f t="shared" si="33"/>
        <v/>
      </c>
      <c r="I525" s="524" t="str">
        <f t="shared" si="35"/>
        <v>是</v>
      </c>
      <c r="J525" s="312" t="str">
        <f t="shared" si="34"/>
        <v>项</v>
      </c>
    </row>
    <row r="526" s="372" customFormat="1" ht="24" customHeight="1" spans="1:10">
      <c r="A526" s="330">
        <v>2070199</v>
      </c>
      <c r="B526" s="379" t="s">
        <v>551</v>
      </c>
      <c r="C526" s="602">
        <v>1708</v>
      </c>
      <c r="D526" s="709">
        <v>1658</v>
      </c>
      <c r="E526" s="710">
        <v>1756</v>
      </c>
      <c r="F526" s="710">
        <v>2718</v>
      </c>
      <c r="G526" s="526">
        <f t="shared" si="32"/>
        <v>0.591334894613583</v>
      </c>
      <c r="H526" s="470">
        <f t="shared" si="33"/>
        <v>1.63932448733414</v>
      </c>
      <c r="I526" s="524" t="str">
        <f t="shared" si="35"/>
        <v>是</v>
      </c>
      <c r="J526" s="312" t="str">
        <f t="shared" si="34"/>
        <v>项</v>
      </c>
    </row>
    <row r="527" s="372" customFormat="1" ht="24" customHeight="1" spans="1:10">
      <c r="A527" s="330">
        <v>20702</v>
      </c>
      <c r="B527" s="379" t="s">
        <v>552</v>
      </c>
      <c r="C527" s="601">
        <v>716</v>
      </c>
      <c r="D527" s="708">
        <f>SUM(D528:D534)</f>
        <v>723</v>
      </c>
      <c r="E527" s="708">
        <f>SUM(E528:E534)</f>
        <v>723</v>
      </c>
      <c r="F527" s="708">
        <f>SUM(F528:F534)</f>
        <v>805</v>
      </c>
      <c r="G527" s="523">
        <f t="shared" si="32"/>
        <v>0.124301675977654</v>
      </c>
      <c r="H527" s="467">
        <f t="shared" si="33"/>
        <v>1.1134163208852</v>
      </c>
      <c r="I527" s="524" t="str">
        <f t="shared" si="35"/>
        <v>是</v>
      </c>
      <c r="J527" s="312" t="str">
        <f t="shared" si="34"/>
        <v>款</v>
      </c>
    </row>
    <row r="528" ht="24" hidden="1" customHeight="1" spans="1:10">
      <c r="A528" s="330">
        <v>2070201</v>
      </c>
      <c r="B528" s="379" t="s">
        <v>212</v>
      </c>
      <c r="C528" s="602">
        <v>0</v>
      </c>
      <c r="D528" s="709">
        <v>0</v>
      </c>
      <c r="E528" s="710">
        <v>0</v>
      </c>
      <c r="F528" s="710">
        <v>0</v>
      </c>
      <c r="G528" s="526" t="str">
        <f t="shared" si="32"/>
        <v/>
      </c>
      <c r="H528" s="470" t="str">
        <f t="shared" si="33"/>
        <v/>
      </c>
      <c r="I528" s="524" t="str">
        <f t="shared" si="35"/>
        <v>否</v>
      </c>
      <c r="J528" s="312" t="str">
        <f t="shared" si="34"/>
        <v>项</v>
      </c>
    </row>
    <row r="529" ht="24" hidden="1" customHeight="1" spans="1:10">
      <c r="A529" s="330">
        <v>2070202</v>
      </c>
      <c r="B529" s="379" t="s">
        <v>213</v>
      </c>
      <c r="C529" s="602">
        <v>0</v>
      </c>
      <c r="D529" s="709">
        <v>0</v>
      </c>
      <c r="E529" s="710">
        <v>0</v>
      </c>
      <c r="F529" s="710">
        <v>0</v>
      </c>
      <c r="G529" s="526" t="str">
        <f t="shared" si="32"/>
        <v/>
      </c>
      <c r="H529" s="470" t="str">
        <f t="shared" si="33"/>
        <v/>
      </c>
      <c r="I529" s="524" t="str">
        <f t="shared" si="35"/>
        <v>否</v>
      </c>
      <c r="J529" s="312" t="str">
        <f t="shared" si="34"/>
        <v>项</v>
      </c>
    </row>
    <row r="530" s="372" customFormat="1" ht="24" hidden="1" customHeight="1" spans="1:10">
      <c r="A530" s="330">
        <v>2070203</v>
      </c>
      <c r="B530" s="379" t="s">
        <v>214</v>
      </c>
      <c r="C530" s="602">
        <v>0</v>
      </c>
      <c r="D530" s="709">
        <v>0</v>
      </c>
      <c r="E530" s="710">
        <v>0</v>
      </c>
      <c r="F530" s="710">
        <v>0</v>
      </c>
      <c r="G530" s="526" t="str">
        <f t="shared" si="32"/>
        <v/>
      </c>
      <c r="H530" s="470" t="str">
        <f t="shared" si="33"/>
        <v/>
      </c>
      <c r="I530" s="524" t="str">
        <f t="shared" si="35"/>
        <v>否</v>
      </c>
      <c r="J530" s="312" t="str">
        <f t="shared" si="34"/>
        <v>项</v>
      </c>
    </row>
    <row r="531" s="372" customFormat="1" ht="24" customHeight="1" spans="1:10">
      <c r="A531" s="330">
        <v>2070204</v>
      </c>
      <c r="B531" s="379" t="s">
        <v>553</v>
      </c>
      <c r="C531" s="602">
        <v>21</v>
      </c>
      <c r="D531" s="709">
        <v>15</v>
      </c>
      <c r="E531" s="710">
        <v>15</v>
      </c>
      <c r="F531" s="710">
        <v>68</v>
      </c>
      <c r="G531" s="526">
        <f t="shared" si="32"/>
        <v>2.23809523809524</v>
      </c>
      <c r="H531" s="470">
        <f t="shared" si="33"/>
        <v>4.53333333333333</v>
      </c>
      <c r="I531" s="524" t="str">
        <f t="shared" si="35"/>
        <v>是</v>
      </c>
      <c r="J531" s="312" t="str">
        <f t="shared" si="34"/>
        <v>项</v>
      </c>
    </row>
    <row r="532" s="372" customFormat="1" ht="24" customHeight="1" spans="1:10">
      <c r="A532" s="330">
        <v>2070205</v>
      </c>
      <c r="B532" s="379" t="s">
        <v>554</v>
      </c>
      <c r="C532" s="602">
        <v>695</v>
      </c>
      <c r="D532" s="709">
        <v>708</v>
      </c>
      <c r="E532" s="710">
        <v>708</v>
      </c>
      <c r="F532" s="710">
        <v>737</v>
      </c>
      <c r="G532" s="526">
        <f t="shared" si="32"/>
        <v>0.060431654676259</v>
      </c>
      <c r="H532" s="470">
        <f t="shared" si="33"/>
        <v>1.0409604519774</v>
      </c>
      <c r="I532" s="524" t="str">
        <f t="shared" si="35"/>
        <v>是</v>
      </c>
      <c r="J532" s="312" t="str">
        <f t="shared" si="34"/>
        <v>项</v>
      </c>
    </row>
    <row r="533" s="372" customFormat="1" ht="24" hidden="1" customHeight="1" spans="1:10">
      <c r="A533" s="330">
        <v>2070206</v>
      </c>
      <c r="B533" s="379" t="s">
        <v>555</v>
      </c>
      <c r="C533" s="602">
        <v>0</v>
      </c>
      <c r="D533" s="709">
        <v>0</v>
      </c>
      <c r="E533" s="710">
        <v>0</v>
      </c>
      <c r="F533" s="710">
        <v>0</v>
      </c>
      <c r="G533" s="526" t="str">
        <f t="shared" si="32"/>
        <v/>
      </c>
      <c r="H533" s="470" t="str">
        <f t="shared" si="33"/>
        <v/>
      </c>
      <c r="I533" s="524" t="str">
        <f t="shared" si="35"/>
        <v>否</v>
      </c>
      <c r="J533" s="312" t="str">
        <f t="shared" si="34"/>
        <v>项</v>
      </c>
    </row>
    <row r="534" s="372" customFormat="1" ht="24" hidden="1" customHeight="1" spans="1:10">
      <c r="A534" s="330">
        <v>2070299</v>
      </c>
      <c r="B534" s="379" t="s">
        <v>556</v>
      </c>
      <c r="C534" s="602">
        <v>0</v>
      </c>
      <c r="D534" s="709">
        <v>0</v>
      </c>
      <c r="E534" s="710">
        <v>0</v>
      </c>
      <c r="F534" s="710">
        <v>0</v>
      </c>
      <c r="G534" s="526" t="str">
        <f t="shared" si="32"/>
        <v/>
      </c>
      <c r="H534" s="470" t="str">
        <f t="shared" si="33"/>
        <v/>
      </c>
      <c r="I534" s="524" t="str">
        <f t="shared" si="35"/>
        <v>否</v>
      </c>
      <c r="J534" s="312" t="str">
        <f t="shared" si="34"/>
        <v>项</v>
      </c>
    </row>
    <row r="535" s="372" customFormat="1" ht="24" customHeight="1" spans="1:10">
      <c r="A535" s="330">
        <v>20703</v>
      </c>
      <c r="B535" s="379" t="s">
        <v>557</v>
      </c>
      <c r="C535" s="601">
        <v>2024</v>
      </c>
      <c r="D535" s="708">
        <f>SUM(D536:D545)</f>
        <v>2194</v>
      </c>
      <c r="E535" s="708">
        <f>SUM(E536:E545)</f>
        <v>2194</v>
      </c>
      <c r="F535" s="708">
        <f>SUM(F536:F545)</f>
        <v>1476</v>
      </c>
      <c r="G535" s="523">
        <f t="shared" si="32"/>
        <v>-0.270750988142292</v>
      </c>
      <c r="H535" s="467">
        <f t="shared" si="33"/>
        <v>0.672743846855059</v>
      </c>
      <c r="I535" s="524" t="str">
        <f t="shared" si="35"/>
        <v>是</v>
      </c>
      <c r="J535" s="312" t="str">
        <f t="shared" si="34"/>
        <v>款</v>
      </c>
    </row>
    <row r="536" s="372" customFormat="1" ht="24" customHeight="1" spans="1:10">
      <c r="A536" s="330">
        <v>2070301</v>
      </c>
      <c r="B536" s="379" t="s">
        <v>212</v>
      </c>
      <c r="C536" s="602">
        <v>112</v>
      </c>
      <c r="D536" s="709">
        <v>123</v>
      </c>
      <c r="E536" s="710">
        <v>123</v>
      </c>
      <c r="F536" s="710">
        <v>118</v>
      </c>
      <c r="G536" s="526">
        <f t="shared" si="32"/>
        <v>0.0535714285714286</v>
      </c>
      <c r="H536" s="470">
        <f t="shared" si="33"/>
        <v>0.959349593495935</v>
      </c>
      <c r="I536" s="524" t="str">
        <f t="shared" si="35"/>
        <v>是</v>
      </c>
      <c r="J536" s="312" t="str">
        <f t="shared" si="34"/>
        <v>项</v>
      </c>
    </row>
    <row r="537" s="372" customFormat="1" ht="24" customHeight="1" spans="1:10">
      <c r="A537" s="330">
        <v>2070302</v>
      </c>
      <c r="B537" s="379" t="s">
        <v>213</v>
      </c>
      <c r="C537" s="602">
        <v>31</v>
      </c>
      <c r="D537" s="709">
        <v>30</v>
      </c>
      <c r="E537" s="710">
        <v>30</v>
      </c>
      <c r="F537" s="710">
        <v>2</v>
      </c>
      <c r="G537" s="526">
        <f t="shared" si="32"/>
        <v>-0.935483870967742</v>
      </c>
      <c r="H537" s="470">
        <f t="shared" si="33"/>
        <v>0.0666666666666667</v>
      </c>
      <c r="I537" s="524" t="str">
        <f t="shared" si="35"/>
        <v>是</v>
      </c>
      <c r="J537" s="312" t="str">
        <f t="shared" si="34"/>
        <v>项</v>
      </c>
    </row>
    <row r="538" s="372" customFormat="1" ht="24" hidden="1" customHeight="1" spans="1:10">
      <c r="A538" s="330">
        <v>2070303</v>
      </c>
      <c r="B538" s="379" t="s">
        <v>214</v>
      </c>
      <c r="C538" s="602">
        <v>0</v>
      </c>
      <c r="D538" s="709">
        <v>0</v>
      </c>
      <c r="E538" s="710">
        <v>0</v>
      </c>
      <c r="F538" s="710">
        <v>0</v>
      </c>
      <c r="G538" s="526" t="str">
        <f t="shared" si="32"/>
        <v/>
      </c>
      <c r="H538" s="470" t="str">
        <f t="shared" si="33"/>
        <v/>
      </c>
      <c r="I538" s="524" t="str">
        <f t="shared" si="35"/>
        <v>否</v>
      </c>
      <c r="J538" s="312" t="str">
        <f t="shared" si="34"/>
        <v>项</v>
      </c>
    </row>
    <row r="539" s="372" customFormat="1" ht="24" customHeight="1" spans="1:10">
      <c r="A539" s="330">
        <v>2070304</v>
      </c>
      <c r="B539" s="379" t="s">
        <v>558</v>
      </c>
      <c r="C539" s="602">
        <v>157</v>
      </c>
      <c r="D539" s="709">
        <v>150</v>
      </c>
      <c r="E539" s="710">
        <v>150</v>
      </c>
      <c r="F539" s="710">
        <v>239</v>
      </c>
      <c r="G539" s="526">
        <f t="shared" si="32"/>
        <v>0.522292993630573</v>
      </c>
      <c r="H539" s="470">
        <f t="shared" si="33"/>
        <v>1.59333333333333</v>
      </c>
      <c r="I539" s="524" t="str">
        <f t="shared" si="35"/>
        <v>是</v>
      </c>
      <c r="J539" s="312" t="str">
        <f t="shared" si="34"/>
        <v>项</v>
      </c>
    </row>
    <row r="540" s="372" customFormat="1" ht="24" hidden="1" customHeight="1" spans="1:10">
      <c r="A540" s="330">
        <v>2070305</v>
      </c>
      <c r="B540" s="379" t="s">
        <v>559</v>
      </c>
      <c r="C540" s="602">
        <v>0</v>
      </c>
      <c r="D540" s="709">
        <v>0</v>
      </c>
      <c r="E540" s="710">
        <v>0</v>
      </c>
      <c r="F540" s="710">
        <v>0</v>
      </c>
      <c r="G540" s="526" t="str">
        <f t="shared" si="32"/>
        <v/>
      </c>
      <c r="H540" s="470" t="str">
        <f t="shared" si="33"/>
        <v/>
      </c>
      <c r="I540" s="524" t="str">
        <f t="shared" si="35"/>
        <v>否</v>
      </c>
      <c r="J540" s="312" t="str">
        <f t="shared" si="34"/>
        <v>项</v>
      </c>
    </row>
    <row r="541" s="372" customFormat="1" ht="24" customHeight="1" spans="1:10">
      <c r="A541" s="330">
        <v>2070306</v>
      </c>
      <c r="B541" s="379" t="s">
        <v>560</v>
      </c>
      <c r="C541" s="602">
        <v>21</v>
      </c>
      <c r="D541" s="709">
        <v>23</v>
      </c>
      <c r="E541" s="710">
        <v>23</v>
      </c>
      <c r="F541" s="710">
        <v>38</v>
      </c>
      <c r="G541" s="526">
        <f t="shared" si="32"/>
        <v>0.80952380952381</v>
      </c>
      <c r="H541" s="470">
        <f t="shared" si="33"/>
        <v>1.65217391304348</v>
      </c>
      <c r="I541" s="524" t="str">
        <f t="shared" si="35"/>
        <v>是</v>
      </c>
      <c r="J541" s="312" t="str">
        <f t="shared" si="34"/>
        <v>项</v>
      </c>
    </row>
    <row r="542" s="372" customFormat="1" ht="24" customHeight="1" spans="1:10">
      <c r="A542" s="330">
        <v>2070307</v>
      </c>
      <c r="B542" s="379" t="s">
        <v>561</v>
      </c>
      <c r="C542" s="602">
        <v>581</v>
      </c>
      <c r="D542" s="709">
        <v>593</v>
      </c>
      <c r="E542" s="710">
        <v>593</v>
      </c>
      <c r="F542" s="710">
        <v>116</v>
      </c>
      <c r="G542" s="526">
        <f t="shared" si="32"/>
        <v>-0.800344234079174</v>
      </c>
      <c r="H542" s="470">
        <f t="shared" si="33"/>
        <v>0.195615514333895</v>
      </c>
      <c r="I542" s="524" t="str">
        <f t="shared" si="35"/>
        <v>是</v>
      </c>
      <c r="J542" s="312" t="str">
        <f t="shared" si="34"/>
        <v>项</v>
      </c>
    </row>
    <row r="543" s="372" customFormat="1" ht="24" customHeight="1" spans="1:10">
      <c r="A543" s="330">
        <v>2070308</v>
      </c>
      <c r="B543" s="379" t="s">
        <v>562</v>
      </c>
      <c r="C543" s="602">
        <v>1039</v>
      </c>
      <c r="D543" s="709">
        <v>1185</v>
      </c>
      <c r="E543" s="710">
        <v>1185</v>
      </c>
      <c r="F543" s="710">
        <v>843</v>
      </c>
      <c r="G543" s="526">
        <f t="shared" si="32"/>
        <v>-0.188642925890279</v>
      </c>
      <c r="H543" s="470">
        <f t="shared" si="33"/>
        <v>0.711392405063291</v>
      </c>
      <c r="I543" s="524" t="str">
        <f t="shared" si="35"/>
        <v>是</v>
      </c>
      <c r="J543" s="312" t="str">
        <f t="shared" si="34"/>
        <v>项</v>
      </c>
    </row>
    <row r="544" s="372" customFormat="1" ht="24" customHeight="1" spans="1:10">
      <c r="A544" s="330">
        <v>2070309</v>
      </c>
      <c r="B544" s="379" t="s">
        <v>563</v>
      </c>
      <c r="C544" s="602">
        <v>83</v>
      </c>
      <c r="D544" s="709">
        <v>90</v>
      </c>
      <c r="E544" s="710">
        <v>90</v>
      </c>
      <c r="F544" s="710">
        <v>120</v>
      </c>
      <c r="G544" s="526">
        <f t="shared" si="32"/>
        <v>0.44578313253012</v>
      </c>
      <c r="H544" s="470">
        <f t="shared" si="33"/>
        <v>1.33333333333333</v>
      </c>
      <c r="I544" s="524" t="str">
        <f t="shared" si="35"/>
        <v>是</v>
      </c>
      <c r="J544" s="312" t="str">
        <f t="shared" si="34"/>
        <v>项</v>
      </c>
    </row>
    <row r="545" ht="24" hidden="1" customHeight="1" spans="1:10">
      <c r="A545" s="330">
        <v>2070399</v>
      </c>
      <c r="B545" s="379" t="s">
        <v>564</v>
      </c>
      <c r="C545" s="602">
        <v>0</v>
      </c>
      <c r="D545" s="709">
        <v>0</v>
      </c>
      <c r="E545" s="710">
        <v>0</v>
      </c>
      <c r="F545" s="710">
        <v>0</v>
      </c>
      <c r="G545" s="526" t="str">
        <f t="shared" si="32"/>
        <v/>
      </c>
      <c r="H545" s="470" t="str">
        <f t="shared" si="33"/>
        <v/>
      </c>
      <c r="I545" s="524" t="str">
        <f t="shared" si="35"/>
        <v>否</v>
      </c>
      <c r="J545" s="312" t="str">
        <f t="shared" si="34"/>
        <v>项</v>
      </c>
    </row>
    <row r="546" s="372" customFormat="1" ht="24" customHeight="1" spans="1:10">
      <c r="A546" s="330">
        <v>20706</v>
      </c>
      <c r="B546" s="379" t="s">
        <v>565</v>
      </c>
      <c r="C546" s="601">
        <v>18</v>
      </c>
      <c r="D546" s="708">
        <f>SUM(D547:D554)</f>
        <v>10</v>
      </c>
      <c r="E546" s="708">
        <f>SUM(E547:E554)</f>
        <v>10</v>
      </c>
      <c r="F546" s="708">
        <f>SUM(F547:F554)</f>
        <v>0</v>
      </c>
      <c r="G546" s="523">
        <f t="shared" si="32"/>
        <v>-1</v>
      </c>
      <c r="H546" s="467">
        <f t="shared" si="33"/>
        <v>0</v>
      </c>
      <c r="I546" s="524" t="str">
        <f t="shared" si="35"/>
        <v>是</v>
      </c>
      <c r="J546" s="312" t="str">
        <f t="shared" si="34"/>
        <v>款</v>
      </c>
    </row>
    <row r="547" s="372" customFormat="1" ht="24" hidden="1" customHeight="1" spans="1:10">
      <c r="A547" s="330">
        <v>2070601</v>
      </c>
      <c r="B547" s="379" t="s">
        <v>212</v>
      </c>
      <c r="C547" s="602">
        <v>0</v>
      </c>
      <c r="D547" s="709"/>
      <c r="E547" s="710">
        <v>0</v>
      </c>
      <c r="F547" s="710">
        <v>0</v>
      </c>
      <c r="G547" s="526" t="str">
        <f t="shared" si="32"/>
        <v/>
      </c>
      <c r="H547" s="470" t="str">
        <f t="shared" si="33"/>
        <v/>
      </c>
      <c r="I547" s="524" t="str">
        <f t="shared" si="35"/>
        <v>否</v>
      </c>
      <c r="J547" s="312" t="str">
        <f t="shared" si="34"/>
        <v>项</v>
      </c>
    </row>
    <row r="548" s="372" customFormat="1" ht="24" hidden="1" customHeight="1" spans="1:10">
      <c r="A548" s="330">
        <v>2070602</v>
      </c>
      <c r="B548" s="379" t="s">
        <v>213</v>
      </c>
      <c r="C548" s="602">
        <v>0</v>
      </c>
      <c r="D548" s="709"/>
      <c r="E548" s="710">
        <v>0</v>
      </c>
      <c r="F548" s="710">
        <v>0</v>
      </c>
      <c r="G548" s="526" t="str">
        <f t="shared" si="32"/>
        <v/>
      </c>
      <c r="H548" s="470" t="str">
        <f t="shared" si="33"/>
        <v/>
      </c>
      <c r="I548" s="524" t="str">
        <f t="shared" si="35"/>
        <v>否</v>
      </c>
      <c r="J548" s="312" t="str">
        <f t="shared" si="34"/>
        <v>项</v>
      </c>
    </row>
    <row r="549" s="372" customFormat="1" ht="24" hidden="1" customHeight="1" spans="1:10">
      <c r="A549" s="330">
        <v>2070603</v>
      </c>
      <c r="B549" s="379" t="s">
        <v>214</v>
      </c>
      <c r="C549" s="602">
        <v>0</v>
      </c>
      <c r="D549" s="709"/>
      <c r="E549" s="710">
        <v>0</v>
      </c>
      <c r="F549" s="710">
        <v>0</v>
      </c>
      <c r="G549" s="526" t="str">
        <f t="shared" si="32"/>
        <v/>
      </c>
      <c r="H549" s="470" t="str">
        <f t="shared" si="33"/>
        <v/>
      </c>
      <c r="I549" s="524" t="str">
        <f t="shared" si="35"/>
        <v>否</v>
      </c>
      <c r="J549" s="312" t="str">
        <f t="shared" si="34"/>
        <v>项</v>
      </c>
    </row>
    <row r="550" s="372" customFormat="1" ht="24" hidden="1" customHeight="1" spans="1:10">
      <c r="A550" s="330">
        <v>2070604</v>
      </c>
      <c r="B550" s="379" t="s">
        <v>566</v>
      </c>
      <c r="C550" s="602">
        <v>0</v>
      </c>
      <c r="D550" s="709"/>
      <c r="E550" s="710">
        <v>0</v>
      </c>
      <c r="F550" s="710">
        <v>0</v>
      </c>
      <c r="G550" s="526" t="str">
        <f t="shared" si="32"/>
        <v/>
      </c>
      <c r="H550" s="470" t="str">
        <f t="shared" si="33"/>
        <v/>
      </c>
      <c r="I550" s="524" t="str">
        <f t="shared" si="35"/>
        <v>否</v>
      </c>
      <c r="J550" s="312" t="str">
        <f t="shared" si="34"/>
        <v>项</v>
      </c>
    </row>
    <row r="551" s="372" customFormat="1" ht="24" hidden="1" customHeight="1" spans="1:10">
      <c r="A551" s="330">
        <v>2070605</v>
      </c>
      <c r="B551" s="379" t="s">
        <v>567</v>
      </c>
      <c r="C551" s="602">
        <v>0</v>
      </c>
      <c r="D551" s="709"/>
      <c r="E551" s="710">
        <v>0</v>
      </c>
      <c r="F551" s="710">
        <v>0</v>
      </c>
      <c r="G551" s="526" t="str">
        <f t="shared" si="32"/>
        <v/>
      </c>
      <c r="H551" s="470" t="str">
        <f t="shared" si="33"/>
        <v/>
      </c>
      <c r="I551" s="524" t="str">
        <f t="shared" si="35"/>
        <v>否</v>
      </c>
      <c r="J551" s="312" t="str">
        <f t="shared" si="34"/>
        <v>项</v>
      </c>
    </row>
    <row r="552" s="372" customFormat="1" ht="24" hidden="1" customHeight="1" spans="1:10">
      <c r="A552" s="330">
        <v>2070606</v>
      </c>
      <c r="B552" s="379" t="s">
        <v>568</v>
      </c>
      <c r="C552" s="602">
        <v>0</v>
      </c>
      <c r="D552" s="709"/>
      <c r="E552" s="710">
        <v>0</v>
      </c>
      <c r="F552" s="710">
        <v>0</v>
      </c>
      <c r="G552" s="526" t="str">
        <f t="shared" si="32"/>
        <v/>
      </c>
      <c r="H552" s="470" t="str">
        <f t="shared" si="33"/>
        <v/>
      </c>
      <c r="I552" s="524" t="str">
        <f t="shared" si="35"/>
        <v>否</v>
      </c>
      <c r="J552" s="312" t="str">
        <f t="shared" si="34"/>
        <v>项</v>
      </c>
    </row>
    <row r="553" ht="24" customHeight="1" spans="1:10">
      <c r="A553" s="330">
        <v>2070607</v>
      </c>
      <c r="B553" s="379" t="s">
        <v>569</v>
      </c>
      <c r="C553" s="602">
        <v>18</v>
      </c>
      <c r="D553" s="709">
        <v>10</v>
      </c>
      <c r="E553" s="710">
        <v>10</v>
      </c>
      <c r="F553" s="710">
        <v>0</v>
      </c>
      <c r="G553" s="526">
        <f t="shared" si="32"/>
        <v>-1</v>
      </c>
      <c r="H553" s="470">
        <f t="shared" si="33"/>
        <v>0</v>
      </c>
      <c r="I553" s="524" t="str">
        <f t="shared" si="35"/>
        <v>是</v>
      </c>
      <c r="J553" s="312" t="str">
        <f t="shared" si="34"/>
        <v>项</v>
      </c>
    </row>
    <row r="554" s="372" customFormat="1" ht="24" hidden="1" customHeight="1" spans="1:10">
      <c r="A554" s="330">
        <v>2070699</v>
      </c>
      <c r="B554" s="379" t="s">
        <v>570</v>
      </c>
      <c r="C554" s="602">
        <v>0</v>
      </c>
      <c r="D554" s="709"/>
      <c r="E554" s="710">
        <v>0</v>
      </c>
      <c r="F554" s="710">
        <v>0</v>
      </c>
      <c r="G554" s="526" t="str">
        <f t="shared" si="32"/>
        <v/>
      </c>
      <c r="H554" s="470" t="str">
        <f t="shared" si="33"/>
        <v/>
      </c>
      <c r="I554" s="524" t="str">
        <f t="shared" si="35"/>
        <v>否</v>
      </c>
      <c r="J554" s="312" t="str">
        <f t="shared" si="34"/>
        <v>项</v>
      </c>
    </row>
    <row r="555" s="372" customFormat="1" ht="24" customHeight="1" spans="1:10">
      <c r="A555" s="330">
        <v>20708</v>
      </c>
      <c r="B555" s="379" t="s">
        <v>571</v>
      </c>
      <c r="C555" s="601">
        <v>4442</v>
      </c>
      <c r="D555" s="708">
        <f>SUM(D556:D562)</f>
        <v>4545</v>
      </c>
      <c r="E555" s="708">
        <f>SUM(E556:E562)</f>
        <v>4545</v>
      </c>
      <c r="F555" s="708">
        <f>SUM(F556:F562)</f>
        <v>2346</v>
      </c>
      <c r="G555" s="523">
        <f t="shared" si="32"/>
        <v>-0.471859522737506</v>
      </c>
      <c r="H555" s="467">
        <f t="shared" si="33"/>
        <v>0.516171617161716</v>
      </c>
      <c r="I555" s="524" t="str">
        <f t="shared" si="35"/>
        <v>是</v>
      </c>
      <c r="J555" s="312" t="str">
        <f t="shared" si="34"/>
        <v>款</v>
      </c>
    </row>
    <row r="556" s="372" customFormat="1" ht="24" customHeight="1" spans="1:10">
      <c r="A556" s="330">
        <v>2070801</v>
      </c>
      <c r="B556" s="379" t="s">
        <v>212</v>
      </c>
      <c r="C556" s="602">
        <v>240</v>
      </c>
      <c r="D556" s="709">
        <v>252</v>
      </c>
      <c r="E556" s="710">
        <v>252</v>
      </c>
      <c r="F556" s="710">
        <v>245</v>
      </c>
      <c r="G556" s="526">
        <f t="shared" si="32"/>
        <v>0.0208333333333333</v>
      </c>
      <c r="H556" s="470">
        <f t="shared" si="33"/>
        <v>0.972222222222222</v>
      </c>
      <c r="I556" s="524" t="str">
        <f t="shared" si="35"/>
        <v>是</v>
      </c>
      <c r="J556" s="312" t="str">
        <f t="shared" si="34"/>
        <v>项</v>
      </c>
    </row>
    <row r="557" s="372" customFormat="1" ht="24" customHeight="1" spans="1:10">
      <c r="A557" s="330">
        <v>2070802</v>
      </c>
      <c r="B557" s="379" t="s">
        <v>213</v>
      </c>
      <c r="C557" s="602">
        <v>6</v>
      </c>
      <c r="D557" s="709">
        <v>8</v>
      </c>
      <c r="E557" s="710">
        <v>8</v>
      </c>
      <c r="F557" s="710">
        <v>17</v>
      </c>
      <c r="G557" s="526">
        <f t="shared" si="32"/>
        <v>1.83333333333333</v>
      </c>
      <c r="H557" s="470">
        <f t="shared" si="33"/>
        <v>2.125</v>
      </c>
      <c r="I557" s="524" t="str">
        <f t="shared" si="35"/>
        <v>是</v>
      </c>
      <c r="J557" s="312" t="str">
        <f t="shared" si="34"/>
        <v>项</v>
      </c>
    </row>
    <row r="558" s="372" customFormat="1" ht="24" hidden="1" customHeight="1" spans="1:10">
      <c r="A558" s="330">
        <v>2070803</v>
      </c>
      <c r="B558" s="379" t="s">
        <v>214</v>
      </c>
      <c r="C558" s="602">
        <v>0</v>
      </c>
      <c r="D558" s="709">
        <v>0</v>
      </c>
      <c r="E558" s="710">
        <v>0</v>
      </c>
      <c r="F558" s="710">
        <v>0</v>
      </c>
      <c r="G558" s="526" t="str">
        <f t="shared" si="32"/>
        <v/>
      </c>
      <c r="H558" s="470" t="str">
        <f t="shared" si="33"/>
        <v/>
      </c>
      <c r="I558" s="524" t="str">
        <f t="shared" si="35"/>
        <v>否</v>
      </c>
      <c r="J558" s="312" t="str">
        <f t="shared" si="34"/>
        <v>项</v>
      </c>
    </row>
    <row r="559" s="372" customFormat="1" ht="24" customHeight="1" spans="1:10">
      <c r="A559" s="330">
        <v>2070806</v>
      </c>
      <c r="B559" s="379" t="s">
        <v>572</v>
      </c>
      <c r="C559" s="602">
        <v>57</v>
      </c>
      <c r="D559" s="709">
        <v>50</v>
      </c>
      <c r="E559" s="710">
        <v>50</v>
      </c>
      <c r="F559" s="710">
        <v>65</v>
      </c>
      <c r="G559" s="526">
        <f t="shared" si="32"/>
        <v>0.140350877192982</v>
      </c>
      <c r="H559" s="470">
        <f t="shared" si="33"/>
        <v>1.3</v>
      </c>
      <c r="I559" s="524" t="str">
        <f t="shared" si="35"/>
        <v>是</v>
      </c>
      <c r="J559" s="312" t="str">
        <f t="shared" si="34"/>
        <v>项</v>
      </c>
    </row>
    <row r="560" s="372" customFormat="1" ht="24" customHeight="1" spans="1:10">
      <c r="A560" s="536">
        <v>2070807</v>
      </c>
      <c r="B560" s="379" t="s">
        <v>573</v>
      </c>
      <c r="C560" s="602">
        <v>121</v>
      </c>
      <c r="D560" s="709">
        <v>110</v>
      </c>
      <c r="E560" s="710">
        <v>110</v>
      </c>
      <c r="F560" s="710">
        <v>160</v>
      </c>
      <c r="G560" s="526">
        <f t="shared" si="32"/>
        <v>0.322314049586777</v>
      </c>
      <c r="H560" s="470">
        <f t="shared" si="33"/>
        <v>1.45454545454545</v>
      </c>
      <c r="I560" s="524" t="str">
        <f t="shared" si="35"/>
        <v>是</v>
      </c>
      <c r="J560" s="312" t="str">
        <f t="shared" si="34"/>
        <v>项</v>
      </c>
    </row>
    <row r="561" s="372" customFormat="1" ht="24" customHeight="1" spans="1:10">
      <c r="A561" s="536">
        <v>2070808</v>
      </c>
      <c r="B561" s="379" t="s">
        <v>574</v>
      </c>
      <c r="C561" s="602">
        <v>3710</v>
      </c>
      <c r="D561" s="709">
        <v>3815</v>
      </c>
      <c r="E561" s="710">
        <v>3815</v>
      </c>
      <c r="F561" s="710">
        <v>1582</v>
      </c>
      <c r="G561" s="526">
        <f t="shared" si="32"/>
        <v>-0.573584905660377</v>
      </c>
      <c r="H561" s="470">
        <f t="shared" si="33"/>
        <v>0.414678899082569</v>
      </c>
      <c r="I561" s="524" t="str">
        <f t="shared" si="35"/>
        <v>是</v>
      </c>
      <c r="J561" s="312" t="str">
        <f t="shared" si="34"/>
        <v>项</v>
      </c>
    </row>
    <row r="562" s="372" customFormat="1" ht="24" customHeight="1" spans="1:10">
      <c r="A562" s="330">
        <v>2070899</v>
      </c>
      <c r="B562" s="379" t="s">
        <v>575</v>
      </c>
      <c r="C562" s="602">
        <v>308</v>
      </c>
      <c r="D562" s="709">
        <v>310</v>
      </c>
      <c r="E562" s="710">
        <v>310</v>
      </c>
      <c r="F562" s="710">
        <v>277</v>
      </c>
      <c r="G562" s="526">
        <f t="shared" si="32"/>
        <v>-0.100649350649351</v>
      </c>
      <c r="H562" s="470">
        <f t="shared" si="33"/>
        <v>0.893548387096774</v>
      </c>
      <c r="I562" s="524" t="str">
        <f t="shared" si="35"/>
        <v>是</v>
      </c>
      <c r="J562" s="312" t="str">
        <f t="shared" si="34"/>
        <v>项</v>
      </c>
    </row>
    <row r="563" s="372" customFormat="1" ht="24" customHeight="1" spans="1:10">
      <c r="A563" s="330">
        <v>20799</v>
      </c>
      <c r="B563" s="379" t="s">
        <v>576</v>
      </c>
      <c r="C563" s="601">
        <v>61</v>
      </c>
      <c r="D563" s="708">
        <f>SUM(D564:D565)</f>
        <v>0</v>
      </c>
      <c r="E563" s="708">
        <f>SUM(E564:E565)</f>
        <v>0</v>
      </c>
      <c r="F563" s="708">
        <f>SUM(F564:F565)</f>
        <v>119</v>
      </c>
      <c r="G563" s="523">
        <f t="shared" si="32"/>
        <v>0.950819672131147</v>
      </c>
      <c r="H563" s="467" t="str">
        <f t="shared" si="33"/>
        <v/>
      </c>
      <c r="I563" s="524" t="str">
        <f t="shared" si="35"/>
        <v>是</v>
      </c>
      <c r="J563" s="312" t="str">
        <f t="shared" si="34"/>
        <v>款</v>
      </c>
    </row>
    <row r="564" s="372" customFormat="1" ht="24" hidden="1" customHeight="1" spans="1:10">
      <c r="A564" s="330">
        <v>2079903</v>
      </c>
      <c r="B564" s="379" t="s">
        <v>578</v>
      </c>
      <c r="C564" s="602">
        <v>0</v>
      </c>
      <c r="D564" s="709"/>
      <c r="E564" s="710">
        <v>0</v>
      </c>
      <c r="F564" s="710">
        <v>0</v>
      </c>
      <c r="G564" s="526" t="str">
        <f t="shared" si="32"/>
        <v/>
      </c>
      <c r="H564" s="470" t="str">
        <f t="shared" si="33"/>
        <v/>
      </c>
      <c r="I564" s="524" t="str">
        <f t="shared" si="35"/>
        <v>否</v>
      </c>
      <c r="J564" s="312" t="str">
        <f t="shared" si="34"/>
        <v>项</v>
      </c>
    </row>
    <row r="565" s="372" customFormat="1" ht="24" customHeight="1" spans="1:10">
      <c r="A565" s="330">
        <v>2079999</v>
      </c>
      <c r="B565" s="379" t="s">
        <v>579</v>
      </c>
      <c r="C565" s="602">
        <v>61</v>
      </c>
      <c r="D565" s="709">
        <v>0</v>
      </c>
      <c r="E565" s="710">
        <v>0</v>
      </c>
      <c r="F565" s="710">
        <v>119</v>
      </c>
      <c r="G565" s="526">
        <f t="shared" si="32"/>
        <v>0.950819672131147</v>
      </c>
      <c r="H565" s="470" t="str">
        <f t="shared" si="33"/>
        <v/>
      </c>
      <c r="I565" s="524" t="str">
        <f t="shared" si="35"/>
        <v>是</v>
      </c>
      <c r="J565" s="312" t="str">
        <f t="shared" si="34"/>
        <v>项</v>
      </c>
    </row>
    <row r="566" s="372" customFormat="1" ht="24" customHeight="1" spans="1:10">
      <c r="A566" s="329">
        <v>208</v>
      </c>
      <c r="B566" s="377" t="s">
        <v>182</v>
      </c>
      <c r="C566" s="601">
        <v>59198</v>
      </c>
      <c r="D566" s="708">
        <f>D567+D586+D594+D596+D605+D609+D619+D628+D635+D643+D652+D658+D661+D664+D667+D670+D673+D677+D681+D690+D693</f>
        <v>61422</v>
      </c>
      <c r="E566" s="708">
        <f>E567+E586+E594+E596+E605+E609+E619+E628+E635+E643+E652+E658+E661+E664+E667+E670+E673+E677+E681+E690+E693</f>
        <v>61422</v>
      </c>
      <c r="F566" s="708">
        <f>F567+F586+F594+F596+F605+F609+F619+F628+F635+F643+F652+F658+F661+F664+F667+F670+F673+F677+F681+F690+F693</f>
        <v>66109</v>
      </c>
      <c r="G566" s="523">
        <f t="shared" si="32"/>
        <v>0.116743808912463</v>
      </c>
      <c r="H566" s="467">
        <f t="shared" si="33"/>
        <v>1.07630816319885</v>
      </c>
      <c r="I566" s="524" t="str">
        <f t="shared" si="35"/>
        <v>是</v>
      </c>
      <c r="J566" s="312" t="str">
        <f t="shared" si="34"/>
        <v>类</v>
      </c>
    </row>
    <row r="567" s="372" customFormat="1" ht="24" customHeight="1" spans="1:10">
      <c r="A567" s="330">
        <v>20801</v>
      </c>
      <c r="B567" s="379" t="s">
        <v>580</v>
      </c>
      <c r="C567" s="601">
        <v>1714</v>
      </c>
      <c r="D567" s="708">
        <f>SUM(D568:D585)</f>
        <v>1799</v>
      </c>
      <c r="E567" s="708">
        <f>SUM(E568:E585)</f>
        <v>1799</v>
      </c>
      <c r="F567" s="708">
        <f>SUM(F568:F585)</f>
        <v>1858</v>
      </c>
      <c r="G567" s="523">
        <f t="shared" si="32"/>
        <v>0.0840140023337223</v>
      </c>
      <c r="H567" s="467">
        <f t="shared" si="33"/>
        <v>1.03279599777654</v>
      </c>
      <c r="I567" s="524" t="str">
        <f t="shared" si="35"/>
        <v>是</v>
      </c>
      <c r="J567" s="312" t="str">
        <f t="shared" si="34"/>
        <v>款</v>
      </c>
    </row>
    <row r="568" s="372" customFormat="1" ht="24" customHeight="1" spans="1:10">
      <c r="A568" s="330">
        <v>2080101</v>
      </c>
      <c r="B568" s="379" t="s">
        <v>212</v>
      </c>
      <c r="C568" s="602">
        <v>717</v>
      </c>
      <c r="D568" s="709">
        <v>765</v>
      </c>
      <c r="E568" s="710">
        <v>765</v>
      </c>
      <c r="F568" s="710">
        <v>740</v>
      </c>
      <c r="G568" s="526">
        <f t="shared" si="32"/>
        <v>0.0320781032078103</v>
      </c>
      <c r="H568" s="470">
        <f t="shared" si="33"/>
        <v>0.967320261437909</v>
      </c>
      <c r="I568" s="524" t="str">
        <f t="shared" si="35"/>
        <v>是</v>
      </c>
      <c r="J568" s="312" t="str">
        <f t="shared" si="34"/>
        <v>项</v>
      </c>
    </row>
    <row r="569" s="372" customFormat="1" ht="24" customHeight="1" spans="1:10">
      <c r="A569" s="330">
        <v>2080102</v>
      </c>
      <c r="B569" s="379" t="s">
        <v>213</v>
      </c>
      <c r="C569" s="602">
        <v>88</v>
      </c>
      <c r="D569" s="709">
        <v>80</v>
      </c>
      <c r="E569" s="710">
        <v>80</v>
      </c>
      <c r="F569" s="710">
        <v>135</v>
      </c>
      <c r="G569" s="526">
        <f t="shared" si="32"/>
        <v>0.534090909090909</v>
      </c>
      <c r="H569" s="470">
        <f t="shared" si="33"/>
        <v>1.6875</v>
      </c>
      <c r="I569" s="524" t="str">
        <f t="shared" si="35"/>
        <v>是</v>
      </c>
      <c r="J569" s="312" t="str">
        <f t="shared" si="34"/>
        <v>项</v>
      </c>
    </row>
    <row r="570" s="372" customFormat="1" ht="24" hidden="1" customHeight="1" spans="1:10">
      <c r="A570" s="330">
        <v>2080103</v>
      </c>
      <c r="B570" s="379" t="s">
        <v>214</v>
      </c>
      <c r="C570" s="602">
        <v>0</v>
      </c>
      <c r="D570" s="709">
        <v>0</v>
      </c>
      <c r="E570" s="710">
        <v>0</v>
      </c>
      <c r="F570" s="710">
        <v>0</v>
      </c>
      <c r="G570" s="526" t="str">
        <f t="shared" si="32"/>
        <v/>
      </c>
      <c r="H570" s="470" t="str">
        <f t="shared" si="33"/>
        <v/>
      </c>
      <c r="I570" s="524" t="str">
        <f t="shared" si="35"/>
        <v>否</v>
      </c>
      <c r="J570" s="312" t="str">
        <f t="shared" si="34"/>
        <v>项</v>
      </c>
    </row>
    <row r="571" s="372" customFormat="1" ht="24" customHeight="1" spans="1:10">
      <c r="A571" s="330">
        <v>2080104</v>
      </c>
      <c r="B571" s="379" t="s">
        <v>581</v>
      </c>
      <c r="C571" s="602">
        <v>9</v>
      </c>
      <c r="D571" s="709">
        <v>10</v>
      </c>
      <c r="E571" s="710">
        <v>10</v>
      </c>
      <c r="F571" s="710">
        <v>14</v>
      </c>
      <c r="G571" s="526">
        <f t="shared" si="32"/>
        <v>0.555555555555556</v>
      </c>
      <c r="H571" s="470">
        <f t="shared" si="33"/>
        <v>1.4</v>
      </c>
      <c r="I571" s="524" t="str">
        <f t="shared" si="35"/>
        <v>是</v>
      </c>
      <c r="J571" s="312" t="str">
        <f t="shared" si="34"/>
        <v>项</v>
      </c>
    </row>
    <row r="572" ht="24" customHeight="1" spans="1:10">
      <c r="A572" s="330">
        <v>2080105</v>
      </c>
      <c r="B572" s="379" t="s">
        <v>582</v>
      </c>
      <c r="C572" s="602">
        <v>0</v>
      </c>
      <c r="D572" s="709">
        <v>0</v>
      </c>
      <c r="E572" s="710">
        <v>0</v>
      </c>
      <c r="F572" s="710">
        <v>19</v>
      </c>
      <c r="G572" s="526" t="str">
        <f t="shared" si="32"/>
        <v/>
      </c>
      <c r="H572" s="470" t="str">
        <f t="shared" si="33"/>
        <v/>
      </c>
      <c r="I572" s="524" t="str">
        <f t="shared" si="35"/>
        <v>是</v>
      </c>
      <c r="J572" s="312" t="str">
        <f t="shared" si="34"/>
        <v>项</v>
      </c>
    </row>
    <row r="573" s="372" customFormat="1" ht="24" customHeight="1" spans="1:10">
      <c r="A573" s="330">
        <v>2080106</v>
      </c>
      <c r="B573" s="379" t="s">
        <v>583</v>
      </c>
      <c r="C573" s="602">
        <v>71</v>
      </c>
      <c r="D573" s="709">
        <v>83</v>
      </c>
      <c r="E573" s="710">
        <v>83</v>
      </c>
      <c r="F573" s="710">
        <v>1</v>
      </c>
      <c r="G573" s="526">
        <f t="shared" si="32"/>
        <v>-0.985915492957746</v>
      </c>
      <c r="H573" s="470">
        <f t="shared" si="33"/>
        <v>0.0120481927710843</v>
      </c>
      <c r="I573" s="524" t="str">
        <f t="shared" si="35"/>
        <v>是</v>
      </c>
      <c r="J573" s="312" t="str">
        <f t="shared" si="34"/>
        <v>项</v>
      </c>
    </row>
    <row r="574" s="372" customFormat="1" ht="24" customHeight="1" spans="1:10">
      <c r="A574" s="330">
        <v>2080107</v>
      </c>
      <c r="B574" s="379" t="s">
        <v>584</v>
      </c>
      <c r="C574" s="602">
        <v>3</v>
      </c>
      <c r="D574" s="709">
        <v>0</v>
      </c>
      <c r="E574" s="710">
        <v>0</v>
      </c>
      <c r="F574" s="710">
        <v>0</v>
      </c>
      <c r="G574" s="526">
        <f t="shared" si="32"/>
        <v>-1</v>
      </c>
      <c r="H574" s="470" t="str">
        <f t="shared" si="33"/>
        <v/>
      </c>
      <c r="I574" s="524" t="str">
        <f t="shared" si="35"/>
        <v>是</v>
      </c>
      <c r="J574" s="312" t="str">
        <f t="shared" si="34"/>
        <v>项</v>
      </c>
    </row>
    <row r="575" s="372" customFormat="1" ht="24" hidden="1" customHeight="1" spans="1:10">
      <c r="A575" s="330">
        <v>2080108</v>
      </c>
      <c r="B575" s="379" t="s">
        <v>252</v>
      </c>
      <c r="C575" s="602">
        <v>0</v>
      </c>
      <c r="D575" s="709">
        <v>0</v>
      </c>
      <c r="E575" s="710">
        <v>0</v>
      </c>
      <c r="F575" s="710">
        <v>0</v>
      </c>
      <c r="G575" s="526" t="str">
        <f t="shared" si="32"/>
        <v/>
      </c>
      <c r="H575" s="470" t="str">
        <f t="shared" si="33"/>
        <v/>
      </c>
      <c r="I575" s="524" t="str">
        <f t="shared" si="35"/>
        <v>否</v>
      </c>
      <c r="J575" s="312" t="str">
        <f t="shared" si="34"/>
        <v>项</v>
      </c>
    </row>
    <row r="576" s="372" customFormat="1" ht="24" customHeight="1" spans="1:10">
      <c r="A576" s="330">
        <v>2080109</v>
      </c>
      <c r="B576" s="379" t="s">
        <v>585</v>
      </c>
      <c r="C576" s="602">
        <v>500</v>
      </c>
      <c r="D576" s="709">
        <v>510</v>
      </c>
      <c r="E576" s="710">
        <v>510</v>
      </c>
      <c r="F576" s="710">
        <v>565</v>
      </c>
      <c r="G576" s="526">
        <f t="shared" si="32"/>
        <v>0.13</v>
      </c>
      <c r="H576" s="470">
        <f t="shared" si="33"/>
        <v>1.1078431372549</v>
      </c>
      <c r="I576" s="524" t="str">
        <f t="shared" si="35"/>
        <v>是</v>
      </c>
      <c r="J576" s="312" t="str">
        <f t="shared" si="34"/>
        <v>项</v>
      </c>
    </row>
    <row r="577" s="372" customFormat="1" ht="24" hidden="1" customHeight="1" spans="1:10">
      <c r="A577" s="330">
        <v>2080110</v>
      </c>
      <c r="B577" s="379" t="s">
        <v>586</v>
      </c>
      <c r="C577" s="602">
        <v>0</v>
      </c>
      <c r="D577" s="709">
        <v>0</v>
      </c>
      <c r="E577" s="710">
        <v>0</v>
      </c>
      <c r="F577" s="710">
        <v>0</v>
      </c>
      <c r="G577" s="526" t="str">
        <f t="shared" si="32"/>
        <v/>
      </c>
      <c r="H577" s="470" t="str">
        <f t="shared" si="33"/>
        <v/>
      </c>
      <c r="I577" s="524" t="str">
        <f t="shared" si="35"/>
        <v>否</v>
      </c>
      <c r="J577" s="312" t="str">
        <f t="shared" si="34"/>
        <v>项</v>
      </c>
    </row>
    <row r="578" s="372" customFormat="1" ht="24" hidden="1" customHeight="1" spans="1:10">
      <c r="A578" s="330">
        <v>2080111</v>
      </c>
      <c r="B578" s="379" t="s">
        <v>587</v>
      </c>
      <c r="C578" s="602">
        <v>0</v>
      </c>
      <c r="D578" s="709">
        <v>0</v>
      </c>
      <c r="E578" s="710">
        <v>0</v>
      </c>
      <c r="F578" s="710">
        <v>0</v>
      </c>
      <c r="G578" s="526" t="str">
        <f t="shared" si="32"/>
        <v/>
      </c>
      <c r="H578" s="470" t="str">
        <f t="shared" si="33"/>
        <v/>
      </c>
      <c r="I578" s="524" t="str">
        <f t="shared" si="35"/>
        <v>否</v>
      </c>
      <c r="J578" s="312" t="str">
        <f t="shared" si="34"/>
        <v>项</v>
      </c>
    </row>
    <row r="579" s="372" customFormat="1" ht="24" hidden="1" customHeight="1" spans="1:10">
      <c r="A579" s="330">
        <v>2080112</v>
      </c>
      <c r="B579" s="379" t="s">
        <v>588</v>
      </c>
      <c r="C579" s="602">
        <v>0</v>
      </c>
      <c r="D579" s="709">
        <v>0</v>
      </c>
      <c r="E579" s="710">
        <v>0</v>
      </c>
      <c r="F579" s="710">
        <v>0</v>
      </c>
      <c r="G579" s="526" t="str">
        <f t="shared" si="32"/>
        <v/>
      </c>
      <c r="H579" s="470" t="str">
        <f t="shared" si="33"/>
        <v/>
      </c>
      <c r="I579" s="524" t="str">
        <f t="shared" si="35"/>
        <v>否</v>
      </c>
      <c r="J579" s="312" t="str">
        <f t="shared" si="34"/>
        <v>项</v>
      </c>
    </row>
    <row r="580" ht="24" customHeight="1" spans="1:10">
      <c r="A580" s="527">
        <v>2080113</v>
      </c>
      <c r="B580" s="534" t="s">
        <v>589</v>
      </c>
      <c r="C580" s="602">
        <v>2</v>
      </c>
      <c r="D580" s="709">
        <v>0</v>
      </c>
      <c r="E580" s="710">
        <v>0</v>
      </c>
      <c r="F580" s="710">
        <v>3</v>
      </c>
      <c r="G580" s="526">
        <f t="shared" si="32"/>
        <v>0.5</v>
      </c>
      <c r="H580" s="470" t="str">
        <f t="shared" si="33"/>
        <v/>
      </c>
      <c r="I580" s="524" t="str">
        <f t="shared" si="35"/>
        <v>是</v>
      </c>
      <c r="J580" s="312" t="str">
        <f t="shared" si="34"/>
        <v>项</v>
      </c>
    </row>
    <row r="581" s="372" customFormat="1" ht="24" hidden="1" customHeight="1" spans="1:10">
      <c r="A581" s="527">
        <v>2080114</v>
      </c>
      <c r="B581" s="534" t="s">
        <v>590</v>
      </c>
      <c r="C581" s="602">
        <v>0</v>
      </c>
      <c r="D581" s="709">
        <v>0</v>
      </c>
      <c r="E581" s="710">
        <v>0</v>
      </c>
      <c r="F581" s="710">
        <v>0</v>
      </c>
      <c r="G581" s="526" t="str">
        <f t="shared" ref="G581:G644" si="36">IFERROR((F581-C581)/C581,"")</f>
        <v/>
      </c>
      <c r="H581" s="470" t="str">
        <f t="shared" ref="H581:H644" si="37">IFERROR(F581/D581,"")</f>
        <v/>
      </c>
      <c r="I581" s="524" t="str">
        <f t="shared" si="35"/>
        <v>否</v>
      </c>
      <c r="J581" s="312" t="str">
        <f t="shared" ref="J581:J644" si="38">IF(LEN(A581)=3,"类",IF(LEN(A581)=5,"款","项"))</f>
        <v>项</v>
      </c>
    </row>
    <row r="582" s="372" customFormat="1" ht="24" hidden="1" customHeight="1" spans="1:10">
      <c r="A582" s="527">
        <v>2080115</v>
      </c>
      <c r="B582" s="534" t="s">
        <v>591</v>
      </c>
      <c r="C582" s="602">
        <v>0</v>
      </c>
      <c r="D582" s="709">
        <v>0</v>
      </c>
      <c r="E582" s="710">
        <v>0</v>
      </c>
      <c r="F582" s="710">
        <v>0</v>
      </c>
      <c r="G582" s="526" t="str">
        <f t="shared" si="36"/>
        <v/>
      </c>
      <c r="H582" s="470" t="str">
        <f t="shared" si="37"/>
        <v/>
      </c>
      <c r="I582" s="524" t="str">
        <f t="shared" ref="I582:I645" si="39">IF(LEN(A582)=3,"是",IF(B582&lt;&gt;"",IF(SUM(C582:F582)&lt;&gt;0,"是","否"),"是"))</f>
        <v>否</v>
      </c>
      <c r="J582" s="312" t="str">
        <f t="shared" si="38"/>
        <v>项</v>
      </c>
    </row>
    <row r="583" s="372" customFormat="1" ht="24" hidden="1" customHeight="1" spans="1:10">
      <c r="A583" s="527">
        <v>2080116</v>
      </c>
      <c r="B583" s="534" t="s">
        <v>592</v>
      </c>
      <c r="C583" s="602">
        <v>0</v>
      </c>
      <c r="D583" s="709">
        <v>0</v>
      </c>
      <c r="E583" s="710">
        <v>0</v>
      </c>
      <c r="F583" s="710">
        <v>0</v>
      </c>
      <c r="G583" s="526" t="str">
        <f t="shared" si="36"/>
        <v/>
      </c>
      <c r="H583" s="470" t="str">
        <f t="shared" si="37"/>
        <v/>
      </c>
      <c r="I583" s="524" t="str">
        <f t="shared" si="39"/>
        <v>否</v>
      </c>
      <c r="J583" s="312" t="str">
        <f t="shared" si="38"/>
        <v>项</v>
      </c>
    </row>
    <row r="584" ht="24" customHeight="1" spans="1:10">
      <c r="A584" s="527">
        <v>2080150</v>
      </c>
      <c r="B584" s="534" t="s">
        <v>221</v>
      </c>
      <c r="C584" s="602">
        <v>273</v>
      </c>
      <c r="D584" s="709">
        <v>286</v>
      </c>
      <c r="E584" s="710">
        <v>286</v>
      </c>
      <c r="F584" s="710">
        <v>292</v>
      </c>
      <c r="G584" s="526">
        <f t="shared" si="36"/>
        <v>0.0695970695970696</v>
      </c>
      <c r="H584" s="470">
        <f t="shared" si="37"/>
        <v>1.02097902097902</v>
      </c>
      <c r="I584" s="524" t="str">
        <f t="shared" si="39"/>
        <v>是</v>
      </c>
      <c r="J584" s="312" t="str">
        <f t="shared" si="38"/>
        <v>项</v>
      </c>
    </row>
    <row r="585" ht="24" customHeight="1" spans="1:10">
      <c r="A585" s="330">
        <v>2080199</v>
      </c>
      <c r="B585" s="379" t="s">
        <v>593</v>
      </c>
      <c r="C585" s="602">
        <v>51</v>
      </c>
      <c r="D585" s="709">
        <v>65</v>
      </c>
      <c r="E585" s="710">
        <v>65</v>
      </c>
      <c r="F585" s="710">
        <v>89</v>
      </c>
      <c r="G585" s="526">
        <f t="shared" si="36"/>
        <v>0.745098039215686</v>
      </c>
      <c r="H585" s="470">
        <f t="shared" si="37"/>
        <v>1.36923076923077</v>
      </c>
      <c r="I585" s="524" t="str">
        <f t="shared" si="39"/>
        <v>是</v>
      </c>
      <c r="J585" s="312" t="str">
        <f t="shared" si="38"/>
        <v>项</v>
      </c>
    </row>
    <row r="586" s="372" customFormat="1" ht="24" customHeight="1" spans="1:10">
      <c r="A586" s="330">
        <v>20802</v>
      </c>
      <c r="B586" s="379" t="s">
        <v>594</v>
      </c>
      <c r="C586" s="601">
        <v>474</v>
      </c>
      <c r="D586" s="708">
        <f>SUM(D587:D593)</f>
        <v>489</v>
      </c>
      <c r="E586" s="708">
        <f>SUM(E587:E593)</f>
        <v>489</v>
      </c>
      <c r="F586" s="708">
        <f>SUM(F587:F593)</f>
        <v>486</v>
      </c>
      <c r="G586" s="523">
        <f t="shared" si="36"/>
        <v>0.0253164556962025</v>
      </c>
      <c r="H586" s="467">
        <f t="shared" si="37"/>
        <v>0.993865030674847</v>
      </c>
      <c r="I586" s="524" t="str">
        <f t="shared" si="39"/>
        <v>是</v>
      </c>
      <c r="J586" s="312" t="str">
        <f t="shared" si="38"/>
        <v>款</v>
      </c>
    </row>
    <row r="587" s="372" customFormat="1" ht="24" customHeight="1" spans="1:10">
      <c r="A587" s="330">
        <v>2080201</v>
      </c>
      <c r="B587" s="379" t="s">
        <v>212</v>
      </c>
      <c r="C587" s="602">
        <v>332</v>
      </c>
      <c r="D587" s="709">
        <v>355</v>
      </c>
      <c r="E587" s="710">
        <v>355</v>
      </c>
      <c r="F587" s="710">
        <v>371</v>
      </c>
      <c r="G587" s="526">
        <f t="shared" si="36"/>
        <v>0.117469879518072</v>
      </c>
      <c r="H587" s="470">
        <f t="shared" si="37"/>
        <v>1.04507042253521</v>
      </c>
      <c r="I587" s="524" t="str">
        <f t="shared" si="39"/>
        <v>是</v>
      </c>
      <c r="J587" s="312" t="str">
        <f t="shared" si="38"/>
        <v>项</v>
      </c>
    </row>
    <row r="588" s="372" customFormat="1" ht="24" customHeight="1" spans="1:10">
      <c r="A588" s="330">
        <v>2080202</v>
      </c>
      <c r="B588" s="379" t="s">
        <v>213</v>
      </c>
      <c r="C588" s="602">
        <v>11</v>
      </c>
      <c r="D588" s="709">
        <v>13</v>
      </c>
      <c r="E588" s="710">
        <v>13</v>
      </c>
      <c r="F588" s="710">
        <v>0</v>
      </c>
      <c r="G588" s="526">
        <f t="shared" si="36"/>
        <v>-1</v>
      </c>
      <c r="H588" s="470">
        <f t="shared" si="37"/>
        <v>0</v>
      </c>
      <c r="I588" s="524" t="str">
        <f t="shared" si="39"/>
        <v>是</v>
      </c>
      <c r="J588" s="312" t="str">
        <f t="shared" si="38"/>
        <v>项</v>
      </c>
    </row>
    <row r="589" s="372" customFormat="1" ht="24" hidden="1" customHeight="1" spans="1:10">
      <c r="A589" s="330">
        <v>2080203</v>
      </c>
      <c r="B589" s="379" t="s">
        <v>214</v>
      </c>
      <c r="C589" s="602">
        <v>0</v>
      </c>
      <c r="D589" s="709">
        <v>0</v>
      </c>
      <c r="E589" s="710">
        <v>0</v>
      </c>
      <c r="F589" s="710">
        <v>0</v>
      </c>
      <c r="G589" s="526" t="str">
        <f t="shared" si="36"/>
        <v/>
      </c>
      <c r="H589" s="470" t="str">
        <f t="shared" si="37"/>
        <v/>
      </c>
      <c r="I589" s="524" t="str">
        <f t="shared" si="39"/>
        <v>否</v>
      </c>
      <c r="J589" s="312" t="str">
        <f t="shared" si="38"/>
        <v>项</v>
      </c>
    </row>
    <row r="590" s="372" customFormat="1" ht="24" hidden="1" customHeight="1" spans="1:10">
      <c r="A590" s="330">
        <v>2080206</v>
      </c>
      <c r="B590" s="379" t="s">
        <v>595</v>
      </c>
      <c r="C590" s="602">
        <v>0</v>
      </c>
      <c r="D590" s="709">
        <v>0</v>
      </c>
      <c r="E590" s="710">
        <v>0</v>
      </c>
      <c r="F590" s="710">
        <v>0</v>
      </c>
      <c r="G590" s="526" t="str">
        <f t="shared" si="36"/>
        <v/>
      </c>
      <c r="H590" s="470" t="str">
        <f t="shared" si="37"/>
        <v/>
      </c>
      <c r="I590" s="524" t="str">
        <f t="shared" si="39"/>
        <v>否</v>
      </c>
      <c r="J590" s="312" t="str">
        <f t="shared" si="38"/>
        <v>项</v>
      </c>
    </row>
    <row r="591" s="372" customFormat="1" ht="24" hidden="1" customHeight="1" spans="1:10">
      <c r="A591" s="330">
        <v>2080207</v>
      </c>
      <c r="B591" s="379" t="s">
        <v>596</v>
      </c>
      <c r="C591" s="602">
        <v>0</v>
      </c>
      <c r="D591" s="709">
        <v>0</v>
      </c>
      <c r="E591" s="710">
        <v>0</v>
      </c>
      <c r="F591" s="710">
        <v>0</v>
      </c>
      <c r="G591" s="526" t="str">
        <f t="shared" si="36"/>
        <v/>
      </c>
      <c r="H591" s="470" t="str">
        <f t="shared" si="37"/>
        <v/>
      </c>
      <c r="I591" s="524" t="str">
        <f t="shared" si="39"/>
        <v>否</v>
      </c>
      <c r="J591" s="312" t="str">
        <f t="shared" si="38"/>
        <v>项</v>
      </c>
    </row>
    <row r="592" s="374" customFormat="1" ht="24" hidden="1" customHeight="1" spans="1:10">
      <c r="A592" s="354">
        <v>2080209</v>
      </c>
      <c r="B592" s="327" t="s">
        <v>598</v>
      </c>
      <c r="C592" s="608"/>
      <c r="D592" s="709">
        <v>0</v>
      </c>
      <c r="E592" s="710">
        <v>0</v>
      </c>
      <c r="F592" s="710">
        <v>0</v>
      </c>
      <c r="G592" s="526" t="str">
        <f t="shared" si="36"/>
        <v/>
      </c>
      <c r="H592" s="470" t="str">
        <f t="shared" si="37"/>
        <v/>
      </c>
      <c r="I592" s="524" t="str">
        <f t="shared" si="39"/>
        <v>否</v>
      </c>
      <c r="J592" s="313" t="str">
        <f t="shared" si="38"/>
        <v>项</v>
      </c>
    </row>
    <row r="593" s="372" customFormat="1" ht="24" customHeight="1" spans="1:10">
      <c r="A593" s="330">
        <v>2080299</v>
      </c>
      <c r="B593" s="379" t="s">
        <v>599</v>
      </c>
      <c r="C593" s="602">
        <v>131</v>
      </c>
      <c r="D593" s="709">
        <v>121</v>
      </c>
      <c r="E593" s="710">
        <v>121</v>
      </c>
      <c r="F593" s="710">
        <v>115</v>
      </c>
      <c r="G593" s="526">
        <f t="shared" si="36"/>
        <v>-0.122137404580153</v>
      </c>
      <c r="H593" s="470">
        <f t="shared" si="37"/>
        <v>0.950413223140496</v>
      </c>
      <c r="I593" s="524" t="str">
        <f t="shared" si="39"/>
        <v>是</v>
      </c>
      <c r="J593" s="312" t="str">
        <f t="shared" si="38"/>
        <v>项</v>
      </c>
    </row>
    <row r="594" s="372" customFormat="1" ht="24" hidden="1" customHeight="1" spans="1:10">
      <c r="A594" s="330">
        <v>20804</v>
      </c>
      <c r="B594" s="379" t="s">
        <v>600</v>
      </c>
      <c r="C594" s="601">
        <v>0</v>
      </c>
      <c r="D594" s="708">
        <f>D595</f>
        <v>0</v>
      </c>
      <c r="E594" s="708">
        <f>E595</f>
        <v>0</v>
      </c>
      <c r="F594" s="708">
        <f>F595</f>
        <v>0</v>
      </c>
      <c r="G594" s="523" t="str">
        <f t="shared" si="36"/>
        <v/>
      </c>
      <c r="H594" s="467" t="str">
        <f t="shared" si="37"/>
        <v/>
      </c>
      <c r="I594" s="524" t="str">
        <f t="shared" si="39"/>
        <v>否</v>
      </c>
      <c r="J594" s="312" t="str">
        <f t="shared" si="38"/>
        <v>款</v>
      </c>
    </row>
    <row r="595" s="372" customFormat="1" ht="24" hidden="1" customHeight="1" spans="1:10">
      <c r="A595" s="330">
        <v>2080402</v>
      </c>
      <c r="B595" s="379" t="s">
        <v>601</v>
      </c>
      <c r="C595" s="602">
        <v>0</v>
      </c>
      <c r="D595" s="709"/>
      <c r="E595" s="710">
        <v>0</v>
      </c>
      <c r="F595" s="710">
        <v>0</v>
      </c>
      <c r="G595" s="526" t="str">
        <f t="shared" si="36"/>
        <v/>
      </c>
      <c r="H595" s="470" t="str">
        <f t="shared" si="37"/>
        <v/>
      </c>
      <c r="I595" s="524" t="str">
        <f t="shared" si="39"/>
        <v>否</v>
      </c>
      <c r="J595" s="312" t="str">
        <f t="shared" si="38"/>
        <v>项</v>
      </c>
    </row>
    <row r="596" s="372" customFormat="1" ht="24" customHeight="1" spans="1:10">
      <c r="A596" s="330">
        <v>20805</v>
      </c>
      <c r="B596" s="379" t="s">
        <v>602</v>
      </c>
      <c r="C596" s="601">
        <v>21481</v>
      </c>
      <c r="D596" s="708">
        <f>SUM(D597:D604)</f>
        <v>22912</v>
      </c>
      <c r="E596" s="708">
        <f>SUM(E597:E604)</f>
        <v>22912</v>
      </c>
      <c r="F596" s="708">
        <f>SUM(F597:F604)</f>
        <v>22047</v>
      </c>
      <c r="G596" s="523">
        <f t="shared" si="36"/>
        <v>0.0263488664401099</v>
      </c>
      <c r="H596" s="467">
        <f t="shared" si="37"/>
        <v>0.962246857541899</v>
      </c>
      <c r="I596" s="524" t="str">
        <f t="shared" si="39"/>
        <v>是</v>
      </c>
      <c r="J596" s="312" t="str">
        <f t="shared" si="38"/>
        <v>款</v>
      </c>
    </row>
    <row r="597" s="372" customFormat="1" ht="24" customHeight="1" spans="1:10">
      <c r="A597" s="330">
        <v>2080501</v>
      </c>
      <c r="B597" s="379" t="s">
        <v>603</v>
      </c>
      <c r="C597" s="602">
        <v>3518</v>
      </c>
      <c r="D597" s="709">
        <v>3825</v>
      </c>
      <c r="E597" s="710">
        <v>3825</v>
      </c>
      <c r="F597" s="710">
        <v>4059</v>
      </c>
      <c r="G597" s="526">
        <f t="shared" si="36"/>
        <v>0.153780557134736</v>
      </c>
      <c r="H597" s="470">
        <f t="shared" si="37"/>
        <v>1.06117647058824</v>
      </c>
      <c r="I597" s="524" t="str">
        <f t="shared" si="39"/>
        <v>是</v>
      </c>
      <c r="J597" s="312" t="str">
        <f t="shared" si="38"/>
        <v>项</v>
      </c>
    </row>
    <row r="598" s="372" customFormat="1" ht="24" customHeight="1" spans="1:10">
      <c r="A598" s="330">
        <v>2080502</v>
      </c>
      <c r="B598" s="379" t="s">
        <v>604</v>
      </c>
      <c r="C598" s="602">
        <v>3222</v>
      </c>
      <c r="D598" s="709">
        <v>3452</v>
      </c>
      <c r="E598" s="710">
        <v>3452</v>
      </c>
      <c r="F598" s="710">
        <v>3326</v>
      </c>
      <c r="G598" s="526">
        <f t="shared" si="36"/>
        <v>0.0322780881440099</v>
      </c>
      <c r="H598" s="470">
        <f t="shared" si="37"/>
        <v>0.963499420625724</v>
      </c>
      <c r="I598" s="524" t="str">
        <f t="shared" si="39"/>
        <v>是</v>
      </c>
      <c r="J598" s="312" t="str">
        <f t="shared" si="38"/>
        <v>项</v>
      </c>
    </row>
    <row r="599" s="372" customFormat="1" ht="24" customHeight="1" spans="1:10">
      <c r="A599" s="330">
        <v>2080503</v>
      </c>
      <c r="B599" s="379" t="s">
        <v>605</v>
      </c>
      <c r="C599" s="602">
        <v>164</v>
      </c>
      <c r="D599" s="709">
        <v>178</v>
      </c>
      <c r="E599" s="710">
        <v>178</v>
      </c>
      <c r="F599" s="710">
        <v>161</v>
      </c>
      <c r="G599" s="526">
        <f t="shared" si="36"/>
        <v>-0.0182926829268293</v>
      </c>
      <c r="H599" s="470">
        <f t="shared" si="37"/>
        <v>0.904494382022472</v>
      </c>
      <c r="I599" s="524" t="str">
        <f t="shared" si="39"/>
        <v>是</v>
      </c>
      <c r="J599" s="312" t="str">
        <f t="shared" si="38"/>
        <v>项</v>
      </c>
    </row>
    <row r="600" s="372" customFormat="1" ht="24" customHeight="1" spans="1:10">
      <c r="A600" s="330">
        <v>2080505</v>
      </c>
      <c r="B600" s="379" t="s">
        <v>606</v>
      </c>
      <c r="C600" s="602">
        <v>10285</v>
      </c>
      <c r="D600" s="709">
        <v>10885</v>
      </c>
      <c r="E600" s="710">
        <v>10885</v>
      </c>
      <c r="F600" s="710">
        <v>10188</v>
      </c>
      <c r="G600" s="526">
        <f t="shared" si="36"/>
        <v>-0.00943121050072922</v>
      </c>
      <c r="H600" s="470">
        <f t="shared" si="37"/>
        <v>0.935966926963712</v>
      </c>
      <c r="I600" s="524" t="str">
        <f t="shared" si="39"/>
        <v>是</v>
      </c>
      <c r="J600" s="312" t="str">
        <f t="shared" si="38"/>
        <v>项</v>
      </c>
    </row>
    <row r="601" s="372" customFormat="1" ht="24" customHeight="1" spans="1:10">
      <c r="A601" s="330">
        <v>2080506</v>
      </c>
      <c r="B601" s="379" t="s">
        <v>607</v>
      </c>
      <c r="C601" s="602">
        <v>2011</v>
      </c>
      <c r="D601" s="709">
        <v>2156</v>
      </c>
      <c r="E601" s="710">
        <v>2156</v>
      </c>
      <c r="F601" s="710">
        <v>2037</v>
      </c>
      <c r="G601" s="526">
        <f t="shared" si="36"/>
        <v>0.0129288910989557</v>
      </c>
      <c r="H601" s="470">
        <f t="shared" si="37"/>
        <v>0.944805194805195</v>
      </c>
      <c r="I601" s="524" t="str">
        <f t="shared" si="39"/>
        <v>是</v>
      </c>
      <c r="J601" s="312" t="str">
        <f t="shared" si="38"/>
        <v>项</v>
      </c>
    </row>
    <row r="602" s="372" customFormat="1" ht="24" customHeight="1" spans="1:10">
      <c r="A602" s="330">
        <v>2080507</v>
      </c>
      <c r="B602" s="379" t="s">
        <v>608</v>
      </c>
      <c r="C602" s="602">
        <v>1875</v>
      </c>
      <c r="D602" s="709">
        <v>2000</v>
      </c>
      <c r="E602" s="710">
        <v>2000</v>
      </c>
      <c r="F602" s="710">
        <v>1801</v>
      </c>
      <c r="G602" s="526">
        <f t="shared" si="36"/>
        <v>-0.0394666666666667</v>
      </c>
      <c r="H602" s="470">
        <f t="shared" si="37"/>
        <v>0.9005</v>
      </c>
      <c r="I602" s="524" t="str">
        <f t="shared" si="39"/>
        <v>是</v>
      </c>
      <c r="J602" s="312" t="str">
        <f t="shared" si="38"/>
        <v>项</v>
      </c>
    </row>
    <row r="603" s="372" customFormat="1" ht="24" hidden="1" customHeight="1" spans="1:10">
      <c r="A603" s="527">
        <v>2080508</v>
      </c>
      <c r="B603" s="534" t="s">
        <v>609</v>
      </c>
      <c r="C603" s="602">
        <v>0</v>
      </c>
      <c r="D603" s="709">
        <v>0</v>
      </c>
      <c r="E603" s="710">
        <v>0</v>
      </c>
      <c r="F603" s="710">
        <v>0</v>
      </c>
      <c r="G603" s="526" t="str">
        <f t="shared" si="36"/>
        <v/>
      </c>
      <c r="H603" s="470" t="str">
        <f t="shared" si="37"/>
        <v/>
      </c>
      <c r="I603" s="524" t="str">
        <f t="shared" si="39"/>
        <v>否</v>
      </c>
      <c r="J603" s="312" t="str">
        <f t="shared" si="38"/>
        <v>项</v>
      </c>
    </row>
    <row r="604" ht="24" customHeight="1" spans="1:10">
      <c r="A604" s="330">
        <v>2080599</v>
      </c>
      <c r="B604" s="379" t="s">
        <v>610</v>
      </c>
      <c r="C604" s="602">
        <v>406</v>
      </c>
      <c r="D604" s="709">
        <v>416</v>
      </c>
      <c r="E604" s="710">
        <v>416</v>
      </c>
      <c r="F604" s="710">
        <v>475</v>
      </c>
      <c r="G604" s="526">
        <f t="shared" si="36"/>
        <v>0.169950738916256</v>
      </c>
      <c r="H604" s="470">
        <f t="shared" si="37"/>
        <v>1.14182692307692</v>
      </c>
      <c r="I604" s="524" t="str">
        <f t="shared" si="39"/>
        <v>是</v>
      </c>
      <c r="J604" s="312" t="str">
        <f t="shared" si="38"/>
        <v>项</v>
      </c>
    </row>
    <row r="605" s="372" customFormat="1" ht="24" customHeight="1" spans="1:10">
      <c r="A605" s="330">
        <v>20806</v>
      </c>
      <c r="B605" s="379" t="s">
        <v>611</v>
      </c>
      <c r="C605" s="601">
        <v>1</v>
      </c>
      <c r="D605" s="708">
        <f>SUM(D606:D608)</f>
        <v>0</v>
      </c>
      <c r="E605" s="708">
        <f>SUM(E606:E608)</f>
        <v>0</v>
      </c>
      <c r="F605" s="708">
        <f>SUM(F606:F608)</f>
        <v>1</v>
      </c>
      <c r="G605" s="523">
        <f t="shared" si="36"/>
        <v>0</v>
      </c>
      <c r="H605" s="467" t="str">
        <f t="shared" si="37"/>
        <v/>
      </c>
      <c r="I605" s="524" t="str">
        <f t="shared" si="39"/>
        <v>是</v>
      </c>
      <c r="J605" s="312" t="str">
        <f t="shared" si="38"/>
        <v>款</v>
      </c>
    </row>
    <row r="606" s="372" customFormat="1" ht="24" customHeight="1" spans="1:10">
      <c r="A606" s="330">
        <v>2080601</v>
      </c>
      <c r="B606" s="379" t="s">
        <v>612</v>
      </c>
      <c r="C606" s="602">
        <v>1</v>
      </c>
      <c r="D606" s="709"/>
      <c r="E606" s="710">
        <v>0</v>
      </c>
      <c r="F606" s="710">
        <v>1</v>
      </c>
      <c r="G606" s="526">
        <f t="shared" si="36"/>
        <v>0</v>
      </c>
      <c r="H606" s="470" t="str">
        <f t="shared" si="37"/>
        <v/>
      </c>
      <c r="I606" s="524" t="str">
        <f t="shared" si="39"/>
        <v>是</v>
      </c>
      <c r="J606" s="312" t="str">
        <f t="shared" si="38"/>
        <v>项</v>
      </c>
    </row>
    <row r="607" s="372" customFormat="1" ht="24" hidden="1" customHeight="1" spans="1:10">
      <c r="A607" s="330">
        <v>2080602</v>
      </c>
      <c r="B607" s="379" t="s">
        <v>613</v>
      </c>
      <c r="C607" s="602">
        <v>0</v>
      </c>
      <c r="D607" s="709"/>
      <c r="E607" s="710">
        <v>0</v>
      </c>
      <c r="F607" s="710">
        <v>0</v>
      </c>
      <c r="G607" s="526" t="str">
        <f t="shared" si="36"/>
        <v/>
      </c>
      <c r="H607" s="470" t="str">
        <f t="shared" si="37"/>
        <v/>
      </c>
      <c r="I607" s="524" t="str">
        <f t="shared" si="39"/>
        <v>否</v>
      </c>
      <c r="J607" s="312" t="str">
        <f t="shared" si="38"/>
        <v>项</v>
      </c>
    </row>
    <row r="608" s="372" customFormat="1" ht="24" hidden="1" customHeight="1" spans="1:10">
      <c r="A608" s="330">
        <v>2080699</v>
      </c>
      <c r="B608" s="379" t="s">
        <v>614</v>
      </c>
      <c r="C608" s="602">
        <v>0</v>
      </c>
      <c r="D608" s="709"/>
      <c r="E608" s="710">
        <v>0</v>
      </c>
      <c r="F608" s="710">
        <v>0</v>
      </c>
      <c r="G608" s="526" t="str">
        <f t="shared" si="36"/>
        <v/>
      </c>
      <c r="H608" s="470" t="str">
        <f t="shared" si="37"/>
        <v/>
      </c>
      <c r="I608" s="524" t="str">
        <f t="shared" si="39"/>
        <v>否</v>
      </c>
      <c r="J608" s="312" t="str">
        <f t="shared" si="38"/>
        <v>项</v>
      </c>
    </row>
    <row r="609" s="372" customFormat="1" ht="24" customHeight="1" spans="1:10">
      <c r="A609" s="330">
        <v>20807</v>
      </c>
      <c r="B609" s="379" t="s">
        <v>615</v>
      </c>
      <c r="C609" s="601">
        <v>1174</v>
      </c>
      <c r="D609" s="708">
        <f>SUM(D610:D618)</f>
        <v>1186</v>
      </c>
      <c r="E609" s="708">
        <f>SUM(E610:E618)</f>
        <v>1186</v>
      </c>
      <c r="F609" s="708">
        <f>SUM(F610:F618)</f>
        <v>1282</v>
      </c>
      <c r="G609" s="523">
        <f t="shared" si="36"/>
        <v>0.0919931856899489</v>
      </c>
      <c r="H609" s="467">
        <f t="shared" si="37"/>
        <v>1.08094435075885</v>
      </c>
      <c r="I609" s="524" t="str">
        <f t="shared" si="39"/>
        <v>是</v>
      </c>
      <c r="J609" s="312" t="str">
        <f t="shared" si="38"/>
        <v>款</v>
      </c>
    </row>
    <row r="610" s="374" customFormat="1" ht="24" customHeight="1" spans="1:10">
      <c r="A610" s="331">
        <v>2080701</v>
      </c>
      <c r="B610" s="327" t="s">
        <v>616</v>
      </c>
      <c r="C610" s="608">
        <v>47</v>
      </c>
      <c r="D610" s="709">
        <v>50</v>
      </c>
      <c r="E610" s="710">
        <v>50</v>
      </c>
      <c r="F610" s="710">
        <v>0</v>
      </c>
      <c r="G610" s="526">
        <f t="shared" si="36"/>
        <v>-1</v>
      </c>
      <c r="H610" s="470">
        <f t="shared" si="37"/>
        <v>0</v>
      </c>
      <c r="I610" s="524" t="str">
        <f t="shared" si="39"/>
        <v>是</v>
      </c>
      <c r="J610" s="313" t="str">
        <f t="shared" si="38"/>
        <v>项</v>
      </c>
    </row>
    <row r="611" s="372" customFormat="1" ht="24" hidden="1" customHeight="1" spans="1:10">
      <c r="A611" s="330">
        <v>2080702</v>
      </c>
      <c r="B611" s="379" t="s">
        <v>617</v>
      </c>
      <c r="C611" s="602">
        <v>0</v>
      </c>
      <c r="D611" s="709">
        <v>0</v>
      </c>
      <c r="E611" s="710">
        <v>0</v>
      </c>
      <c r="F611" s="710">
        <v>0</v>
      </c>
      <c r="G611" s="526" t="str">
        <f t="shared" si="36"/>
        <v/>
      </c>
      <c r="H611" s="470" t="str">
        <f t="shared" si="37"/>
        <v/>
      </c>
      <c r="I611" s="524" t="str">
        <f t="shared" si="39"/>
        <v>否</v>
      </c>
      <c r="J611" s="312" t="str">
        <f t="shared" si="38"/>
        <v>项</v>
      </c>
    </row>
    <row r="612" s="372" customFormat="1" ht="24" customHeight="1" spans="1:10">
      <c r="A612" s="330">
        <v>2080704</v>
      </c>
      <c r="B612" s="379" t="s">
        <v>618</v>
      </c>
      <c r="C612" s="602">
        <v>51</v>
      </c>
      <c r="D612" s="709">
        <v>50</v>
      </c>
      <c r="E612" s="710">
        <v>50</v>
      </c>
      <c r="F612" s="710">
        <v>165</v>
      </c>
      <c r="G612" s="526">
        <f t="shared" si="36"/>
        <v>2.23529411764706</v>
      </c>
      <c r="H612" s="470">
        <f t="shared" si="37"/>
        <v>3.3</v>
      </c>
      <c r="I612" s="524" t="str">
        <f t="shared" si="39"/>
        <v>是</v>
      </c>
      <c r="J612" s="312" t="str">
        <f t="shared" si="38"/>
        <v>项</v>
      </c>
    </row>
    <row r="613" s="372" customFormat="1" ht="24" customHeight="1" spans="1:10">
      <c r="A613" s="330">
        <v>2080705</v>
      </c>
      <c r="B613" s="379" t="s">
        <v>619</v>
      </c>
      <c r="C613" s="602">
        <v>653</v>
      </c>
      <c r="D613" s="709">
        <v>665</v>
      </c>
      <c r="E613" s="710">
        <v>665</v>
      </c>
      <c r="F613" s="710">
        <v>319</v>
      </c>
      <c r="G613" s="526">
        <f t="shared" si="36"/>
        <v>-0.511485451761103</v>
      </c>
      <c r="H613" s="470">
        <f t="shared" si="37"/>
        <v>0.479699248120301</v>
      </c>
      <c r="I613" s="524" t="str">
        <f t="shared" si="39"/>
        <v>是</v>
      </c>
      <c r="J613" s="312" t="str">
        <f t="shared" si="38"/>
        <v>项</v>
      </c>
    </row>
    <row r="614" s="313" customFormat="1" ht="24" hidden="1" customHeight="1" spans="1:11">
      <c r="A614" s="331">
        <v>2080709</v>
      </c>
      <c r="B614" s="327" t="s">
        <v>620</v>
      </c>
      <c r="C614" s="608">
        <v>0</v>
      </c>
      <c r="D614" s="709">
        <v>0</v>
      </c>
      <c r="E614" s="710">
        <v>0</v>
      </c>
      <c r="F614" s="710">
        <v>0</v>
      </c>
      <c r="G614" s="526" t="str">
        <f t="shared" si="36"/>
        <v/>
      </c>
      <c r="H614" s="470" t="str">
        <f t="shared" si="37"/>
        <v/>
      </c>
      <c r="I614" s="524" t="str">
        <f t="shared" si="39"/>
        <v>否</v>
      </c>
      <c r="J614" s="313" t="str">
        <f t="shared" si="38"/>
        <v>项</v>
      </c>
      <c r="K614" s="374"/>
    </row>
    <row r="615" s="374" customFormat="1" ht="24" hidden="1" customHeight="1" spans="1:10">
      <c r="A615" s="331">
        <v>2080711</v>
      </c>
      <c r="B615" s="327" t="s">
        <v>621</v>
      </c>
      <c r="C615" s="608">
        <v>0</v>
      </c>
      <c r="D615" s="709">
        <v>0</v>
      </c>
      <c r="E615" s="710">
        <v>0</v>
      </c>
      <c r="F615" s="710">
        <v>0</v>
      </c>
      <c r="G615" s="526" t="str">
        <f t="shared" si="36"/>
        <v/>
      </c>
      <c r="H615" s="470" t="str">
        <f t="shared" si="37"/>
        <v/>
      </c>
      <c r="I615" s="524" t="str">
        <f t="shared" si="39"/>
        <v>否</v>
      </c>
      <c r="J615" s="313" t="str">
        <f t="shared" si="38"/>
        <v>项</v>
      </c>
    </row>
    <row r="616" s="374" customFormat="1" ht="24" customHeight="1" spans="1:10">
      <c r="A616" s="331">
        <v>2080712</v>
      </c>
      <c r="B616" s="327" t="s">
        <v>622</v>
      </c>
      <c r="C616" s="608">
        <v>0</v>
      </c>
      <c r="D616" s="709">
        <v>0</v>
      </c>
      <c r="E616" s="710">
        <v>0</v>
      </c>
      <c r="F616" s="710">
        <v>266</v>
      </c>
      <c r="G616" s="526" t="str">
        <f t="shared" si="36"/>
        <v/>
      </c>
      <c r="H616" s="470" t="str">
        <f t="shared" si="37"/>
        <v/>
      </c>
      <c r="I616" s="524" t="str">
        <f t="shared" si="39"/>
        <v>是</v>
      </c>
      <c r="J616" s="313" t="str">
        <f t="shared" si="38"/>
        <v>项</v>
      </c>
    </row>
    <row r="617" s="374" customFormat="1" ht="24" customHeight="1" spans="1:10">
      <c r="A617" s="331">
        <v>2080713</v>
      </c>
      <c r="B617" s="327" t="s">
        <v>623</v>
      </c>
      <c r="C617" s="608">
        <v>406</v>
      </c>
      <c r="D617" s="709">
        <v>400</v>
      </c>
      <c r="E617" s="710">
        <v>400</v>
      </c>
      <c r="F617" s="710">
        <v>426</v>
      </c>
      <c r="G617" s="526">
        <f t="shared" si="36"/>
        <v>0.0492610837438424</v>
      </c>
      <c r="H617" s="470">
        <f t="shared" si="37"/>
        <v>1.065</v>
      </c>
      <c r="I617" s="524" t="str">
        <f t="shared" si="39"/>
        <v>是</v>
      </c>
      <c r="J617" s="313" t="str">
        <f t="shared" si="38"/>
        <v>项</v>
      </c>
    </row>
    <row r="618" s="374" customFormat="1" ht="24" customHeight="1" spans="1:10">
      <c r="A618" s="331">
        <v>2080799</v>
      </c>
      <c r="B618" s="327" t="s">
        <v>624</v>
      </c>
      <c r="C618" s="608">
        <v>17</v>
      </c>
      <c r="D618" s="709">
        <v>21</v>
      </c>
      <c r="E618" s="710">
        <v>21</v>
      </c>
      <c r="F618" s="710">
        <v>106</v>
      </c>
      <c r="G618" s="526">
        <f t="shared" si="36"/>
        <v>5.23529411764706</v>
      </c>
      <c r="H618" s="470">
        <f t="shared" si="37"/>
        <v>5.04761904761905</v>
      </c>
      <c r="I618" s="524" t="str">
        <f t="shared" si="39"/>
        <v>是</v>
      </c>
      <c r="J618" s="313" t="str">
        <f t="shared" si="38"/>
        <v>项</v>
      </c>
    </row>
    <row r="619" s="372" customFormat="1" ht="24" customHeight="1" spans="1:10">
      <c r="A619" s="330">
        <v>20808</v>
      </c>
      <c r="B619" s="379" t="s">
        <v>625</v>
      </c>
      <c r="C619" s="601">
        <v>1302</v>
      </c>
      <c r="D619" s="708">
        <f>SUM(D620:D627)</f>
        <v>1336</v>
      </c>
      <c r="E619" s="708">
        <f>SUM(E620:E627)</f>
        <v>1336</v>
      </c>
      <c r="F619" s="708">
        <f>SUM(F620:F627)</f>
        <v>1133</v>
      </c>
      <c r="G619" s="523">
        <f t="shared" si="36"/>
        <v>-0.129800307219662</v>
      </c>
      <c r="H619" s="467">
        <f t="shared" si="37"/>
        <v>0.848053892215569</v>
      </c>
      <c r="I619" s="524" t="str">
        <f t="shared" si="39"/>
        <v>是</v>
      </c>
      <c r="J619" s="312" t="str">
        <f t="shared" si="38"/>
        <v>款</v>
      </c>
    </row>
    <row r="620" s="372" customFormat="1" ht="24" customHeight="1" spans="1:10">
      <c r="A620" s="330">
        <v>2080801</v>
      </c>
      <c r="B620" s="379" t="s">
        <v>626</v>
      </c>
      <c r="C620" s="602">
        <v>1279</v>
      </c>
      <c r="D620" s="709">
        <v>1215</v>
      </c>
      <c r="E620" s="710">
        <v>1215</v>
      </c>
      <c r="F620" s="710">
        <v>1061</v>
      </c>
      <c r="G620" s="526">
        <f t="shared" si="36"/>
        <v>-0.1704456606724</v>
      </c>
      <c r="H620" s="470">
        <f t="shared" si="37"/>
        <v>0.873251028806584</v>
      </c>
      <c r="I620" s="524" t="str">
        <f t="shared" si="39"/>
        <v>是</v>
      </c>
      <c r="J620" s="312" t="str">
        <f t="shared" si="38"/>
        <v>项</v>
      </c>
    </row>
    <row r="621" s="372" customFormat="1" ht="24" hidden="1" customHeight="1" spans="1:10">
      <c r="A621" s="330">
        <v>2080802</v>
      </c>
      <c r="B621" s="379" t="s">
        <v>627</v>
      </c>
      <c r="C621" s="602">
        <v>0</v>
      </c>
      <c r="D621" s="709">
        <v>0</v>
      </c>
      <c r="E621" s="710">
        <v>0</v>
      </c>
      <c r="F621" s="710">
        <v>0</v>
      </c>
      <c r="G621" s="526" t="str">
        <f t="shared" si="36"/>
        <v/>
      </c>
      <c r="H621" s="470" t="str">
        <f t="shared" si="37"/>
        <v/>
      </c>
      <c r="I621" s="524" t="str">
        <f t="shared" si="39"/>
        <v>否</v>
      </c>
      <c r="J621" s="312" t="str">
        <f t="shared" si="38"/>
        <v>项</v>
      </c>
    </row>
    <row r="622" s="488" customFormat="1" ht="24" hidden="1" customHeight="1" spans="1:10">
      <c r="A622" s="330">
        <v>2080803</v>
      </c>
      <c r="B622" s="379" t="s">
        <v>628</v>
      </c>
      <c r="C622" s="602">
        <v>0</v>
      </c>
      <c r="D622" s="709">
        <v>0</v>
      </c>
      <c r="E622" s="710">
        <v>0</v>
      </c>
      <c r="F622" s="710">
        <v>0</v>
      </c>
      <c r="G622" s="526" t="str">
        <f t="shared" si="36"/>
        <v/>
      </c>
      <c r="H622" s="470" t="str">
        <f t="shared" si="37"/>
        <v/>
      </c>
      <c r="I622" s="524" t="str">
        <f t="shared" si="39"/>
        <v>否</v>
      </c>
      <c r="J622" s="312" t="str">
        <f t="shared" si="38"/>
        <v>项</v>
      </c>
    </row>
    <row r="623" ht="24" customHeight="1" spans="1:10">
      <c r="A623" s="330">
        <v>2080805</v>
      </c>
      <c r="B623" s="379" t="s">
        <v>629</v>
      </c>
      <c r="C623" s="602">
        <v>0</v>
      </c>
      <c r="D623" s="709">
        <v>101</v>
      </c>
      <c r="E623" s="710">
        <v>101</v>
      </c>
      <c r="F623" s="710">
        <v>0</v>
      </c>
      <c r="G623" s="526" t="str">
        <f t="shared" si="36"/>
        <v/>
      </c>
      <c r="H623" s="470">
        <f t="shared" si="37"/>
        <v>0</v>
      </c>
      <c r="I623" s="524" t="str">
        <f t="shared" si="39"/>
        <v>是</v>
      </c>
      <c r="J623" s="312" t="str">
        <f t="shared" si="38"/>
        <v>项</v>
      </c>
    </row>
    <row r="624" s="372" customFormat="1" ht="24" hidden="1" customHeight="1" spans="1:10">
      <c r="A624" s="330">
        <v>2080806</v>
      </c>
      <c r="B624" s="379" t="s">
        <v>630</v>
      </c>
      <c r="C624" s="602">
        <v>0</v>
      </c>
      <c r="D624" s="709"/>
      <c r="E624" s="710">
        <v>0</v>
      </c>
      <c r="F624" s="710">
        <v>0</v>
      </c>
      <c r="G624" s="526" t="str">
        <f t="shared" si="36"/>
        <v/>
      </c>
      <c r="H624" s="470" t="str">
        <f t="shared" si="37"/>
        <v/>
      </c>
      <c r="I624" s="524" t="str">
        <f t="shared" si="39"/>
        <v>否</v>
      </c>
      <c r="J624" s="312" t="str">
        <f t="shared" si="38"/>
        <v>项</v>
      </c>
    </row>
    <row r="625" s="372" customFormat="1" ht="24" hidden="1" customHeight="1" spans="1:10">
      <c r="A625" s="330">
        <v>2080807</v>
      </c>
      <c r="B625" s="405" t="s">
        <v>631</v>
      </c>
      <c r="C625" s="602">
        <v>0</v>
      </c>
      <c r="D625" s="709">
        <v>0</v>
      </c>
      <c r="E625" s="710">
        <v>0</v>
      </c>
      <c r="F625" s="710">
        <v>0</v>
      </c>
      <c r="G625" s="526" t="str">
        <f t="shared" si="36"/>
        <v/>
      </c>
      <c r="H625" s="470" t="str">
        <f t="shared" si="37"/>
        <v/>
      </c>
      <c r="I625" s="524" t="str">
        <f t="shared" si="39"/>
        <v>否</v>
      </c>
      <c r="J625" s="312" t="str">
        <f t="shared" si="38"/>
        <v>项</v>
      </c>
    </row>
    <row r="626" s="372" customFormat="1" ht="24" customHeight="1" spans="1:10">
      <c r="A626" s="330">
        <v>2080808</v>
      </c>
      <c r="B626" s="405" t="s">
        <v>632</v>
      </c>
      <c r="C626" s="602">
        <v>23</v>
      </c>
      <c r="D626" s="709">
        <v>20</v>
      </c>
      <c r="E626" s="710">
        <v>20</v>
      </c>
      <c r="F626" s="710">
        <v>55</v>
      </c>
      <c r="G626" s="526">
        <f t="shared" si="36"/>
        <v>1.39130434782609</v>
      </c>
      <c r="H626" s="470">
        <f t="shared" si="37"/>
        <v>2.75</v>
      </c>
      <c r="I626" s="524" t="str">
        <f t="shared" si="39"/>
        <v>是</v>
      </c>
      <c r="J626" s="312" t="str">
        <f t="shared" si="38"/>
        <v>项</v>
      </c>
    </row>
    <row r="627" s="418" customFormat="1" ht="24" customHeight="1" spans="1:10">
      <c r="A627" s="330">
        <v>2080899</v>
      </c>
      <c r="B627" s="379" t="s">
        <v>633</v>
      </c>
      <c r="C627" s="602">
        <v>0</v>
      </c>
      <c r="D627" s="709">
        <v>0</v>
      </c>
      <c r="E627" s="710">
        <v>0</v>
      </c>
      <c r="F627" s="710">
        <v>17</v>
      </c>
      <c r="G627" s="526" t="str">
        <f t="shared" si="36"/>
        <v/>
      </c>
      <c r="H627" s="470" t="str">
        <f t="shared" si="37"/>
        <v/>
      </c>
      <c r="I627" s="524" t="str">
        <f t="shared" si="39"/>
        <v>是</v>
      </c>
      <c r="J627" s="312" t="str">
        <f t="shared" si="38"/>
        <v>项</v>
      </c>
    </row>
    <row r="628" s="372" customFormat="1" ht="24" customHeight="1" spans="1:10">
      <c r="A628" s="330">
        <v>20809</v>
      </c>
      <c r="B628" s="379" t="s">
        <v>634</v>
      </c>
      <c r="C628" s="601">
        <v>364</v>
      </c>
      <c r="D628" s="708">
        <f>SUM(D629:D634)</f>
        <v>360</v>
      </c>
      <c r="E628" s="708">
        <f>SUM(E629:E634)</f>
        <v>360</v>
      </c>
      <c r="F628" s="708">
        <f>SUM(F629:F634)</f>
        <v>341</v>
      </c>
      <c r="G628" s="523">
        <f t="shared" si="36"/>
        <v>-0.0631868131868132</v>
      </c>
      <c r="H628" s="467">
        <f t="shared" si="37"/>
        <v>0.947222222222222</v>
      </c>
      <c r="I628" s="524" t="str">
        <f t="shared" si="39"/>
        <v>是</v>
      </c>
      <c r="J628" s="312" t="str">
        <f t="shared" si="38"/>
        <v>款</v>
      </c>
    </row>
    <row r="629" s="372" customFormat="1" ht="24" hidden="1" customHeight="1" spans="1:10">
      <c r="A629" s="330">
        <v>2080901</v>
      </c>
      <c r="B629" s="379" t="s">
        <v>635</v>
      </c>
      <c r="C629" s="602">
        <v>0</v>
      </c>
      <c r="D629" s="709">
        <v>0</v>
      </c>
      <c r="E629" s="710">
        <v>0</v>
      </c>
      <c r="F629" s="710">
        <v>0</v>
      </c>
      <c r="G629" s="526" t="str">
        <f t="shared" si="36"/>
        <v/>
      </c>
      <c r="H629" s="470" t="str">
        <f t="shared" si="37"/>
        <v/>
      </c>
      <c r="I629" s="524" t="str">
        <f t="shared" si="39"/>
        <v>否</v>
      </c>
      <c r="J629" s="312" t="str">
        <f t="shared" si="38"/>
        <v>项</v>
      </c>
    </row>
    <row r="630" s="372" customFormat="1" ht="24" customHeight="1" spans="1:10">
      <c r="A630" s="330">
        <v>2080902</v>
      </c>
      <c r="B630" s="379" t="s">
        <v>636</v>
      </c>
      <c r="C630" s="602">
        <v>306</v>
      </c>
      <c r="D630" s="709">
        <v>300</v>
      </c>
      <c r="E630" s="710">
        <v>300</v>
      </c>
      <c r="F630" s="710">
        <v>317</v>
      </c>
      <c r="G630" s="526">
        <f t="shared" si="36"/>
        <v>0.0359477124183007</v>
      </c>
      <c r="H630" s="470">
        <f t="shared" si="37"/>
        <v>1.05666666666667</v>
      </c>
      <c r="I630" s="524" t="str">
        <f t="shared" si="39"/>
        <v>是</v>
      </c>
      <c r="J630" s="312" t="str">
        <f t="shared" si="38"/>
        <v>项</v>
      </c>
    </row>
    <row r="631" s="372" customFormat="1" ht="24" hidden="1" customHeight="1" spans="1:10">
      <c r="A631" s="330">
        <v>2080903</v>
      </c>
      <c r="B631" s="379" t="s">
        <v>637</v>
      </c>
      <c r="C631" s="602">
        <v>0</v>
      </c>
      <c r="D631" s="709">
        <v>0</v>
      </c>
      <c r="E631" s="710">
        <v>0</v>
      </c>
      <c r="F631" s="710">
        <v>0</v>
      </c>
      <c r="G631" s="526" t="str">
        <f t="shared" si="36"/>
        <v/>
      </c>
      <c r="H631" s="470" t="str">
        <f t="shared" si="37"/>
        <v/>
      </c>
      <c r="I631" s="524" t="str">
        <f t="shared" si="39"/>
        <v>否</v>
      </c>
      <c r="J631" s="312" t="str">
        <f t="shared" si="38"/>
        <v>项</v>
      </c>
    </row>
    <row r="632" s="372" customFormat="1" ht="24" customHeight="1" spans="1:10">
      <c r="A632" s="330">
        <v>2080904</v>
      </c>
      <c r="B632" s="379" t="s">
        <v>638</v>
      </c>
      <c r="C632" s="602">
        <v>55</v>
      </c>
      <c r="D632" s="709">
        <v>56</v>
      </c>
      <c r="E632" s="710">
        <v>56</v>
      </c>
      <c r="F632" s="710">
        <v>17</v>
      </c>
      <c r="G632" s="526">
        <f t="shared" si="36"/>
        <v>-0.690909090909091</v>
      </c>
      <c r="H632" s="470">
        <f t="shared" si="37"/>
        <v>0.303571428571429</v>
      </c>
      <c r="I632" s="524" t="str">
        <f t="shared" si="39"/>
        <v>是</v>
      </c>
      <c r="J632" s="312" t="str">
        <f t="shared" si="38"/>
        <v>项</v>
      </c>
    </row>
    <row r="633" s="372" customFormat="1" ht="24" customHeight="1" spans="1:10">
      <c r="A633" s="330">
        <v>2080905</v>
      </c>
      <c r="B633" s="379" t="s">
        <v>639</v>
      </c>
      <c r="C633" s="602">
        <v>0</v>
      </c>
      <c r="D633" s="709">
        <v>0</v>
      </c>
      <c r="E633" s="710">
        <v>0</v>
      </c>
      <c r="F633" s="710">
        <v>3</v>
      </c>
      <c r="G633" s="526" t="str">
        <f t="shared" si="36"/>
        <v/>
      </c>
      <c r="H633" s="470" t="str">
        <f t="shared" si="37"/>
        <v/>
      </c>
      <c r="I633" s="524" t="str">
        <f t="shared" si="39"/>
        <v>是</v>
      </c>
      <c r="J633" s="312" t="str">
        <f t="shared" si="38"/>
        <v>项</v>
      </c>
    </row>
    <row r="634" s="372" customFormat="1" ht="24" customHeight="1" spans="1:10">
      <c r="A634" s="330">
        <v>2080999</v>
      </c>
      <c r="B634" s="379" t="s">
        <v>640</v>
      </c>
      <c r="C634" s="602">
        <v>3</v>
      </c>
      <c r="D634" s="709">
        <v>4</v>
      </c>
      <c r="E634" s="710">
        <v>4</v>
      </c>
      <c r="F634" s="710">
        <v>4</v>
      </c>
      <c r="G634" s="526">
        <f t="shared" si="36"/>
        <v>0.333333333333333</v>
      </c>
      <c r="H634" s="470">
        <f t="shared" si="37"/>
        <v>1</v>
      </c>
      <c r="I634" s="524" t="str">
        <f t="shared" si="39"/>
        <v>是</v>
      </c>
      <c r="J634" s="312" t="str">
        <f t="shared" si="38"/>
        <v>项</v>
      </c>
    </row>
    <row r="635" s="372" customFormat="1" ht="24" customHeight="1" spans="1:10">
      <c r="A635" s="330">
        <v>20810</v>
      </c>
      <c r="B635" s="379" t="s">
        <v>641</v>
      </c>
      <c r="C635" s="601">
        <v>1689</v>
      </c>
      <c r="D635" s="708">
        <f>SUM(D636:D642)</f>
        <v>1812</v>
      </c>
      <c r="E635" s="708">
        <f>SUM(E636:E642)</f>
        <v>1812</v>
      </c>
      <c r="F635" s="708">
        <f>SUM(F636:F642)</f>
        <v>1200</v>
      </c>
      <c r="G635" s="523">
        <f t="shared" si="36"/>
        <v>-0.289520426287744</v>
      </c>
      <c r="H635" s="467">
        <f t="shared" si="37"/>
        <v>0.662251655629139</v>
      </c>
      <c r="I635" s="524" t="str">
        <f t="shared" si="39"/>
        <v>是</v>
      </c>
      <c r="J635" s="312" t="str">
        <f t="shared" si="38"/>
        <v>款</v>
      </c>
    </row>
    <row r="636" s="372" customFormat="1" ht="24" customHeight="1" spans="1:10">
      <c r="A636" s="330">
        <v>2081001</v>
      </c>
      <c r="B636" s="379" t="s">
        <v>642</v>
      </c>
      <c r="C636" s="602">
        <v>1165</v>
      </c>
      <c r="D636" s="709">
        <v>1200</v>
      </c>
      <c r="E636" s="710">
        <v>1200</v>
      </c>
      <c r="F636" s="710">
        <v>596</v>
      </c>
      <c r="G636" s="526">
        <f t="shared" si="36"/>
        <v>-0.488412017167382</v>
      </c>
      <c r="H636" s="470">
        <f t="shared" si="37"/>
        <v>0.496666666666667</v>
      </c>
      <c r="I636" s="524" t="str">
        <f t="shared" si="39"/>
        <v>是</v>
      </c>
      <c r="J636" s="312" t="str">
        <f t="shared" si="38"/>
        <v>项</v>
      </c>
    </row>
    <row r="637" ht="24" hidden="1" customHeight="1" spans="1:10">
      <c r="A637" s="330">
        <v>2081002</v>
      </c>
      <c r="B637" s="379" t="s">
        <v>643</v>
      </c>
      <c r="C637" s="602">
        <v>0</v>
      </c>
      <c r="D637" s="709">
        <v>0</v>
      </c>
      <c r="E637" s="710">
        <v>0</v>
      </c>
      <c r="F637" s="710">
        <v>0</v>
      </c>
      <c r="G637" s="526" t="str">
        <f t="shared" si="36"/>
        <v/>
      </c>
      <c r="H637" s="470" t="str">
        <f t="shared" si="37"/>
        <v/>
      </c>
      <c r="I637" s="524" t="str">
        <f t="shared" si="39"/>
        <v>否</v>
      </c>
      <c r="J637" s="312" t="str">
        <f t="shared" si="38"/>
        <v>项</v>
      </c>
    </row>
    <row r="638" s="372" customFormat="1" ht="24" hidden="1" customHeight="1" spans="1:10">
      <c r="A638" s="330">
        <v>2081003</v>
      </c>
      <c r="B638" s="379" t="s">
        <v>644</v>
      </c>
      <c r="C638" s="602">
        <v>0</v>
      </c>
      <c r="D638" s="709">
        <v>0</v>
      </c>
      <c r="E638" s="710">
        <v>0</v>
      </c>
      <c r="F638" s="710">
        <v>0</v>
      </c>
      <c r="G638" s="526" t="str">
        <f t="shared" si="36"/>
        <v/>
      </c>
      <c r="H638" s="470" t="str">
        <f t="shared" si="37"/>
        <v/>
      </c>
      <c r="I638" s="524" t="str">
        <f t="shared" si="39"/>
        <v>否</v>
      </c>
      <c r="J638" s="312" t="str">
        <f t="shared" si="38"/>
        <v>项</v>
      </c>
    </row>
    <row r="639" s="372" customFormat="1" ht="24" customHeight="1" spans="1:10">
      <c r="A639" s="330">
        <v>2081004</v>
      </c>
      <c r="B639" s="379" t="s">
        <v>645</v>
      </c>
      <c r="C639" s="602">
        <v>55</v>
      </c>
      <c r="D639" s="709">
        <v>50</v>
      </c>
      <c r="E639" s="710">
        <v>50</v>
      </c>
      <c r="F639" s="710">
        <v>56</v>
      </c>
      <c r="G639" s="526">
        <f t="shared" si="36"/>
        <v>0.0181818181818182</v>
      </c>
      <c r="H639" s="470">
        <f t="shared" si="37"/>
        <v>1.12</v>
      </c>
      <c r="I639" s="524" t="str">
        <f t="shared" si="39"/>
        <v>是</v>
      </c>
      <c r="J639" s="312" t="str">
        <f t="shared" si="38"/>
        <v>项</v>
      </c>
    </row>
    <row r="640" s="372" customFormat="1" ht="24" customHeight="1" spans="1:10">
      <c r="A640" s="330">
        <v>2081005</v>
      </c>
      <c r="B640" s="379" t="s">
        <v>646</v>
      </c>
      <c r="C640" s="602">
        <v>469</v>
      </c>
      <c r="D640" s="709">
        <v>452</v>
      </c>
      <c r="E640" s="710">
        <v>452</v>
      </c>
      <c r="F640" s="710">
        <v>492</v>
      </c>
      <c r="G640" s="526">
        <f t="shared" si="36"/>
        <v>0.0490405117270789</v>
      </c>
      <c r="H640" s="470">
        <f t="shared" si="37"/>
        <v>1.08849557522124</v>
      </c>
      <c r="I640" s="524" t="str">
        <f t="shared" si="39"/>
        <v>是</v>
      </c>
      <c r="J640" s="312" t="str">
        <f t="shared" si="38"/>
        <v>项</v>
      </c>
    </row>
    <row r="641" s="372" customFormat="1" ht="24" customHeight="1" spans="1:10">
      <c r="A641" s="330">
        <v>2081006</v>
      </c>
      <c r="B641" s="379" t="s">
        <v>647</v>
      </c>
      <c r="C641" s="602">
        <v>0</v>
      </c>
      <c r="D641" s="709">
        <v>110</v>
      </c>
      <c r="E641" s="710">
        <v>110</v>
      </c>
      <c r="F641" s="710">
        <v>56</v>
      </c>
      <c r="G641" s="526" t="str">
        <f t="shared" si="36"/>
        <v/>
      </c>
      <c r="H641" s="470">
        <f t="shared" si="37"/>
        <v>0.509090909090909</v>
      </c>
      <c r="I641" s="524" t="str">
        <f t="shared" si="39"/>
        <v>是</v>
      </c>
      <c r="J641" s="312" t="str">
        <f t="shared" si="38"/>
        <v>项</v>
      </c>
    </row>
    <row r="642" s="372" customFormat="1" ht="24" hidden="1" customHeight="1" spans="1:10">
      <c r="A642" s="330">
        <v>2081099</v>
      </c>
      <c r="B642" s="379" t="s">
        <v>648</v>
      </c>
      <c r="C642" s="602">
        <v>0</v>
      </c>
      <c r="D642" s="709">
        <v>0</v>
      </c>
      <c r="E642" s="710">
        <v>0</v>
      </c>
      <c r="F642" s="710">
        <v>0</v>
      </c>
      <c r="G642" s="526" t="str">
        <f t="shared" si="36"/>
        <v/>
      </c>
      <c r="H642" s="470" t="str">
        <f t="shared" si="37"/>
        <v/>
      </c>
      <c r="I642" s="524" t="str">
        <f t="shared" si="39"/>
        <v>否</v>
      </c>
      <c r="J642" s="312" t="str">
        <f t="shared" si="38"/>
        <v>项</v>
      </c>
    </row>
    <row r="643" s="372" customFormat="1" ht="24" customHeight="1" spans="1:10">
      <c r="A643" s="330">
        <v>20811</v>
      </c>
      <c r="B643" s="379" t="s">
        <v>649</v>
      </c>
      <c r="C643" s="601">
        <v>823</v>
      </c>
      <c r="D643" s="708">
        <f>SUM(D644:D651)</f>
        <v>835</v>
      </c>
      <c r="E643" s="708">
        <f>SUM(E644:E651)</f>
        <v>835</v>
      </c>
      <c r="F643" s="708">
        <f>SUM(F644:F651)</f>
        <v>440</v>
      </c>
      <c r="G643" s="523">
        <f t="shared" si="36"/>
        <v>-0.465370595382746</v>
      </c>
      <c r="H643" s="467">
        <f t="shared" si="37"/>
        <v>0.526946107784431</v>
      </c>
      <c r="I643" s="524" t="str">
        <f t="shared" si="39"/>
        <v>是</v>
      </c>
      <c r="J643" s="312" t="str">
        <f t="shared" si="38"/>
        <v>款</v>
      </c>
    </row>
    <row r="644" s="372" customFormat="1" ht="24" customHeight="1" spans="1:10">
      <c r="A644" s="330">
        <v>2081101</v>
      </c>
      <c r="B644" s="379" t="s">
        <v>212</v>
      </c>
      <c r="C644" s="602">
        <v>262</v>
      </c>
      <c r="D644" s="709">
        <v>275</v>
      </c>
      <c r="E644" s="710">
        <v>275</v>
      </c>
      <c r="F644" s="710">
        <v>263</v>
      </c>
      <c r="G644" s="526">
        <f t="shared" si="36"/>
        <v>0.00381679389312977</v>
      </c>
      <c r="H644" s="470">
        <f t="shared" si="37"/>
        <v>0.956363636363636</v>
      </c>
      <c r="I644" s="524" t="str">
        <f t="shared" si="39"/>
        <v>是</v>
      </c>
      <c r="J644" s="312" t="str">
        <f t="shared" si="38"/>
        <v>项</v>
      </c>
    </row>
    <row r="645" s="372" customFormat="1" ht="24" hidden="1" customHeight="1" spans="1:10">
      <c r="A645" s="330">
        <v>2081102</v>
      </c>
      <c r="B645" s="379" t="s">
        <v>213</v>
      </c>
      <c r="C645" s="602">
        <v>0</v>
      </c>
      <c r="D645" s="709">
        <v>0</v>
      </c>
      <c r="E645" s="710">
        <v>0</v>
      </c>
      <c r="F645" s="710">
        <v>0</v>
      </c>
      <c r="G645" s="526" t="str">
        <f t="shared" ref="G645:G708" si="40">IFERROR((F645-C645)/C645,"")</f>
        <v/>
      </c>
      <c r="H645" s="470" t="str">
        <f t="shared" ref="H645:H708" si="41">IFERROR(F645/D645,"")</f>
        <v/>
      </c>
      <c r="I645" s="524" t="str">
        <f t="shared" si="39"/>
        <v>否</v>
      </c>
      <c r="J645" s="312" t="str">
        <f t="shared" ref="J645:J708" si="42">IF(LEN(A645)=3,"类",IF(LEN(A645)=5,"款","项"))</f>
        <v>项</v>
      </c>
    </row>
    <row r="646" s="372" customFormat="1" ht="24" hidden="1" customHeight="1" spans="1:10">
      <c r="A646" s="330">
        <v>2081103</v>
      </c>
      <c r="B646" s="379" t="s">
        <v>214</v>
      </c>
      <c r="C646" s="602">
        <v>0</v>
      </c>
      <c r="D646" s="709">
        <v>0</v>
      </c>
      <c r="E646" s="710">
        <v>0</v>
      </c>
      <c r="F646" s="710">
        <v>0</v>
      </c>
      <c r="G646" s="526" t="str">
        <f t="shared" si="40"/>
        <v/>
      </c>
      <c r="H646" s="470" t="str">
        <f t="shared" si="41"/>
        <v/>
      </c>
      <c r="I646" s="524" t="str">
        <f t="shared" ref="I646:I709" si="43">IF(LEN(A646)=3,"是",IF(B646&lt;&gt;"",IF(SUM(C646:F646)&lt;&gt;0,"是","否"),"是"))</f>
        <v>否</v>
      </c>
      <c r="J646" s="312" t="str">
        <f t="shared" si="42"/>
        <v>项</v>
      </c>
    </row>
    <row r="647" ht="24" hidden="1" customHeight="1" spans="1:10">
      <c r="A647" s="330">
        <v>2081104</v>
      </c>
      <c r="B647" s="379" t="s">
        <v>650</v>
      </c>
      <c r="C647" s="602">
        <v>0</v>
      </c>
      <c r="D647" s="709">
        <v>0</v>
      </c>
      <c r="E647" s="710">
        <v>0</v>
      </c>
      <c r="F647" s="710">
        <v>0</v>
      </c>
      <c r="G647" s="526" t="str">
        <f t="shared" si="40"/>
        <v/>
      </c>
      <c r="H647" s="470" t="str">
        <f t="shared" si="41"/>
        <v/>
      </c>
      <c r="I647" s="524" t="str">
        <f t="shared" si="43"/>
        <v>否</v>
      </c>
      <c r="J647" s="312" t="str">
        <f t="shared" si="42"/>
        <v>项</v>
      </c>
    </row>
    <row r="648" s="372" customFormat="1" ht="24" customHeight="1" spans="1:10">
      <c r="A648" s="330">
        <v>2081105</v>
      </c>
      <c r="B648" s="405" t="s">
        <v>651</v>
      </c>
      <c r="C648" s="602">
        <v>98</v>
      </c>
      <c r="D648" s="709">
        <v>99</v>
      </c>
      <c r="E648" s="710">
        <v>99</v>
      </c>
      <c r="F648" s="710">
        <v>61</v>
      </c>
      <c r="G648" s="526">
        <f t="shared" si="40"/>
        <v>-0.377551020408163</v>
      </c>
      <c r="H648" s="470">
        <f t="shared" si="41"/>
        <v>0.616161616161616</v>
      </c>
      <c r="I648" s="524" t="str">
        <f t="shared" si="43"/>
        <v>是</v>
      </c>
      <c r="J648" s="312" t="str">
        <f t="shared" si="42"/>
        <v>项</v>
      </c>
    </row>
    <row r="649" s="372" customFormat="1" ht="24" hidden="1" customHeight="1" spans="1:10">
      <c r="A649" s="330">
        <v>2081106</v>
      </c>
      <c r="B649" s="379" t="s">
        <v>652</v>
      </c>
      <c r="C649" s="602">
        <v>0</v>
      </c>
      <c r="D649" s="709">
        <v>0</v>
      </c>
      <c r="E649" s="710">
        <v>0</v>
      </c>
      <c r="F649" s="710">
        <v>0</v>
      </c>
      <c r="G649" s="526" t="str">
        <f t="shared" si="40"/>
        <v/>
      </c>
      <c r="H649" s="470" t="str">
        <f t="shared" si="41"/>
        <v/>
      </c>
      <c r="I649" s="524" t="str">
        <f t="shared" si="43"/>
        <v>否</v>
      </c>
      <c r="J649" s="312" t="str">
        <f t="shared" si="42"/>
        <v>项</v>
      </c>
    </row>
    <row r="650" s="372" customFormat="1" ht="24" customHeight="1" spans="1:10">
      <c r="A650" s="330">
        <v>2081107</v>
      </c>
      <c r="B650" s="379" t="s">
        <v>653</v>
      </c>
      <c r="C650" s="602">
        <v>372</v>
      </c>
      <c r="D650" s="709">
        <v>381</v>
      </c>
      <c r="E650" s="710">
        <v>381</v>
      </c>
      <c r="F650" s="710">
        <v>2</v>
      </c>
      <c r="G650" s="526">
        <f t="shared" si="40"/>
        <v>-0.994623655913978</v>
      </c>
      <c r="H650" s="470">
        <f t="shared" si="41"/>
        <v>0.005249343832021</v>
      </c>
      <c r="I650" s="524" t="str">
        <f t="shared" si="43"/>
        <v>是</v>
      </c>
      <c r="J650" s="312" t="str">
        <f t="shared" si="42"/>
        <v>项</v>
      </c>
    </row>
    <row r="651" s="372" customFormat="1" ht="24" customHeight="1" spans="1:10">
      <c r="A651" s="330">
        <v>2081199</v>
      </c>
      <c r="B651" s="379" t="s">
        <v>654</v>
      </c>
      <c r="C651" s="602">
        <v>91</v>
      </c>
      <c r="D651" s="709">
        <v>80</v>
      </c>
      <c r="E651" s="710">
        <v>80</v>
      </c>
      <c r="F651" s="710">
        <v>114</v>
      </c>
      <c r="G651" s="526">
        <f t="shared" si="40"/>
        <v>0.252747252747253</v>
      </c>
      <c r="H651" s="470">
        <f t="shared" si="41"/>
        <v>1.425</v>
      </c>
      <c r="I651" s="524" t="str">
        <f t="shared" si="43"/>
        <v>是</v>
      </c>
      <c r="J651" s="312" t="str">
        <f t="shared" si="42"/>
        <v>项</v>
      </c>
    </row>
    <row r="652" s="372" customFormat="1" ht="24" customHeight="1" spans="1:10">
      <c r="A652" s="330">
        <v>20816</v>
      </c>
      <c r="B652" s="379" t="s">
        <v>655</v>
      </c>
      <c r="C652" s="601">
        <v>230</v>
      </c>
      <c r="D652" s="708">
        <f>SUM(D653:D657)</f>
        <v>246</v>
      </c>
      <c r="E652" s="708">
        <f>SUM(E653:E657)</f>
        <v>246</v>
      </c>
      <c r="F652" s="708">
        <f>SUM(F653:F657)</f>
        <v>282</v>
      </c>
      <c r="G652" s="523">
        <f t="shared" si="40"/>
        <v>0.226086956521739</v>
      </c>
      <c r="H652" s="467">
        <f t="shared" si="41"/>
        <v>1.14634146341463</v>
      </c>
      <c r="I652" s="524" t="str">
        <f t="shared" si="43"/>
        <v>是</v>
      </c>
      <c r="J652" s="312" t="str">
        <f t="shared" si="42"/>
        <v>款</v>
      </c>
    </row>
    <row r="653" s="372" customFormat="1" ht="24" customHeight="1" spans="1:10">
      <c r="A653" s="330">
        <v>2081601</v>
      </c>
      <c r="B653" s="379" t="s">
        <v>212</v>
      </c>
      <c r="C653" s="602">
        <v>207</v>
      </c>
      <c r="D653" s="709">
        <v>221</v>
      </c>
      <c r="E653" s="710">
        <v>221</v>
      </c>
      <c r="F653" s="710">
        <v>215</v>
      </c>
      <c r="G653" s="526">
        <f t="shared" si="40"/>
        <v>0.0386473429951691</v>
      </c>
      <c r="H653" s="470">
        <f t="shared" si="41"/>
        <v>0.972850678733032</v>
      </c>
      <c r="I653" s="524" t="str">
        <f t="shared" si="43"/>
        <v>是</v>
      </c>
      <c r="J653" s="312" t="str">
        <f t="shared" si="42"/>
        <v>项</v>
      </c>
    </row>
    <row r="654" ht="24" customHeight="1" spans="1:10">
      <c r="A654" s="330">
        <v>2081602</v>
      </c>
      <c r="B654" s="379" t="s">
        <v>213</v>
      </c>
      <c r="C654" s="602">
        <v>23</v>
      </c>
      <c r="D654" s="709">
        <v>25</v>
      </c>
      <c r="E654" s="710">
        <v>25</v>
      </c>
      <c r="F654" s="710">
        <v>37</v>
      </c>
      <c r="G654" s="526">
        <f t="shared" si="40"/>
        <v>0.608695652173913</v>
      </c>
      <c r="H654" s="470">
        <f t="shared" si="41"/>
        <v>1.48</v>
      </c>
      <c r="I654" s="524" t="str">
        <f t="shared" si="43"/>
        <v>是</v>
      </c>
      <c r="J654" s="312" t="str">
        <f t="shared" si="42"/>
        <v>项</v>
      </c>
    </row>
    <row r="655" s="372" customFormat="1" ht="24" hidden="1" customHeight="1" spans="1:10">
      <c r="A655" s="330">
        <v>2081603</v>
      </c>
      <c r="B655" s="379" t="s">
        <v>214</v>
      </c>
      <c r="C655" s="602">
        <v>0</v>
      </c>
      <c r="D655" s="709">
        <v>0</v>
      </c>
      <c r="E655" s="710">
        <v>0</v>
      </c>
      <c r="F655" s="710">
        <v>0</v>
      </c>
      <c r="G655" s="526" t="str">
        <f t="shared" si="40"/>
        <v/>
      </c>
      <c r="H655" s="470" t="str">
        <f t="shared" si="41"/>
        <v/>
      </c>
      <c r="I655" s="524" t="str">
        <f t="shared" si="43"/>
        <v>否</v>
      </c>
      <c r="J655" s="312" t="str">
        <f t="shared" si="42"/>
        <v>项</v>
      </c>
    </row>
    <row r="656" s="372" customFormat="1" ht="24" hidden="1" customHeight="1" spans="1:10">
      <c r="A656" s="339">
        <v>2081650</v>
      </c>
      <c r="B656" s="379" t="s">
        <v>221</v>
      </c>
      <c r="C656" s="602">
        <v>0</v>
      </c>
      <c r="D656" s="709">
        <v>0</v>
      </c>
      <c r="E656" s="710">
        <v>0</v>
      </c>
      <c r="F656" s="710">
        <v>0</v>
      </c>
      <c r="G656" s="526" t="str">
        <f t="shared" si="40"/>
        <v/>
      </c>
      <c r="H656" s="470" t="str">
        <f t="shared" si="41"/>
        <v/>
      </c>
      <c r="I656" s="524" t="str">
        <f t="shared" si="43"/>
        <v>否</v>
      </c>
      <c r="J656" s="312" t="str">
        <f t="shared" si="42"/>
        <v>项</v>
      </c>
    </row>
    <row r="657" s="372" customFormat="1" ht="24" customHeight="1" spans="1:10">
      <c r="A657" s="330">
        <v>2081699</v>
      </c>
      <c r="B657" s="379" t="s">
        <v>656</v>
      </c>
      <c r="C657" s="602">
        <v>0</v>
      </c>
      <c r="D657" s="709">
        <v>0</v>
      </c>
      <c r="E657" s="710">
        <v>0</v>
      </c>
      <c r="F657" s="710">
        <v>30</v>
      </c>
      <c r="G657" s="526" t="str">
        <f t="shared" si="40"/>
        <v/>
      </c>
      <c r="H657" s="470" t="str">
        <f t="shared" si="41"/>
        <v/>
      </c>
      <c r="I657" s="524" t="str">
        <f t="shared" si="43"/>
        <v>是</v>
      </c>
      <c r="J657" s="312" t="str">
        <f t="shared" si="42"/>
        <v>项</v>
      </c>
    </row>
    <row r="658" s="372" customFormat="1" ht="24" hidden="1" customHeight="1" spans="1:10">
      <c r="A658" s="330">
        <v>20819</v>
      </c>
      <c r="B658" s="379" t="s">
        <v>657</v>
      </c>
      <c r="C658" s="601">
        <v>0</v>
      </c>
      <c r="D658" s="708">
        <f>SUM(D659:D660)</f>
        <v>0</v>
      </c>
      <c r="E658" s="708">
        <f>SUM(E659:E660)</f>
        <v>0</v>
      </c>
      <c r="F658" s="708">
        <f>SUM(F659:F660)</f>
        <v>0</v>
      </c>
      <c r="G658" s="523" t="str">
        <f t="shared" si="40"/>
        <v/>
      </c>
      <c r="H658" s="467" t="str">
        <f t="shared" si="41"/>
        <v/>
      </c>
      <c r="I658" s="524" t="str">
        <f t="shared" si="43"/>
        <v>否</v>
      </c>
      <c r="J658" s="312" t="str">
        <f t="shared" si="42"/>
        <v>款</v>
      </c>
    </row>
    <row r="659" s="372" customFormat="1" ht="24" hidden="1" customHeight="1" spans="1:10">
      <c r="A659" s="330">
        <v>2081901</v>
      </c>
      <c r="B659" s="379" t="s">
        <v>658</v>
      </c>
      <c r="C659" s="602">
        <v>0</v>
      </c>
      <c r="D659" s="709"/>
      <c r="E659" s="710">
        <v>0</v>
      </c>
      <c r="F659" s="710">
        <v>0</v>
      </c>
      <c r="G659" s="526" t="str">
        <f t="shared" si="40"/>
        <v/>
      </c>
      <c r="H659" s="470" t="str">
        <f t="shared" si="41"/>
        <v/>
      </c>
      <c r="I659" s="524" t="str">
        <f t="shared" si="43"/>
        <v>否</v>
      </c>
      <c r="J659" s="312" t="str">
        <f t="shared" si="42"/>
        <v>项</v>
      </c>
    </row>
    <row r="660" s="372" customFormat="1" ht="24" hidden="1" customHeight="1" spans="1:10">
      <c r="A660" s="330">
        <v>2081902</v>
      </c>
      <c r="B660" s="379" t="s">
        <v>659</v>
      </c>
      <c r="C660" s="602">
        <v>0</v>
      </c>
      <c r="D660" s="709"/>
      <c r="E660" s="710">
        <v>0</v>
      </c>
      <c r="F660" s="710">
        <v>0</v>
      </c>
      <c r="G660" s="526" t="str">
        <f t="shared" si="40"/>
        <v/>
      </c>
      <c r="H660" s="470" t="str">
        <f t="shared" si="41"/>
        <v/>
      </c>
      <c r="I660" s="524" t="str">
        <f t="shared" si="43"/>
        <v>否</v>
      </c>
      <c r="J660" s="312" t="str">
        <f t="shared" si="42"/>
        <v>项</v>
      </c>
    </row>
    <row r="661" s="372" customFormat="1" ht="24" customHeight="1" spans="1:10">
      <c r="A661" s="330">
        <v>20820</v>
      </c>
      <c r="B661" s="379" t="s">
        <v>660</v>
      </c>
      <c r="C661" s="601">
        <v>189</v>
      </c>
      <c r="D661" s="708">
        <f>SUM(D662:D663)</f>
        <v>173</v>
      </c>
      <c r="E661" s="708">
        <f>SUM(E662:E663)</f>
        <v>173</v>
      </c>
      <c r="F661" s="708">
        <f>SUM(F662:F663)</f>
        <v>201</v>
      </c>
      <c r="G661" s="523">
        <f t="shared" si="40"/>
        <v>0.0634920634920635</v>
      </c>
      <c r="H661" s="467">
        <f t="shared" si="41"/>
        <v>1.16184971098266</v>
      </c>
      <c r="I661" s="524" t="str">
        <f t="shared" si="43"/>
        <v>是</v>
      </c>
      <c r="J661" s="312" t="str">
        <f t="shared" si="42"/>
        <v>款</v>
      </c>
    </row>
    <row r="662" ht="24" customHeight="1" spans="1:10">
      <c r="A662" s="330">
        <v>2082001</v>
      </c>
      <c r="B662" s="379" t="s">
        <v>661</v>
      </c>
      <c r="C662" s="602">
        <v>40</v>
      </c>
      <c r="D662" s="709">
        <v>35</v>
      </c>
      <c r="E662" s="710">
        <v>35</v>
      </c>
      <c r="F662" s="710">
        <v>40</v>
      </c>
      <c r="G662" s="526">
        <f t="shared" si="40"/>
        <v>0</v>
      </c>
      <c r="H662" s="470">
        <f t="shared" si="41"/>
        <v>1.14285714285714</v>
      </c>
      <c r="I662" s="524" t="str">
        <f t="shared" si="43"/>
        <v>是</v>
      </c>
      <c r="J662" s="312" t="str">
        <f t="shared" si="42"/>
        <v>项</v>
      </c>
    </row>
    <row r="663" s="372" customFormat="1" ht="24" customHeight="1" spans="1:10">
      <c r="A663" s="330">
        <v>2082002</v>
      </c>
      <c r="B663" s="379" t="s">
        <v>662</v>
      </c>
      <c r="C663" s="602">
        <v>149</v>
      </c>
      <c r="D663" s="709">
        <v>138</v>
      </c>
      <c r="E663" s="710">
        <v>138</v>
      </c>
      <c r="F663" s="710">
        <v>161</v>
      </c>
      <c r="G663" s="526">
        <f t="shared" si="40"/>
        <v>0.0805369127516778</v>
      </c>
      <c r="H663" s="470">
        <f t="shared" si="41"/>
        <v>1.16666666666667</v>
      </c>
      <c r="I663" s="524" t="str">
        <f t="shared" si="43"/>
        <v>是</v>
      </c>
      <c r="J663" s="312" t="str">
        <f t="shared" si="42"/>
        <v>项</v>
      </c>
    </row>
    <row r="664" s="372" customFormat="1" ht="24" hidden="1" customHeight="1" spans="1:10">
      <c r="A664" s="330">
        <v>20821</v>
      </c>
      <c r="B664" s="379" t="s">
        <v>663</v>
      </c>
      <c r="C664" s="601">
        <v>0</v>
      </c>
      <c r="D664" s="708">
        <f>SUM(D665:D666)</f>
        <v>0</v>
      </c>
      <c r="E664" s="708">
        <f>SUM(E665:E666)</f>
        <v>0</v>
      </c>
      <c r="F664" s="708">
        <f>SUM(F665:F666)</f>
        <v>0</v>
      </c>
      <c r="G664" s="523" t="str">
        <f t="shared" si="40"/>
        <v/>
      </c>
      <c r="H664" s="467" t="str">
        <f t="shared" si="41"/>
        <v/>
      </c>
      <c r="I664" s="524" t="str">
        <f t="shared" si="43"/>
        <v>否</v>
      </c>
      <c r="J664" s="312" t="str">
        <f t="shared" si="42"/>
        <v>款</v>
      </c>
    </row>
    <row r="665" s="372" customFormat="1" ht="24" hidden="1" customHeight="1" spans="1:10">
      <c r="A665" s="330">
        <v>2082101</v>
      </c>
      <c r="B665" s="379" t="s">
        <v>664</v>
      </c>
      <c r="C665" s="602">
        <v>0</v>
      </c>
      <c r="D665" s="709"/>
      <c r="E665" s="710">
        <v>0</v>
      </c>
      <c r="F665" s="710">
        <v>0</v>
      </c>
      <c r="G665" s="526" t="str">
        <f t="shared" si="40"/>
        <v/>
      </c>
      <c r="H665" s="470" t="str">
        <f t="shared" si="41"/>
        <v/>
      </c>
      <c r="I665" s="524" t="str">
        <f t="shared" si="43"/>
        <v>否</v>
      </c>
      <c r="J665" s="312" t="str">
        <f t="shared" si="42"/>
        <v>项</v>
      </c>
    </row>
    <row r="666" s="372" customFormat="1" ht="24" hidden="1" customHeight="1" spans="1:10">
      <c r="A666" s="330">
        <v>2082102</v>
      </c>
      <c r="B666" s="379" t="s">
        <v>665</v>
      </c>
      <c r="C666" s="602">
        <v>0</v>
      </c>
      <c r="D666" s="709"/>
      <c r="E666" s="710">
        <v>0</v>
      </c>
      <c r="F666" s="710">
        <v>0</v>
      </c>
      <c r="G666" s="526" t="str">
        <f t="shared" si="40"/>
        <v/>
      </c>
      <c r="H666" s="470" t="str">
        <f t="shared" si="41"/>
        <v/>
      </c>
      <c r="I666" s="524" t="str">
        <f t="shared" si="43"/>
        <v>否</v>
      </c>
      <c r="J666" s="312" t="str">
        <f t="shared" si="42"/>
        <v>项</v>
      </c>
    </row>
    <row r="667" s="372" customFormat="1" ht="24" hidden="1" customHeight="1" spans="1:10">
      <c r="A667" s="330">
        <v>20824</v>
      </c>
      <c r="B667" s="379" t="s">
        <v>666</v>
      </c>
      <c r="C667" s="601">
        <v>0</v>
      </c>
      <c r="D667" s="708">
        <f>SUM(D668:D669)</f>
        <v>0</v>
      </c>
      <c r="E667" s="708">
        <f>SUM(E668:E669)</f>
        <v>0</v>
      </c>
      <c r="F667" s="708">
        <f>SUM(F668:F669)</f>
        <v>0</v>
      </c>
      <c r="G667" s="523" t="str">
        <f t="shared" si="40"/>
        <v/>
      </c>
      <c r="H667" s="467" t="str">
        <f t="shared" si="41"/>
        <v/>
      </c>
      <c r="I667" s="524" t="str">
        <f t="shared" si="43"/>
        <v>否</v>
      </c>
      <c r="J667" s="312" t="str">
        <f t="shared" si="42"/>
        <v>款</v>
      </c>
    </row>
    <row r="668" s="372" customFormat="1" ht="24" hidden="1" customHeight="1" spans="1:10">
      <c r="A668" s="330">
        <v>2082401</v>
      </c>
      <c r="B668" s="379" t="s">
        <v>667</v>
      </c>
      <c r="C668" s="602">
        <v>0</v>
      </c>
      <c r="D668" s="709"/>
      <c r="E668" s="710">
        <v>0</v>
      </c>
      <c r="F668" s="710">
        <v>0</v>
      </c>
      <c r="G668" s="526" t="str">
        <f t="shared" si="40"/>
        <v/>
      </c>
      <c r="H668" s="470" t="str">
        <f t="shared" si="41"/>
        <v/>
      </c>
      <c r="I668" s="524" t="str">
        <f t="shared" si="43"/>
        <v>否</v>
      </c>
      <c r="J668" s="312" t="str">
        <f t="shared" si="42"/>
        <v>项</v>
      </c>
    </row>
    <row r="669" s="372" customFormat="1" ht="24" hidden="1" customHeight="1" spans="1:10">
      <c r="A669" s="330">
        <v>2082402</v>
      </c>
      <c r="B669" s="379" t="s">
        <v>668</v>
      </c>
      <c r="C669" s="602">
        <v>0</v>
      </c>
      <c r="D669" s="709"/>
      <c r="E669" s="710">
        <v>0</v>
      </c>
      <c r="F669" s="710">
        <v>0</v>
      </c>
      <c r="G669" s="526" t="str">
        <f t="shared" si="40"/>
        <v/>
      </c>
      <c r="H669" s="470" t="str">
        <f t="shared" si="41"/>
        <v/>
      </c>
      <c r="I669" s="524" t="str">
        <f t="shared" si="43"/>
        <v>否</v>
      </c>
      <c r="J669" s="312" t="str">
        <f t="shared" si="42"/>
        <v>项</v>
      </c>
    </row>
    <row r="670" s="372" customFormat="1" ht="24" customHeight="1" spans="1:10">
      <c r="A670" s="330">
        <v>20825</v>
      </c>
      <c r="B670" s="379" t="s">
        <v>669</v>
      </c>
      <c r="C670" s="601">
        <v>7</v>
      </c>
      <c r="D670" s="708">
        <f>SUM(D671:D672)</f>
        <v>6</v>
      </c>
      <c r="E670" s="708">
        <f>SUM(E671:E672)</f>
        <v>6</v>
      </c>
      <c r="F670" s="708">
        <f>SUM(F671:F672)</f>
        <v>0</v>
      </c>
      <c r="G670" s="523">
        <f t="shared" si="40"/>
        <v>-1</v>
      </c>
      <c r="H670" s="467">
        <f t="shared" si="41"/>
        <v>0</v>
      </c>
      <c r="I670" s="524" t="str">
        <f t="shared" si="43"/>
        <v>是</v>
      </c>
      <c r="J670" s="312" t="str">
        <f t="shared" si="42"/>
        <v>款</v>
      </c>
    </row>
    <row r="671" ht="24" customHeight="1" spans="1:10">
      <c r="A671" s="330">
        <v>2082501</v>
      </c>
      <c r="B671" s="379" t="s">
        <v>670</v>
      </c>
      <c r="C671" s="602">
        <v>7</v>
      </c>
      <c r="D671" s="709">
        <v>6</v>
      </c>
      <c r="E671" s="710">
        <v>6</v>
      </c>
      <c r="F671" s="710">
        <v>0</v>
      </c>
      <c r="G671" s="526">
        <f t="shared" si="40"/>
        <v>-1</v>
      </c>
      <c r="H671" s="470">
        <f t="shared" si="41"/>
        <v>0</v>
      </c>
      <c r="I671" s="524" t="str">
        <f t="shared" si="43"/>
        <v>是</v>
      </c>
      <c r="J671" s="312" t="str">
        <f t="shared" si="42"/>
        <v>项</v>
      </c>
    </row>
    <row r="672" s="372" customFormat="1" ht="24" hidden="1" customHeight="1" spans="1:10">
      <c r="A672" s="330">
        <v>2082502</v>
      </c>
      <c r="B672" s="379" t="s">
        <v>671</v>
      </c>
      <c r="C672" s="602">
        <v>0</v>
      </c>
      <c r="D672" s="709"/>
      <c r="E672" s="710">
        <v>0</v>
      </c>
      <c r="F672" s="710">
        <v>0</v>
      </c>
      <c r="G672" s="526" t="str">
        <f t="shared" si="40"/>
        <v/>
      </c>
      <c r="H672" s="470" t="str">
        <f t="shared" si="41"/>
        <v/>
      </c>
      <c r="I672" s="524" t="str">
        <f t="shared" si="43"/>
        <v>否</v>
      </c>
      <c r="J672" s="312" t="str">
        <f t="shared" si="42"/>
        <v>项</v>
      </c>
    </row>
    <row r="673" s="372" customFormat="1" ht="24" customHeight="1" spans="1:10">
      <c r="A673" s="330">
        <v>20826</v>
      </c>
      <c r="B673" s="379" t="s">
        <v>672</v>
      </c>
      <c r="C673" s="601">
        <v>28845</v>
      </c>
      <c r="D673" s="708">
        <f>SUM(D674:D676)</f>
        <v>29342</v>
      </c>
      <c r="E673" s="708">
        <f>SUM(E674:E676)</f>
        <v>29342</v>
      </c>
      <c r="F673" s="708">
        <f>SUM(F674:F676)</f>
        <v>35422</v>
      </c>
      <c r="G673" s="523">
        <f t="shared" si="40"/>
        <v>0.228011787138152</v>
      </c>
      <c r="H673" s="467">
        <f t="shared" si="41"/>
        <v>1.2072115056915</v>
      </c>
      <c r="I673" s="524" t="str">
        <f t="shared" si="43"/>
        <v>是</v>
      </c>
      <c r="J673" s="312" t="str">
        <f t="shared" si="42"/>
        <v>款</v>
      </c>
    </row>
    <row r="674" s="372" customFormat="1" ht="24" hidden="1" customHeight="1" spans="1:10">
      <c r="A674" s="330">
        <v>2082601</v>
      </c>
      <c r="B674" s="379" t="s">
        <v>673</v>
      </c>
      <c r="C674" s="602">
        <v>0</v>
      </c>
      <c r="D674" s="709"/>
      <c r="E674" s="710">
        <v>0</v>
      </c>
      <c r="F674" s="710">
        <v>0</v>
      </c>
      <c r="G674" s="526" t="str">
        <f t="shared" si="40"/>
        <v/>
      </c>
      <c r="H674" s="470" t="str">
        <f t="shared" si="41"/>
        <v/>
      </c>
      <c r="I674" s="524" t="str">
        <f t="shared" si="43"/>
        <v>否</v>
      </c>
      <c r="J674" s="312" t="str">
        <f t="shared" si="42"/>
        <v>项</v>
      </c>
    </row>
    <row r="675" s="372" customFormat="1" ht="24" customHeight="1" spans="1:10">
      <c r="A675" s="330">
        <v>2082602</v>
      </c>
      <c r="B675" s="379" t="s">
        <v>674</v>
      </c>
      <c r="C675" s="602">
        <v>28845</v>
      </c>
      <c r="D675" s="709">
        <v>29342</v>
      </c>
      <c r="E675" s="710">
        <v>29342</v>
      </c>
      <c r="F675" s="710">
        <v>35422</v>
      </c>
      <c r="G675" s="526">
        <f t="shared" si="40"/>
        <v>0.228011787138152</v>
      </c>
      <c r="H675" s="470">
        <f t="shared" si="41"/>
        <v>1.2072115056915</v>
      </c>
      <c r="I675" s="524" t="str">
        <f t="shared" si="43"/>
        <v>是</v>
      </c>
      <c r="J675" s="312" t="str">
        <f t="shared" si="42"/>
        <v>项</v>
      </c>
    </row>
    <row r="676" ht="24" hidden="1" customHeight="1" spans="1:10">
      <c r="A676" s="330">
        <v>2082699</v>
      </c>
      <c r="B676" s="379" t="s">
        <v>675</v>
      </c>
      <c r="C676" s="602">
        <v>0</v>
      </c>
      <c r="D676" s="709"/>
      <c r="E676" s="710">
        <v>0</v>
      </c>
      <c r="F676" s="710">
        <v>0</v>
      </c>
      <c r="G676" s="526" t="str">
        <f t="shared" si="40"/>
        <v/>
      </c>
      <c r="H676" s="470" t="str">
        <f t="shared" si="41"/>
        <v/>
      </c>
      <c r="I676" s="524" t="str">
        <f t="shared" si="43"/>
        <v>否</v>
      </c>
      <c r="J676" s="312" t="str">
        <f t="shared" si="42"/>
        <v>项</v>
      </c>
    </row>
    <row r="677" s="372" customFormat="1" ht="24" hidden="1" customHeight="1" spans="1:10">
      <c r="A677" s="330">
        <v>20827</v>
      </c>
      <c r="B677" s="379" t="s">
        <v>676</v>
      </c>
      <c r="C677" s="601">
        <v>0</v>
      </c>
      <c r="D677" s="708">
        <f>SUM(D678:D680)</f>
        <v>0</v>
      </c>
      <c r="E677" s="708">
        <f>SUM(E678:E680)</f>
        <v>0</v>
      </c>
      <c r="F677" s="708">
        <f>SUM(F678:F680)</f>
        <v>0</v>
      </c>
      <c r="G677" s="523" t="str">
        <f t="shared" si="40"/>
        <v/>
      </c>
      <c r="H677" s="467" t="str">
        <f t="shared" si="41"/>
        <v/>
      </c>
      <c r="I677" s="524" t="str">
        <f t="shared" si="43"/>
        <v>否</v>
      </c>
      <c r="J677" s="312" t="str">
        <f t="shared" si="42"/>
        <v>款</v>
      </c>
    </row>
    <row r="678" s="372" customFormat="1" ht="24" hidden="1" customHeight="1" spans="1:10">
      <c r="A678" s="330">
        <v>2082701</v>
      </c>
      <c r="B678" s="379" t="s">
        <v>677</v>
      </c>
      <c r="C678" s="602">
        <v>0</v>
      </c>
      <c r="D678" s="709"/>
      <c r="E678" s="710">
        <v>0</v>
      </c>
      <c r="F678" s="710">
        <v>0</v>
      </c>
      <c r="G678" s="526" t="str">
        <f t="shared" si="40"/>
        <v/>
      </c>
      <c r="H678" s="470" t="str">
        <f t="shared" si="41"/>
        <v/>
      </c>
      <c r="I678" s="524" t="str">
        <f t="shared" si="43"/>
        <v>否</v>
      </c>
      <c r="J678" s="312" t="str">
        <f t="shared" si="42"/>
        <v>项</v>
      </c>
    </row>
    <row r="679" ht="24" hidden="1" customHeight="1" spans="1:10">
      <c r="A679" s="330">
        <v>2082702</v>
      </c>
      <c r="B679" s="379" t="s">
        <v>678</v>
      </c>
      <c r="C679" s="602">
        <v>0</v>
      </c>
      <c r="D679" s="709"/>
      <c r="E679" s="710">
        <v>0</v>
      </c>
      <c r="F679" s="710">
        <v>0</v>
      </c>
      <c r="G679" s="526" t="str">
        <f t="shared" si="40"/>
        <v/>
      </c>
      <c r="H679" s="470" t="str">
        <f t="shared" si="41"/>
        <v/>
      </c>
      <c r="I679" s="524" t="str">
        <f t="shared" si="43"/>
        <v>否</v>
      </c>
      <c r="J679" s="312" t="str">
        <f t="shared" si="42"/>
        <v>项</v>
      </c>
    </row>
    <row r="680" s="372" customFormat="1" ht="24" hidden="1" customHeight="1" spans="1:10">
      <c r="A680" s="330">
        <v>2082799</v>
      </c>
      <c r="B680" s="379" t="s">
        <v>679</v>
      </c>
      <c r="C680" s="602">
        <v>0</v>
      </c>
      <c r="D680" s="709"/>
      <c r="E680" s="710">
        <v>0</v>
      </c>
      <c r="F680" s="710">
        <v>0</v>
      </c>
      <c r="G680" s="526" t="str">
        <f t="shared" si="40"/>
        <v/>
      </c>
      <c r="H680" s="470" t="str">
        <f t="shared" si="41"/>
        <v/>
      </c>
      <c r="I680" s="524" t="str">
        <f t="shared" si="43"/>
        <v>否</v>
      </c>
      <c r="J680" s="312" t="str">
        <f t="shared" si="42"/>
        <v>项</v>
      </c>
    </row>
    <row r="681" s="372" customFormat="1" ht="24" customHeight="1" spans="1:10">
      <c r="A681" s="330">
        <v>20828</v>
      </c>
      <c r="B681" s="379" t="s">
        <v>680</v>
      </c>
      <c r="C681" s="601">
        <v>768</v>
      </c>
      <c r="D681" s="708">
        <f>SUM(D682:D689)</f>
        <v>806</v>
      </c>
      <c r="E681" s="708">
        <f>SUM(E682:E689)</f>
        <v>806</v>
      </c>
      <c r="F681" s="708">
        <f>SUM(F682:F689)</f>
        <v>753</v>
      </c>
      <c r="G681" s="523">
        <f t="shared" si="40"/>
        <v>-0.01953125</v>
      </c>
      <c r="H681" s="467">
        <f t="shared" si="41"/>
        <v>0.93424317617866</v>
      </c>
      <c r="I681" s="524" t="str">
        <f t="shared" si="43"/>
        <v>是</v>
      </c>
      <c r="J681" s="312" t="str">
        <f t="shared" si="42"/>
        <v>款</v>
      </c>
    </row>
    <row r="682" ht="24" customHeight="1" spans="1:10">
      <c r="A682" s="330">
        <v>2082801</v>
      </c>
      <c r="B682" s="379" t="s">
        <v>212</v>
      </c>
      <c r="C682" s="602">
        <v>275</v>
      </c>
      <c r="D682" s="709">
        <v>295</v>
      </c>
      <c r="E682" s="710">
        <v>295</v>
      </c>
      <c r="F682" s="710">
        <v>255</v>
      </c>
      <c r="G682" s="526">
        <f t="shared" si="40"/>
        <v>-0.0727272727272727</v>
      </c>
      <c r="H682" s="470">
        <f t="shared" si="41"/>
        <v>0.864406779661017</v>
      </c>
      <c r="I682" s="524" t="str">
        <f t="shared" si="43"/>
        <v>是</v>
      </c>
      <c r="J682" s="312" t="str">
        <f t="shared" si="42"/>
        <v>项</v>
      </c>
    </row>
    <row r="683" s="372" customFormat="1" ht="24" customHeight="1" spans="1:10">
      <c r="A683" s="330">
        <v>2082802</v>
      </c>
      <c r="B683" s="379" t="s">
        <v>213</v>
      </c>
      <c r="C683" s="602">
        <v>5</v>
      </c>
      <c r="D683" s="709">
        <v>5</v>
      </c>
      <c r="E683" s="710">
        <v>5</v>
      </c>
      <c r="F683" s="710">
        <v>50</v>
      </c>
      <c r="G683" s="526">
        <f t="shared" si="40"/>
        <v>9</v>
      </c>
      <c r="H683" s="470">
        <f t="shared" si="41"/>
        <v>10</v>
      </c>
      <c r="I683" s="524" t="str">
        <f t="shared" si="43"/>
        <v>是</v>
      </c>
      <c r="J683" s="312" t="str">
        <f t="shared" si="42"/>
        <v>项</v>
      </c>
    </row>
    <row r="684" s="372" customFormat="1" ht="24" hidden="1" customHeight="1" spans="1:10">
      <c r="A684" s="330">
        <v>2082803</v>
      </c>
      <c r="B684" s="379" t="s">
        <v>214</v>
      </c>
      <c r="C684" s="602">
        <v>0</v>
      </c>
      <c r="D684" s="709">
        <v>0</v>
      </c>
      <c r="E684" s="710">
        <v>0</v>
      </c>
      <c r="F684" s="710">
        <v>0</v>
      </c>
      <c r="G684" s="526" t="str">
        <f t="shared" si="40"/>
        <v/>
      </c>
      <c r="H684" s="470" t="str">
        <f t="shared" si="41"/>
        <v/>
      </c>
      <c r="I684" s="524" t="str">
        <f t="shared" si="43"/>
        <v>否</v>
      </c>
      <c r="J684" s="312" t="str">
        <f t="shared" si="42"/>
        <v>项</v>
      </c>
    </row>
    <row r="685" s="372" customFormat="1" ht="24" customHeight="1" spans="1:10">
      <c r="A685" s="330">
        <v>2082804</v>
      </c>
      <c r="B685" s="379" t="s">
        <v>681</v>
      </c>
      <c r="C685" s="602">
        <v>155</v>
      </c>
      <c r="D685" s="709">
        <v>150</v>
      </c>
      <c r="E685" s="710">
        <v>150</v>
      </c>
      <c r="F685" s="710">
        <v>105</v>
      </c>
      <c r="G685" s="526">
        <f t="shared" si="40"/>
        <v>-0.32258064516129</v>
      </c>
      <c r="H685" s="470">
        <f t="shared" si="41"/>
        <v>0.7</v>
      </c>
      <c r="I685" s="524" t="str">
        <f t="shared" si="43"/>
        <v>是</v>
      </c>
      <c r="J685" s="312" t="str">
        <f t="shared" si="42"/>
        <v>项</v>
      </c>
    </row>
    <row r="686" s="372" customFormat="1" ht="24" hidden="1" customHeight="1" spans="1:10">
      <c r="A686" s="330">
        <v>2082805</v>
      </c>
      <c r="B686" s="405" t="s">
        <v>682</v>
      </c>
      <c r="C686" s="602">
        <v>0</v>
      </c>
      <c r="D686" s="709">
        <v>0</v>
      </c>
      <c r="E686" s="710">
        <v>0</v>
      </c>
      <c r="F686" s="710">
        <v>0</v>
      </c>
      <c r="G686" s="526" t="str">
        <f t="shared" si="40"/>
        <v/>
      </c>
      <c r="H686" s="470" t="str">
        <f t="shared" si="41"/>
        <v/>
      </c>
      <c r="I686" s="524" t="str">
        <f t="shared" si="43"/>
        <v>否</v>
      </c>
      <c r="J686" s="312" t="str">
        <f t="shared" si="42"/>
        <v>项</v>
      </c>
    </row>
    <row r="687" s="372" customFormat="1" ht="24" hidden="1" customHeight="1" spans="1:10">
      <c r="A687" s="330">
        <v>2082806</v>
      </c>
      <c r="B687" s="405" t="s">
        <v>252</v>
      </c>
      <c r="C687" s="602">
        <v>0</v>
      </c>
      <c r="D687" s="709">
        <v>0</v>
      </c>
      <c r="E687" s="710">
        <v>0</v>
      </c>
      <c r="F687" s="710">
        <v>0</v>
      </c>
      <c r="G687" s="526" t="str">
        <f t="shared" si="40"/>
        <v/>
      </c>
      <c r="H687" s="470" t="str">
        <f t="shared" si="41"/>
        <v/>
      </c>
      <c r="I687" s="524" t="str">
        <f t="shared" si="43"/>
        <v>否</v>
      </c>
      <c r="J687" s="312" t="str">
        <f t="shared" si="42"/>
        <v>项</v>
      </c>
    </row>
    <row r="688" s="372" customFormat="1" ht="24" customHeight="1" spans="1:10">
      <c r="A688" s="330">
        <v>2082850</v>
      </c>
      <c r="B688" s="379" t="s">
        <v>221</v>
      </c>
      <c r="C688" s="602">
        <v>333</v>
      </c>
      <c r="D688" s="709">
        <v>356</v>
      </c>
      <c r="E688" s="710">
        <v>356</v>
      </c>
      <c r="F688" s="710">
        <v>343</v>
      </c>
      <c r="G688" s="526">
        <f t="shared" si="40"/>
        <v>0.03003003003003</v>
      </c>
      <c r="H688" s="470">
        <f t="shared" si="41"/>
        <v>0.963483146067416</v>
      </c>
      <c r="I688" s="524" t="str">
        <f t="shared" si="43"/>
        <v>是</v>
      </c>
      <c r="J688" s="312" t="str">
        <f t="shared" si="42"/>
        <v>项</v>
      </c>
    </row>
    <row r="689" ht="24" hidden="1" customHeight="1" spans="1:10">
      <c r="A689" s="330">
        <v>2082899</v>
      </c>
      <c r="B689" s="379" t="s">
        <v>683</v>
      </c>
      <c r="C689" s="602">
        <v>0</v>
      </c>
      <c r="D689" s="709">
        <v>0</v>
      </c>
      <c r="E689" s="710">
        <v>0</v>
      </c>
      <c r="F689" s="710">
        <v>0</v>
      </c>
      <c r="G689" s="526" t="str">
        <f t="shared" si="40"/>
        <v/>
      </c>
      <c r="H689" s="470" t="str">
        <f t="shared" si="41"/>
        <v/>
      </c>
      <c r="I689" s="524" t="str">
        <f t="shared" si="43"/>
        <v>否</v>
      </c>
      <c r="J689" s="312" t="str">
        <f t="shared" si="42"/>
        <v>项</v>
      </c>
    </row>
    <row r="690" s="372" customFormat="1" ht="24" customHeight="1" spans="1:10">
      <c r="A690" s="330">
        <v>20830</v>
      </c>
      <c r="B690" s="379" t="s">
        <v>684</v>
      </c>
      <c r="C690" s="601">
        <v>33</v>
      </c>
      <c r="D690" s="708">
        <f>SUM(D691:D692)</f>
        <v>35</v>
      </c>
      <c r="E690" s="708">
        <f>SUM(E691:E692)</f>
        <v>35</v>
      </c>
      <c r="F690" s="708">
        <f>SUM(F691:F692)</f>
        <v>573</v>
      </c>
      <c r="G690" s="523">
        <f t="shared" si="40"/>
        <v>16.3636363636364</v>
      </c>
      <c r="H690" s="467">
        <f t="shared" si="41"/>
        <v>16.3714285714286</v>
      </c>
      <c r="I690" s="524" t="str">
        <f t="shared" si="43"/>
        <v>是</v>
      </c>
      <c r="J690" s="312" t="str">
        <f t="shared" si="42"/>
        <v>款</v>
      </c>
    </row>
    <row r="691" s="372" customFormat="1" ht="24" customHeight="1" spans="1:10">
      <c r="A691" s="330">
        <v>2083001</v>
      </c>
      <c r="B691" s="379" t="s">
        <v>685</v>
      </c>
      <c r="C691" s="602">
        <v>33</v>
      </c>
      <c r="D691" s="709">
        <v>35</v>
      </c>
      <c r="E691" s="710">
        <v>35</v>
      </c>
      <c r="F691" s="710">
        <v>573</v>
      </c>
      <c r="G691" s="526">
        <f t="shared" si="40"/>
        <v>16.3636363636364</v>
      </c>
      <c r="H691" s="470">
        <f t="shared" si="41"/>
        <v>16.3714285714286</v>
      </c>
      <c r="I691" s="524" t="str">
        <f t="shared" si="43"/>
        <v>是</v>
      </c>
      <c r="J691" s="312" t="str">
        <f t="shared" si="42"/>
        <v>项</v>
      </c>
    </row>
    <row r="692" ht="24" hidden="1" customHeight="1" spans="1:10">
      <c r="A692" s="330">
        <v>2083099</v>
      </c>
      <c r="B692" s="379" t="s">
        <v>686</v>
      </c>
      <c r="C692" s="602">
        <v>0</v>
      </c>
      <c r="D692" s="709"/>
      <c r="E692" s="710">
        <v>0</v>
      </c>
      <c r="F692" s="710">
        <v>0</v>
      </c>
      <c r="G692" s="526" t="str">
        <f t="shared" si="40"/>
        <v/>
      </c>
      <c r="H692" s="470" t="str">
        <f t="shared" si="41"/>
        <v/>
      </c>
      <c r="I692" s="524" t="str">
        <f t="shared" si="43"/>
        <v>否</v>
      </c>
      <c r="J692" s="312" t="str">
        <f t="shared" si="42"/>
        <v>项</v>
      </c>
    </row>
    <row r="693" s="372" customFormat="1" ht="24" customHeight="1" spans="1:10">
      <c r="A693" s="330">
        <v>20899</v>
      </c>
      <c r="B693" s="379" t="s">
        <v>687</v>
      </c>
      <c r="C693" s="601">
        <v>104</v>
      </c>
      <c r="D693" s="708">
        <f>D694</f>
        <v>85</v>
      </c>
      <c r="E693" s="708">
        <f>E694</f>
        <v>85</v>
      </c>
      <c r="F693" s="708">
        <f>F694</f>
        <v>90</v>
      </c>
      <c r="G693" s="523">
        <f t="shared" si="40"/>
        <v>-0.134615384615385</v>
      </c>
      <c r="H693" s="467">
        <f t="shared" si="41"/>
        <v>1.05882352941176</v>
      </c>
      <c r="I693" s="524" t="str">
        <f t="shared" si="43"/>
        <v>是</v>
      </c>
      <c r="J693" s="312" t="str">
        <f t="shared" si="42"/>
        <v>款</v>
      </c>
    </row>
    <row r="694" s="372" customFormat="1" ht="24" customHeight="1" spans="1:10">
      <c r="A694" s="330">
        <v>2089999</v>
      </c>
      <c r="B694" s="379" t="s">
        <v>688</v>
      </c>
      <c r="C694" s="602">
        <v>104</v>
      </c>
      <c r="D694" s="709">
        <v>85</v>
      </c>
      <c r="E694" s="710">
        <v>85</v>
      </c>
      <c r="F694" s="710">
        <v>90</v>
      </c>
      <c r="G694" s="526">
        <f t="shared" si="40"/>
        <v>-0.134615384615385</v>
      </c>
      <c r="H694" s="470">
        <f t="shared" si="41"/>
        <v>1.05882352941176</v>
      </c>
      <c r="I694" s="524" t="str">
        <f t="shared" si="43"/>
        <v>是</v>
      </c>
      <c r="J694" s="312" t="str">
        <f t="shared" si="42"/>
        <v>项</v>
      </c>
    </row>
    <row r="695" s="372" customFormat="1" ht="24" customHeight="1" spans="1:10">
      <c r="A695" s="329">
        <v>210</v>
      </c>
      <c r="B695" s="377" t="s">
        <v>183</v>
      </c>
      <c r="C695" s="601">
        <v>99631</v>
      </c>
      <c r="D695" s="708">
        <f>D696+D701+D716+D720+D732+D736+D741+D745+D749+D752+D761+D768+D776+D773</f>
        <v>102400</v>
      </c>
      <c r="E695" s="708">
        <f>E696+E701+E716+E720+E732+E736+E741+E745+E749+E752+E761+E768+E776+E773</f>
        <v>102400</v>
      </c>
      <c r="F695" s="708">
        <f>F696+F701+F716+F720+F732+F736+F741+F745+F749+F752+F761+F768+F776+F773</f>
        <v>102305</v>
      </c>
      <c r="G695" s="523">
        <f t="shared" si="40"/>
        <v>0.0268390360429987</v>
      </c>
      <c r="H695" s="467">
        <f t="shared" si="41"/>
        <v>0.999072265625</v>
      </c>
      <c r="I695" s="524" t="str">
        <f t="shared" si="43"/>
        <v>是</v>
      </c>
      <c r="J695" s="312" t="str">
        <f t="shared" si="42"/>
        <v>类</v>
      </c>
    </row>
    <row r="696" ht="24" customHeight="1" spans="1:10">
      <c r="A696" s="330">
        <v>21001</v>
      </c>
      <c r="B696" s="379" t="s">
        <v>689</v>
      </c>
      <c r="C696" s="601">
        <v>1404</v>
      </c>
      <c r="D696" s="708">
        <f>SUM(D697:D700)</f>
        <v>1500</v>
      </c>
      <c r="E696" s="708">
        <f>SUM(E697:E700)</f>
        <v>1500</v>
      </c>
      <c r="F696" s="708">
        <f>SUM(F697:F700)</f>
        <v>1778</v>
      </c>
      <c r="G696" s="523">
        <f t="shared" si="40"/>
        <v>0.266381766381766</v>
      </c>
      <c r="H696" s="467">
        <f t="shared" si="41"/>
        <v>1.18533333333333</v>
      </c>
      <c r="I696" s="524" t="str">
        <f t="shared" si="43"/>
        <v>是</v>
      </c>
      <c r="J696" s="312" t="str">
        <f t="shared" si="42"/>
        <v>款</v>
      </c>
    </row>
    <row r="697" s="372" customFormat="1" ht="24" customHeight="1" spans="1:10">
      <c r="A697" s="330">
        <v>2100101</v>
      </c>
      <c r="B697" s="379" t="s">
        <v>212</v>
      </c>
      <c r="C697" s="602">
        <v>1077</v>
      </c>
      <c r="D697" s="709">
        <v>1158</v>
      </c>
      <c r="E697" s="710">
        <v>1158</v>
      </c>
      <c r="F697" s="710">
        <v>1037</v>
      </c>
      <c r="G697" s="526">
        <f t="shared" si="40"/>
        <v>-0.0371402042711235</v>
      </c>
      <c r="H697" s="470">
        <f t="shared" si="41"/>
        <v>0.895509499136442</v>
      </c>
      <c r="I697" s="524" t="str">
        <f t="shared" si="43"/>
        <v>是</v>
      </c>
      <c r="J697" s="312" t="str">
        <f t="shared" si="42"/>
        <v>项</v>
      </c>
    </row>
    <row r="698" s="372" customFormat="1" ht="24" customHeight="1" spans="1:10">
      <c r="A698" s="330">
        <v>2100102</v>
      </c>
      <c r="B698" s="379" t="s">
        <v>213</v>
      </c>
      <c r="C698" s="602">
        <v>33</v>
      </c>
      <c r="D698" s="709">
        <v>30</v>
      </c>
      <c r="E698" s="710">
        <v>30</v>
      </c>
      <c r="F698" s="710">
        <v>3</v>
      </c>
      <c r="G698" s="526">
        <f t="shared" si="40"/>
        <v>-0.909090909090909</v>
      </c>
      <c r="H698" s="470">
        <f t="shared" si="41"/>
        <v>0.1</v>
      </c>
      <c r="I698" s="524" t="str">
        <f t="shared" si="43"/>
        <v>是</v>
      </c>
      <c r="J698" s="312" t="str">
        <f t="shared" si="42"/>
        <v>项</v>
      </c>
    </row>
    <row r="699" s="372" customFormat="1" ht="24" hidden="1" customHeight="1" spans="1:10">
      <c r="A699" s="330">
        <v>2100103</v>
      </c>
      <c r="B699" s="379" t="s">
        <v>214</v>
      </c>
      <c r="C699" s="602">
        <v>0</v>
      </c>
      <c r="D699" s="709">
        <v>0</v>
      </c>
      <c r="E699" s="710">
        <v>0</v>
      </c>
      <c r="F699" s="710">
        <v>0</v>
      </c>
      <c r="G699" s="526" t="str">
        <f t="shared" si="40"/>
        <v/>
      </c>
      <c r="H699" s="470" t="str">
        <f t="shared" si="41"/>
        <v/>
      </c>
      <c r="I699" s="524" t="str">
        <f t="shared" si="43"/>
        <v>否</v>
      </c>
      <c r="J699" s="312" t="str">
        <f t="shared" si="42"/>
        <v>项</v>
      </c>
    </row>
    <row r="700" s="372" customFormat="1" ht="24" customHeight="1" spans="1:10">
      <c r="A700" s="330">
        <v>2100199</v>
      </c>
      <c r="B700" s="379" t="s">
        <v>690</v>
      </c>
      <c r="C700" s="602">
        <v>294</v>
      </c>
      <c r="D700" s="709">
        <v>312</v>
      </c>
      <c r="E700" s="710">
        <v>312</v>
      </c>
      <c r="F700" s="710">
        <v>738</v>
      </c>
      <c r="G700" s="526">
        <f t="shared" si="40"/>
        <v>1.51020408163265</v>
      </c>
      <c r="H700" s="470">
        <f t="shared" si="41"/>
        <v>2.36538461538462</v>
      </c>
      <c r="I700" s="524" t="str">
        <f t="shared" si="43"/>
        <v>是</v>
      </c>
      <c r="J700" s="312" t="str">
        <f t="shared" si="42"/>
        <v>项</v>
      </c>
    </row>
    <row r="701" ht="24" customHeight="1" spans="1:10">
      <c r="A701" s="330">
        <v>21002</v>
      </c>
      <c r="B701" s="379" t="s">
        <v>691</v>
      </c>
      <c r="C701" s="601">
        <v>14631</v>
      </c>
      <c r="D701" s="708">
        <f>SUM(D702:D715)</f>
        <v>15764</v>
      </c>
      <c r="E701" s="708">
        <f>SUM(E702:E715)</f>
        <v>15764</v>
      </c>
      <c r="F701" s="708">
        <f>SUM(F702:F715)</f>
        <v>10404</v>
      </c>
      <c r="G701" s="523">
        <f t="shared" si="40"/>
        <v>-0.288907115029731</v>
      </c>
      <c r="H701" s="467">
        <f t="shared" si="41"/>
        <v>0.659984775437706</v>
      </c>
      <c r="I701" s="524" t="str">
        <f t="shared" si="43"/>
        <v>是</v>
      </c>
      <c r="J701" s="312" t="str">
        <f t="shared" si="42"/>
        <v>款</v>
      </c>
    </row>
    <row r="702" s="372" customFormat="1" ht="24" customHeight="1" spans="1:10">
      <c r="A702" s="330">
        <v>2100201</v>
      </c>
      <c r="B702" s="379" t="s">
        <v>692</v>
      </c>
      <c r="C702" s="602">
        <v>5948</v>
      </c>
      <c r="D702" s="709">
        <v>6458</v>
      </c>
      <c r="E702" s="710">
        <v>6458</v>
      </c>
      <c r="F702" s="710">
        <v>5549</v>
      </c>
      <c r="G702" s="526">
        <f t="shared" si="40"/>
        <v>-0.0670813718897108</v>
      </c>
      <c r="H702" s="470">
        <f t="shared" si="41"/>
        <v>0.859244348095386</v>
      </c>
      <c r="I702" s="524" t="str">
        <f t="shared" si="43"/>
        <v>是</v>
      </c>
      <c r="J702" s="312" t="str">
        <f t="shared" si="42"/>
        <v>项</v>
      </c>
    </row>
    <row r="703" s="372" customFormat="1" ht="24" customHeight="1" spans="1:10">
      <c r="A703" s="330">
        <v>2100202</v>
      </c>
      <c r="B703" s="379" t="s">
        <v>693</v>
      </c>
      <c r="C703" s="602">
        <v>2373</v>
      </c>
      <c r="D703" s="709">
        <v>2562</v>
      </c>
      <c r="E703" s="710">
        <v>2562</v>
      </c>
      <c r="F703" s="710">
        <v>2740</v>
      </c>
      <c r="G703" s="526">
        <f t="shared" si="40"/>
        <v>0.154656552886641</v>
      </c>
      <c r="H703" s="470">
        <f t="shared" si="41"/>
        <v>1.06947697111632</v>
      </c>
      <c r="I703" s="524" t="str">
        <f t="shared" si="43"/>
        <v>是</v>
      </c>
      <c r="J703" s="312" t="str">
        <f t="shared" si="42"/>
        <v>项</v>
      </c>
    </row>
    <row r="704" s="372" customFormat="1" ht="24" customHeight="1" spans="1:10">
      <c r="A704" s="330">
        <v>2100203</v>
      </c>
      <c r="B704" s="379" t="s">
        <v>694</v>
      </c>
      <c r="C704" s="602">
        <v>5204</v>
      </c>
      <c r="D704" s="709">
        <v>5623</v>
      </c>
      <c r="E704" s="710">
        <v>5623</v>
      </c>
      <c r="F704" s="710">
        <v>1158</v>
      </c>
      <c r="G704" s="526">
        <f t="shared" si="40"/>
        <v>-0.777478862413528</v>
      </c>
      <c r="H704" s="470">
        <f t="shared" si="41"/>
        <v>0.205939889738574</v>
      </c>
      <c r="I704" s="524" t="str">
        <f t="shared" si="43"/>
        <v>是</v>
      </c>
      <c r="J704" s="312" t="str">
        <f t="shared" si="42"/>
        <v>项</v>
      </c>
    </row>
    <row r="705" s="372" customFormat="1" ht="24" hidden="1" customHeight="1" spans="1:10">
      <c r="A705" s="330">
        <v>2100204</v>
      </c>
      <c r="B705" s="379" t="s">
        <v>695</v>
      </c>
      <c r="C705" s="602">
        <v>0</v>
      </c>
      <c r="D705" s="709">
        <v>0</v>
      </c>
      <c r="E705" s="710">
        <v>0</v>
      </c>
      <c r="F705" s="710">
        <v>0</v>
      </c>
      <c r="G705" s="526" t="str">
        <f t="shared" si="40"/>
        <v/>
      </c>
      <c r="H705" s="470" t="str">
        <f t="shared" si="41"/>
        <v/>
      </c>
      <c r="I705" s="524" t="str">
        <f t="shared" si="43"/>
        <v>否</v>
      </c>
      <c r="J705" s="312" t="str">
        <f t="shared" si="42"/>
        <v>项</v>
      </c>
    </row>
    <row r="706" s="372" customFormat="1" ht="24" customHeight="1" spans="1:10">
      <c r="A706" s="330">
        <v>2100205</v>
      </c>
      <c r="B706" s="379" t="s">
        <v>696</v>
      </c>
      <c r="C706" s="602">
        <v>706</v>
      </c>
      <c r="D706" s="709">
        <v>756</v>
      </c>
      <c r="E706" s="710">
        <v>756</v>
      </c>
      <c r="F706" s="710">
        <v>770</v>
      </c>
      <c r="G706" s="526">
        <f t="shared" si="40"/>
        <v>0.0906515580736544</v>
      </c>
      <c r="H706" s="470">
        <f t="shared" si="41"/>
        <v>1.01851851851852</v>
      </c>
      <c r="I706" s="524" t="str">
        <f t="shared" si="43"/>
        <v>是</v>
      </c>
      <c r="J706" s="312" t="str">
        <f t="shared" si="42"/>
        <v>项</v>
      </c>
    </row>
    <row r="707" s="372" customFormat="1" ht="24" hidden="1" customHeight="1" spans="1:10">
      <c r="A707" s="330">
        <v>2100206</v>
      </c>
      <c r="B707" s="379" t="s">
        <v>697</v>
      </c>
      <c r="C707" s="602">
        <v>0</v>
      </c>
      <c r="D707" s="709">
        <v>0</v>
      </c>
      <c r="E707" s="710">
        <v>0</v>
      </c>
      <c r="F707" s="710">
        <v>0</v>
      </c>
      <c r="G707" s="526" t="str">
        <f t="shared" si="40"/>
        <v/>
      </c>
      <c r="H707" s="470" t="str">
        <f t="shared" si="41"/>
        <v/>
      </c>
      <c r="I707" s="524" t="str">
        <f t="shared" si="43"/>
        <v>否</v>
      </c>
      <c r="J707" s="312" t="str">
        <f t="shared" si="42"/>
        <v>项</v>
      </c>
    </row>
    <row r="708" s="372" customFormat="1" ht="24" hidden="1" customHeight="1" spans="1:10">
      <c r="A708" s="330">
        <v>2100207</v>
      </c>
      <c r="B708" s="379" t="s">
        <v>698</v>
      </c>
      <c r="C708" s="602">
        <v>0</v>
      </c>
      <c r="D708" s="709">
        <v>0</v>
      </c>
      <c r="E708" s="710">
        <v>0</v>
      </c>
      <c r="F708" s="710">
        <v>0</v>
      </c>
      <c r="G708" s="526" t="str">
        <f t="shared" si="40"/>
        <v/>
      </c>
      <c r="H708" s="470" t="str">
        <f t="shared" si="41"/>
        <v/>
      </c>
      <c r="I708" s="524" t="str">
        <f t="shared" si="43"/>
        <v>否</v>
      </c>
      <c r="J708" s="312" t="str">
        <f t="shared" si="42"/>
        <v>项</v>
      </c>
    </row>
    <row r="709" ht="24" hidden="1" customHeight="1" spans="1:10">
      <c r="A709" s="330">
        <v>2100208</v>
      </c>
      <c r="B709" s="379" t="s">
        <v>699</v>
      </c>
      <c r="C709" s="602">
        <v>0</v>
      </c>
      <c r="D709" s="709">
        <v>0</v>
      </c>
      <c r="E709" s="710">
        <v>0</v>
      </c>
      <c r="F709" s="710">
        <v>0</v>
      </c>
      <c r="G709" s="526" t="str">
        <f t="shared" ref="G709:G772" si="44">IFERROR((F709-C709)/C709,"")</f>
        <v/>
      </c>
      <c r="H709" s="470" t="str">
        <f t="shared" ref="H709:H772" si="45">IFERROR(F709/D709,"")</f>
        <v/>
      </c>
      <c r="I709" s="524" t="str">
        <f t="shared" si="43"/>
        <v>否</v>
      </c>
      <c r="J709" s="312" t="str">
        <f t="shared" ref="J709:J772" si="46">IF(LEN(A709)=3,"类",IF(LEN(A709)=5,"款","项"))</f>
        <v>项</v>
      </c>
    </row>
    <row r="710" s="372" customFormat="1" ht="24" hidden="1" customHeight="1" spans="1:10">
      <c r="A710" s="330">
        <v>2100209</v>
      </c>
      <c r="B710" s="379" t="s">
        <v>700</v>
      </c>
      <c r="C710" s="602">
        <v>0</v>
      </c>
      <c r="D710" s="709">
        <v>0</v>
      </c>
      <c r="E710" s="710">
        <v>0</v>
      </c>
      <c r="F710" s="710">
        <v>0</v>
      </c>
      <c r="G710" s="526" t="str">
        <f t="shared" si="44"/>
        <v/>
      </c>
      <c r="H710" s="470" t="str">
        <f t="shared" si="45"/>
        <v/>
      </c>
      <c r="I710" s="524" t="str">
        <f t="shared" ref="I710:I773" si="47">IF(LEN(A710)=3,"是",IF(B710&lt;&gt;"",IF(SUM(C710:F710)&lt;&gt;0,"是","否"),"是"))</f>
        <v>否</v>
      </c>
      <c r="J710" s="312" t="str">
        <f t="shared" si="46"/>
        <v>项</v>
      </c>
    </row>
    <row r="711" s="372" customFormat="1" ht="24" hidden="1" customHeight="1" spans="1:10">
      <c r="A711" s="330">
        <v>2100210</v>
      </c>
      <c r="B711" s="379" t="s">
        <v>701</v>
      </c>
      <c r="C711" s="602">
        <v>0</v>
      </c>
      <c r="D711" s="709">
        <v>0</v>
      </c>
      <c r="E711" s="710">
        <v>0</v>
      </c>
      <c r="F711" s="710">
        <v>0</v>
      </c>
      <c r="G711" s="526" t="str">
        <f t="shared" si="44"/>
        <v/>
      </c>
      <c r="H711" s="470" t="str">
        <f t="shared" si="45"/>
        <v/>
      </c>
      <c r="I711" s="524" t="str">
        <f t="shared" si="47"/>
        <v>否</v>
      </c>
      <c r="J711" s="312" t="str">
        <f t="shared" si="46"/>
        <v>项</v>
      </c>
    </row>
    <row r="712" ht="24" hidden="1" customHeight="1" spans="1:10">
      <c r="A712" s="330">
        <v>2100211</v>
      </c>
      <c r="B712" s="379" t="s">
        <v>702</v>
      </c>
      <c r="C712" s="602">
        <v>0</v>
      </c>
      <c r="D712" s="709">
        <v>0</v>
      </c>
      <c r="E712" s="710">
        <v>0</v>
      </c>
      <c r="F712" s="710">
        <v>0</v>
      </c>
      <c r="G712" s="526" t="str">
        <f t="shared" si="44"/>
        <v/>
      </c>
      <c r="H712" s="470" t="str">
        <f t="shared" si="45"/>
        <v/>
      </c>
      <c r="I712" s="524" t="str">
        <f t="shared" si="47"/>
        <v>否</v>
      </c>
      <c r="J712" s="312" t="str">
        <f t="shared" si="46"/>
        <v>项</v>
      </c>
    </row>
    <row r="713" s="372" customFormat="1" ht="24" hidden="1" customHeight="1" spans="1:10">
      <c r="A713" s="330">
        <v>2100212</v>
      </c>
      <c r="B713" s="379" t="s">
        <v>703</v>
      </c>
      <c r="C713" s="602">
        <v>0</v>
      </c>
      <c r="D713" s="709">
        <v>0</v>
      </c>
      <c r="E713" s="710">
        <v>0</v>
      </c>
      <c r="F713" s="710">
        <v>0</v>
      </c>
      <c r="G713" s="526" t="str">
        <f t="shared" si="44"/>
        <v/>
      </c>
      <c r="H713" s="470" t="str">
        <f t="shared" si="45"/>
        <v/>
      </c>
      <c r="I713" s="524" t="str">
        <f t="shared" si="47"/>
        <v>否</v>
      </c>
      <c r="J713" s="312" t="str">
        <f t="shared" si="46"/>
        <v>项</v>
      </c>
    </row>
    <row r="714" ht="24" hidden="1" customHeight="1" spans="1:10">
      <c r="A714" s="330">
        <v>2100213</v>
      </c>
      <c r="B714" s="405" t="s">
        <v>704</v>
      </c>
      <c r="C714" s="602">
        <v>0</v>
      </c>
      <c r="D714" s="709">
        <v>0</v>
      </c>
      <c r="E714" s="710">
        <v>0</v>
      </c>
      <c r="F714" s="710">
        <v>0</v>
      </c>
      <c r="G714" s="526" t="str">
        <f t="shared" si="44"/>
        <v/>
      </c>
      <c r="H714" s="470" t="str">
        <f t="shared" si="45"/>
        <v/>
      </c>
      <c r="I714" s="524" t="str">
        <f t="shared" si="47"/>
        <v>否</v>
      </c>
      <c r="J714" s="312" t="str">
        <f t="shared" si="46"/>
        <v>项</v>
      </c>
    </row>
    <row r="715" ht="24" customHeight="1" spans="1:10">
      <c r="A715" s="330">
        <v>2100299</v>
      </c>
      <c r="B715" s="379" t="s">
        <v>705</v>
      </c>
      <c r="C715" s="602">
        <v>400</v>
      </c>
      <c r="D715" s="709">
        <v>365</v>
      </c>
      <c r="E715" s="710">
        <v>365</v>
      </c>
      <c r="F715" s="710">
        <v>187</v>
      </c>
      <c r="G715" s="526">
        <f t="shared" si="44"/>
        <v>-0.5325</v>
      </c>
      <c r="H715" s="470">
        <f t="shared" si="45"/>
        <v>0.512328767123288</v>
      </c>
      <c r="I715" s="524" t="str">
        <f t="shared" si="47"/>
        <v>是</v>
      </c>
      <c r="J715" s="312" t="str">
        <f t="shared" si="46"/>
        <v>项</v>
      </c>
    </row>
    <row r="716" s="372" customFormat="1" ht="24" customHeight="1" spans="1:10">
      <c r="A716" s="330">
        <v>21003</v>
      </c>
      <c r="B716" s="379" t="s">
        <v>706</v>
      </c>
      <c r="C716" s="601">
        <v>12</v>
      </c>
      <c r="D716" s="708">
        <f>SUM(D717:D719)</f>
        <v>0</v>
      </c>
      <c r="E716" s="708">
        <f>SUM(E717:E719)</f>
        <v>0</v>
      </c>
      <c r="F716" s="708">
        <f>SUM(F717:F719)</f>
        <v>6</v>
      </c>
      <c r="G716" s="523">
        <f t="shared" si="44"/>
        <v>-0.5</v>
      </c>
      <c r="H716" s="467" t="str">
        <f t="shared" si="45"/>
        <v/>
      </c>
      <c r="I716" s="524" t="str">
        <f t="shared" si="47"/>
        <v>是</v>
      </c>
      <c r="J716" s="312" t="str">
        <f t="shared" si="46"/>
        <v>款</v>
      </c>
    </row>
    <row r="717" s="372" customFormat="1" ht="24" hidden="1" customHeight="1" spans="1:10">
      <c r="A717" s="330">
        <v>2100301</v>
      </c>
      <c r="B717" s="379" t="s">
        <v>707</v>
      </c>
      <c r="C717" s="602">
        <v>0</v>
      </c>
      <c r="D717" s="709">
        <v>0</v>
      </c>
      <c r="E717" s="710">
        <v>0</v>
      </c>
      <c r="F717" s="710">
        <v>0</v>
      </c>
      <c r="G717" s="526" t="str">
        <f t="shared" si="44"/>
        <v/>
      </c>
      <c r="H717" s="470" t="str">
        <f t="shared" si="45"/>
        <v/>
      </c>
      <c r="I717" s="524" t="str">
        <f t="shared" si="47"/>
        <v>否</v>
      </c>
      <c r="J717" s="312" t="str">
        <f t="shared" si="46"/>
        <v>项</v>
      </c>
    </row>
    <row r="718" s="372" customFormat="1" ht="24" hidden="1" customHeight="1" spans="1:10">
      <c r="A718" s="330">
        <v>2100302</v>
      </c>
      <c r="B718" s="379" t="s">
        <v>708</v>
      </c>
      <c r="C718" s="602">
        <v>0</v>
      </c>
      <c r="D718" s="709">
        <v>0</v>
      </c>
      <c r="E718" s="710">
        <v>0</v>
      </c>
      <c r="F718" s="710">
        <v>0</v>
      </c>
      <c r="G718" s="526" t="str">
        <f t="shared" si="44"/>
        <v/>
      </c>
      <c r="H718" s="470" t="str">
        <f t="shared" si="45"/>
        <v/>
      </c>
      <c r="I718" s="524" t="str">
        <f t="shared" si="47"/>
        <v>否</v>
      </c>
      <c r="J718" s="312" t="str">
        <f t="shared" si="46"/>
        <v>项</v>
      </c>
    </row>
    <row r="719" s="372" customFormat="1" ht="24" customHeight="1" spans="1:10">
      <c r="A719" s="330">
        <v>2100399</v>
      </c>
      <c r="B719" s="379" t="s">
        <v>709</v>
      </c>
      <c r="C719" s="602">
        <v>12</v>
      </c>
      <c r="D719" s="709">
        <v>0</v>
      </c>
      <c r="E719" s="710">
        <v>0</v>
      </c>
      <c r="F719" s="710">
        <v>6</v>
      </c>
      <c r="G719" s="526">
        <f t="shared" si="44"/>
        <v>-0.5</v>
      </c>
      <c r="H719" s="470" t="str">
        <f t="shared" si="45"/>
        <v/>
      </c>
      <c r="I719" s="524" t="str">
        <f t="shared" si="47"/>
        <v>是</v>
      </c>
      <c r="J719" s="312" t="str">
        <f t="shared" si="46"/>
        <v>项</v>
      </c>
    </row>
    <row r="720" ht="24" customHeight="1" spans="1:10">
      <c r="A720" s="330">
        <v>21004</v>
      </c>
      <c r="B720" s="379" t="s">
        <v>710</v>
      </c>
      <c r="C720" s="601">
        <v>3863</v>
      </c>
      <c r="D720" s="708">
        <f>SUM(D721:D731)</f>
        <v>3986</v>
      </c>
      <c r="E720" s="708">
        <f>SUM(E721:E731)</f>
        <v>3986</v>
      </c>
      <c r="F720" s="708">
        <f>SUM(F721:F731)</f>
        <v>5861</v>
      </c>
      <c r="G720" s="523">
        <f t="shared" si="44"/>
        <v>0.517214600051773</v>
      </c>
      <c r="H720" s="467">
        <f t="shared" si="45"/>
        <v>1.47039638735575</v>
      </c>
      <c r="I720" s="524" t="str">
        <f t="shared" si="47"/>
        <v>是</v>
      </c>
      <c r="J720" s="312" t="str">
        <f t="shared" si="46"/>
        <v>款</v>
      </c>
    </row>
    <row r="721" s="372" customFormat="1" ht="24" customHeight="1" spans="1:10">
      <c r="A721" s="330">
        <v>2100401</v>
      </c>
      <c r="B721" s="379" t="s">
        <v>711</v>
      </c>
      <c r="C721" s="602">
        <v>985</v>
      </c>
      <c r="D721" s="709">
        <v>1020</v>
      </c>
      <c r="E721" s="710">
        <v>1020</v>
      </c>
      <c r="F721" s="710">
        <v>1331</v>
      </c>
      <c r="G721" s="526">
        <f t="shared" si="44"/>
        <v>0.351269035532995</v>
      </c>
      <c r="H721" s="470">
        <f t="shared" si="45"/>
        <v>1.30490196078431</v>
      </c>
      <c r="I721" s="524" t="str">
        <f t="shared" si="47"/>
        <v>是</v>
      </c>
      <c r="J721" s="312" t="str">
        <f t="shared" si="46"/>
        <v>项</v>
      </c>
    </row>
    <row r="722" s="372" customFormat="1" ht="24" hidden="1" customHeight="1" spans="1:10">
      <c r="A722" s="330">
        <v>2100402</v>
      </c>
      <c r="B722" s="379" t="s">
        <v>712</v>
      </c>
      <c r="C722" s="602">
        <v>0</v>
      </c>
      <c r="D722" s="709">
        <v>0</v>
      </c>
      <c r="E722" s="710">
        <v>0</v>
      </c>
      <c r="F722" s="710">
        <v>0</v>
      </c>
      <c r="G722" s="526" t="str">
        <f t="shared" si="44"/>
        <v/>
      </c>
      <c r="H722" s="470" t="str">
        <f t="shared" si="45"/>
        <v/>
      </c>
      <c r="I722" s="524" t="str">
        <f t="shared" si="47"/>
        <v>否</v>
      </c>
      <c r="J722" s="312" t="str">
        <f t="shared" si="46"/>
        <v>项</v>
      </c>
    </row>
    <row r="723" s="372" customFormat="1" ht="24" customHeight="1" spans="1:10">
      <c r="A723" s="330">
        <v>2100403</v>
      </c>
      <c r="B723" s="379" t="s">
        <v>713</v>
      </c>
      <c r="C723" s="602">
        <v>2107</v>
      </c>
      <c r="D723" s="709">
        <v>2215</v>
      </c>
      <c r="E723" s="710">
        <v>2215</v>
      </c>
      <c r="F723" s="710">
        <v>2948</v>
      </c>
      <c r="G723" s="526">
        <f t="shared" si="44"/>
        <v>0.399145704793545</v>
      </c>
      <c r="H723" s="470">
        <f t="shared" si="45"/>
        <v>1.33092550790068</v>
      </c>
      <c r="I723" s="524" t="str">
        <f t="shared" si="47"/>
        <v>是</v>
      </c>
      <c r="J723" s="312" t="str">
        <f t="shared" si="46"/>
        <v>项</v>
      </c>
    </row>
    <row r="724" s="372" customFormat="1" ht="24" hidden="1" customHeight="1" spans="1:10">
      <c r="A724" s="330">
        <v>2100404</v>
      </c>
      <c r="B724" s="379" t="s">
        <v>714</v>
      </c>
      <c r="C724" s="602">
        <v>0</v>
      </c>
      <c r="D724" s="709">
        <v>0</v>
      </c>
      <c r="E724" s="710">
        <v>0</v>
      </c>
      <c r="F724" s="710">
        <v>0</v>
      </c>
      <c r="G724" s="526" t="str">
        <f t="shared" si="44"/>
        <v/>
      </c>
      <c r="H724" s="470" t="str">
        <f t="shared" si="45"/>
        <v/>
      </c>
      <c r="I724" s="524" t="str">
        <f t="shared" si="47"/>
        <v>否</v>
      </c>
      <c r="J724" s="312" t="str">
        <f t="shared" si="46"/>
        <v>项</v>
      </c>
    </row>
    <row r="725" s="372" customFormat="1" ht="24" hidden="1" customHeight="1" spans="1:10">
      <c r="A725" s="330">
        <v>2100405</v>
      </c>
      <c r="B725" s="379" t="s">
        <v>715</v>
      </c>
      <c r="C725" s="602">
        <v>0</v>
      </c>
      <c r="D725" s="709">
        <v>0</v>
      </c>
      <c r="E725" s="710">
        <v>0</v>
      </c>
      <c r="F725" s="710">
        <v>0</v>
      </c>
      <c r="G725" s="526" t="str">
        <f t="shared" si="44"/>
        <v/>
      </c>
      <c r="H725" s="470" t="str">
        <f t="shared" si="45"/>
        <v/>
      </c>
      <c r="I725" s="524" t="str">
        <f t="shared" si="47"/>
        <v>否</v>
      </c>
      <c r="J725" s="312" t="str">
        <f t="shared" si="46"/>
        <v>项</v>
      </c>
    </row>
    <row r="726" s="372" customFormat="1" ht="24" customHeight="1" spans="1:10">
      <c r="A726" s="330">
        <v>2100406</v>
      </c>
      <c r="B726" s="379" t="s">
        <v>716</v>
      </c>
      <c r="C726" s="602">
        <v>242</v>
      </c>
      <c r="D726" s="709">
        <v>230</v>
      </c>
      <c r="E726" s="710">
        <v>230</v>
      </c>
      <c r="F726" s="710">
        <v>1221</v>
      </c>
      <c r="G726" s="526">
        <f t="shared" si="44"/>
        <v>4.04545454545455</v>
      </c>
      <c r="H726" s="470">
        <f t="shared" si="45"/>
        <v>5.30869565217391</v>
      </c>
      <c r="I726" s="524" t="str">
        <f t="shared" si="47"/>
        <v>是</v>
      </c>
      <c r="J726" s="312" t="str">
        <f t="shared" si="46"/>
        <v>项</v>
      </c>
    </row>
    <row r="727" s="372" customFormat="1" ht="24" hidden="1" customHeight="1" spans="1:10">
      <c r="A727" s="330">
        <v>2100407</v>
      </c>
      <c r="B727" s="379" t="s">
        <v>717</v>
      </c>
      <c r="C727" s="602">
        <v>0</v>
      </c>
      <c r="D727" s="709">
        <v>0</v>
      </c>
      <c r="E727" s="710">
        <v>0</v>
      </c>
      <c r="F727" s="710">
        <v>0</v>
      </c>
      <c r="G727" s="526" t="str">
        <f t="shared" si="44"/>
        <v/>
      </c>
      <c r="H727" s="470" t="str">
        <f t="shared" si="45"/>
        <v/>
      </c>
      <c r="I727" s="524" t="str">
        <f t="shared" si="47"/>
        <v>否</v>
      </c>
      <c r="J727" s="312" t="str">
        <f t="shared" si="46"/>
        <v>项</v>
      </c>
    </row>
    <row r="728" s="372" customFormat="1" ht="24" customHeight="1" spans="1:10">
      <c r="A728" s="330">
        <v>2100408</v>
      </c>
      <c r="B728" s="379" t="s">
        <v>718</v>
      </c>
      <c r="C728" s="602">
        <v>133</v>
      </c>
      <c r="D728" s="709">
        <v>145</v>
      </c>
      <c r="E728" s="710">
        <v>145</v>
      </c>
      <c r="F728" s="710">
        <v>97</v>
      </c>
      <c r="G728" s="526">
        <f t="shared" si="44"/>
        <v>-0.270676691729323</v>
      </c>
      <c r="H728" s="470">
        <f t="shared" si="45"/>
        <v>0.668965517241379</v>
      </c>
      <c r="I728" s="524" t="str">
        <f t="shared" si="47"/>
        <v>是</v>
      </c>
      <c r="J728" s="312" t="str">
        <f t="shared" si="46"/>
        <v>项</v>
      </c>
    </row>
    <row r="729" s="372" customFormat="1" ht="24" customHeight="1" spans="1:10">
      <c r="A729" s="330">
        <v>2100409</v>
      </c>
      <c r="B729" s="379" t="s">
        <v>719</v>
      </c>
      <c r="C729" s="602">
        <v>360</v>
      </c>
      <c r="D729" s="709">
        <v>350</v>
      </c>
      <c r="E729" s="710">
        <v>350</v>
      </c>
      <c r="F729" s="710">
        <v>263</v>
      </c>
      <c r="G729" s="526">
        <f t="shared" si="44"/>
        <v>-0.269444444444444</v>
      </c>
      <c r="H729" s="470">
        <f t="shared" si="45"/>
        <v>0.751428571428571</v>
      </c>
      <c r="I729" s="524" t="str">
        <f t="shared" si="47"/>
        <v>是</v>
      </c>
      <c r="J729" s="312" t="str">
        <f t="shared" si="46"/>
        <v>项</v>
      </c>
    </row>
    <row r="730" s="372" customFormat="1" ht="24" customHeight="1" spans="1:10">
      <c r="A730" s="330">
        <v>2100410</v>
      </c>
      <c r="B730" s="379" t="s">
        <v>720</v>
      </c>
      <c r="C730" s="602">
        <v>36</v>
      </c>
      <c r="D730" s="709">
        <v>26</v>
      </c>
      <c r="E730" s="710">
        <v>26</v>
      </c>
      <c r="F730" s="710">
        <v>0</v>
      </c>
      <c r="G730" s="526">
        <f t="shared" si="44"/>
        <v>-1</v>
      </c>
      <c r="H730" s="470">
        <f t="shared" si="45"/>
        <v>0</v>
      </c>
      <c r="I730" s="524" t="str">
        <f t="shared" si="47"/>
        <v>是</v>
      </c>
      <c r="J730" s="312" t="str">
        <f t="shared" si="46"/>
        <v>项</v>
      </c>
    </row>
    <row r="731" s="372" customFormat="1" ht="24" customHeight="1" spans="1:10">
      <c r="A731" s="330">
        <v>2100499</v>
      </c>
      <c r="B731" s="379" t="s">
        <v>721</v>
      </c>
      <c r="C731" s="602">
        <v>0</v>
      </c>
      <c r="D731" s="709">
        <v>0</v>
      </c>
      <c r="E731" s="710">
        <v>0</v>
      </c>
      <c r="F731" s="710">
        <v>1</v>
      </c>
      <c r="G731" s="526" t="str">
        <f t="shared" si="44"/>
        <v/>
      </c>
      <c r="H731" s="470" t="str">
        <f t="shared" si="45"/>
        <v/>
      </c>
      <c r="I731" s="524" t="str">
        <f t="shared" si="47"/>
        <v>是</v>
      </c>
      <c r="J731" s="312" t="str">
        <f t="shared" si="46"/>
        <v>项</v>
      </c>
    </row>
    <row r="732" ht="24" customHeight="1" spans="1:10">
      <c r="A732" s="330">
        <v>21007</v>
      </c>
      <c r="B732" s="379" t="s">
        <v>722</v>
      </c>
      <c r="C732" s="601">
        <v>118</v>
      </c>
      <c r="D732" s="708">
        <f>SUM(D733:D735)</f>
        <v>115</v>
      </c>
      <c r="E732" s="708">
        <f>SUM(E733:E735)</f>
        <v>115</v>
      </c>
      <c r="F732" s="708">
        <f>SUM(F733:F735)</f>
        <v>78</v>
      </c>
      <c r="G732" s="523">
        <f t="shared" si="44"/>
        <v>-0.338983050847458</v>
      </c>
      <c r="H732" s="467">
        <f t="shared" si="45"/>
        <v>0.678260869565217</v>
      </c>
      <c r="I732" s="524" t="str">
        <f t="shared" si="47"/>
        <v>是</v>
      </c>
      <c r="J732" s="312" t="str">
        <f t="shared" si="46"/>
        <v>款</v>
      </c>
    </row>
    <row r="733" s="372" customFormat="1" ht="24" customHeight="1" spans="1:10">
      <c r="A733" s="330">
        <v>2100716</v>
      </c>
      <c r="B733" s="379" t="s">
        <v>723</v>
      </c>
      <c r="C733" s="602">
        <v>97</v>
      </c>
      <c r="D733" s="709">
        <v>90</v>
      </c>
      <c r="E733" s="710">
        <v>90</v>
      </c>
      <c r="F733" s="710">
        <v>64</v>
      </c>
      <c r="G733" s="526">
        <f t="shared" si="44"/>
        <v>-0.34020618556701</v>
      </c>
      <c r="H733" s="470">
        <f t="shared" si="45"/>
        <v>0.711111111111111</v>
      </c>
      <c r="I733" s="524" t="str">
        <f t="shared" si="47"/>
        <v>是</v>
      </c>
      <c r="J733" s="312" t="str">
        <f t="shared" si="46"/>
        <v>项</v>
      </c>
    </row>
    <row r="734" s="372" customFormat="1" ht="24" hidden="1" customHeight="1" spans="1:10">
      <c r="A734" s="330">
        <v>2100717</v>
      </c>
      <c r="B734" s="379" t="s">
        <v>724</v>
      </c>
      <c r="C734" s="602">
        <v>0</v>
      </c>
      <c r="D734" s="709">
        <v>0</v>
      </c>
      <c r="E734" s="710">
        <v>0</v>
      </c>
      <c r="F734" s="710">
        <v>0</v>
      </c>
      <c r="G734" s="526" t="str">
        <f t="shared" si="44"/>
        <v/>
      </c>
      <c r="H734" s="470" t="str">
        <f t="shared" si="45"/>
        <v/>
      </c>
      <c r="I734" s="524" t="str">
        <f t="shared" si="47"/>
        <v>否</v>
      </c>
      <c r="J734" s="312" t="str">
        <f t="shared" si="46"/>
        <v>项</v>
      </c>
    </row>
    <row r="735" s="372" customFormat="1" ht="24" customHeight="1" spans="1:10">
      <c r="A735" s="330">
        <v>2100799</v>
      </c>
      <c r="B735" s="379" t="s">
        <v>725</v>
      </c>
      <c r="C735" s="602">
        <v>21</v>
      </c>
      <c r="D735" s="709">
        <v>25</v>
      </c>
      <c r="E735" s="710">
        <v>25</v>
      </c>
      <c r="F735" s="710">
        <v>14</v>
      </c>
      <c r="G735" s="526">
        <f t="shared" si="44"/>
        <v>-0.333333333333333</v>
      </c>
      <c r="H735" s="470">
        <f t="shared" si="45"/>
        <v>0.56</v>
      </c>
      <c r="I735" s="524" t="str">
        <f t="shared" si="47"/>
        <v>是</v>
      </c>
      <c r="J735" s="312" t="str">
        <f t="shared" si="46"/>
        <v>项</v>
      </c>
    </row>
    <row r="736" ht="24" customHeight="1" spans="1:10">
      <c r="A736" s="330">
        <v>21011</v>
      </c>
      <c r="B736" s="379" t="s">
        <v>726</v>
      </c>
      <c r="C736" s="601">
        <v>6176</v>
      </c>
      <c r="D736" s="708">
        <f>SUM(D737:D740)</f>
        <v>6427</v>
      </c>
      <c r="E736" s="708">
        <f>SUM(E737:E740)</f>
        <v>6427</v>
      </c>
      <c r="F736" s="708">
        <f>SUM(F737:F740)</f>
        <v>6195</v>
      </c>
      <c r="G736" s="523">
        <f t="shared" si="44"/>
        <v>0.00307642487046632</v>
      </c>
      <c r="H736" s="467">
        <f t="shared" si="45"/>
        <v>0.963902287225766</v>
      </c>
      <c r="I736" s="524" t="str">
        <f t="shared" si="47"/>
        <v>是</v>
      </c>
      <c r="J736" s="312" t="str">
        <f t="shared" si="46"/>
        <v>款</v>
      </c>
    </row>
    <row r="737" s="372" customFormat="1" ht="24" customHeight="1" spans="1:10">
      <c r="A737" s="330">
        <v>2101101</v>
      </c>
      <c r="B737" s="379" t="s">
        <v>727</v>
      </c>
      <c r="C737" s="602">
        <v>1943</v>
      </c>
      <c r="D737" s="709">
        <v>2015</v>
      </c>
      <c r="E737" s="710">
        <v>2015</v>
      </c>
      <c r="F737" s="710">
        <v>1892</v>
      </c>
      <c r="G737" s="526">
        <f t="shared" si="44"/>
        <v>-0.0262480699948533</v>
      </c>
      <c r="H737" s="470">
        <f t="shared" si="45"/>
        <v>0.938957816377171</v>
      </c>
      <c r="I737" s="524" t="str">
        <f t="shared" si="47"/>
        <v>是</v>
      </c>
      <c r="J737" s="312" t="str">
        <f t="shared" si="46"/>
        <v>项</v>
      </c>
    </row>
    <row r="738" s="372" customFormat="1" ht="24" customHeight="1" spans="1:10">
      <c r="A738" s="330">
        <v>2101102</v>
      </c>
      <c r="B738" s="379" t="s">
        <v>728</v>
      </c>
      <c r="C738" s="602">
        <v>1814</v>
      </c>
      <c r="D738" s="709">
        <v>1945</v>
      </c>
      <c r="E738" s="710">
        <v>1945</v>
      </c>
      <c r="F738" s="710">
        <v>1840</v>
      </c>
      <c r="G738" s="526">
        <f t="shared" si="44"/>
        <v>0.0143329658213892</v>
      </c>
      <c r="H738" s="470">
        <f t="shared" si="45"/>
        <v>0.946015424164524</v>
      </c>
      <c r="I738" s="524" t="str">
        <f t="shared" si="47"/>
        <v>是</v>
      </c>
      <c r="J738" s="312" t="str">
        <f t="shared" si="46"/>
        <v>项</v>
      </c>
    </row>
    <row r="739" s="372" customFormat="1" ht="24" customHeight="1" spans="1:10">
      <c r="A739" s="330">
        <v>2101103</v>
      </c>
      <c r="B739" s="379" t="s">
        <v>729</v>
      </c>
      <c r="C739" s="602">
        <v>2162</v>
      </c>
      <c r="D739" s="709">
        <v>2212</v>
      </c>
      <c r="E739" s="710">
        <v>2212</v>
      </c>
      <c r="F739" s="710">
        <v>2149</v>
      </c>
      <c r="G739" s="526">
        <f t="shared" si="44"/>
        <v>-0.00601295097132285</v>
      </c>
      <c r="H739" s="470">
        <f t="shared" si="45"/>
        <v>0.971518987341772</v>
      </c>
      <c r="I739" s="524" t="str">
        <f t="shared" si="47"/>
        <v>是</v>
      </c>
      <c r="J739" s="312" t="str">
        <f t="shared" si="46"/>
        <v>项</v>
      </c>
    </row>
    <row r="740" s="372" customFormat="1" ht="24" customHeight="1" spans="1:10">
      <c r="A740" s="330">
        <v>2101199</v>
      </c>
      <c r="B740" s="379" t="s">
        <v>730</v>
      </c>
      <c r="C740" s="602">
        <v>257</v>
      </c>
      <c r="D740" s="709">
        <v>255</v>
      </c>
      <c r="E740" s="710">
        <v>255</v>
      </c>
      <c r="F740" s="710">
        <v>314</v>
      </c>
      <c r="G740" s="526">
        <f t="shared" si="44"/>
        <v>0.221789883268482</v>
      </c>
      <c r="H740" s="470">
        <f t="shared" si="45"/>
        <v>1.23137254901961</v>
      </c>
      <c r="I740" s="524" t="str">
        <f t="shared" si="47"/>
        <v>是</v>
      </c>
      <c r="J740" s="312" t="str">
        <f t="shared" si="46"/>
        <v>项</v>
      </c>
    </row>
    <row r="741" s="372" customFormat="1" ht="24" customHeight="1" spans="1:10">
      <c r="A741" s="330">
        <v>21012</v>
      </c>
      <c r="B741" s="379" t="s">
        <v>731</v>
      </c>
      <c r="C741" s="601">
        <v>67081</v>
      </c>
      <c r="D741" s="708">
        <f>SUM(D742:D744)</f>
        <v>68636</v>
      </c>
      <c r="E741" s="708">
        <f>SUM(E742:E744)</f>
        <v>68636</v>
      </c>
      <c r="F741" s="708">
        <f>SUM(F742:F744)</f>
        <v>68914</v>
      </c>
      <c r="G741" s="523">
        <f t="shared" si="44"/>
        <v>0.0273251740433208</v>
      </c>
      <c r="H741" s="467">
        <f t="shared" si="45"/>
        <v>1.00405035258465</v>
      </c>
      <c r="I741" s="524" t="str">
        <f t="shared" si="47"/>
        <v>是</v>
      </c>
      <c r="J741" s="312" t="str">
        <f t="shared" si="46"/>
        <v>款</v>
      </c>
    </row>
    <row r="742" s="372" customFormat="1" ht="24" customHeight="1" spans="1:10">
      <c r="A742" s="330">
        <v>2101201</v>
      </c>
      <c r="B742" s="379" t="s">
        <v>732</v>
      </c>
      <c r="C742" s="602">
        <v>87</v>
      </c>
      <c r="D742" s="709">
        <v>50</v>
      </c>
      <c r="E742" s="710">
        <v>50</v>
      </c>
      <c r="F742" s="710">
        <v>21</v>
      </c>
      <c r="G742" s="526">
        <f t="shared" si="44"/>
        <v>-0.758620689655172</v>
      </c>
      <c r="H742" s="470">
        <f t="shared" si="45"/>
        <v>0.42</v>
      </c>
      <c r="I742" s="524" t="str">
        <f t="shared" si="47"/>
        <v>是</v>
      </c>
      <c r="J742" s="312" t="str">
        <f t="shared" si="46"/>
        <v>项</v>
      </c>
    </row>
    <row r="743" s="372" customFormat="1" ht="24" customHeight="1" spans="1:10">
      <c r="A743" s="330">
        <v>2101202</v>
      </c>
      <c r="B743" s="379" t="s">
        <v>733</v>
      </c>
      <c r="C743" s="602">
        <v>66994</v>
      </c>
      <c r="D743" s="709">
        <v>68586</v>
      </c>
      <c r="E743" s="710">
        <v>68586</v>
      </c>
      <c r="F743" s="710">
        <v>68893</v>
      </c>
      <c r="G743" s="526">
        <f t="shared" si="44"/>
        <v>0.0283458220139117</v>
      </c>
      <c r="H743" s="470">
        <f t="shared" si="45"/>
        <v>1.00447613215525</v>
      </c>
      <c r="I743" s="524" t="str">
        <f t="shared" si="47"/>
        <v>是</v>
      </c>
      <c r="J743" s="312" t="str">
        <f t="shared" si="46"/>
        <v>项</v>
      </c>
    </row>
    <row r="744" s="372" customFormat="1" ht="24" hidden="1" customHeight="1" spans="1:10">
      <c r="A744" s="330">
        <v>2101299</v>
      </c>
      <c r="B744" s="379" t="s">
        <v>734</v>
      </c>
      <c r="C744" s="602">
        <v>0</v>
      </c>
      <c r="D744" s="709">
        <v>0</v>
      </c>
      <c r="E744" s="710">
        <v>0</v>
      </c>
      <c r="F744" s="710">
        <v>0</v>
      </c>
      <c r="G744" s="526" t="str">
        <f t="shared" si="44"/>
        <v/>
      </c>
      <c r="H744" s="470" t="str">
        <f t="shared" si="45"/>
        <v/>
      </c>
      <c r="I744" s="524" t="str">
        <f t="shared" si="47"/>
        <v>否</v>
      </c>
      <c r="J744" s="312" t="str">
        <f t="shared" si="46"/>
        <v>项</v>
      </c>
    </row>
    <row r="745" s="372" customFormat="1" ht="24" customHeight="1" spans="1:10">
      <c r="A745" s="330">
        <v>21013</v>
      </c>
      <c r="B745" s="379" t="s">
        <v>735</v>
      </c>
      <c r="C745" s="601">
        <v>5392</v>
      </c>
      <c r="D745" s="708">
        <f>SUM(D746:D748)</f>
        <v>4936</v>
      </c>
      <c r="E745" s="708">
        <f>SUM(E746:E748)</f>
        <v>4936</v>
      </c>
      <c r="F745" s="708">
        <f>SUM(F746:F748)</f>
        <v>8097</v>
      </c>
      <c r="G745" s="523">
        <f t="shared" si="44"/>
        <v>0.501669139465875</v>
      </c>
      <c r="H745" s="467">
        <f t="shared" si="45"/>
        <v>1.64039708265802</v>
      </c>
      <c r="I745" s="524" t="str">
        <f t="shared" si="47"/>
        <v>是</v>
      </c>
      <c r="J745" s="312" t="str">
        <f t="shared" si="46"/>
        <v>款</v>
      </c>
    </row>
    <row r="746" s="372" customFormat="1" ht="24" customHeight="1" spans="1:10">
      <c r="A746" s="330">
        <v>2101301</v>
      </c>
      <c r="B746" s="379" t="s">
        <v>736</v>
      </c>
      <c r="C746" s="602">
        <v>5342</v>
      </c>
      <c r="D746" s="709">
        <v>4886</v>
      </c>
      <c r="E746" s="710">
        <v>4886</v>
      </c>
      <c r="F746" s="710">
        <v>7997</v>
      </c>
      <c r="G746" s="526">
        <f t="shared" si="44"/>
        <v>0.497004867090977</v>
      </c>
      <c r="H746" s="470">
        <f t="shared" si="45"/>
        <v>1.6367171510438</v>
      </c>
      <c r="I746" s="524" t="str">
        <f t="shared" si="47"/>
        <v>是</v>
      </c>
      <c r="J746" s="312" t="str">
        <f t="shared" si="46"/>
        <v>项</v>
      </c>
    </row>
    <row r="747" s="372" customFormat="1" ht="24" customHeight="1" spans="1:10">
      <c r="A747" s="330">
        <v>2101302</v>
      </c>
      <c r="B747" s="379" t="s">
        <v>737</v>
      </c>
      <c r="C747" s="602">
        <v>50</v>
      </c>
      <c r="D747" s="709">
        <v>50</v>
      </c>
      <c r="E747" s="710">
        <v>50</v>
      </c>
      <c r="F747" s="710">
        <v>100</v>
      </c>
      <c r="G747" s="526">
        <f t="shared" si="44"/>
        <v>1</v>
      </c>
      <c r="H747" s="470">
        <f t="shared" si="45"/>
        <v>2</v>
      </c>
      <c r="I747" s="524" t="str">
        <f t="shared" si="47"/>
        <v>是</v>
      </c>
      <c r="J747" s="312" t="str">
        <f t="shared" si="46"/>
        <v>项</v>
      </c>
    </row>
    <row r="748" ht="24" hidden="1" customHeight="1" spans="1:10">
      <c r="A748" s="330">
        <v>2101399</v>
      </c>
      <c r="B748" s="379" t="s">
        <v>738</v>
      </c>
      <c r="C748" s="602">
        <v>0</v>
      </c>
      <c r="D748" s="709">
        <v>0</v>
      </c>
      <c r="E748" s="710">
        <v>0</v>
      </c>
      <c r="F748" s="710">
        <v>0</v>
      </c>
      <c r="G748" s="526" t="str">
        <f t="shared" si="44"/>
        <v/>
      </c>
      <c r="H748" s="470" t="str">
        <f t="shared" si="45"/>
        <v/>
      </c>
      <c r="I748" s="524" t="str">
        <f t="shared" si="47"/>
        <v>否</v>
      </c>
      <c r="J748" s="312" t="str">
        <f t="shared" si="46"/>
        <v>项</v>
      </c>
    </row>
    <row r="749" s="372" customFormat="1" ht="24" hidden="1" customHeight="1" spans="1:10">
      <c r="A749" s="330">
        <v>21014</v>
      </c>
      <c r="B749" s="379" t="s">
        <v>739</v>
      </c>
      <c r="C749" s="601">
        <v>0</v>
      </c>
      <c r="D749" s="708">
        <f>SUM(D750:D751)</f>
        <v>0</v>
      </c>
      <c r="E749" s="708">
        <f>SUM(E750:E751)</f>
        <v>0</v>
      </c>
      <c r="F749" s="708">
        <f>SUM(F750:F751)</f>
        <v>0</v>
      </c>
      <c r="G749" s="523" t="str">
        <f t="shared" si="44"/>
        <v/>
      </c>
      <c r="H749" s="467" t="str">
        <f t="shared" si="45"/>
        <v/>
      </c>
      <c r="I749" s="524" t="str">
        <f t="shared" si="47"/>
        <v>否</v>
      </c>
      <c r="J749" s="312" t="str">
        <f t="shared" si="46"/>
        <v>款</v>
      </c>
    </row>
    <row r="750" s="372" customFormat="1" ht="24" hidden="1" customHeight="1" spans="1:10">
      <c r="A750" s="330">
        <v>2101401</v>
      </c>
      <c r="B750" s="379" t="s">
        <v>740</v>
      </c>
      <c r="C750" s="602">
        <v>0</v>
      </c>
      <c r="D750" s="709"/>
      <c r="E750" s="710">
        <v>0</v>
      </c>
      <c r="F750" s="710">
        <v>0</v>
      </c>
      <c r="G750" s="526" t="str">
        <f t="shared" si="44"/>
        <v/>
      </c>
      <c r="H750" s="470" t="str">
        <f t="shared" si="45"/>
        <v/>
      </c>
      <c r="I750" s="524" t="str">
        <f t="shared" si="47"/>
        <v>否</v>
      </c>
      <c r="J750" s="312" t="str">
        <f t="shared" si="46"/>
        <v>项</v>
      </c>
    </row>
    <row r="751" ht="24" hidden="1" customHeight="1" spans="1:10">
      <c r="A751" s="330">
        <v>2101499</v>
      </c>
      <c r="B751" s="379" t="s">
        <v>741</v>
      </c>
      <c r="C751" s="602">
        <v>0</v>
      </c>
      <c r="D751" s="709"/>
      <c r="E751" s="710">
        <v>0</v>
      </c>
      <c r="F751" s="710">
        <v>0</v>
      </c>
      <c r="G751" s="526" t="str">
        <f t="shared" si="44"/>
        <v/>
      </c>
      <c r="H751" s="470" t="str">
        <f t="shared" si="45"/>
        <v/>
      </c>
      <c r="I751" s="524" t="str">
        <f t="shared" si="47"/>
        <v>否</v>
      </c>
      <c r="J751" s="312" t="str">
        <f t="shared" si="46"/>
        <v>项</v>
      </c>
    </row>
    <row r="752" s="372" customFormat="1" ht="24" customHeight="1" spans="1:10">
      <c r="A752" s="330">
        <v>21015</v>
      </c>
      <c r="B752" s="379" t="s">
        <v>742</v>
      </c>
      <c r="C752" s="601">
        <v>620</v>
      </c>
      <c r="D752" s="708">
        <f>SUM(D753:D760)</f>
        <v>674</v>
      </c>
      <c r="E752" s="708">
        <f>SUM(E753:E760)</f>
        <v>674</v>
      </c>
      <c r="F752" s="708">
        <f>SUM(F753:F760)</f>
        <v>682</v>
      </c>
      <c r="G752" s="523">
        <f t="shared" si="44"/>
        <v>0.1</v>
      </c>
      <c r="H752" s="467">
        <f t="shared" si="45"/>
        <v>1.01186943620178</v>
      </c>
      <c r="I752" s="524" t="str">
        <f t="shared" si="47"/>
        <v>是</v>
      </c>
      <c r="J752" s="312" t="str">
        <f t="shared" si="46"/>
        <v>款</v>
      </c>
    </row>
    <row r="753" s="372" customFormat="1" ht="24" customHeight="1" spans="1:10">
      <c r="A753" s="330">
        <v>2101501</v>
      </c>
      <c r="B753" s="379" t="s">
        <v>212</v>
      </c>
      <c r="C753" s="602">
        <v>458</v>
      </c>
      <c r="D753" s="709">
        <v>496</v>
      </c>
      <c r="E753" s="710">
        <v>496</v>
      </c>
      <c r="F753" s="710">
        <v>475</v>
      </c>
      <c r="G753" s="526">
        <f t="shared" si="44"/>
        <v>0.037117903930131</v>
      </c>
      <c r="H753" s="470">
        <f t="shared" si="45"/>
        <v>0.957661290322581</v>
      </c>
      <c r="I753" s="524" t="str">
        <f t="shared" si="47"/>
        <v>是</v>
      </c>
      <c r="J753" s="312" t="str">
        <f t="shared" si="46"/>
        <v>项</v>
      </c>
    </row>
    <row r="754" s="372" customFormat="1" ht="24" hidden="1" customHeight="1" spans="1:10">
      <c r="A754" s="330">
        <v>2101502</v>
      </c>
      <c r="B754" s="379" t="s">
        <v>213</v>
      </c>
      <c r="C754" s="602">
        <v>0</v>
      </c>
      <c r="D754" s="709">
        <v>0</v>
      </c>
      <c r="E754" s="710">
        <v>0</v>
      </c>
      <c r="F754" s="710">
        <v>0</v>
      </c>
      <c r="G754" s="526" t="str">
        <f t="shared" si="44"/>
        <v/>
      </c>
      <c r="H754" s="470" t="str">
        <f t="shared" si="45"/>
        <v/>
      </c>
      <c r="I754" s="524" t="str">
        <f t="shared" si="47"/>
        <v>否</v>
      </c>
      <c r="J754" s="312" t="str">
        <f t="shared" si="46"/>
        <v>项</v>
      </c>
    </row>
    <row r="755" ht="24" hidden="1" customHeight="1" spans="1:10">
      <c r="A755" s="330">
        <v>2101503</v>
      </c>
      <c r="B755" s="379" t="s">
        <v>214</v>
      </c>
      <c r="C755" s="602">
        <v>0</v>
      </c>
      <c r="D755" s="709">
        <v>0</v>
      </c>
      <c r="E755" s="710">
        <v>0</v>
      </c>
      <c r="F755" s="710">
        <v>0</v>
      </c>
      <c r="G755" s="526" t="str">
        <f t="shared" si="44"/>
        <v/>
      </c>
      <c r="H755" s="470" t="str">
        <f t="shared" si="45"/>
        <v/>
      </c>
      <c r="I755" s="524" t="str">
        <f t="shared" si="47"/>
        <v>否</v>
      </c>
      <c r="J755" s="312" t="str">
        <f t="shared" si="46"/>
        <v>项</v>
      </c>
    </row>
    <row r="756" s="372" customFormat="1" ht="24" customHeight="1" spans="1:10">
      <c r="A756" s="330">
        <v>2101504</v>
      </c>
      <c r="B756" s="379" t="s">
        <v>252</v>
      </c>
      <c r="C756" s="602">
        <v>31</v>
      </c>
      <c r="D756" s="709">
        <v>34</v>
      </c>
      <c r="E756" s="710">
        <v>34</v>
      </c>
      <c r="F756" s="710">
        <v>17</v>
      </c>
      <c r="G756" s="526">
        <f t="shared" si="44"/>
        <v>-0.451612903225806</v>
      </c>
      <c r="H756" s="470">
        <f t="shared" si="45"/>
        <v>0.5</v>
      </c>
      <c r="I756" s="524" t="str">
        <f t="shared" si="47"/>
        <v>是</v>
      </c>
      <c r="J756" s="312" t="str">
        <f t="shared" si="46"/>
        <v>项</v>
      </c>
    </row>
    <row r="757" s="372" customFormat="1" ht="24" customHeight="1" spans="1:10">
      <c r="A757" s="330">
        <v>2101505</v>
      </c>
      <c r="B757" s="379" t="s">
        <v>743</v>
      </c>
      <c r="C757" s="602">
        <v>0</v>
      </c>
      <c r="D757" s="709">
        <v>0</v>
      </c>
      <c r="E757" s="710">
        <v>0</v>
      </c>
      <c r="F757" s="710">
        <v>26</v>
      </c>
      <c r="G757" s="526" t="str">
        <f t="shared" si="44"/>
        <v/>
      </c>
      <c r="H757" s="470" t="str">
        <f t="shared" si="45"/>
        <v/>
      </c>
      <c r="I757" s="524" t="str">
        <f t="shared" si="47"/>
        <v>是</v>
      </c>
      <c r="J757" s="312" t="str">
        <f t="shared" si="46"/>
        <v>项</v>
      </c>
    </row>
    <row r="758" s="372" customFormat="1" ht="24" customHeight="1" spans="1:10">
      <c r="A758" s="330">
        <v>2101506</v>
      </c>
      <c r="B758" s="379" t="s">
        <v>744</v>
      </c>
      <c r="C758" s="602">
        <v>97</v>
      </c>
      <c r="D758" s="709">
        <v>105</v>
      </c>
      <c r="E758" s="710">
        <v>105</v>
      </c>
      <c r="F758" s="710">
        <v>125</v>
      </c>
      <c r="G758" s="526">
        <f t="shared" si="44"/>
        <v>0.288659793814433</v>
      </c>
      <c r="H758" s="470">
        <f t="shared" si="45"/>
        <v>1.19047619047619</v>
      </c>
      <c r="I758" s="524" t="str">
        <f t="shared" si="47"/>
        <v>是</v>
      </c>
      <c r="J758" s="312" t="str">
        <f t="shared" si="46"/>
        <v>项</v>
      </c>
    </row>
    <row r="759" s="372" customFormat="1" ht="24" customHeight="1" spans="1:10">
      <c r="A759" s="330">
        <v>2101550</v>
      </c>
      <c r="B759" s="379" t="s">
        <v>221</v>
      </c>
      <c r="C759" s="602">
        <v>34</v>
      </c>
      <c r="D759" s="709">
        <v>39</v>
      </c>
      <c r="E759" s="710">
        <v>39</v>
      </c>
      <c r="F759" s="710">
        <v>39</v>
      </c>
      <c r="G759" s="526">
        <f t="shared" si="44"/>
        <v>0.147058823529412</v>
      </c>
      <c r="H759" s="470">
        <f t="shared" si="45"/>
        <v>1</v>
      </c>
      <c r="I759" s="524" t="str">
        <f t="shared" si="47"/>
        <v>是</v>
      </c>
      <c r="J759" s="312" t="str">
        <f t="shared" si="46"/>
        <v>项</v>
      </c>
    </row>
    <row r="760" ht="24" hidden="1" customHeight="1" spans="1:10">
      <c r="A760" s="330">
        <v>2101599</v>
      </c>
      <c r="B760" s="379" t="s">
        <v>745</v>
      </c>
      <c r="C760" s="602">
        <v>0</v>
      </c>
      <c r="D760" s="709">
        <v>0</v>
      </c>
      <c r="E760" s="710">
        <v>0</v>
      </c>
      <c r="F760" s="710">
        <v>0</v>
      </c>
      <c r="G760" s="526" t="str">
        <f t="shared" si="44"/>
        <v/>
      </c>
      <c r="H760" s="470" t="str">
        <f t="shared" si="45"/>
        <v/>
      </c>
      <c r="I760" s="524" t="str">
        <f t="shared" si="47"/>
        <v>否</v>
      </c>
      <c r="J760" s="312" t="str">
        <f t="shared" si="46"/>
        <v>项</v>
      </c>
    </row>
    <row r="761" s="372" customFormat="1" ht="24" customHeight="1" spans="1:10">
      <c r="A761" s="330">
        <v>21017</v>
      </c>
      <c r="B761" s="379" t="s">
        <v>748</v>
      </c>
      <c r="C761" s="601">
        <v>7</v>
      </c>
      <c r="D761" s="708">
        <f>SUM(D762:D767)</f>
        <v>9</v>
      </c>
      <c r="E761" s="708">
        <f>SUM(E762:E767)</f>
        <v>9</v>
      </c>
      <c r="F761" s="708">
        <f>SUM(F762:F767)</f>
        <v>0</v>
      </c>
      <c r="G761" s="523">
        <f t="shared" si="44"/>
        <v>-1</v>
      </c>
      <c r="H761" s="467">
        <f t="shared" si="45"/>
        <v>0</v>
      </c>
      <c r="I761" s="524" t="str">
        <f t="shared" si="47"/>
        <v>是</v>
      </c>
      <c r="J761" s="312" t="str">
        <f t="shared" si="46"/>
        <v>款</v>
      </c>
    </row>
    <row r="762" s="372" customFormat="1" ht="24" hidden="1" customHeight="1" spans="1:10">
      <c r="A762" s="330">
        <v>2101701</v>
      </c>
      <c r="B762" s="379" t="s">
        <v>212</v>
      </c>
      <c r="C762" s="602">
        <v>0</v>
      </c>
      <c r="D762" s="709"/>
      <c r="E762" s="710">
        <v>0</v>
      </c>
      <c r="F762" s="710">
        <v>0</v>
      </c>
      <c r="G762" s="526" t="str">
        <f t="shared" si="44"/>
        <v/>
      </c>
      <c r="H762" s="470" t="str">
        <f t="shared" si="45"/>
        <v/>
      </c>
      <c r="I762" s="524" t="str">
        <f t="shared" si="47"/>
        <v>否</v>
      </c>
      <c r="J762" s="312" t="str">
        <f t="shared" si="46"/>
        <v>项</v>
      </c>
    </row>
    <row r="763" s="372" customFormat="1" ht="24" hidden="1" customHeight="1" spans="1:10">
      <c r="A763" s="330">
        <v>2101702</v>
      </c>
      <c r="B763" s="379" t="s">
        <v>213</v>
      </c>
      <c r="C763" s="602">
        <v>0</v>
      </c>
      <c r="D763" s="709"/>
      <c r="E763" s="710">
        <v>0</v>
      </c>
      <c r="F763" s="710">
        <v>0</v>
      </c>
      <c r="G763" s="526" t="str">
        <f t="shared" si="44"/>
        <v/>
      </c>
      <c r="H763" s="470" t="str">
        <f t="shared" si="45"/>
        <v/>
      </c>
      <c r="I763" s="524" t="str">
        <f t="shared" si="47"/>
        <v>否</v>
      </c>
      <c r="J763" s="312" t="str">
        <f t="shared" si="46"/>
        <v>项</v>
      </c>
    </row>
    <row r="764" s="372" customFormat="1" ht="24" hidden="1" customHeight="1" spans="1:10">
      <c r="A764" s="330">
        <v>2101703</v>
      </c>
      <c r="B764" s="379" t="s">
        <v>214</v>
      </c>
      <c r="C764" s="602">
        <v>0</v>
      </c>
      <c r="D764" s="709"/>
      <c r="E764" s="710">
        <v>0</v>
      </c>
      <c r="F764" s="710">
        <v>0</v>
      </c>
      <c r="G764" s="526" t="str">
        <f t="shared" si="44"/>
        <v/>
      </c>
      <c r="H764" s="470" t="str">
        <f t="shared" si="45"/>
        <v/>
      </c>
      <c r="I764" s="524" t="str">
        <f t="shared" si="47"/>
        <v>否</v>
      </c>
      <c r="J764" s="312" t="str">
        <f t="shared" si="46"/>
        <v>项</v>
      </c>
    </row>
    <row r="765" s="506" customFormat="1" ht="24" customHeight="1" spans="1:10">
      <c r="A765" s="528">
        <v>2101704</v>
      </c>
      <c r="B765" s="327" t="s">
        <v>749</v>
      </c>
      <c r="C765" s="602">
        <v>7</v>
      </c>
      <c r="D765" s="709">
        <v>9</v>
      </c>
      <c r="E765" s="710">
        <v>9</v>
      </c>
      <c r="F765" s="710">
        <v>0</v>
      </c>
      <c r="G765" s="526">
        <f t="shared" si="44"/>
        <v>-1</v>
      </c>
      <c r="H765" s="470">
        <f t="shared" si="45"/>
        <v>0</v>
      </c>
      <c r="I765" s="524" t="str">
        <f t="shared" si="47"/>
        <v>是</v>
      </c>
      <c r="J765" s="309" t="str">
        <f t="shared" si="46"/>
        <v>项</v>
      </c>
    </row>
    <row r="766" s="374" customFormat="1" ht="24" hidden="1" customHeight="1" spans="1:10">
      <c r="A766" s="354">
        <v>2101750</v>
      </c>
      <c r="B766" s="327" t="s">
        <v>221</v>
      </c>
      <c r="C766" s="608"/>
      <c r="D766" s="709"/>
      <c r="E766" s="710">
        <v>0</v>
      </c>
      <c r="F766" s="710">
        <v>0</v>
      </c>
      <c r="G766" s="526" t="str">
        <f t="shared" si="44"/>
        <v/>
      </c>
      <c r="H766" s="470" t="str">
        <f t="shared" si="45"/>
        <v/>
      </c>
      <c r="I766" s="524" t="str">
        <f t="shared" si="47"/>
        <v>否</v>
      </c>
      <c r="J766" s="313" t="str">
        <f t="shared" si="46"/>
        <v>项</v>
      </c>
    </row>
    <row r="767" s="372" customFormat="1" ht="24" hidden="1" customHeight="1" spans="1:10">
      <c r="A767" s="330">
        <v>2101799</v>
      </c>
      <c r="B767" s="379" t="s">
        <v>750</v>
      </c>
      <c r="C767" s="602">
        <v>0</v>
      </c>
      <c r="D767" s="709"/>
      <c r="E767" s="710">
        <v>0</v>
      </c>
      <c r="F767" s="710">
        <v>0</v>
      </c>
      <c r="G767" s="526" t="str">
        <f t="shared" si="44"/>
        <v/>
      </c>
      <c r="H767" s="470" t="str">
        <f t="shared" si="45"/>
        <v/>
      </c>
      <c r="I767" s="524" t="str">
        <f t="shared" si="47"/>
        <v>否</v>
      </c>
      <c r="J767" s="312" t="str">
        <f t="shared" si="46"/>
        <v>项</v>
      </c>
    </row>
    <row r="768" s="372" customFormat="1" ht="24" hidden="1" customHeight="1" spans="1:10">
      <c r="A768" s="330">
        <v>21018</v>
      </c>
      <c r="B768" s="379" t="s">
        <v>751</v>
      </c>
      <c r="C768" s="601">
        <v>0</v>
      </c>
      <c r="D768" s="708">
        <f>SUM(D769:D772)</f>
        <v>0</v>
      </c>
      <c r="E768" s="708">
        <f>SUM(E769:E772)</f>
        <v>0</v>
      </c>
      <c r="F768" s="708">
        <f>SUM(F769:F772)</f>
        <v>0</v>
      </c>
      <c r="G768" s="523" t="str">
        <f t="shared" si="44"/>
        <v/>
      </c>
      <c r="H768" s="467" t="str">
        <f t="shared" si="45"/>
        <v/>
      </c>
      <c r="I768" s="524" t="str">
        <f t="shared" si="47"/>
        <v>否</v>
      </c>
      <c r="J768" s="312" t="str">
        <f t="shared" si="46"/>
        <v>款</v>
      </c>
    </row>
    <row r="769" s="372" customFormat="1" ht="24" hidden="1" customHeight="1" spans="1:10">
      <c r="A769" s="330">
        <v>2101801</v>
      </c>
      <c r="B769" s="379" t="s">
        <v>212</v>
      </c>
      <c r="C769" s="602">
        <v>0</v>
      </c>
      <c r="D769" s="709"/>
      <c r="E769" s="710">
        <v>0</v>
      </c>
      <c r="F769" s="710">
        <v>0</v>
      </c>
      <c r="G769" s="526" t="str">
        <f t="shared" si="44"/>
        <v/>
      </c>
      <c r="H769" s="470" t="str">
        <f t="shared" si="45"/>
        <v/>
      </c>
      <c r="I769" s="524" t="str">
        <f t="shared" si="47"/>
        <v>否</v>
      </c>
      <c r="J769" s="312" t="str">
        <f t="shared" si="46"/>
        <v>项</v>
      </c>
    </row>
    <row r="770" s="372" customFormat="1" ht="24" hidden="1" customHeight="1" spans="1:10">
      <c r="A770" s="330">
        <v>2101802</v>
      </c>
      <c r="B770" s="379" t="s">
        <v>213</v>
      </c>
      <c r="C770" s="602">
        <v>0</v>
      </c>
      <c r="D770" s="709"/>
      <c r="E770" s="710">
        <v>0</v>
      </c>
      <c r="F770" s="710">
        <v>0</v>
      </c>
      <c r="G770" s="526" t="str">
        <f t="shared" si="44"/>
        <v/>
      </c>
      <c r="H770" s="470" t="str">
        <f t="shared" si="45"/>
        <v/>
      </c>
      <c r="I770" s="524" t="str">
        <f t="shared" si="47"/>
        <v>否</v>
      </c>
      <c r="J770" s="312" t="str">
        <f t="shared" si="46"/>
        <v>项</v>
      </c>
    </row>
    <row r="771" s="372" customFormat="1" ht="24" hidden="1" customHeight="1" spans="1:10">
      <c r="A771" s="330">
        <v>2101803</v>
      </c>
      <c r="B771" s="379" t="s">
        <v>214</v>
      </c>
      <c r="C771" s="602">
        <v>0</v>
      </c>
      <c r="D771" s="709"/>
      <c r="E771" s="710">
        <v>0</v>
      </c>
      <c r="F771" s="710">
        <v>0</v>
      </c>
      <c r="G771" s="526" t="str">
        <f t="shared" si="44"/>
        <v/>
      </c>
      <c r="H771" s="470" t="str">
        <f t="shared" si="45"/>
        <v/>
      </c>
      <c r="I771" s="524" t="str">
        <f t="shared" si="47"/>
        <v>否</v>
      </c>
      <c r="J771" s="312" t="str">
        <f t="shared" si="46"/>
        <v>项</v>
      </c>
    </row>
    <row r="772" s="372" customFormat="1" ht="24" hidden="1" customHeight="1" spans="1:10">
      <c r="A772" s="330">
        <v>2101899</v>
      </c>
      <c r="B772" s="379" t="s">
        <v>752</v>
      </c>
      <c r="C772" s="602">
        <v>0</v>
      </c>
      <c r="D772" s="709">
        <v>0</v>
      </c>
      <c r="E772" s="710">
        <v>0</v>
      </c>
      <c r="F772" s="710">
        <v>0</v>
      </c>
      <c r="G772" s="526" t="str">
        <f t="shared" si="44"/>
        <v/>
      </c>
      <c r="H772" s="470" t="str">
        <f t="shared" si="45"/>
        <v/>
      </c>
      <c r="I772" s="524" t="str">
        <f t="shared" si="47"/>
        <v>否</v>
      </c>
      <c r="J772" s="312" t="str">
        <f t="shared" si="46"/>
        <v>项</v>
      </c>
    </row>
    <row r="773" s="374" customFormat="1" ht="24" hidden="1" customHeight="1" spans="1:10">
      <c r="A773" s="538">
        <v>21019</v>
      </c>
      <c r="B773" s="350" t="s">
        <v>753</v>
      </c>
      <c r="C773" s="359"/>
      <c r="D773" s="711"/>
      <c r="E773" s="711"/>
      <c r="F773" s="711"/>
      <c r="G773" s="523" t="str">
        <f t="shared" ref="G773:G836" si="48">IFERROR((F773-C773)/C773,"")</f>
        <v/>
      </c>
      <c r="H773" s="467" t="str">
        <f t="shared" ref="H773:H836" si="49">IFERROR(F773/D773,"")</f>
        <v/>
      </c>
      <c r="I773" s="524" t="str">
        <f t="shared" si="47"/>
        <v>否</v>
      </c>
      <c r="J773" s="313" t="str">
        <f t="shared" ref="J773:J836" si="50">IF(LEN(A773)=3,"类",IF(LEN(A773)=5,"款","项"))</f>
        <v>款</v>
      </c>
    </row>
    <row r="774" s="374" customFormat="1" ht="24" hidden="1" customHeight="1" spans="1:10">
      <c r="A774" s="538">
        <v>2101901</v>
      </c>
      <c r="B774" s="350" t="s">
        <v>754</v>
      </c>
      <c r="C774" s="608"/>
      <c r="D774" s="709"/>
      <c r="E774" s="710">
        <v>0</v>
      </c>
      <c r="F774" s="710">
        <v>0</v>
      </c>
      <c r="G774" s="526" t="str">
        <f t="shared" si="48"/>
        <v/>
      </c>
      <c r="H774" s="470" t="str">
        <f t="shared" si="49"/>
        <v/>
      </c>
      <c r="I774" s="524" t="str">
        <f t="shared" ref="I774:I837" si="51">IF(LEN(A774)=3,"是",IF(B774&lt;&gt;"",IF(SUM(C774:F774)&lt;&gt;0,"是","否"),"是"))</f>
        <v>否</v>
      </c>
      <c r="J774" s="313" t="str">
        <f t="shared" si="50"/>
        <v>项</v>
      </c>
    </row>
    <row r="775" s="374" customFormat="1" ht="24" hidden="1" customHeight="1" spans="1:10">
      <c r="A775" s="538">
        <v>2101999</v>
      </c>
      <c r="B775" s="350" t="s">
        <v>755</v>
      </c>
      <c r="C775" s="608"/>
      <c r="D775" s="709"/>
      <c r="E775" s="710">
        <v>0</v>
      </c>
      <c r="F775" s="710">
        <v>0</v>
      </c>
      <c r="G775" s="526" t="str">
        <f t="shared" si="48"/>
        <v/>
      </c>
      <c r="H775" s="470" t="str">
        <f t="shared" si="49"/>
        <v/>
      </c>
      <c r="I775" s="524" t="str">
        <f t="shared" si="51"/>
        <v>否</v>
      </c>
      <c r="J775" s="313" t="str">
        <f t="shared" si="50"/>
        <v>项</v>
      </c>
    </row>
    <row r="776" s="374" customFormat="1" ht="24" customHeight="1" spans="1:10">
      <c r="A776" s="331">
        <v>21099</v>
      </c>
      <c r="B776" s="327" t="s">
        <v>756</v>
      </c>
      <c r="C776" s="359">
        <v>327</v>
      </c>
      <c r="D776" s="708">
        <f>D777</f>
        <v>353</v>
      </c>
      <c r="E776" s="708">
        <f>E777</f>
        <v>353</v>
      </c>
      <c r="F776" s="708">
        <f>F777</f>
        <v>290</v>
      </c>
      <c r="G776" s="523">
        <f t="shared" si="48"/>
        <v>-0.113149847094801</v>
      </c>
      <c r="H776" s="467">
        <f t="shared" si="49"/>
        <v>0.821529745042493</v>
      </c>
      <c r="I776" s="524" t="str">
        <f t="shared" si="51"/>
        <v>是</v>
      </c>
      <c r="J776" s="313" t="str">
        <f t="shared" si="50"/>
        <v>款</v>
      </c>
    </row>
    <row r="777" ht="24" customHeight="1" spans="1:10">
      <c r="A777" s="326">
        <v>2109999</v>
      </c>
      <c r="B777" s="379" t="s">
        <v>757</v>
      </c>
      <c r="C777" s="602">
        <v>327</v>
      </c>
      <c r="D777" s="709">
        <v>353</v>
      </c>
      <c r="E777" s="710">
        <v>353</v>
      </c>
      <c r="F777" s="710">
        <v>290</v>
      </c>
      <c r="G777" s="526">
        <f t="shared" si="48"/>
        <v>-0.113149847094801</v>
      </c>
      <c r="H777" s="470">
        <f t="shared" si="49"/>
        <v>0.821529745042493</v>
      </c>
      <c r="I777" s="524" t="str">
        <f t="shared" si="51"/>
        <v>是</v>
      </c>
      <c r="J777" s="312" t="str">
        <f t="shared" si="50"/>
        <v>项</v>
      </c>
    </row>
    <row r="778" s="372" customFormat="1" ht="24" customHeight="1" spans="1:10">
      <c r="A778" s="329">
        <v>211</v>
      </c>
      <c r="B778" s="377" t="s">
        <v>184</v>
      </c>
      <c r="C778" s="601">
        <v>59344</v>
      </c>
      <c r="D778" s="708">
        <f>D779+D789+D793+D802+D809+D816+D819+D822+D824+D826+D832+D835+D837+D848</f>
        <v>60711</v>
      </c>
      <c r="E778" s="708">
        <f>E779+E789+E793+E802+E809+E816+E819+E822+E824+E826+E832+E835+E837+E848</f>
        <v>55026</v>
      </c>
      <c r="F778" s="708">
        <f>F779+F789+F793+F802+F809+F816+F819+F822+F824+F826+F832+F835+F837+F848</f>
        <v>63120</v>
      </c>
      <c r="G778" s="523">
        <f t="shared" si="48"/>
        <v>0.0636290105149636</v>
      </c>
      <c r="H778" s="467">
        <f t="shared" si="49"/>
        <v>1.03967979443593</v>
      </c>
      <c r="I778" s="524" t="str">
        <f t="shared" si="51"/>
        <v>是</v>
      </c>
      <c r="J778" s="312" t="str">
        <f t="shared" si="50"/>
        <v>类</v>
      </c>
    </row>
    <row r="779" s="372" customFormat="1" ht="24" customHeight="1" spans="1:10">
      <c r="A779" s="330">
        <v>21101</v>
      </c>
      <c r="B779" s="379" t="s">
        <v>758</v>
      </c>
      <c r="C779" s="601">
        <v>4526</v>
      </c>
      <c r="D779" s="708">
        <f>SUM(D780:D788)</f>
        <v>4493</v>
      </c>
      <c r="E779" s="708">
        <f>SUM(E780:E788)</f>
        <v>4523</v>
      </c>
      <c r="F779" s="708">
        <f>SUM(F780:F788)</f>
        <v>4887</v>
      </c>
      <c r="G779" s="523">
        <f t="shared" si="48"/>
        <v>0.0797613787008396</v>
      </c>
      <c r="H779" s="467">
        <f t="shared" si="49"/>
        <v>1.08769196527932</v>
      </c>
      <c r="I779" s="524" t="str">
        <f t="shared" si="51"/>
        <v>是</v>
      </c>
      <c r="J779" s="312" t="str">
        <f t="shared" si="50"/>
        <v>款</v>
      </c>
    </row>
    <row r="780" s="372" customFormat="1" ht="24" customHeight="1" spans="1:10">
      <c r="A780" s="330">
        <v>2110101</v>
      </c>
      <c r="B780" s="379" t="s">
        <v>212</v>
      </c>
      <c r="C780" s="602">
        <v>2071</v>
      </c>
      <c r="D780" s="709">
        <v>2205</v>
      </c>
      <c r="E780" s="710">
        <v>2205</v>
      </c>
      <c r="F780" s="710">
        <v>2250</v>
      </c>
      <c r="G780" s="526">
        <f t="shared" si="48"/>
        <v>0.0864316755190729</v>
      </c>
      <c r="H780" s="470">
        <f t="shared" si="49"/>
        <v>1.02040816326531</v>
      </c>
      <c r="I780" s="524" t="str">
        <f t="shared" si="51"/>
        <v>是</v>
      </c>
      <c r="J780" s="312" t="str">
        <f t="shared" si="50"/>
        <v>项</v>
      </c>
    </row>
    <row r="781" ht="24" customHeight="1" spans="1:10">
      <c r="A781" s="330">
        <v>2110102</v>
      </c>
      <c r="B781" s="379" t="s">
        <v>213</v>
      </c>
      <c r="C781" s="602">
        <v>89</v>
      </c>
      <c r="D781" s="709">
        <v>78</v>
      </c>
      <c r="E781" s="710">
        <v>78</v>
      </c>
      <c r="F781" s="710">
        <v>96</v>
      </c>
      <c r="G781" s="526">
        <f t="shared" si="48"/>
        <v>0.0786516853932584</v>
      </c>
      <c r="H781" s="470">
        <f t="shared" si="49"/>
        <v>1.23076923076923</v>
      </c>
      <c r="I781" s="524" t="str">
        <f t="shared" si="51"/>
        <v>是</v>
      </c>
      <c r="J781" s="312" t="str">
        <f t="shared" si="50"/>
        <v>项</v>
      </c>
    </row>
    <row r="782" s="372" customFormat="1" ht="24" hidden="1" customHeight="1" spans="1:10">
      <c r="A782" s="330">
        <v>2110103</v>
      </c>
      <c r="B782" s="379" t="s">
        <v>214</v>
      </c>
      <c r="C782" s="602">
        <v>0</v>
      </c>
      <c r="D782" s="709">
        <v>0</v>
      </c>
      <c r="E782" s="710">
        <v>0</v>
      </c>
      <c r="F782" s="710">
        <v>0</v>
      </c>
      <c r="G782" s="526" t="str">
        <f t="shared" si="48"/>
        <v/>
      </c>
      <c r="H782" s="470" t="str">
        <f t="shared" si="49"/>
        <v/>
      </c>
      <c r="I782" s="524" t="str">
        <f t="shared" si="51"/>
        <v>否</v>
      </c>
      <c r="J782" s="312" t="str">
        <f t="shared" si="50"/>
        <v>项</v>
      </c>
    </row>
    <row r="783" s="372" customFormat="1" ht="24" customHeight="1" spans="1:10">
      <c r="A783" s="330">
        <v>2110104</v>
      </c>
      <c r="B783" s="379" t="s">
        <v>759</v>
      </c>
      <c r="C783" s="602">
        <v>0</v>
      </c>
      <c r="D783" s="709">
        <v>0</v>
      </c>
      <c r="E783" s="710">
        <v>10</v>
      </c>
      <c r="F783" s="710">
        <v>0</v>
      </c>
      <c r="G783" s="526" t="str">
        <f t="shared" si="48"/>
        <v/>
      </c>
      <c r="H783" s="470" t="str">
        <f t="shared" si="49"/>
        <v/>
      </c>
      <c r="I783" s="524" t="str">
        <f t="shared" si="51"/>
        <v>是</v>
      </c>
      <c r="J783" s="312" t="str">
        <f t="shared" si="50"/>
        <v>项</v>
      </c>
    </row>
    <row r="784" ht="24" hidden="1" customHeight="1" spans="1:10">
      <c r="A784" s="330">
        <v>2110105</v>
      </c>
      <c r="B784" s="379" t="s">
        <v>760</v>
      </c>
      <c r="C784" s="602">
        <v>0</v>
      </c>
      <c r="D784" s="709">
        <v>0</v>
      </c>
      <c r="E784" s="710">
        <v>0</v>
      </c>
      <c r="F784" s="710">
        <v>0</v>
      </c>
      <c r="G784" s="526" t="str">
        <f t="shared" si="48"/>
        <v/>
      </c>
      <c r="H784" s="470" t="str">
        <f t="shared" si="49"/>
        <v/>
      </c>
      <c r="I784" s="524" t="str">
        <f t="shared" si="51"/>
        <v>否</v>
      </c>
      <c r="J784" s="312" t="str">
        <f t="shared" si="50"/>
        <v>项</v>
      </c>
    </row>
    <row r="785" s="372" customFormat="1" ht="24" hidden="1" customHeight="1" spans="1:10">
      <c r="A785" s="330">
        <v>2110106</v>
      </c>
      <c r="B785" s="379" t="s">
        <v>761</v>
      </c>
      <c r="C785" s="602">
        <v>0</v>
      </c>
      <c r="D785" s="709">
        <v>0</v>
      </c>
      <c r="E785" s="710">
        <v>0</v>
      </c>
      <c r="F785" s="710">
        <v>0</v>
      </c>
      <c r="G785" s="526" t="str">
        <f t="shared" si="48"/>
        <v/>
      </c>
      <c r="H785" s="470" t="str">
        <f t="shared" si="49"/>
        <v/>
      </c>
      <c r="I785" s="524" t="str">
        <f t="shared" si="51"/>
        <v>否</v>
      </c>
      <c r="J785" s="312" t="str">
        <f t="shared" si="50"/>
        <v>项</v>
      </c>
    </row>
    <row r="786" s="372" customFormat="1" ht="24" customHeight="1" spans="1:10">
      <c r="A786" s="330">
        <v>2110107</v>
      </c>
      <c r="B786" s="379" t="s">
        <v>762</v>
      </c>
      <c r="C786" s="602">
        <v>39</v>
      </c>
      <c r="D786" s="709">
        <v>0</v>
      </c>
      <c r="E786" s="710">
        <v>0</v>
      </c>
      <c r="F786" s="710">
        <v>39</v>
      </c>
      <c r="G786" s="526">
        <f t="shared" si="48"/>
        <v>0</v>
      </c>
      <c r="H786" s="470" t="str">
        <f t="shared" si="49"/>
        <v/>
      </c>
      <c r="I786" s="524" t="str">
        <f t="shared" si="51"/>
        <v>是</v>
      </c>
      <c r="J786" s="312" t="str">
        <f t="shared" si="50"/>
        <v>项</v>
      </c>
    </row>
    <row r="787" s="372" customFormat="1" ht="24" hidden="1" customHeight="1" spans="1:10">
      <c r="A787" s="330">
        <v>2110108</v>
      </c>
      <c r="B787" s="379" t="s">
        <v>763</v>
      </c>
      <c r="C787" s="602">
        <v>0</v>
      </c>
      <c r="D787" s="709">
        <v>0</v>
      </c>
      <c r="E787" s="710">
        <v>0</v>
      </c>
      <c r="F787" s="710">
        <v>0</v>
      </c>
      <c r="G787" s="526" t="str">
        <f t="shared" si="48"/>
        <v/>
      </c>
      <c r="H787" s="470" t="str">
        <f t="shared" si="49"/>
        <v/>
      </c>
      <c r="I787" s="524" t="str">
        <f t="shared" si="51"/>
        <v>否</v>
      </c>
      <c r="J787" s="312" t="str">
        <f t="shared" si="50"/>
        <v>项</v>
      </c>
    </row>
    <row r="788" s="372" customFormat="1" ht="24" customHeight="1" spans="1:10">
      <c r="A788" s="330">
        <v>2110199</v>
      </c>
      <c r="B788" s="379" t="s">
        <v>764</v>
      </c>
      <c r="C788" s="602">
        <v>2327</v>
      </c>
      <c r="D788" s="709">
        <v>2210</v>
      </c>
      <c r="E788" s="710">
        <v>2230</v>
      </c>
      <c r="F788" s="710">
        <v>2502</v>
      </c>
      <c r="G788" s="526">
        <f t="shared" si="48"/>
        <v>0.0752041254834551</v>
      </c>
      <c r="H788" s="470">
        <f t="shared" si="49"/>
        <v>1.13212669683258</v>
      </c>
      <c r="I788" s="524" t="str">
        <f t="shared" si="51"/>
        <v>是</v>
      </c>
      <c r="J788" s="312" t="str">
        <f t="shared" si="50"/>
        <v>项</v>
      </c>
    </row>
    <row r="789" s="372" customFormat="1" ht="24" customHeight="1" spans="1:10">
      <c r="A789" s="330">
        <v>21102</v>
      </c>
      <c r="B789" s="379" t="s">
        <v>765</v>
      </c>
      <c r="C789" s="601">
        <v>165</v>
      </c>
      <c r="D789" s="708">
        <f>SUM(D790:D792)</f>
        <v>223</v>
      </c>
      <c r="E789" s="708">
        <f>SUM(E790:E792)</f>
        <v>223</v>
      </c>
      <c r="F789" s="708">
        <f>SUM(F790:F792)</f>
        <v>338</v>
      </c>
      <c r="G789" s="523">
        <f t="shared" si="48"/>
        <v>1.04848484848485</v>
      </c>
      <c r="H789" s="467">
        <f t="shared" si="49"/>
        <v>1.51569506726457</v>
      </c>
      <c r="I789" s="524" t="str">
        <f t="shared" si="51"/>
        <v>是</v>
      </c>
      <c r="J789" s="312" t="str">
        <f t="shared" si="50"/>
        <v>款</v>
      </c>
    </row>
    <row r="790" s="372" customFormat="1" ht="24" hidden="1" customHeight="1" spans="1:10">
      <c r="A790" s="330">
        <v>2110203</v>
      </c>
      <c r="B790" s="379" t="s">
        <v>766</v>
      </c>
      <c r="C790" s="602">
        <v>0</v>
      </c>
      <c r="D790" s="709"/>
      <c r="E790" s="710">
        <v>0</v>
      </c>
      <c r="F790" s="710">
        <v>0</v>
      </c>
      <c r="G790" s="526" t="str">
        <f t="shared" si="48"/>
        <v/>
      </c>
      <c r="H790" s="470" t="str">
        <f t="shared" si="49"/>
        <v/>
      </c>
      <c r="I790" s="524" t="str">
        <f t="shared" si="51"/>
        <v>否</v>
      </c>
      <c r="J790" s="312" t="str">
        <f t="shared" si="50"/>
        <v>项</v>
      </c>
    </row>
    <row r="791" s="372" customFormat="1" ht="24" hidden="1" customHeight="1" spans="1:10">
      <c r="A791" s="330">
        <v>2110204</v>
      </c>
      <c r="B791" s="379" t="s">
        <v>767</v>
      </c>
      <c r="C791" s="602">
        <v>0</v>
      </c>
      <c r="D791" s="709"/>
      <c r="E791" s="710">
        <v>0</v>
      </c>
      <c r="F791" s="710">
        <v>0</v>
      </c>
      <c r="G791" s="526" t="str">
        <f t="shared" si="48"/>
        <v/>
      </c>
      <c r="H791" s="470" t="str">
        <f t="shared" si="49"/>
        <v/>
      </c>
      <c r="I791" s="524" t="str">
        <f t="shared" si="51"/>
        <v>否</v>
      </c>
      <c r="J791" s="312" t="str">
        <f t="shared" si="50"/>
        <v>项</v>
      </c>
    </row>
    <row r="792" s="372" customFormat="1" ht="24" customHeight="1" spans="1:10">
      <c r="A792" s="330">
        <v>2110299</v>
      </c>
      <c r="B792" s="379" t="s">
        <v>768</v>
      </c>
      <c r="C792" s="602">
        <v>165</v>
      </c>
      <c r="D792" s="709">
        <v>223</v>
      </c>
      <c r="E792" s="710">
        <v>223</v>
      </c>
      <c r="F792" s="710">
        <v>338</v>
      </c>
      <c r="G792" s="526">
        <f t="shared" si="48"/>
        <v>1.04848484848485</v>
      </c>
      <c r="H792" s="470">
        <f t="shared" si="49"/>
        <v>1.51569506726457</v>
      </c>
      <c r="I792" s="524" t="str">
        <f t="shared" si="51"/>
        <v>是</v>
      </c>
      <c r="J792" s="312" t="str">
        <f t="shared" si="50"/>
        <v>项</v>
      </c>
    </row>
    <row r="793" ht="24" customHeight="1" spans="1:10">
      <c r="A793" s="330">
        <v>21103</v>
      </c>
      <c r="B793" s="379" t="s">
        <v>769</v>
      </c>
      <c r="C793" s="601">
        <v>9722</v>
      </c>
      <c r="D793" s="708">
        <f>SUM(D794:D801)</f>
        <v>9776</v>
      </c>
      <c r="E793" s="708">
        <f>SUM(E794:E801)</f>
        <v>9776</v>
      </c>
      <c r="F793" s="708">
        <f>SUM(F794:F801)</f>
        <v>14167</v>
      </c>
      <c r="G793" s="523">
        <f t="shared" si="48"/>
        <v>0.457210450524583</v>
      </c>
      <c r="H793" s="467">
        <f t="shared" si="49"/>
        <v>1.4491612111293</v>
      </c>
      <c r="I793" s="524" t="str">
        <f t="shared" si="51"/>
        <v>是</v>
      </c>
      <c r="J793" s="312" t="str">
        <f t="shared" si="50"/>
        <v>款</v>
      </c>
    </row>
    <row r="794" s="372" customFormat="1" ht="24" customHeight="1" spans="1:10">
      <c r="A794" s="330">
        <v>2110301</v>
      </c>
      <c r="B794" s="379" t="s">
        <v>770</v>
      </c>
      <c r="C794" s="602">
        <v>105</v>
      </c>
      <c r="D794" s="709">
        <v>100</v>
      </c>
      <c r="E794" s="710">
        <v>100</v>
      </c>
      <c r="F794" s="710">
        <v>540</v>
      </c>
      <c r="G794" s="526">
        <f t="shared" si="48"/>
        <v>4.14285714285714</v>
      </c>
      <c r="H794" s="470">
        <f t="shared" si="49"/>
        <v>5.4</v>
      </c>
      <c r="I794" s="524" t="str">
        <f t="shared" si="51"/>
        <v>是</v>
      </c>
      <c r="J794" s="312" t="str">
        <f t="shared" si="50"/>
        <v>项</v>
      </c>
    </row>
    <row r="795" ht="24" customHeight="1" spans="1:10">
      <c r="A795" s="330">
        <v>2110302</v>
      </c>
      <c r="B795" s="379" t="s">
        <v>771</v>
      </c>
      <c r="C795" s="602">
        <v>8880</v>
      </c>
      <c r="D795" s="709">
        <v>8956</v>
      </c>
      <c r="E795" s="710">
        <v>8956</v>
      </c>
      <c r="F795" s="710">
        <v>13150</v>
      </c>
      <c r="G795" s="526">
        <f t="shared" si="48"/>
        <v>0.480855855855856</v>
      </c>
      <c r="H795" s="470">
        <f t="shared" si="49"/>
        <v>1.46828941491737</v>
      </c>
      <c r="I795" s="524" t="str">
        <f t="shared" si="51"/>
        <v>是</v>
      </c>
      <c r="J795" s="312" t="str">
        <f t="shared" si="50"/>
        <v>项</v>
      </c>
    </row>
    <row r="796" s="372" customFormat="1" ht="24" hidden="1" customHeight="1" spans="1:10">
      <c r="A796" s="330">
        <v>2110303</v>
      </c>
      <c r="B796" s="379" t="s">
        <v>772</v>
      </c>
      <c r="C796" s="602">
        <v>0</v>
      </c>
      <c r="D796" s="709">
        <v>0</v>
      </c>
      <c r="E796" s="710">
        <v>0</v>
      </c>
      <c r="F796" s="710">
        <v>0</v>
      </c>
      <c r="G796" s="526" t="str">
        <f t="shared" si="48"/>
        <v/>
      </c>
      <c r="H796" s="470" t="str">
        <f t="shared" si="49"/>
        <v/>
      </c>
      <c r="I796" s="524" t="str">
        <f t="shared" si="51"/>
        <v>否</v>
      </c>
      <c r="J796" s="312" t="str">
        <f t="shared" si="50"/>
        <v>项</v>
      </c>
    </row>
    <row r="797" ht="24" customHeight="1" spans="1:10">
      <c r="A797" s="330">
        <v>2110304</v>
      </c>
      <c r="B797" s="379" t="s">
        <v>773</v>
      </c>
      <c r="C797" s="602">
        <v>218</v>
      </c>
      <c r="D797" s="709">
        <v>210</v>
      </c>
      <c r="E797" s="710">
        <v>210</v>
      </c>
      <c r="F797" s="710">
        <v>0</v>
      </c>
      <c r="G797" s="526">
        <f t="shared" si="48"/>
        <v>-1</v>
      </c>
      <c r="H797" s="470">
        <f t="shared" si="49"/>
        <v>0</v>
      </c>
      <c r="I797" s="524" t="str">
        <f t="shared" si="51"/>
        <v>是</v>
      </c>
      <c r="J797" s="312" t="str">
        <f t="shared" si="50"/>
        <v>项</v>
      </c>
    </row>
    <row r="798" ht="24" hidden="1" customHeight="1" spans="1:10">
      <c r="A798" s="330">
        <v>2110305</v>
      </c>
      <c r="B798" s="379" t="s">
        <v>774</v>
      </c>
      <c r="C798" s="602">
        <v>0</v>
      </c>
      <c r="D798" s="709">
        <v>0</v>
      </c>
      <c r="E798" s="710">
        <v>0</v>
      </c>
      <c r="F798" s="710">
        <v>0</v>
      </c>
      <c r="G798" s="526" t="str">
        <f t="shared" si="48"/>
        <v/>
      </c>
      <c r="H798" s="470" t="str">
        <f t="shared" si="49"/>
        <v/>
      </c>
      <c r="I798" s="524" t="str">
        <f t="shared" si="51"/>
        <v>否</v>
      </c>
      <c r="J798" s="312" t="str">
        <f t="shared" si="50"/>
        <v>项</v>
      </c>
    </row>
    <row r="799" s="372" customFormat="1" ht="24" hidden="1" customHeight="1" spans="1:10">
      <c r="A799" s="330">
        <v>2110306</v>
      </c>
      <c r="B799" s="379" t="s">
        <v>775</v>
      </c>
      <c r="C799" s="602">
        <v>0</v>
      </c>
      <c r="D799" s="709">
        <v>0</v>
      </c>
      <c r="E799" s="710">
        <v>0</v>
      </c>
      <c r="F799" s="710">
        <v>0</v>
      </c>
      <c r="G799" s="526" t="str">
        <f t="shared" si="48"/>
        <v/>
      </c>
      <c r="H799" s="470" t="str">
        <f t="shared" si="49"/>
        <v/>
      </c>
      <c r="I799" s="524" t="str">
        <f t="shared" si="51"/>
        <v>否</v>
      </c>
      <c r="J799" s="312" t="str">
        <f t="shared" si="50"/>
        <v>项</v>
      </c>
    </row>
    <row r="800" s="372" customFormat="1" ht="24" customHeight="1" spans="1:10">
      <c r="A800" s="356">
        <v>2110307</v>
      </c>
      <c r="B800" s="379" t="s">
        <v>776</v>
      </c>
      <c r="C800" s="602">
        <v>405</v>
      </c>
      <c r="D800" s="709">
        <v>415</v>
      </c>
      <c r="E800" s="710">
        <v>415</v>
      </c>
      <c r="F800" s="710">
        <v>380</v>
      </c>
      <c r="G800" s="526">
        <f t="shared" si="48"/>
        <v>-0.0617283950617284</v>
      </c>
      <c r="H800" s="470">
        <f t="shared" si="49"/>
        <v>0.91566265060241</v>
      </c>
      <c r="I800" s="524" t="str">
        <f t="shared" si="51"/>
        <v>是</v>
      </c>
      <c r="J800" s="312" t="str">
        <f t="shared" si="50"/>
        <v>项</v>
      </c>
    </row>
    <row r="801" s="372" customFormat="1" ht="24" customHeight="1" spans="1:10">
      <c r="A801" s="330">
        <v>2110399</v>
      </c>
      <c r="B801" s="379" t="s">
        <v>777</v>
      </c>
      <c r="C801" s="602">
        <v>114</v>
      </c>
      <c r="D801" s="709">
        <v>95</v>
      </c>
      <c r="E801" s="710">
        <v>95</v>
      </c>
      <c r="F801" s="710">
        <v>97</v>
      </c>
      <c r="G801" s="526">
        <f t="shared" si="48"/>
        <v>-0.149122807017544</v>
      </c>
      <c r="H801" s="470">
        <f t="shared" si="49"/>
        <v>1.02105263157895</v>
      </c>
      <c r="I801" s="524" t="str">
        <f t="shared" si="51"/>
        <v>是</v>
      </c>
      <c r="J801" s="312" t="str">
        <f t="shared" si="50"/>
        <v>项</v>
      </c>
    </row>
    <row r="802" s="372" customFormat="1" ht="24" customHeight="1" spans="1:10">
      <c r="A802" s="330">
        <v>21104</v>
      </c>
      <c r="B802" s="379" t="s">
        <v>778</v>
      </c>
      <c r="C802" s="601">
        <v>43750</v>
      </c>
      <c r="D802" s="708">
        <f>SUM(D803:D808)</f>
        <v>45056</v>
      </c>
      <c r="E802" s="708">
        <f>SUM(E803:E808)</f>
        <v>38655</v>
      </c>
      <c r="F802" s="708">
        <f>SUM(F803:F808)</f>
        <v>42938</v>
      </c>
      <c r="G802" s="523">
        <f t="shared" si="48"/>
        <v>-0.01856</v>
      </c>
      <c r="H802" s="467">
        <f t="shared" si="49"/>
        <v>0.952991832386364</v>
      </c>
      <c r="I802" s="524" t="str">
        <f t="shared" si="51"/>
        <v>是</v>
      </c>
      <c r="J802" s="312" t="str">
        <f t="shared" si="50"/>
        <v>款</v>
      </c>
    </row>
    <row r="803" s="372" customFormat="1" ht="24" customHeight="1" spans="1:10">
      <c r="A803" s="330">
        <v>2110401</v>
      </c>
      <c r="B803" s="379" t="s">
        <v>779</v>
      </c>
      <c r="C803" s="602">
        <v>38855</v>
      </c>
      <c r="D803" s="709">
        <v>39856</v>
      </c>
      <c r="E803" s="710">
        <v>33341</v>
      </c>
      <c r="F803" s="710">
        <v>40270</v>
      </c>
      <c r="G803" s="526">
        <f t="shared" si="48"/>
        <v>0.0364174494916999</v>
      </c>
      <c r="H803" s="470">
        <f t="shared" si="49"/>
        <v>1.01038739462063</v>
      </c>
      <c r="I803" s="524" t="str">
        <f t="shared" si="51"/>
        <v>是</v>
      </c>
      <c r="J803" s="312" t="str">
        <f t="shared" si="50"/>
        <v>项</v>
      </c>
    </row>
    <row r="804" s="372" customFormat="1" ht="24" customHeight="1" spans="1:10">
      <c r="A804" s="330">
        <v>2110402</v>
      </c>
      <c r="B804" s="379" t="s">
        <v>780</v>
      </c>
      <c r="C804" s="602">
        <v>9</v>
      </c>
      <c r="D804" s="709">
        <v>11</v>
      </c>
      <c r="E804" s="710">
        <v>125</v>
      </c>
      <c r="F804" s="710">
        <v>0</v>
      </c>
      <c r="G804" s="526">
        <f t="shared" si="48"/>
        <v>-1</v>
      </c>
      <c r="H804" s="470">
        <f t="shared" si="49"/>
        <v>0</v>
      </c>
      <c r="I804" s="524" t="str">
        <f t="shared" si="51"/>
        <v>是</v>
      </c>
      <c r="J804" s="312" t="str">
        <f t="shared" si="50"/>
        <v>项</v>
      </c>
    </row>
    <row r="805" s="372" customFormat="1" ht="24" customHeight="1" spans="1:10">
      <c r="A805" s="330">
        <v>2110404</v>
      </c>
      <c r="B805" s="379" t="s">
        <v>781</v>
      </c>
      <c r="C805" s="602">
        <v>4013</v>
      </c>
      <c r="D805" s="709">
        <v>4212</v>
      </c>
      <c r="E805" s="710">
        <v>4212</v>
      </c>
      <c r="F805" s="710">
        <v>697</v>
      </c>
      <c r="G805" s="526">
        <f t="shared" si="48"/>
        <v>-0.826314477946673</v>
      </c>
      <c r="H805" s="470">
        <f t="shared" si="49"/>
        <v>0.165479582146249</v>
      </c>
      <c r="I805" s="524" t="str">
        <f t="shared" si="51"/>
        <v>是</v>
      </c>
      <c r="J805" s="312" t="str">
        <f t="shared" si="50"/>
        <v>项</v>
      </c>
    </row>
    <row r="806" s="372" customFormat="1" ht="24" hidden="1" customHeight="1" spans="1:10">
      <c r="A806" s="330">
        <v>2110405</v>
      </c>
      <c r="B806" s="405" t="s">
        <v>782</v>
      </c>
      <c r="C806" s="602">
        <v>0</v>
      </c>
      <c r="D806" s="709">
        <v>0</v>
      </c>
      <c r="E806" s="710">
        <v>0</v>
      </c>
      <c r="F806" s="710">
        <v>0</v>
      </c>
      <c r="G806" s="526" t="str">
        <f t="shared" si="48"/>
        <v/>
      </c>
      <c r="H806" s="470" t="str">
        <f t="shared" si="49"/>
        <v/>
      </c>
      <c r="I806" s="524" t="str">
        <f t="shared" si="51"/>
        <v>否</v>
      </c>
      <c r="J806" s="312" t="str">
        <f t="shared" si="50"/>
        <v>项</v>
      </c>
    </row>
    <row r="807" s="372" customFormat="1" ht="24" customHeight="1" spans="1:10">
      <c r="A807" s="330">
        <v>2110406</v>
      </c>
      <c r="B807" s="405" t="s">
        <v>783</v>
      </c>
      <c r="C807" s="602">
        <v>49</v>
      </c>
      <c r="D807" s="709">
        <v>52</v>
      </c>
      <c r="E807" s="710">
        <v>52</v>
      </c>
      <c r="F807" s="710">
        <v>52</v>
      </c>
      <c r="G807" s="526">
        <f t="shared" si="48"/>
        <v>0.0612244897959184</v>
      </c>
      <c r="H807" s="470">
        <f t="shared" si="49"/>
        <v>1</v>
      </c>
      <c r="I807" s="524" t="str">
        <f t="shared" si="51"/>
        <v>是</v>
      </c>
      <c r="J807" s="312" t="str">
        <f t="shared" si="50"/>
        <v>项</v>
      </c>
    </row>
    <row r="808" ht="24" customHeight="1" spans="1:10">
      <c r="A808" s="330">
        <v>2110499</v>
      </c>
      <c r="B808" s="379" t="s">
        <v>784</v>
      </c>
      <c r="C808" s="602">
        <v>824</v>
      </c>
      <c r="D808" s="709">
        <v>925</v>
      </c>
      <c r="E808" s="710">
        <v>925</v>
      </c>
      <c r="F808" s="710">
        <v>1919</v>
      </c>
      <c r="G808" s="526">
        <f t="shared" si="48"/>
        <v>1.32888349514563</v>
      </c>
      <c r="H808" s="470">
        <f t="shared" si="49"/>
        <v>2.07459459459459</v>
      </c>
      <c r="I808" s="524" t="str">
        <f t="shared" si="51"/>
        <v>是</v>
      </c>
      <c r="J808" s="312" t="str">
        <f t="shared" si="50"/>
        <v>项</v>
      </c>
    </row>
    <row r="809" s="372" customFormat="1" ht="24" customHeight="1" spans="1:10">
      <c r="A809" s="330">
        <v>21105</v>
      </c>
      <c r="B809" s="379" t="s">
        <v>785</v>
      </c>
      <c r="C809" s="601">
        <v>443</v>
      </c>
      <c r="D809" s="708">
        <f>SUM(D810:D815)</f>
        <v>445</v>
      </c>
      <c r="E809" s="708">
        <f>SUM(E810:E815)</f>
        <v>445</v>
      </c>
      <c r="F809" s="708">
        <f>SUM(F810:F815)</f>
        <v>513</v>
      </c>
      <c r="G809" s="523">
        <f t="shared" si="48"/>
        <v>0.158013544018059</v>
      </c>
      <c r="H809" s="467">
        <f t="shared" si="49"/>
        <v>1.15280898876404</v>
      </c>
      <c r="I809" s="524" t="str">
        <f t="shared" si="51"/>
        <v>是</v>
      </c>
      <c r="J809" s="312" t="str">
        <f t="shared" si="50"/>
        <v>款</v>
      </c>
    </row>
    <row r="810" s="372" customFormat="1" ht="24" customHeight="1" spans="1:10">
      <c r="A810" s="330">
        <v>2110501</v>
      </c>
      <c r="B810" s="379" t="s">
        <v>786</v>
      </c>
      <c r="C810" s="602">
        <v>90</v>
      </c>
      <c r="D810" s="709">
        <v>80</v>
      </c>
      <c r="E810" s="710">
        <v>80</v>
      </c>
      <c r="F810" s="710">
        <v>64</v>
      </c>
      <c r="G810" s="526">
        <f t="shared" si="48"/>
        <v>-0.288888888888889</v>
      </c>
      <c r="H810" s="470">
        <f t="shared" si="49"/>
        <v>0.8</v>
      </c>
      <c r="I810" s="524" t="str">
        <f t="shared" si="51"/>
        <v>是</v>
      </c>
      <c r="J810" s="312" t="str">
        <f t="shared" si="50"/>
        <v>项</v>
      </c>
    </row>
    <row r="811" s="372" customFormat="1" ht="24" hidden="1" customHeight="1" spans="1:10">
      <c r="A811" s="330">
        <v>2110502</v>
      </c>
      <c r="B811" s="379" t="s">
        <v>787</v>
      </c>
      <c r="C811" s="602">
        <v>0</v>
      </c>
      <c r="D811" s="709">
        <v>0</v>
      </c>
      <c r="E811" s="710">
        <v>0</v>
      </c>
      <c r="F811" s="710">
        <v>0</v>
      </c>
      <c r="G811" s="526" t="str">
        <f t="shared" si="48"/>
        <v/>
      </c>
      <c r="H811" s="470" t="str">
        <f t="shared" si="49"/>
        <v/>
      </c>
      <c r="I811" s="524" t="str">
        <f t="shared" si="51"/>
        <v>否</v>
      </c>
      <c r="J811" s="312" t="str">
        <f t="shared" si="50"/>
        <v>项</v>
      </c>
    </row>
    <row r="812" ht="24" hidden="1" customHeight="1" spans="1:10">
      <c r="A812" s="330">
        <v>2110503</v>
      </c>
      <c r="B812" s="379" t="s">
        <v>788</v>
      </c>
      <c r="C812" s="602">
        <v>0</v>
      </c>
      <c r="D812" s="709">
        <v>0</v>
      </c>
      <c r="E812" s="710">
        <v>0</v>
      </c>
      <c r="F812" s="710">
        <v>0</v>
      </c>
      <c r="G812" s="526" t="str">
        <f t="shared" si="48"/>
        <v/>
      </c>
      <c r="H812" s="470" t="str">
        <f t="shared" si="49"/>
        <v/>
      </c>
      <c r="I812" s="524" t="str">
        <f t="shared" si="51"/>
        <v>否</v>
      </c>
      <c r="J812" s="312" t="str">
        <f t="shared" si="50"/>
        <v>项</v>
      </c>
    </row>
    <row r="813" s="372" customFormat="1" ht="24" hidden="1" customHeight="1" spans="1:10">
      <c r="A813" s="330">
        <v>2110506</v>
      </c>
      <c r="B813" s="379" t="s">
        <v>789</v>
      </c>
      <c r="C813" s="602">
        <v>0</v>
      </c>
      <c r="D813" s="709">
        <v>0</v>
      </c>
      <c r="E813" s="710">
        <v>0</v>
      </c>
      <c r="F813" s="710">
        <v>0</v>
      </c>
      <c r="G813" s="526" t="str">
        <f t="shared" si="48"/>
        <v/>
      </c>
      <c r="H813" s="470" t="str">
        <f t="shared" si="49"/>
        <v/>
      </c>
      <c r="I813" s="524" t="str">
        <f t="shared" si="51"/>
        <v>否</v>
      </c>
      <c r="J813" s="312" t="str">
        <f t="shared" si="50"/>
        <v>项</v>
      </c>
    </row>
    <row r="814" s="372" customFormat="1" ht="24" hidden="1" customHeight="1" spans="1:10">
      <c r="A814" s="330">
        <v>2110507</v>
      </c>
      <c r="B814" s="379" t="s">
        <v>790</v>
      </c>
      <c r="C814" s="602">
        <v>0</v>
      </c>
      <c r="D814" s="709">
        <v>0</v>
      </c>
      <c r="E814" s="710">
        <v>0</v>
      </c>
      <c r="F814" s="710">
        <v>0</v>
      </c>
      <c r="G814" s="526" t="str">
        <f t="shared" si="48"/>
        <v/>
      </c>
      <c r="H814" s="470" t="str">
        <f t="shared" si="49"/>
        <v/>
      </c>
      <c r="I814" s="524" t="str">
        <f t="shared" si="51"/>
        <v>否</v>
      </c>
      <c r="J814" s="312" t="str">
        <f t="shared" si="50"/>
        <v>项</v>
      </c>
    </row>
    <row r="815" s="372" customFormat="1" ht="24" customHeight="1" spans="1:10">
      <c r="A815" s="330">
        <v>2110599</v>
      </c>
      <c r="B815" s="379" t="s">
        <v>791</v>
      </c>
      <c r="C815" s="602">
        <v>353</v>
      </c>
      <c r="D815" s="709">
        <v>365</v>
      </c>
      <c r="E815" s="710">
        <v>365</v>
      </c>
      <c r="F815" s="710">
        <v>449</v>
      </c>
      <c r="G815" s="526">
        <f t="shared" si="48"/>
        <v>0.271954674220963</v>
      </c>
      <c r="H815" s="470">
        <f t="shared" si="49"/>
        <v>1.23013698630137</v>
      </c>
      <c r="I815" s="524" t="str">
        <f t="shared" si="51"/>
        <v>是</v>
      </c>
      <c r="J815" s="312" t="str">
        <f t="shared" si="50"/>
        <v>项</v>
      </c>
    </row>
    <row r="816" s="372" customFormat="1" ht="24" hidden="1" customHeight="1" spans="1:10">
      <c r="A816" s="330">
        <v>21107</v>
      </c>
      <c r="B816" s="379" t="s">
        <v>792</v>
      </c>
      <c r="C816" s="601">
        <v>0</v>
      </c>
      <c r="D816" s="708">
        <f>SUM(D817:D818)</f>
        <v>0</v>
      </c>
      <c r="E816" s="708">
        <f>SUM(E817:E818)</f>
        <v>0</v>
      </c>
      <c r="F816" s="708">
        <f>SUM(F817:F818)</f>
        <v>0</v>
      </c>
      <c r="G816" s="523" t="str">
        <f t="shared" si="48"/>
        <v/>
      </c>
      <c r="H816" s="467" t="str">
        <f t="shared" si="49"/>
        <v/>
      </c>
      <c r="I816" s="524" t="str">
        <f t="shared" si="51"/>
        <v>否</v>
      </c>
      <c r="J816" s="312" t="str">
        <f t="shared" si="50"/>
        <v>款</v>
      </c>
    </row>
    <row r="817" s="372" customFormat="1" ht="24" hidden="1" customHeight="1" spans="1:10">
      <c r="A817" s="330">
        <v>2110704</v>
      </c>
      <c r="B817" s="379" t="s">
        <v>793</v>
      </c>
      <c r="C817" s="602">
        <v>0</v>
      </c>
      <c r="D817" s="709"/>
      <c r="E817" s="710">
        <v>0</v>
      </c>
      <c r="F817" s="710">
        <v>0</v>
      </c>
      <c r="G817" s="526" t="str">
        <f t="shared" si="48"/>
        <v/>
      </c>
      <c r="H817" s="470" t="str">
        <f t="shared" si="49"/>
        <v/>
      </c>
      <c r="I817" s="524" t="str">
        <f t="shared" si="51"/>
        <v>否</v>
      </c>
      <c r="J817" s="312" t="str">
        <f t="shared" si="50"/>
        <v>项</v>
      </c>
    </row>
    <row r="818" s="372" customFormat="1" ht="24" hidden="1" customHeight="1" spans="1:10">
      <c r="A818" s="330">
        <v>2110799</v>
      </c>
      <c r="B818" s="379" t="s">
        <v>794</v>
      </c>
      <c r="C818" s="602">
        <v>0</v>
      </c>
      <c r="D818" s="709"/>
      <c r="E818" s="710">
        <v>0</v>
      </c>
      <c r="F818" s="710">
        <v>0</v>
      </c>
      <c r="G818" s="526" t="str">
        <f t="shared" si="48"/>
        <v/>
      </c>
      <c r="H818" s="470" t="str">
        <f t="shared" si="49"/>
        <v/>
      </c>
      <c r="I818" s="524" t="str">
        <f t="shared" si="51"/>
        <v>否</v>
      </c>
      <c r="J818" s="312" t="str">
        <f t="shared" si="50"/>
        <v>项</v>
      </c>
    </row>
    <row r="819" s="372" customFormat="1" ht="24" hidden="1" customHeight="1" spans="1:10">
      <c r="A819" s="330">
        <v>21108</v>
      </c>
      <c r="B819" s="379" t="s">
        <v>795</v>
      </c>
      <c r="C819" s="601">
        <v>0</v>
      </c>
      <c r="D819" s="708">
        <f>SUM(D820:D821)</f>
        <v>0</v>
      </c>
      <c r="E819" s="708">
        <f>SUM(E820:E821)</f>
        <v>0</v>
      </c>
      <c r="F819" s="708">
        <f>SUM(F820:F821)</f>
        <v>0</v>
      </c>
      <c r="G819" s="523" t="str">
        <f t="shared" si="48"/>
        <v/>
      </c>
      <c r="H819" s="467" t="str">
        <f t="shared" si="49"/>
        <v/>
      </c>
      <c r="I819" s="524" t="str">
        <f t="shared" si="51"/>
        <v>否</v>
      </c>
      <c r="J819" s="312" t="str">
        <f t="shared" si="50"/>
        <v>款</v>
      </c>
    </row>
    <row r="820" s="372" customFormat="1" ht="24" hidden="1" customHeight="1" spans="1:10">
      <c r="A820" s="330">
        <v>2110804</v>
      </c>
      <c r="B820" s="379" t="s">
        <v>796</v>
      </c>
      <c r="C820" s="602">
        <v>0</v>
      </c>
      <c r="D820" s="709"/>
      <c r="E820" s="710">
        <v>0</v>
      </c>
      <c r="F820" s="710">
        <v>0</v>
      </c>
      <c r="G820" s="526" t="str">
        <f t="shared" si="48"/>
        <v/>
      </c>
      <c r="H820" s="470" t="str">
        <f t="shared" si="49"/>
        <v/>
      </c>
      <c r="I820" s="524" t="str">
        <f t="shared" si="51"/>
        <v>否</v>
      </c>
      <c r="J820" s="312" t="str">
        <f t="shared" si="50"/>
        <v>项</v>
      </c>
    </row>
    <row r="821" s="372" customFormat="1" ht="24" hidden="1" customHeight="1" spans="1:10">
      <c r="A821" s="330">
        <v>2110899</v>
      </c>
      <c r="B821" s="379" t="s">
        <v>797</v>
      </c>
      <c r="C821" s="602">
        <v>0</v>
      </c>
      <c r="D821" s="709"/>
      <c r="E821" s="710">
        <v>0</v>
      </c>
      <c r="F821" s="710">
        <v>0</v>
      </c>
      <c r="G821" s="526" t="str">
        <f t="shared" si="48"/>
        <v/>
      </c>
      <c r="H821" s="470" t="str">
        <f t="shared" si="49"/>
        <v/>
      </c>
      <c r="I821" s="524" t="str">
        <f t="shared" si="51"/>
        <v>否</v>
      </c>
      <c r="J821" s="312" t="str">
        <f t="shared" si="50"/>
        <v>项</v>
      </c>
    </row>
    <row r="822" ht="24" hidden="1" customHeight="1" spans="1:10">
      <c r="A822" s="330">
        <v>21109</v>
      </c>
      <c r="B822" s="379" t="s">
        <v>798</v>
      </c>
      <c r="C822" s="601">
        <v>0</v>
      </c>
      <c r="D822" s="708">
        <f>D823</f>
        <v>0</v>
      </c>
      <c r="E822" s="708">
        <f>E823</f>
        <v>0</v>
      </c>
      <c r="F822" s="708">
        <f>F823</f>
        <v>0</v>
      </c>
      <c r="G822" s="523" t="str">
        <f t="shared" si="48"/>
        <v/>
      </c>
      <c r="H822" s="467" t="str">
        <f t="shared" si="49"/>
        <v/>
      </c>
      <c r="I822" s="524" t="str">
        <f t="shared" si="51"/>
        <v>否</v>
      </c>
      <c r="J822" s="312" t="str">
        <f t="shared" si="50"/>
        <v>款</v>
      </c>
    </row>
    <row r="823" s="372" customFormat="1" ht="24" hidden="1" customHeight="1" spans="1:10">
      <c r="A823" s="326">
        <v>2110901</v>
      </c>
      <c r="B823" s="534" t="s">
        <v>799</v>
      </c>
      <c r="C823" s="602">
        <v>0</v>
      </c>
      <c r="D823" s="709"/>
      <c r="E823" s="710">
        <v>0</v>
      </c>
      <c r="F823" s="710">
        <v>0</v>
      </c>
      <c r="G823" s="526" t="str">
        <f t="shared" si="48"/>
        <v/>
      </c>
      <c r="H823" s="470" t="str">
        <f t="shared" si="49"/>
        <v/>
      </c>
      <c r="I823" s="524" t="str">
        <f t="shared" si="51"/>
        <v>否</v>
      </c>
      <c r="J823" s="312" t="str">
        <f t="shared" si="50"/>
        <v>项</v>
      </c>
    </row>
    <row r="824" s="372" customFormat="1" ht="24" hidden="1" customHeight="1" spans="1:10">
      <c r="A824" s="330">
        <v>21110</v>
      </c>
      <c r="B824" s="379" t="s">
        <v>800</v>
      </c>
      <c r="C824" s="601">
        <v>0</v>
      </c>
      <c r="D824" s="708">
        <f>D825</f>
        <v>0</v>
      </c>
      <c r="E824" s="708">
        <f>E825</f>
        <v>0</v>
      </c>
      <c r="F824" s="708">
        <f>F825</f>
        <v>0</v>
      </c>
      <c r="G824" s="523" t="str">
        <f t="shared" si="48"/>
        <v/>
      </c>
      <c r="H824" s="467" t="str">
        <f t="shared" si="49"/>
        <v/>
      </c>
      <c r="I824" s="524" t="str">
        <f t="shared" si="51"/>
        <v>否</v>
      </c>
      <c r="J824" s="312" t="str">
        <f t="shared" si="50"/>
        <v>款</v>
      </c>
    </row>
    <row r="825" s="372" customFormat="1" ht="24" hidden="1" customHeight="1" spans="1:10">
      <c r="A825" s="326">
        <v>2111001</v>
      </c>
      <c r="B825" s="534" t="s">
        <v>801</v>
      </c>
      <c r="C825" s="602">
        <v>0</v>
      </c>
      <c r="D825" s="709"/>
      <c r="E825" s="710">
        <v>0</v>
      </c>
      <c r="F825" s="710">
        <v>0</v>
      </c>
      <c r="G825" s="526" t="str">
        <f t="shared" si="48"/>
        <v/>
      </c>
      <c r="H825" s="470" t="str">
        <f t="shared" si="49"/>
        <v/>
      </c>
      <c r="I825" s="524" t="str">
        <f t="shared" si="51"/>
        <v>否</v>
      </c>
      <c r="J825" s="312" t="str">
        <f t="shared" si="50"/>
        <v>项</v>
      </c>
    </row>
    <row r="826" s="372" customFormat="1" ht="24" customHeight="1" spans="1:10">
      <c r="A826" s="330">
        <v>21111</v>
      </c>
      <c r="B826" s="379" t="s">
        <v>802</v>
      </c>
      <c r="C826" s="601">
        <v>725</v>
      </c>
      <c r="D826" s="708">
        <f>SUM(D827:D831)</f>
        <v>703</v>
      </c>
      <c r="E826" s="708">
        <f>SUM(E827:E831)</f>
        <v>703</v>
      </c>
      <c r="F826" s="708">
        <f>SUM(F827:F831)</f>
        <v>249</v>
      </c>
      <c r="G826" s="523">
        <f t="shared" si="48"/>
        <v>-0.656551724137931</v>
      </c>
      <c r="H826" s="467">
        <f t="shared" si="49"/>
        <v>0.354196301564723</v>
      </c>
      <c r="I826" s="524" t="str">
        <f t="shared" si="51"/>
        <v>是</v>
      </c>
      <c r="J826" s="312" t="str">
        <f t="shared" si="50"/>
        <v>款</v>
      </c>
    </row>
    <row r="827" s="372" customFormat="1" ht="24" customHeight="1" spans="1:10">
      <c r="A827" s="330">
        <v>2111101</v>
      </c>
      <c r="B827" s="379" t="s">
        <v>803</v>
      </c>
      <c r="C827" s="602">
        <v>421</v>
      </c>
      <c r="D827" s="709">
        <v>408</v>
      </c>
      <c r="E827" s="710">
        <v>408</v>
      </c>
      <c r="F827" s="710">
        <v>0</v>
      </c>
      <c r="G827" s="526">
        <f t="shared" si="48"/>
        <v>-1</v>
      </c>
      <c r="H827" s="470">
        <f t="shared" si="49"/>
        <v>0</v>
      </c>
      <c r="I827" s="524" t="str">
        <f t="shared" si="51"/>
        <v>是</v>
      </c>
      <c r="J827" s="312" t="str">
        <f t="shared" si="50"/>
        <v>项</v>
      </c>
    </row>
    <row r="828" s="372" customFormat="1" ht="24" customHeight="1" spans="1:10">
      <c r="A828" s="330">
        <v>2111102</v>
      </c>
      <c r="B828" s="379" t="s">
        <v>804</v>
      </c>
      <c r="C828" s="602">
        <v>304</v>
      </c>
      <c r="D828" s="709">
        <v>295</v>
      </c>
      <c r="E828" s="710">
        <v>295</v>
      </c>
      <c r="F828" s="710">
        <v>249</v>
      </c>
      <c r="G828" s="526">
        <f t="shared" si="48"/>
        <v>-0.180921052631579</v>
      </c>
      <c r="H828" s="470">
        <f t="shared" si="49"/>
        <v>0.84406779661017</v>
      </c>
      <c r="I828" s="524" t="str">
        <f t="shared" si="51"/>
        <v>是</v>
      </c>
      <c r="J828" s="312" t="str">
        <f t="shared" si="50"/>
        <v>项</v>
      </c>
    </row>
    <row r="829" ht="24" hidden="1" customHeight="1" spans="1:10">
      <c r="A829" s="330">
        <v>2111103</v>
      </c>
      <c r="B829" s="379" t="s">
        <v>805</v>
      </c>
      <c r="C829" s="602">
        <v>0</v>
      </c>
      <c r="D829" s="709"/>
      <c r="E829" s="710">
        <v>0</v>
      </c>
      <c r="F829" s="710">
        <v>0</v>
      </c>
      <c r="G829" s="526" t="str">
        <f t="shared" si="48"/>
        <v/>
      </c>
      <c r="H829" s="470" t="str">
        <f t="shared" si="49"/>
        <v/>
      </c>
      <c r="I829" s="524" t="str">
        <f t="shared" si="51"/>
        <v>否</v>
      </c>
      <c r="J829" s="312" t="str">
        <f t="shared" si="50"/>
        <v>项</v>
      </c>
    </row>
    <row r="830" s="372" customFormat="1" ht="24" hidden="1" customHeight="1" spans="1:10">
      <c r="A830" s="330">
        <v>2111104</v>
      </c>
      <c r="B830" s="379" t="s">
        <v>806</v>
      </c>
      <c r="C830" s="602">
        <v>0</v>
      </c>
      <c r="D830" s="709"/>
      <c r="E830" s="710">
        <v>0</v>
      </c>
      <c r="F830" s="710">
        <v>0</v>
      </c>
      <c r="G830" s="526" t="str">
        <f t="shared" si="48"/>
        <v/>
      </c>
      <c r="H830" s="470" t="str">
        <f t="shared" si="49"/>
        <v/>
      </c>
      <c r="I830" s="524" t="str">
        <f t="shared" si="51"/>
        <v>否</v>
      </c>
      <c r="J830" s="312" t="str">
        <f t="shared" si="50"/>
        <v>项</v>
      </c>
    </row>
    <row r="831" s="372" customFormat="1" ht="24" hidden="1" customHeight="1" spans="1:10">
      <c r="A831" s="330">
        <v>2111199</v>
      </c>
      <c r="B831" s="379" t="s">
        <v>807</v>
      </c>
      <c r="C831" s="602">
        <v>0</v>
      </c>
      <c r="D831" s="709"/>
      <c r="E831" s="710">
        <v>0</v>
      </c>
      <c r="F831" s="710">
        <v>0</v>
      </c>
      <c r="G831" s="526" t="str">
        <f t="shared" si="48"/>
        <v/>
      </c>
      <c r="H831" s="470" t="str">
        <f t="shared" si="49"/>
        <v/>
      </c>
      <c r="I831" s="524" t="str">
        <f t="shared" si="51"/>
        <v>否</v>
      </c>
      <c r="J831" s="312" t="str">
        <f t="shared" si="50"/>
        <v>项</v>
      </c>
    </row>
    <row r="832" s="374" customFormat="1" ht="24" hidden="1" customHeight="1" spans="1:10">
      <c r="A832" s="331">
        <v>21112</v>
      </c>
      <c r="B832" s="327" t="s">
        <v>808</v>
      </c>
      <c r="C832" s="359">
        <v>0</v>
      </c>
      <c r="D832" s="708">
        <f>D833</f>
        <v>0</v>
      </c>
      <c r="E832" s="708">
        <f>E833</f>
        <v>0</v>
      </c>
      <c r="F832" s="708">
        <f>F833</f>
        <v>0</v>
      </c>
      <c r="G832" s="523" t="str">
        <f t="shared" si="48"/>
        <v/>
      </c>
      <c r="H832" s="467" t="str">
        <f t="shared" si="49"/>
        <v/>
      </c>
      <c r="I832" s="524" t="str">
        <f t="shared" si="51"/>
        <v>否</v>
      </c>
      <c r="J832" s="313" t="str">
        <f t="shared" si="50"/>
        <v>款</v>
      </c>
    </row>
    <row r="833" s="372" customFormat="1" ht="24" hidden="1" customHeight="1" spans="1:10">
      <c r="A833" s="356">
        <v>2111201</v>
      </c>
      <c r="B833" s="379" t="s">
        <v>809</v>
      </c>
      <c r="C833" s="602">
        <v>0</v>
      </c>
      <c r="D833" s="709"/>
      <c r="E833" s="710">
        <v>0</v>
      </c>
      <c r="F833" s="710">
        <v>0</v>
      </c>
      <c r="G833" s="526" t="str">
        <f t="shared" si="48"/>
        <v/>
      </c>
      <c r="H833" s="470" t="str">
        <f t="shared" si="49"/>
        <v/>
      </c>
      <c r="I833" s="524" t="str">
        <f t="shared" si="51"/>
        <v>否</v>
      </c>
      <c r="J833" s="312" t="str">
        <f t="shared" si="50"/>
        <v>项</v>
      </c>
    </row>
    <row r="834" s="374" customFormat="1" ht="24" hidden="1" customHeight="1" spans="1:10">
      <c r="A834" s="540">
        <v>2111299</v>
      </c>
      <c r="B834" s="327" t="s">
        <v>810</v>
      </c>
      <c r="C834" s="608"/>
      <c r="D834" s="709"/>
      <c r="E834" s="710">
        <v>0</v>
      </c>
      <c r="F834" s="710">
        <v>0</v>
      </c>
      <c r="G834" s="526" t="str">
        <f t="shared" si="48"/>
        <v/>
      </c>
      <c r="H834" s="470" t="str">
        <f t="shared" si="49"/>
        <v/>
      </c>
      <c r="I834" s="524" t="str">
        <f t="shared" si="51"/>
        <v>否</v>
      </c>
      <c r="J834" s="313" t="str">
        <f t="shared" si="50"/>
        <v>项</v>
      </c>
    </row>
    <row r="835" s="372" customFormat="1" ht="24" hidden="1" customHeight="1" spans="1:10">
      <c r="A835" s="330">
        <v>21113</v>
      </c>
      <c r="B835" s="379" t="s">
        <v>811</v>
      </c>
      <c r="C835" s="601">
        <v>0</v>
      </c>
      <c r="D835" s="708">
        <f>D836</f>
        <v>0</v>
      </c>
      <c r="E835" s="708">
        <f>E836</f>
        <v>0</v>
      </c>
      <c r="F835" s="708">
        <f>F836</f>
        <v>0</v>
      </c>
      <c r="G835" s="523" t="str">
        <f t="shared" si="48"/>
        <v/>
      </c>
      <c r="H835" s="467" t="str">
        <f t="shared" si="49"/>
        <v/>
      </c>
      <c r="I835" s="524" t="str">
        <f t="shared" si="51"/>
        <v>否</v>
      </c>
      <c r="J835" s="312" t="str">
        <f t="shared" si="50"/>
        <v>款</v>
      </c>
    </row>
    <row r="836" ht="24" hidden="1" customHeight="1" spans="1:10">
      <c r="A836" s="356">
        <v>2111301</v>
      </c>
      <c r="B836" s="379" t="s">
        <v>812</v>
      </c>
      <c r="C836" s="602">
        <v>0</v>
      </c>
      <c r="D836" s="709"/>
      <c r="E836" s="710">
        <v>0</v>
      </c>
      <c r="F836" s="710">
        <v>0</v>
      </c>
      <c r="G836" s="526" t="str">
        <f t="shared" si="48"/>
        <v/>
      </c>
      <c r="H836" s="470" t="str">
        <f t="shared" si="49"/>
        <v/>
      </c>
      <c r="I836" s="524" t="str">
        <f t="shared" si="51"/>
        <v>否</v>
      </c>
      <c r="J836" s="312" t="str">
        <f t="shared" si="50"/>
        <v>项</v>
      </c>
    </row>
    <row r="837" s="372" customFormat="1" ht="24" hidden="1" customHeight="1" spans="1:10">
      <c r="A837" s="330">
        <v>21114</v>
      </c>
      <c r="B837" s="379" t="s">
        <v>813</v>
      </c>
      <c r="C837" s="601">
        <v>0</v>
      </c>
      <c r="D837" s="708">
        <f>SUM(D838:D847)</f>
        <v>0</v>
      </c>
      <c r="E837" s="708">
        <f>SUM(E838:E847)</f>
        <v>0</v>
      </c>
      <c r="F837" s="708">
        <f>SUM(F838:F847)</f>
        <v>0</v>
      </c>
      <c r="G837" s="523" t="str">
        <f t="shared" ref="G837:G900" si="52">IFERROR((F837-C837)/C837,"")</f>
        <v/>
      </c>
      <c r="H837" s="467" t="str">
        <f t="shared" ref="H837:H900" si="53">IFERROR(F837/D837,"")</f>
        <v/>
      </c>
      <c r="I837" s="524" t="str">
        <f t="shared" si="51"/>
        <v>否</v>
      </c>
      <c r="J837" s="312" t="str">
        <f t="shared" ref="J837:J900" si="54">IF(LEN(A837)=3,"类",IF(LEN(A837)=5,"款","项"))</f>
        <v>款</v>
      </c>
    </row>
    <row r="838" s="372" customFormat="1" ht="24" hidden="1" customHeight="1" spans="1:10">
      <c r="A838" s="330">
        <v>2111401</v>
      </c>
      <c r="B838" s="379" t="s">
        <v>212</v>
      </c>
      <c r="C838" s="602">
        <v>0</v>
      </c>
      <c r="D838" s="709"/>
      <c r="E838" s="710">
        <v>0</v>
      </c>
      <c r="F838" s="710">
        <v>0</v>
      </c>
      <c r="G838" s="526" t="str">
        <f t="shared" si="52"/>
        <v/>
      </c>
      <c r="H838" s="470" t="str">
        <f t="shared" si="53"/>
        <v/>
      </c>
      <c r="I838" s="524" t="str">
        <f t="shared" ref="I838:I901" si="55">IF(LEN(A838)=3,"是",IF(B838&lt;&gt;"",IF(SUM(C838:F838)&lt;&gt;0,"是","否"),"是"))</f>
        <v>否</v>
      </c>
      <c r="J838" s="312" t="str">
        <f t="shared" si="54"/>
        <v>项</v>
      </c>
    </row>
    <row r="839" ht="24" hidden="1" customHeight="1" spans="1:10">
      <c r="A839" s="330">
        <v>2111402</v>
      </c>
      <c r="B839" s="379" t="s">
        <v>213</v>
      </c>
      <c r="C839" s="602">
        <v>0</v>
      </c>
      <c r="D839" s="709"/>
      <c r="E839" s="710">
        <v>0</v>
      </c>
      <c r="F839" s="710">
        <v>0</v>
      </c>
      <c r="G839" s="526" t="str">
        <f t="shared" si="52"/>
        <v/>
      </c>
      <c r="H839" s="470" t="str">
        <f t="shared" si="53"/>
        <v/>
      </c>
      <c r="I839" s="524" t="str">
        <f t="shared" si="55"/>
        <v>否</v>
      </c>
      <c r="J839" s="312" t="str">
        <f t="shared" si="54"/>
        <v>项</v>
      </c>
    </row>
    <row r="840" s="372" customFormat="1" ht="24" hidden="1" customHeight="1" spans="1:10">
      <c r="A840" s="330">
        <v>2111403</v>
      </c>
      <c r="B840" s="379" t="s">
        <v>214</v>
      </c>
      <c r="C840" s="602">
        <v>0</v>
      </c>
      <c r="D840" s="709"/>
      <c r="E840" s="710">
        <v>0</v>
      </c>
      <c r="F840" s="710">
        <v>0</v>
      </c>
      <c r="G840" s="526" t="str">
        <f t="shared" si="52"/>
        <v/>
      </c>
      <c r="H840" s="470" t="str">
        <f t="shared" si="53"/>
        <v/>
      </c>
      <c r="I840" s="524" t="str">
        <f t="shared" si="55"/>
        <v>否</v>
      </c>
      <c r="J840" s="312" t="str">
        <f t="shared" si="54"/>
        <v>项</v>
      </c>
    </row>
    <row r="841" s="372" customFormat="1" ht="24" hidden="1" customHeight="1" spans="1:10">
      <c r="A841" s="330">
        <v>2111406</v>
      </c>
      <c r="B841" s="379" t="s">
        <v>814</v>
      </c>
      <c r="C841" s="602">
        <v>0</v>
      </c>
      <c r="D841" s="709"/>
      <c r="E841" s="710">
        <v>0</v>
      </c>
      <c r="F841" s="710">
        <v>0</v>
      </c>
      <c r="G841" s="526" t="str">
        <f t="shared" si="52"/>
        <v/>
      </c>
      <c r="H841" s="470" t="str">
        <f t="shared" si="53"/>
        <v/>
      </c>
      <c r="I841" s="524" t="str">
        <f t="shared" si="55"/>
        <v>否</v>
      </c>
      <c r="J841" s="312" t="str">
        <f t="shared" si="54"/>
        <v>项</v>
      </c>
    </row>
    <row r="842" ht="24" hidden="1" customHeight="1" spans="1:10">
      <c r="A842" s="330">
        <v>2111407</v>
      </c>
      <c r="B842" s="379" t="s">
        <v>815</v>
      </c>
      <c r="C842" s="602">
        <v>0</v>
      </c>
      <c r="D842" s="709"/>
      <c r="E842" s="710">
        <v>0</v>
      </c>
      <c r="F842" s="710">
        <v>0</v>
      </c>
      <c r="G842" s="526" t="str">
        <f t="shared" si="52"/>
        <v/>
      </c>
      <c r="H842" s="470" t="str">
        <f t="shared" si="53"/>
        <v/>
      </c>
      <c r="I842" s="524" t="str">
        <f t="shared" si="55"/>
        <v>否</v>
      </c>
      <c r="J842" s="312" t="str">
        <f t="shared" si="54"/>
        <v>项</v>
      </c>
    </row>
    <row r="843" s="372" customFormat="1" ht="24" hidden="1" customHeight="1" spans="1:10">
      <c r="A843" s="330">
        <v>2111408</v>
      </c>
      <c r="B843" s="379" t="s">
        <v>816</v>
      </c>
      <c r="C843" s="602">
        <v>0</v>
      </c>
      <c r="D843" s="709"/>
      <c r="E843" s="710">
        <v>0</v>
      </c>
      <c r="F843" s="710">
        <v>0</v>
      </c>
      <c r="G843" s="526" t="str">
        <f t="shared" si="52"/>
        <v/>
      </c>
      <c r="H843" s="470" t="str">
        <f t="shared" si="53"/>
        <v/>
      </c>
      <c r="I843" s="524" t="str">
        <f t="shared" si="55"/>
        <v>否</v>
      </c>
      <c r="J843" s="312" t="str">
        <f t="shared" si="54"/>
        <v>项</v>
      </c>
    </row>
    <row r="844" ht="24" hidden="1" customHeight="1" spans="1:10">
      <c r="A844" s="330">
        <v>2111411</v>
      </c>
      <c r="B844" s="379" t="s">
        <v>252</v>
      </c>
      <c r="C844" s="602">
        <v>0</v>
      </c>
      <c r="D844" s="709"/>
      <c r="E844" s="710">
        <v>0</v>
      </c>
      <c r="F844" s="710">
        <v>0</v>
      </c>
      <c r="G844" s="526" t="str">
        <f t="shared" si="52"/>
        <v/>
      </c>
      <c r="H844" s="470" t="str">
        <f t="shared" si="53"/>
        <v/>
      </c>
      <c r="I844" s="524" t="str">
        <f t="shared" si="55"/>
        <v>否</v>
      </c>
      <c r="J844" s="312" t="str">
        <f t="shared" si="54"/>
        <v>项</v>
      </c>
    </row>
    <row r="845" s="372" customFormat="1" ht="24" hidden="1" customHeight="1" spans="1:10">
      <c r="A845" s="330">
        <v>2111413</v>
      </c>
      <c r="B845" s="379" t="s">
        <v>817</v>
      </c>
      <c r="C845" s="602">
        <v>0</v>
      </c>
      <c r="D845" s="709"/>
      <c r="E845" s="710">
        <v>0</v>
      </c>
      <c r="F845" s="710">
        <v>0</v>
      </c>
      <c r="G845" s="526" t="str">
        <f t="shared" si="52"/>
        <v/>
      </c>
      <c r="H845" s="470" t="str">
        <f t="shared" si="53"/>
        <v/>
      </c>
      <c r="I845" s="524" t="str">
        <f t="shared" si="55"/>
        <v>否</v>
      </c>
      <c r="J845" s="312" t="str">
        <f t="shared" si="54"/>
        <v>项</v>
      </c>
    </row>
    <row r="846" ht="24" hidden="1" customHeight="1" spans="1:10">
      <c r="A846" s="330">
        <v>2111450</v>
      </c>
      <c r="B846" s="379" t="s">
        <v>221</v>
      </c>
      <c r="C846" s="602">
        <v>0</v>
      </c>
      <c r="D846" s="709"/>
      <c r="E846" s="710">
        <v>0</v>
      </c>
      <c r="F846" s="710">
        <v>0</v>
      </c>
      <c r="G846" s="526" t="str">
        <f t="shared" si="52"/>
        <v/>
      </c>
      <c r="H846" s="470" t="str">
        <f t="shared" si="53"/>
        <v/>
      </c>
      <c r="I846" s="524" t="str">
        <f t="shared" si="55"/>
        <v>否</v>
      </c>
      <c r="J846" s="312" t="str">
        <f t="shared" si="54"/>
        <v>项</v>
      </c>
    </row>
    <row r="847" s="372" customFormat="1" ht="24" hidden="1" customHeight="1" spans="1:10">
      <c r="A847" s="330">
        <v>2111499</v>
      </c>
      <c r="B847" s="379" t="s">
        <v>818</v>
      </c>
      <c r="C847" s="602">
        <v>0</v>
      </c>
      <c r="D847" s="709"/>
      <c r="E847" s="710">
        <v>0</v>
      </c>
      <c r="F847" s="710">
        <v>0</v>
      </c>
      <c r="G847" s="526" t="str">
        <f t="shared" si="52"/>
        <v/>
      </c>
      <c r="H847" s="470" t="str">
        <f t="shared" si="53"/>
        <v/>
      </c>
      <c r="I847" s="524" t="str">
        <f t="shared" si="55"/>
        <v>否</v>
      </c>
      <c r="J847" s="312" t="str">
        <f t="shared" si="54"/>
        <v>项</v>
      </c>
    </row>
    <row r="848" s="372" customFormat="1" ht="24" customHeight="1" spans="1:10">
      <c r="A848" s="330">
        <v>21199</v>
      </c>
      <c r="B848" s="379" t="s">
        <v>819</v>
      </c>
      <c r="C848" s="601">
        <v>13</v>
      </c>
      <c r="D848" s="708">
        <f>D849</f>
        <v>15</v>
      </c>
      <c r="E848" s="708">
        <f>E849</f>
        <v>701</v>
      </c>
      <c r="F848" s="708">
        <f>F849</f>
        <v>28</v>
      </c>
      <c r="G848" s="523">
        <f t="shared" si="52"/>
        <v>1.15384615384615</v>
      </c>
      <c r="H848" s="467">
        <f t="shared" si="53"/>
        <v>1.86666666666667</v>
      </c>
      <c r="I848" s="524" t="str">
        <f t="shared" si="55"/>
        <v>是</v>
      </c>
      <c r="J848" s="312" t="str">
        <f t="shared" si="54"/>
        <v>款</v>
      </c>
    </row>
    <row r="849" s="372" customFormat="1" ht="24" customHeight="1" spans="1:10">
      <c r="A849" s="541">
        <v>2119999</v>
      </c>
      <c r="B849" s="542" t="s">
        <v>820</v>
      </c>
      <c r="C849" s="602">
        <v>13</v>
      </c>
      <c r="D849" s="709">
        <v>15</v>
      </c>
      <c r="E849" s="710">
        <v>701</v>
      </c>
      <c r="F849" s="710">
        <v>28</v>
      </c>
      <c r="G849" s="526">
        <f t="shared" si="52"/>
        <v>1.15384615384615</v>
      </c>
      <c r="H849" s="470">
        <f t="shared" si="53"/>
        <v>1.86666666666667</v>
      </c>
      <c r="I849" s="524" t="str">
        <f t="shared" si="55"/>
        <v>是</v>
      </c>
      <c r="J849" s="312" t="str">
        <f t="shared" si="54"/>
        <v>项</v>
      </c>
    </row>
    <row r="850" s="372" customFormat="1" ht="24" customHeight="1" spans="1:10">
      <c r="A850" s="329">
        <v>212</v>
      </c>
      <c r="B850" s="377" t="s">
        <v>185</v>
      </c>
      <c r="C850" s="601">
        <v>14200</v>
      </c>
      <c r="D850" s="708">
        <f>D851+D862+D864+D867+D869+D871</f>
        <v>13722</v>
      </c>
      <c r="E850" s="708">
        <f>E851+E862+E864+E867+E869+E871</f>
        <v>13121</v>
      </c>
      <c r="F850" s="708">
        <f>F851+F862+F864+F867+F869+F871</f>
        <v>17917</v>
      </c>
      <c r="G850" s="523">
        <f t="shared" si="52"/>
        <v>0.261760563380282</v>
      </c>
      <c r="H850" s="467">
        <f t="shared" si="53"/>
        <v>1.30571345284944</v>
      </c>
      <c r="I850" s="524" t="str">
        <f t="shared" si="55"/>
        <v>是</v>
      </c>
      <c r="J850" s="312" t="str">
        <f t="shared" si="54"/>
        <v>类</v>
      </c>
    </row>
    <row r="851" s="372" customFormat="1" ht="24" customHeight="1" spans="1:10">
      <c r="A851" s="330">
        <v>21201</v>
      </c>
      <c r="B851" s="379" t="s">
        <v>821</v>
      </c>
      <c r="C851" s="601">
        <v>890</v>
      </c>
      <c r="D851" s="708">
        <f>SUM(D852:D861)</f>
        <v>925</v>
      </c>
      <c r="E851" s="708">
        <f>SUM(E852:E861)</f>
        <v>925</v>
      </c>
      <c r="F851" s="708">
        <f>SUM(F852:F861)</f>
        <v>1086</v>
      </c>
      <c r="G851" s="523">
        <f t="shared" si="52"/>
        <v>0.220224719101124</v>
      </c>
      <c r="H851" s="467">
        <f t="shared" si="53"/>
        <v>1.17405405405405</v>
      </c>
      <c r="I851" s="524" t="str">
        <f t="shared" si="55"/>
        <v>是</v>
      </c>
      <c r="J851" s="312" t="str">
        <f t="shared" si="54"/>
        <v>款</v>
      </c>
    </row>
    <row r="852" ht="24" customHeight="1" spans="1:10">
      <c r="A852" s="330">
        <v>2120101</v>
      </c>
      <c r="B852" s="379" t="s">
        <v>212</v>
      </c>
      <c r="C852" s="602">
        <v>626</v>
      </c>
      <c r="D852" s="709">
        <v>675</v>
      </c>
      <c r="E852" s="710">
        <v>675</v>
      </c>
      <c r="F852" s="710">
        <v>622</v>
      </c>
      <c r="G852" s="526">
        <f t="shared" si="52"/>
        <v>-0.00638977635782748</v>
      </c>
      <c r="H852" s="470">
        <f t="shared" si="53"/>
        <v>0.921481481481481</v>
      </c>
      <c r="I852" s="524" t="str">
        <f t="shared" si="55"/>
        <v>是</v>
      </c>
      <c r="J852" s="312" t="str">
        <f t="shared" si="54"/>
        <v>项</v>
      </c>
    </row>
    <row r="853" s="372" customFormat="1" ht="24" customHeight="1" spans="1:10">
      <c r="A853" s="330">
        <v>2120102</v>
      </c>
      <c r="B853" s="379" t="s">
        <v>213</v>
      </c>
      <c r="C853" s="602">
        <v>0</v>
      </c>
      <c r="D853" s="709">
        <v>0</v>
      </c>
      <c r="E853" s="710">
        <v>0</v>
      </c>
      <c r="F853" s="710">
        <v>120</v>
      </c>
      <c r="G853" s="526" t="str">
        <f t="shared" si="52"/>
        <v/>
      </c>
      <c r="H853" s="470" t="str">
        <f t="shared" si="53"/>
        <v/>
      </c>
      <c r="I853" s="524" t="str">
        <f t="shared" si="55"/>
        <v>是</v>
      </c>
      <c r="J853" s="312" t="str">
        <f t="shared" si="54"/>
        <v>项</v>
      </c>
    </row>
    <row r="854" ht="24" hidden="1" customHeight="1" spans="1:10">
      <c r="A854" s="330">
        <v>2120103</v>
      </c>
      <c r="B854" s="379" t="s">
        <v>214</v>
      </c>
      <c r="C854" s="602">
        <v>0</v>
      </c>
      <c r="D854" s="709">
        <v>0</v>
      </c>
      <c r="E854" s="710">
        <v>0</v>
      </c>
      <c r="F854" s="710">
        <v>0</v>
      </c>
      <c r="G854" s="526" t="str">
        <f t="shared" si="52"/>
        <v/>
      </c>
      <c r="H854" s="470" t="str">
        <f t="shared" si="53"/>
        <v/>
      </c>
      <c r="I854" s="524" t="str">
        <f t="shared" si="55"/>
        <v>否</v>
      </c>
      <c r="J854" s="312" t="str">
        <f t="shared" si="54"/>
        <v>项</v>
      </c>
    </row>
    <row r="855" s="372" customFormat="1" ht="24" hidden="1" customHeight="1" spans="1:10">
      <c r="A855" s="330">
        <v>2120104</v>
      </c>
      <c r="B855" s="379" t="s">
        <v>822</v>
      </c>
      <c r="C855" s="602">
        <v>0</v>
      </c>
      <c r="D855" s="709">
        <v>0</v>
      </c>
      <c r="E855" s="710">
        <v>0</v>
      </c>
      <c r="F855" s="710">
        <v>0</v>
      </c>
      <c r="G855" s="526" t="str">
        <f t="shared" si="52"/>
        <v/>
      </c>
      <c r="H855" s="470" t="str">
        <f t="shared" si="53"/>
        <v/>
      </c>
      <c r="I855" s="524" t="str">
        <f t="shared" si="55"/>
        <v>否</v>
      </c>
      <c r="J855" s="312" t="str">
        <f t="shared" si="54"/>
        <v>项</v>
      </c>
    </row>
    <row r="856" ht="24" hidden="1" customHeight="1" spans="1:10">
      <c r="A856" s="330">
        <v>2120105</v>
      </c>
      <c r="B856" s="379" t="s">
        <v>823</v>
      </c>
      <c r="C856" s="602">
        <v>0</v>
      </c>
      <c r="D856" s="709">
        <v>0</v>
      </c>
      <c r="E856" s="710">
        <v>0</v>
      </c>
      <c r="F856" s="710">
        <v>0</v>
      </c>
      <c r="G856" s="526" t="str">
        <f t="shared" si="52"/>
        <v/>
      </c>
      <c r="H856" s="470" t="str">
        <f t="shared" si="53"/>
        <v/>
      </c>
      <c r="I856" s="524" t="str">
        <f t="shared" si="55"/>
        <v>否</v>
      </c>
      <c r="J856" s="312" t="str">
        <f t="shared" si="54"/>
        <v>项</v>
      </c>
    </row>
    <row r="857" s="372" customFormat="1" ht="24" customHeight="1" spans="1:10">
      <c r="A857" s="330">
        <v>2120106</v>
      </c>
      <c r="B857" s="379" t="s">
        <v>824</v>
      </c>
      <c r="C857" s="602">
        <v>264</v>
      </c>
      <c r="D857" s="709">
        <v>250</v>
      </c>
      <c r="E857" s="710">
        <v>250</v>
      </c>
      <c r="F857" s="710">
        <v>279</v>
      </c>
      <c r="G857" s="526">
        <f t="shared" si="52"/>
        <v>0.0568181818181818</v>
      </c>
      <c r="H857" s="470">
        <f t="shared" si="53"/>
        <v>1.116</v>
      </c>
      <c r="I857" s="524" t="str">
        <f t="shared" si="55"/>
        <v>是</v>
      </c>
      <c r="J857" s="312" t="str">
        <f t="shared" si="54"/>
        <v>项</v>
      </c>
    </row>
    <row r="858" s="372" customFormat="1" ht="24" hidden="1" customHeight="1" spans="1:10">
      <c r="A858" s="330">
        <v>2120107</v>
      </c>
      <c r="B858" s="379" t="s">
        <v>825</v>
      </c>
      <c r="C858" s="602">
        <v>0</v>
      </c>
      <c r="D858" s="709">
        <v>0</v>
      </c>
      <c r="E858" s="710">
        <v>0</v>
      </c>
      <c r="F858" s="710">
        <v>0</v>
      </c>
      <c r="G858" s="526" t="str">
        <f t="shared" si="52"/>
        <v/>
      </c>
      <c r="H858" s="470" t="str">
        <f t="shared" si="53"/>
        <v/>
      </c>
      <c r="I858" s="524" t="str">
        <f t="shared" si="55"/>
        <v>否</v>
      </c>
      <c r="J858" s="312" t="str">
        <f t="shared" si="54"/>
        <v>项</v>
      </c>
    </row>
    <row r="859" s="372" customFormat="1" ht="24" hidden="1" customHeight="1" spans="1:10">
      <c r="A859" s="330">
        <v>2120109</v>
      </c>
      <c r="B859" s="379" t="s">
        <v>826</v>
      </c>
      <c r="C859" s="602">
        <v>0</v>
      </c>
      <c r="D859" s="709">
        <v>0</v>
      </c>
      <c r="E859" s="710">
        <v>0</v>
      </c>
      <c r="F859" s="710">
        <v>0</v>
      </c>
      <c r="G859" s="526" t="str">
        <f t="shared" si="52"/>
        <v/>
      </c>
      <c r="H859" s="470" t="str">
        <f t="shared" si="53"/>
        <v/>
      </c>
      <c r="I859" s="524" t="str">
        <f t="shared" si="55"/>
        <v>否</v>
      </c>
      <c r="J859" s="312" t="str">
        <f t="shared" si="54"/>
        <v>项</v>
      </c>
    </row>
    <row r="860" s="372" customFormat="1" ht="24" hidden="1" customHeight="1" spans="1:10">
      <c r="A860" s="330">
        <v>2120110</v>
      </c>
      <c r="B860" s="379" t="s">
        <v>827</v>
      </c>
      <c r="C860" s="602">
        <v>0</v>
      </c>
      <c r="D860" s="709">
        <v>0</v>
      </c>
      <c r="E860" s="710">
        <v>0</v>
      </c>
      <c r="F860" s="710">
        <v>0</v>
      </c>
      <c r="G860" s="526" t="str">
        <f t="shared" si="52"/>
        <v/>
      </c>
      <c r="H860" s="470" t="str">
        <f t="shared" si="53"/>
        <v/>
      </c>
      <c r="I860" s="524" t="str">
        <f t="shared" si="55"/>
        <v>否</v>
      </c>
      <c r="J860" s="312" t="str">
        <f t="shared" si="54"/>
        <v>项</v>
      </c>
    </row>
    <row r="861" s="372" customFormat="1" ht="24" customHeight="1" spans="1:10">
      <c r="A861" s="330">
        <v>2120199</v>
      </c>
      <c r="B861" s="379" t="s">
        <v>828</v>
      </c>
      <c r="C861" s="602">
        <v>0</v>
      </c>
      <c r="D861" s="709">
        <v>0</v>
      </c>
      <c r="E861" s="710">
        <v>0</v>
      </c>
      <c r="F861" s="710">
        <v>65</v>
      </c>
      <c r="G861" s="526" t="str">
        <f t="shared" si="52"/>
        <v/>
      </c>
      <c r="H861" s="470" t="str">
        <f t="shared" si="53"/>
        <v/>
      </c>
      <c r="I861" s="524" t="str">
        <f t="shared" si="55"/>
        <v>是</v>
      </c>
      <c r="J861" s="312" t="str">
        <f t="shared" si="54"/>
        <v>项</v>
      </c>
    </row>
    <row r="862" s="372" customFormat="1" ht="24" customHeight="1" spans="1:10">
      <c r="A862" s="330">
        <v>21202</v>
      </c>
      <c r="B862" s="379" t="s">
        <v>829</v>
      </c>
      <c r="C862" s="601">
        <v>9937</v>
      </c>
      <c r="D862" s="708">
        <f>D863</f>
        <v>9685</v>
      </c>
      <c r="E862" s="708">
        <f>E863</f>
        <v>9084</v>
      </c>
      <c r="F862" s="708">
        <f>F863</f>
        <v>12428</v>
      </c>
      <c r="G862" s="523">
        <f t="shared" si="52"/>
        <v>0.250679279460602</v>
      </c>
      <c r="H862" s="467">
        <f t="shared" si="53"/>
        <v>1.28322147651007</v>
      </c>
      <c r="I862" s="524" t="str">
        <f t="shared" si="55"/>
        <v>是</v>
      </c>
      <c r="J862" s="312" t="str">
        <f t="shared" si="54"/>
        <v>款</v>
      </c>
    </row>
    <row r="863" s="372" customFormat="1" ht="24" customHeight="1" spans="1:10">
      <c r="A863" s="326">
        <v>2120201</v>
      </c>
      <c r="B863" s="534" t="s">
        <v>830</v>
      </c>
      <c r="C863" s="602">
        <v>9937</v>
      </c>
      <c r="D863" s="709">
        <v>9685</v>
      </c>
      <c r="E863" s="710">
        <v>9084</v>
      </c>
      <c r="F863" s="710">
        <v>12428</v>
      </c>
      <c r="G863" s="526">
        <f t="shared" si="52"/>
        <v>0.250679279460602</v>
      </c>
      <c r="H863" s="470">
        <f t="shared" si="53"/>
        <v>1.28322147651007</v>
      </c>
      <c r="I863" s="524" t="str">
        <f t="shared" si="55"/>
        <v>是</v>
      </c>
      <c r="J863" s="312" t="str">
        <f t="shared" si="54"/>
        <v>项</v>
      </c>
    </row>
    <row r="864" s="372" customFormat="1" ht="24" customHeight="1" spans="1:10">
      <c r="A864" s="330">
        <v>21203</v>
      </c>
      <c r="B864" s="379" t="s">
        <v>831</v>
      </c>
      <c r="C864" s="601">
        <v>1672</v>
      </c>
      <c r="D864" s="708">
        <f>SUM(D865:D866)</f>
        <v>1586</v>
      </c>
      <c r="E864" s="708">
        <f>SUM(E865:E866)</f>
        <v>1586</v>
      </c>
      <c r="F864" s="708">
        <f>SUM(F865:F866)</f>
        <v>2837</v>
      </c>
      <c r="G864" s="523">
        <f t="shared" si="52"/>
        <v>0.69677033492823</v>
      </c>
      <c r="H864" s="467">
        <f t="shared" si="53"/>
        <v>1.78877679697352</v>
      </c>
      <c r="I864" s="524" t="str">
        <f t="shared" si="55"/>
        <v>是</v>
      </c>
      <c r="J864" s="312" t="str">
        <f t="shared" si="54"/>
        <v>款</v>
      </c>
    </row>
    <row r="865" s="372" customFormat="1" ht="24" customHeight="1" spans="1:10">
      <c r="A865" s="330">
        <v>2120303</v>
      </c>
      <c r="B865" s="379" t="s">
        <v>832</v>
      </c>
      <c r="C865" s="602">
        <v>1692</v>
      </c>
      <c r="D865" s="709">
        <v>1586</v>
      </c>
      <c r="E865" s="710">
        <v>1586</v>
      </c>
      <c r="F865" s="710">
        <v>2087</v>
      </c>
      <c r="G865" s="526">
        <f t="shared" si="52"/>
        <v>0.233451536643026</v>
      </c>
      <c r="H865" s="470">
        <f t="shared" si="53"/>
        <v>1.31588902900378</v>
      </c>
      <c r="I865" s="524" t="str">
        <f t="shared" si="55"/>
        <v>是</v>
      </c>
      <c r="J865" s="312" t="str">
        <f t="shared" si="54"/>
        <v>项</v>
      </c>
    </row>
    <row r="866" s="372" customFormat="1" ht="24" customHeight="1" spans="1:10">
      <c r="A866" s="330">
        <v>2120399</v>
      </c>
      <c r="B866" s="379" t="s">
        <v>833</v>
      </c>
      <c r="C866" s="602">
        <v>-20</v>
      </c>
      <c r="D866" s="709">
        <v>0</v>
      </c>
      <c r="E866" s="710">
        <v>0</v>
      </c>
      <c r="F866" s="710">
        <v>750</v>
      </c>
      <c r="G866" s="526">
        <f>-IFERROR((F866-C866)/C866,"")</f>
        <v>38.5</v>
      </c>
      <c r="H866" s="470" t="str">
        <f t="shared" si="53"/>
        <v/>
      </c>
      <c r="I866" s="524" t="str">
        <f t="shared" si="55"/>
        <v>是</v>
      </c>
      <c r="J866" s="312" t="str">
        <f t="shared" si="54"/>
        <v>项</v>
      </c>
    </row>
    <row r="867" s="372" customFormat="1" ht="24" customHeight="1" spans="1:10">
      <c r="A867" s="330">
        <v>21205</v>
      </c>
      <c r="B867" s="379" t="s">
        <v>834</v>
      </c>
      <c r="C867" s="601">
        <v>0</v>
      </c>
      <c r="D867" s="708">
        <f t="shared" ref="D867:D871" si="56">D868</f>
        <v>0</v>
      </c>
      <c r="E867" s="708">
        <f>E868</f>
        <v>0</v>
      </c>
      <c r="F867" s="708">
        <f>F868</f>
        <v>33</v>
      </c>
      <c r="G867" s="523" t="str">
        <f t="shared" si="52"/>
        <v/>
      </c>
      <c r="H867" s="467" t="str">
        <f t="shared" si="53"/>
        <v/>
      </c>
      <c r="I867" s="524" t="str">
        <f t="shared" si="55"/>
        <v>是</v>
      </c>
      <c r="J867" s="312" t="str">
        <f t="shared" si="54"/>
        <v>款</v>
      </c>
    </row>
    <row r="868" s="372" customFormat="1" ht="24" customHeight="1" spans="1:10">
      <c r="A868" s="326">
        <v>2120501</v>
      </c>
      <c r="B868" s="534" t="s">
        <v>835</v>
      </c>
      <c r="C868" s="602">
        <v>0</v>
      </c>
      <c r="D868" s="709"/>
      <c r="E868" s="710">
        <v>0</v>
      </c>
      <c r="F868" s="710">
        <v>33</v>
      </c>
      <c r="G868" s="526" t="str">
        <f t="shared" si="52"/>
        <v/>
      </c>
      <c r="H868" s="470" t="str">
        <f t="shared" si="53"/>
        <v/>
      </c>
      <c r="I868" s="524" t="str">
        <f t="shared" si="55"/>
        <v>是</v>
      </c>
      <c r="J868" s="312" t="str">
        <f t="shared" si="54"/>
        <v>项</v>
      </c>
    </row>
    <row r="869" s="372" customFormat="1" ht="24" hidden="1" customHeight="1" spans="1:10">
      <c r="A869" s="330">
        <v>21206</v>
      </c>
      <c r="B869" s="379" t="s">
        <v>836</v>
      </c>
      <c r="C869" s="601">
        <v>0</v>
      </c>
      <c r="D869" s="708">
        <f t="shared" si="56"/>
        <v>0</v>
      </c>
      <c r="E869" s="708">
        <f>E870</f>
        <v>0</v>
      </c>
      <c r="F869" s="708">
        <f>F870</f>
        <v>0</v>
      </c>
      <c r="G869" s="523" t="str">
        <f t="shared" si="52"/>
        <v/>
      </c>
      <c r="H869" s="467" t="str">
        <f t="shared" si="53"/>
        <v/>
      </c>
      <c r="I869" s="524" t="str">
        <f t="shared" si="55"/>
        <v>否</v>
      </c>
      <c r="J869" s="312" t="str">
        <f t="shared" si="54"/>
        <v>款</v>
      </c>
    </row>
    <row r="870" s="372" customFormat="1" ht="24" hidden="1" customHeight="1" spans="1:10">
      <c r="A870" s="326">
        <v>2120601</v>
      </c>
      <c r="B870" s="534" t="s">
        <v>837</v>
      </c>
      <c r="C870" s="602">
        <v>0</v>
      </c>
      <c r="D870" s="709"/>
      <c r="E870" s="710">
        <v>0</v>
      </c>
      <c r="F870" s="710">
        <v>0</v>
      </c>
      <c r="G870" s="526" t="str">
        <f t="shared" si="52"/>
        <v/>
      </c>
      <c r="H870" s="470" t="str">
        <f t="shared" si="53"/>
        <v/>
      </c>
      <c r="I870" s="524" t="str">
        <f t="shared" si="55"/>
        <v>否</v>
      </c>
      <c r="J870" s="312" t="str">
        <f t="shared" si="54"/>
        <v>项</v>
      </c>
    </row>
    <row r="871" ht="24" customHeight="1" spans="1:10">
      <c r="A871" s="330">
        <v>21299</v>
      </c>
      <c r="B871" s="379" t="s">
        <v>838</v>
      </c>
      <c r="C871" s="601">
        <v>1701</v>
      </c>
      <c r="D871" s="708">
        <f t="shared" si="56"/>
        <v>1526</v>
      </c>
      <c r="E871" s="708">
        <f>E872</f>
        <v>1526</v>
      </c>
      <c r="F871" s="708">
        <f>F872</f>
        <v>1533</v>
      </c>
      <c r="G871" s="523">
        <f t="shared" si="52"/>
        <v>-0.0987654320987654</v>
      </c>
      <c r="H871" s="467">
        <f t="shared" si="53"/>
        <v>1.0045871559633</v>
      </c>
      <c r="I871" s="524" t="str">
        <f t="shared" si="55"/>
        <v>是</v>
      </c>
      <c r="J871" s="312" t="str">
        <f t="shared" si="54"/>
        <v>款</v>
      </c>
    </row>
    <row r="872" s="372" customFormat="1" ht="24" customHeight="1" spans="1:10">
      <c r="A872" s="326">
        <v>2129999</v>
      </c>
      <c r="B872" s="534" t="s">
        <v>839</v>
      </c>
      <c r="C872" s="602">
        <v>1701</v>
      </c>
      <c r="D872" s="709">
        <v>1526</v>
      </c>
      <c r="E872" s="710">
        <v>1526</v>
      </c>
      <c r="F872" s="710">
        <v>1533</v>
      </c>
      <c r="G872" s="526">
        <f t="shared" si="52"/>
        <v>-0.0987654320987654</v>
      </c>
      <c r="H872" s="470">
        <f t="shared" si="53"/>
        <v>1.0045871559633</v>
      </c>
      <c r="I872" s="524" t="str">
        <f t="shared" si="55"/>
        <v>是</v>
      </c>
      <c r="J872" s="312" t="str">
        <f t="shared" si="54"/>
        <v>项</v>
      </c>
    </row>
    <row r="873" ht="24" customHeight="1" spans="1:10">
      <c r="A873" s="329">
        <v>213</v>
      </c>
      <c r="B873" s="377" t="s">
        <v>186</v>
      </c>
      <c r="C873" s="601">
        <v>86730</v>
      </c>
      <c r="D873" s="708">
        <f>D874+D900+D923+D951+D958+D964+D970+D973</f>
        <v>82615</v>
      </c>
      <c r="E873" s="708">
        <f>E874+E900+E923+E951+E958+E964+E970+E973</f>
        <v>82358</v>
      </c>
      <c r="F873" s="708">
        <f>F874+F900+F923+F951+F958+F964+F970+F973</f>
        <v>17832</v>
      </c>
      <c r="G873" s="523">
        <f t="shared" si="52"/>
        <v>-0.794396402628848</v>
      </c>
      <c r="H873" s="467">
        <f t="shared" si="53"/>
        <v>0.215844580282031</v>
      </c>
      <c r="I873" s="524" t="str">
        <f t="shared" si="55"/>
        <v>是</v>
      </c>
      <c r="J873" s="312" t="str">
        <f t="shared" si="54"/>
        <v>类</v>
      </c>
    </row>
    <row r="874" ht="24" customHeight="1" spans="1:10">
      <c r="A874" s="330">
        <v>21301</v>
      </c>
      <c r="B874" s="379" t="s">
        <v>840</v>
      </c>
      <c r="C874" s="601">
        <v>4317</v>
      </c>
      <c r="D874" s="708">
        <f>SUM(D875:D899)</f>
        <v>4557</v>
      </c>
      <c r="E874" s="708">
        <f>SUM(E875:E899)</f>
        <v>4557</v>
      </c>
      <c r="F874" s="708">
        <f>SUM(F875:F899)</f>
        <v>6498</v>
      </c>
      <c r="G874" s="523">
        <f t="shared" si="52"/>
        <v>0.505211952744962</v>
      </c>
      <c r="H874" s="467">
        <f t="shared" si="53"/>
        <v>1.42593811718236</v>
      </c>
      <c r="I874" s="524" t="str">
        <f t="shared" si="55"/>
        <v>是</v>
      </c>
      <c r="J874" s="312" t="str">
        <f t="shared" si="54"/>
        <v>款</v>
      </c>
    </row>
    <row r="875" s="372" customFormat="1" ht="24" customHeight="1" spans="1:10">
      <c r="A875" s="330">
        <v>2130101</v>
      </c>
      <c r="B875" s="379" t="s">
        <v>212</v>
      </c>
      <c r="C875" s="602">
        <v>932</v>
      </c>
      <c r="D875" s="709">
        <v>1012</v>
      </c>
      <c r="E875" s="710">
        <v>1012</v>
      </c>
      <c r="F875" s="710">
        <v>1085</v>
      </c>
      <c r="G875" s="526">
        <f t="shared" si="52"/>
        <v>0.164163090128755</v>
      </c>
      <c r="H875" s="470">
        <f t="shared" si="53"/>
        <v>1.07213438735178</v>
      </c>
      <c r="I875" s="524" t="str">
        <f t="shared" si="55"/>
        <v>是</v>
      </c>
      <c r="J875" s="312" t="str">
        <f t="shared" si="54"/>
        <v>项</v>
      </c>
    </row>
    <row r="876" s="372" customFormat="1" ht="24" customHeight="1" spans="1:10">
      <c r="A876" s="330">
        <v>2130102</v>
      </c>
      <c r="B876" s="379" t="s">
        <v>213</v>
      </c>
      <c r="C876" s="602">
        <v>27</v>
      </c>
      <c r="D876" s="709">
        <v>20</v>
      </c>
      <c r="E876" s="710">
        <v>20</v>
      </c>
      <c r="F876" s="710">
        <v>102</v>
      </c>
      <c r="G876" s="526">
        <f t="shared" si="52"/>
        <v>2.77777777777778</v>
      </c>
      <c r="H876" s="470">
        <f t="shared" si="53"/>
        <v>5.1</v>
      </c>
      <c r="I876" s="524" t="str">
        <f t="shared" si="55"/>
        <v>是</v>
      </c>
      <c r="J876" s="312" t="str">
        <f t="shared" si="54"/>
        <v>项</v>
      </c>
    </row>
    <row r="877" s="372" customFormat="1" ht="24" hidden="1" customHeight="1" spans="1:10">
      <c r="A877" s="330">
        <v>2130103</v>
      </c>
      <c r="B877" s="379" t="s">
        <v>214</v>
      </c>
      <c r="C877" s="602">
        <v>0</v>
      </c>
      <c r="D877" s="709">
        <v>0</v>
      </c>
      <c r="E877" s="710">
        <v>0</v>
      </c>
      <c r="F877" s="710">
        <v>0</v>
      </c>
      <c r="G877" s="526" t="str">
        <f t="shared" si="52"/>
        <v/>
      </c>
      <c r="H877" s="470" t="str">
        <f t="shared" si="53"/>
        <v/>
      </c>
      <c r="I877" s="524" t="str">
        <f t="shared" si="55"/>
        <v>否</v>
      </c>
      <c r="J877" s="312" t="str">
        <f t="shared" si="54"/>
        <v>项</v>
      </c>
    </row>
    <row r="878" s="372" customFormat="1" ht="24" customHeight="1" spans="1:10">
      <c r="A878" s="330">
        <v>2130104</v>
      </c>
      <c r="B878" s="379" t="s">
        <v>221</v>
      </c>
      <c r="C878" s="602">
        <v>1704</v>
      </c>
      <c r="D878" s="709">
        <v>1864</v>
      </c>
      <c r="E878" s="710">
        <v>1864</v>
      </c>
      <c r="F878" s="710">
        <v>1769</v>
      </c>
      <c r="G878" s="526">
        <f t="shared" si="52"/>
        <v>0.0381455399061033</v>
      </c>
      <c r="H878" s="470">
        <f t="shared" si="53"/>
        <v>0.949034334763948</v>
      </c>
      <c r="I878" s="524" t="str">
        <f t="shared" si="55"/>
        <v>是</v>
      </c>
      <c r="J878" s="312" t="str">
        <f t="shared" si="54"/>
        <v>项</v>
      </c>
    </row>
    <row r="879" s="372" customFormat="1" ht="24" hidden="1" customHeight="1" spans="1:10">
      <c r="A879" s="330">
        <v>2130105</v>
      </c>
      <c r="B879" s="379" t="s">
        <v>841</v>
      </c>
      <c r="C879" s="602">
        <v>0</v>
      </c>
      <c r="D879" s="709">
        <v>0</v>
      </c>
      <c r="E879" s="710">
        <v>0</v>
      </c>
      <c r="F879" s="710">
        <v>0</v>
      </c>
      <c r="G879" s="526" t="str">
        <f t="shared" si="52"/>
        <v/>
      </c>
      <c r="H879" s="470" t="str">
        <f t="shared" si="53"/>
        <v/>
      </c>
      <c r="I879" s="524" t="str">
        <f t="shared" si="55"/>
        <v>否</v>
      </c>
      <c r="J879" s="312" t="str">
        <f t="shared" si="54"/>
        <v>项</v>
      </c>
    </row>
    <row r="880" s="372" customFormat="1" ht="24" customHeight="1" spans="1:10">
      <c r="A880" s="330">
        <v>2130106</v>
      </c>
      <c r="B880" s="379" t="s">
        <v>842</v>
      </c>
      <c r="C880" s="602">
        <v>727</v>
      </c>
      <c r="D880" s="709">
        <v>753</v>
      </c>
      <c r="E880" s="710">
        <v>753</v>
      </c>
      <c r="F880" s="710">
        <v>998</v>
      </c>
      <c r="G880" s="526">
        <f t="shared" si="52"/>
        <v>0.372764786795048</v>
      </c>
      <c r="H880" s="470">
        <f t="shared" si="53"/>
        <v>1.32536520584329</v>
      </c>
      <c r="I880" s="524" t="str">
        <f t="shared" si="55"/>
        <v>是</v>
      </c>
      <c r="J880" s="312" t="str">
        <f t="shared" si="54"/>
        <v>项</v>
      </c>
    </row>
    <row r="881" s="372" customFormat="1" ht="24" customHeight="1" spans="1:10">
      <c r="A881" s="330">
        <v>2130108</v>
      </c>
      <c r="B881" s="379" t="s">
        <v>843</v>
      </c>
      <c r="C881" s="602">
        <v>691</v>
      </c>
      <c r="D881" s="709">
        <v>702</v>
      </c>
      <c r="E881" s="710">
        <v>702</v>
      </c>
      <c r="F881" s="710">
        <v>568</v>
      </c>
      <c r="G881" s="526">
        <f t="shared" si="52"/>
        <v>-0.178002894356006</v>
      </c>
      <c r="H881" s="470">
        <f t="shared" si="53"/>
        <v>0.809116809116809</v>
      </c>
      <c r="I881" s="524" t="str">
        <f t="shared" si="55"/>
        <v>是</v>
      </c>
      <c r="J881" s="312" t="str">
        <f t="shared" si="54"/>
        <v>项</v>
      </c>
    </row>
    <row r="882" s="372" customFormat="1" ht="24" customHeight="1" spans="1:10">
      <c r="A882" s="330">
        <v>2130109</v>
      </c>
      <c r="B882" s="379" t="s">
        <v>844</v>
      </c>
      <c r="C882" s="602">
        <v>29</v>
      </c>
      <c r="D882" s="709">
        <v>31</v>
      </c>
      <c r="E882" s="710">
        <v>31</v>
      </c>
      <c r="F882" s="710">
        <v>0</v>
      </c>
      <c r="G882" s="526">
        <f t="shared" si="52"/>
        <v>-1</v>
      </c>
      <c r="H882" s="470">
        <f t="shared" si="53"/>
        <v>0</v>
      </c>
      <c r="I882" s="524" t="str">
        <f t="shared" si="55"/>
        <v>是</v>
      </c>
      <c r="J882" s="312" t="str">
        <f t="shared" si="54"/>
        <v>项</v>
      </c>
    </row>
    <row r="883" s="372" customFormat="1" ht="24" hidden="1" customHeight="1" spans="1:10">
      <c r="A883" s="330">
        <v>2130110</v>
      </c>
      <c r="B883" s="379" t="s">
        <v>845</v>
      </c>
      <c r="C883" s="602">
        <v>0</v>
      </c>
      <c r="D883" s="709">
        <v>0</v>
      </c>
      <c r="E883" s="710">
        <v>0</v>
      </c>
      <c r="F883" s="710">
        <v>0</v>
      </c>
      <c r="G883" s="526" t="str">
        <f t="shared" si="52"/>
        <v/>
      </c>
      <c r="H883" s="470" t="str">
        <f t="shared" si="53"/>
        <v/>
      </c>
      <c r="I883" s="524" t="str">
        <f t="shared" si="55"/>
        <v>否</v>
      </c>
      <c r="J883" s="312" t="str">
        <f t="shared" si="54"/>
        <v>项</v>
      </c>
    </row>
    <row r="884" s="372" customFormat="1" ht="24" customHeight="1" spans="1:10">
      <c r="A884" s="330">
        <v>2130111</v>
      </c>
      <c r="B884" s="379" t="s">
        <v>846</v>
      </c>
      <c r="C884" s="602">
        <v>5</v>
      </c>
      <c r="D884" s="709">
        <v>4</v>
      </c>
      <c r="E884" s="710">
        <v>4</v>
      </c>
      <c r="F884" s="710">
        <v>0</v>
      </c>
      <c r="G884" s="526">
        <f t="shared" si="52"/>
        <v>-1</v>
      </c>
      <c r="H884" s="470">
        <f t="shared" si="53"/>
        <v>0</v>
      </c>
      <c r="I884" s="524" t="str">
        <f t="shared" si="55"/>
        <v>是</v>
      </c>
      <c r="J884" s="312" t="str">
        <f t="shared" si="54"/>
        <v>项</v>
      </c>
    </row>
    <row r="885" ht="24" customHeight="1" spans="1:10">
      <c r="A885" s="330">
        <v>2130112</v>
      </c>
      <c r="B885" s="379" t="s">
        <v>847</v>
      </c>
      <c r="C885" s="602">
        <v>1</v>
      </c>
      <c r="D885" s="709">
        <v>0</v>
      </c>
      <c r="E885" s="710">
        <v>0</v>
      </c>
      <c r="F885" s="710">
        <v>0</v>
      </c>
      <c r="G885" s="526">
        <f t="shared" si="52"/>
        <v>-1</v>
      </c>
      <c r="H885" s="470" t="str">
        <f t="shared" si="53"/>
        <v/>
      </c>
      <c r="I885" s="524" t="str">
        <f t="shared" si="55"/>
        <v>是</v>
      </c>
      <c r="J885" s="312" t="str">
        <f t="shared" si="54"/>
        <v>项</v>
      </c>
    </row>
    <row r="886" s="372" customFormat="1" ht="24" hidden="1" customHeight="1" spans="1:10">
      <c r="A886" s="330">
        <v>2130114</v>
      </c>
      <c r="B886" s="379" t="s">
        <v>848</v>
      </c>
      <c r="C886" s="602">
        <v>0</v>
      </c>
      <c r="D886" s="709">
        <v>0</v>
      </c>
      <c r="E886" s="710">
        <v>0</v>
      </c>
      <c r="F886" s="710">
        <v>0</v>
      </c>
      <c r="G886" s="526" t="str">
        <f t="shared" si="52"/>
        <v/>
      </c>
      <c r="H886" s="470" t="str">
        <f t="shared" si="53"/>
        <v/>
      </c>
      <c r="I886" s="524" t="str">
        <f t="shared" si="55"/>
        <v>否</v>
      </c>
      <c r="J886" s="312" t="str">
        <f t="shared" si="54"/>
        <v>项</v>
      </c>
    </row>
    <row r="887" ht="24" customHeight="1" spans="1:10">
      <c r="A887" s="330">
        <v>2130119</v>
      </c>
      <c r="B887" s="379" t="s">
        <v>849</v>
      </c>
      <c r="C887" s="602">
        <v>140</v>
      </c>
      <c r="D887" s="709">
        <v>145</v>
      </c>
      <c r="E887" s="710">
        <v>145</v>
      </c>
      <c r="F887" s="710">
        <v>0</v>
      </c>
      <c r="G887" s="526">
        <f t="shared" si="52"/>
        <v>-1</v>
      </c>
      <c r="H887" s="470">
        <f t="shared" si="53"/>
        <v>0</v>
      </c>
      <c r="I887" s="524" t="str">
        <f t="shared" si="55"/>
        <v>是</v>
      </c>
      <c r="J887" s="312" t="str">
        <f t="shared" si="54"/>
        <v>项</v>
      </c>
    </row>
    <row r="888" s="372" customFormat="1" ht="24" hidden="1" customHeight="1" spans="1:10">
      <c r="A888" s="330">
        <v>2130120</v>
      </c>
      <c r="B888" s="379" t="s">
        <v>850</v>
      </c>
      <c r="C888" s="602">
        <v>0</v>
      </c>
      <c r="D888" s="709">
        <v>0</v>
      </c>
      <c r="E888" s="710">
        <v>0</v>
      </c>
      <c r="F888" s="710">
        <v>0</v>
      </c>
      <c r="G888" s="526" t="str">
        <f t="shared" si="52"/>
        <v/>
      </c>
      <c r="H888" s="470" t="str">
        <f t="shared" si="53"/>
        <v/>
      </c>
      <c r="I888" s="524" t="str">
        <f t="shared" si="55"/>
        <v>否</v>
      </c>
      <c r="J888" s="312" t="str">
        <f t="shared" si="54"/>
        <v>项</v>
      </c>
    </row>
    <row r="889" s="372" customFormat="1" ht="24" hidden="1" customHeight="1" spans="1:10">
      <c r="A889" s="330">
        <v>2130121</v>
      </c>
      <c r="B889" s="379" t="s">
        <v>851</v>
      </c>
      <c r="C889" s="602">
        <v>0</v>
      </c>
      <c r="D889" s="709">
        <v>0</v>
      </c>
      <c r="E889" s="710">
        <v>0</v>
      </c>
      <c r="F889" s="710">
        <v>0</v>
      </c>
      <c r="G889" s="526" t="str">
        <f t="shared" si="52"/>
        <v/>
      </c>
      <c r="H889" s="470" t="str">
        <f t="shared" si="53"/>
        <v/>
      </c>
      <c r="I889" s="524" t="str">
        <f t="shared" si="55"/>
        <v>否</v>
      </c>
      <c r="J889" s="312" t="str">
        <f t="shared" si="54"/>
        <v>项</v>
      </c>
    </row>
    <row r="890" ht="24" customHeight="1" spans="1:10">
      <c r="A890" s="330">
        <v>2130122</v>
      </c>
      <c r="B890" s="379" t="s">
        <v>852</v>
      </c>
      <c r="C890" s="602">
        <v>24</v>
      </c>
      <c r="D890" s="709">
        <v>0</v>
      </c>
      <c r="E890" s="710">
        <v>0</v>
      </c>
      <c r="F890" s="710">
        <v>1801</v>
      </c>
      <c r="G890" s="526">
        <f t="shared" si="52"/>
        <v>74.0416666666667</v>
      </c>
      <c r="H890" s="470" t="str">
        <f t="shared" si="53"/>
        <v/>
      </c>
      <c r="I890" s="524" t="str">
        <f t="shared" si="55"/>
        <v>是</v>
      </c>
      <c r="J890" s="312" t="str">
        <f t="shared" si="54"/>
        <v>项</v>
      </c>
    </row>
    <row r="891" s="372" customFormat="1" ht="24" customHeight="1" spans="1:10">
      <c r="A891" s="330">
        <v>2130124</v>
      </c>
      <c r="B891" s="379" t="s">
        <v>853</v>
      </c>
      <c r="C891" s="602">
        <v>0</v>
      </c>
      <c r="D891" s="709">
        <v>0</v>
      </c>
      <c r="E891" s="710">
        <v>0</v>
      </c>
      <c r="F891" s="710">
        <v>1</v>
      </c>
      <c r="G891" s="526" t="str">
        <f t="shared" si="52"/>
        <v/>
      </c>
      <c r="H891" s="470" t="str">
        <f t="shared" si="53"/>
        <v/>
      </c>
      <c r="I891" s="524" t="str">
        <f t="shared" si="55"/>
        <v>是</v>
      </c>
      <c r="J891" s="312" t="str">
        <f t="shared" si="54"/>
        <v>项</v>
      </c>
    </row>
    <row r="892" ht="24" customHeight="1" spans="1:10">
      <c r="A892" s="330">
        <v>2130125</v>
      </c>
      <c r="B892" s="379" t="s">
        <v>854</v>
      </c>
      <c r="C892" s="602">
        <v>12</v>
      </c>
      <c r="D892" s="709">
        <v>0</v>
      </c>
      <c r="E892" s="710">
        <v>0</v>
      </c>
      <c r="F892" s="710">
        <v>18</v>
      </c>
      <c r="G892" s="526">
        <f t="shared" si="52"/>
        <v>0.5</v>
      </c>
      <c r="H892" s="470" t="str">
        <f t="shared" si="53"/>
        <v/>
      </c>
      <c r="I892" s="524" t="str">
        <f t="shared" si="55"/>
        <v>是</v>
      </c>
      <c r="J892" s="312" t="str">
        <f t="shared" si="54"/>
        <v>项</v>
      </c>
    </row>
    <row r="893" s="372" customFormat="1" ht="24" hidden="1" customHeight="1" spans="1:10">
      <c r="A893" s="330">
        <v>2130126</v>
      </c>
      <c r="B893" s="379" t="s">
        <v>855</v>
      </c>
      <c r="C893" s="602">
        <v>0</v>
      </c>
      <c r="D893" s="709">
        <v>0</v>
      </c>
      <c r="E893" s="710">
        <v>0</v>
      </c>
      <c r="F893" s="710">
        <v>0</v>
      </c>
      <c r="G893" s="526" t="str">
        <f t="shared" si="52"/>
        <v/>
      </c>
      <c r="H893" s="470" t="str">
        <f t="shared" si="53"/>
        <v/>
      </c>
      <c r="I893" s="524" t="str">
        <f t="shared" si="55"/>
        <v>否</v>
      </c>
      <c r="J893" s="312" t="str">
        <f t="shared" si="54"/>
        <v>项</v>
      </c>
    </row>
    <row r="894" ht="24" customHeight="1" spans="1:10">
      <c r="A894" s="330">
        <v>2130135</v>
      </c>
      <c r="B894" s="379" t="s">
        <v>856</v>
      </c>
      <c r="C894" s="602">
        <v>23</v>
      </c>
      <c r="D894" s="709">
        <v>26</v>
      </c>
      <c r="E894" s="710">
        <v>26</v>
      </c>
      <c r="F894" s="710">
        <v>132</v>
      </c>
      <c r="G894" s="526">
        <f t="shared" si="52"/>
        <v>4.73913043478261</v>
      </c>
      <c r="H894" s="470">
        <f t="shared" si="53"/>
        <v>5.07692307692308</v>
      </c>
      <c r="I894" s="524" t="str">
        <f t="shared" si="55"/>
        <v>是</v>
      </c>
      <c r="J894" s="312" t="str">
        <f t="shared" si="54"/>
        <v>项</v>
      </c>
    </row>
    <row r="895" s="372" customFormat="1" ht="24" hidden="1" customHeight="1" spans="1:10">
      <c r="A895" s="330">
        <v>2130142</v>
      </c>
      <c r="B895" s="379" t="s">
        <v>857</v>
      </c>
      <c r="C895" s="602">
        <v>0</v>
      </c>
      <c r="D895" s="709">
        <v>0</v>
      </c>
      <c r="E895" s="710">
        <v>0</v>
      </c>
      <c r="F895" s="710">
        <v>0</v>
      </c>
      <c r="G895" s="526" t="str">
        <f t="shared" si="52"/>
        <v/>
      </c>
      <c r="H895" s="470" t="str">
        <f t="shared" si="53"/>
        <v/>
      </c>
      <c r="I895" s="524" t="str">
        <f t="shared" si="55"/>
        <v>否</v>
      </c>
      <c r="J895" s="312" t="str">
        <f t="shared" si="54"/>
        <v>项</v>
      </c>
    </row>
    <row r="896" ht="24" customHeight="1" spans="1:10">
      <c r="A896" s="330">
        <v>2130148</v>
      </c>
      <c r="B896" s="405" t="s">
        <v>858</v>
      </c>
      <c r="C896" s="602">
        <v>0</v>
      </c>
      <c r="D896" s="709">
        <v>0</v>
      </c>
      <c r="E896" s="710">
        <v>0</v>
      </c>
      <c r="F896" s="710">
        <v>1</v>
      </c>
      <c r="G896" s="526" t="str">
        <f t="shared" si="52"/>
        <v/>
      </c>
      <c r="H896" s="470" t="str">
        <f t="shared" si="53"/>
        <v/>
      </c>
      <c r="I896" s="524" t="str">
        <f t="shared" si="55"/>
        <v>是</v>
      </c>
      <c r="J896" s="312" t="str">
        <f t="shared" si="54"/>
        <v>项</v>
      </c>
    </row>
    <row r="897" ht="24" hidden="1" customHeight="1" spans="1:10">
      <c r="A897" s="330">
        <v>2130152</v>
      </c>
      <c r="B897" s="379" t="s">
        <v>859</v>
      </c>
      <c r="C897" s="602">
        <v>0</v>
      </c>
      <c r="D897" s="709">
        <v>0</v>
      </c>
      <c r="E897" s="710">
        <v>0</v>
      </c>
      <c r="F897" s="710">
        <v>0</v>
      </c>
      <c r="G897" s="526" t="str">
        <f t="shared" si="52"/>
        <v/>
      </c>
      <c r="H897" s="470" t="str">
        <f t="shared" si="53"/>
        <v/>
      </c>
      <c r="I897" s="524" t="str">
        <f t="shared" si="55"/>
        <v>否</v>
      </c>
      <c r="J897" s="312" t="str">
        <f t="shared" si="54"/>
        <v>项</v>
      </c>
    </row>
    <row r="898" s="372" customFormat="1" ht="24" customHeight="1" spans="1:10">
      <c r="A898" s="330">
        <v>2130153</v>
      </c>
      <c r="B898" s="379" t="s">
        <v>860</v>
      </c>
      <c r="C898" s="602">
        <v>1</v>
      </c>
      <c r="D898" s="709">
        <v>0</v>
      </c>
      <c r="E898" s="710">
        <v>0</v>
      </c>
      <c r="F898" s="710">
        <v>9</v>
      </c>
      <c r="G898" s="526">
        <f t="shared" si="52"/>
        <v>8</v>
      </c>
      <c r="H898" s="470" t="str">
        <f t="shared" si="53"/>
        <v/>
      </c>
      <c r="I898" s="524" t="str">
        <f t="shared" si="55"/>
        <v>是</v>
      </c>
      <c r="J898" s="312" t="str">
        <f t="shared" si="54"/>
        <v>项</v>
      </c>
    </row>
    <row r="899" s="372" customFormat="1" ht="24" customHeight="1" spans="1:10">
      <c r="A899" s="330">
        <v>2130199</v>
      </c>
      <c r="B899" s="379" t="s">
        <v>861</v>
      </c>
      <c r="C899" s="602">
        <v>1</v>
      </c>
      <c r="D899" s="709">
        <v>0</v>
      </c>
      <c r="E899" s="710">
        <v>0</v>
      </c>
      <c r="F899" s="710">
        <v>14</v>
      </c>
      <c r="G899" s="526">
        <f t="shared" si="52"/>
        <v>13</v>
      </c>
      <c r="H899" s="470" t="str">
        <f t="shared" si="53"/>
        <v/>
      </c>
      <c r="I899" s="524" t="str">
        <f t="shared" si="55"/>
        <v>是</v>
      </c>
      <c r="J899" s="312" t="str">
        <f t="shared" si="54"/>
        <v>项</v>
      </c>
    </row>
    <row r="900" s="372" customFormat="1" ht="24" customHeight="1" spans="1:10">
      <c r="A900" s="330">
        <v>21302</v>
      </c>
      <c r="B900" s="379" t="s">
        <v>862</v>
      </c>
      <c r="C900" s="601">
        <v>63693</v>
      </c>
      <c r="D900" s="708">
        <f>SUM(D901:D922)</f>
        <v>60520</v>
      </c>
      <c r="E900" s="708">
        <f>SUM(E901:E922)</f>
        <v>61016</v>
      </c>
      <c r="F900" s="708">
        <f>SUM(F901:F922)</f>
        <v>4044</v>
      </c>
      <c r="G900" s="523">
        <f t="shared" si="52"/>
        <v>-0.936507936507937</v>
      </c>
      <c r="H900" s="467">
        <f t="shared" si="53"/>
        <v>0.0668208856576338</v>
      </c>
      <c r="I900" s="524" t="str">
        <f t="shared" si="55"/>
        <v>是</v>
      </c>
      <c r="J900" s="312" t="str">
        <f t="shared" si="54"/>
        <v>款</v>
      </c>
    </row>
    <row r="901" s="372" customFormat="1" ht="24" customHeight="1" spans="1:10">
      <c r="A901" s="330">
        <v>2130201</v>
      </c>
      <c r="B901" s="379" t="s">
        <v>212</v>
      </c>
      <c r="C901" s="602">
        <v>688</v>
      </c>
      <c r="D901" s="709">
        <v>742</v>
      </c>
      <c r="E901" s="710">
        <v>742</v>
      </c>
      <c r="F901" s="710">
        <v>699</v>
      </c>
      <c r="G901" s="526">
        <f t="shared" ref="G901:G964" si="57">IFERROR((F901-C901)/C901,"")</f>
        <v>0.0159883720930233</v>
      </c>
      <c r="H901" s="470">
        <f t="shared" ref="H901:H964" si="58">IFERROR(F901/D901,"")</f>
        <v>0.942048517520216</v>
      </c>
      <c r="I901" s="524" t="str">
        <f t="shared" si="55"/>
        <v>是</v>
      </c>
      <c r="J901" s="312" t="str">
        <f t="shared" ref="J901:J964" si="59">IF(LEN(A901)=3,"类",IF(LEN(A901)=5,"款","项"))</f>
        <v>项</v>
      </c>
    </row>
    <row r="902" s="372" customFormat="1" ht="24" hidden="1" customHeight="1" spans="1:10">
      <c r="A902" s="330">
        <v>2130202</v>
      </c>
      <c r="B902" s="379" t="s">
        <v>213</v>
      </c>
      <c r="C902" s="602">
        <v>0</v>
      </c>
      <c r="D902" s="709">
        <v>0</v>
      </c>
      <c r="E902" s="710">
        <v>0</v>
      </c>
      <c r="F902" s="710">
        <v>0</v>
      </c>
      <c r="G902" s="526" t="str">
        <f t="shared" si="57"/>
        <v/>
      </c>
      <c r="H902" s="470" t="str">
        <f t="shared" si="58"/>
        <v/>
      </c>
      <c r="I902" s="524" t="str">
        <f t="shared" ref="I902:I965" si="60">IF(LEN(A902)=3,"是",IF(B902&lt;&gt;"",IF(SUM(C902:F902)&lt;&gt;0,"是","否"),"是"))</f>
        <v>否</v>
      </c>
      <c r="J902" s="312" t="str">
        <f t="shared" si="59"/>
        <v>项</v>
      </c>
    </row>
    <row r="903" s="372" customFormat="1" ht="24" hidden="1" customHeight="1" spans="1:10">
      <c r="A903" s="330">
        <v>2130203</v>
      </c>
      <c r="B903" s="379" t="s">
        <v>214</v>
      </c>
      <c r="C903" s="602">
        <v>0</v>
      </c>
      <c r="D903" s="709">
        <v>0</v>
      </c>
      <c r="E903" s="710">
        <v>0</v>
      </c>
      <c r="F903" s="710">
        <v>0</v>
      </c>
      <c r="G903" s="526" t="str">
        <f t="shared" si="57"/>
        <v/>
      </c>
      <c r="H903" s="470" t="str">
        <f t="shared" si="58"/>
        <v/>
      </c>
      <c r="I903" s="524" t="str">
        <f t="shared" si="60"/>
        <v>否</v>
      </c>
      <c r="J903" s="312" t="str">
        <f t="shared" si="59"/>
        <v>项</v>
      </c>
    </row>
    <row r="904" s="372" customFormat="1" ht="24" customHeight="1" spans="1:10">
      <c r="A904" s="330">
        <v>2130204</v>
      </c>
      <c r="B904" s="379" t="s">
        <v>863</v>
      </c>
      <c r="C904" s="602">
        <v>649</v>
      </c>
      <c r="D904" s="709">
        <v>665</v>
      </c>
      <c r="E904" s="710">
        <v>665</v>
      </c>
      <c r="F904" s="710">
        <v>712</v>
      </c>
      <c r="G904" s="526">
        <f t="shared" si="57"/>
        <v>0.0970724191063174</v>
      </c>
      <c r="H904" s="470">
        <f t="shared" si="58"/>
        <v>1.07067669172932</v>
      </c>
      <c r="I904" s="524" t="str">
        <f t="shared" si="60"/>
        <v>是</v>
      </c>
      <c r="J904" s="312" t="str">
        <f t="shared" si="59"/>
        <v>项</v>
      </c>
    </row>
    <row r="905" s="372" customFormat="1" ht="24" customHeight="1" spans="1:10">
      <c r="A905" s="330">
        <v>2130205</v>
      </c>
      <c r="B905" s="379" t="s">
        <v>864</v>
      </c>
      <c r="C905" s="602">
        <v>790</v>
      </c>
      <c r="D905" s="709">
        <v>821</v>
      </c>
      <c r="E905" s="710">
        <v>821</v>
      </c>
      <c r="F905" s="710">
        <v>364</v>
      </c>
      <c r="G905" s="526">
        <f t="shared" si="57"/>
        <v>-0.539240506329114</v>
      </c>
      <c r="H905" s="470">
        <f t="shared" si="58"/>
        <v>0.443361753958587</v>
      </c>
      <c r="I905" s="524" t="str">
        <f t="shared" si="60"/>
        <v>是</v>
      </c>
      <c r="J905" s="312" t="str">
        <f t="shared" si="59"/>
        <v>项</v>
      </c>
    </row>
    <row r="906" s="372" customFormat="1" ht="24" customHeight="1" spans="1:10">
      <c r="A906" s="330">
        <v>2130206</v>
      </c>
      <c r="B906" s="379" t="s">
        <v>865</v>
      </c>
      <c r="C906" s="602">
        <v>39</v>
      </c>
      <c r="D906" s="709">
        <v>30</v>
      </c>
      <c r="E906" s="710">
        <v>30</v>
      </c>
      <c r="F906" s="710">
        <v>77</v>
      </c>
      <c r="G906" s="526">
        <f t="shared" si="57"/>
        <v>0.974358974358974</v>
      </c>
      <c r="H906" s="470">
        <f t="shared" si="58"/>
        <v>2.56666666666667</v>
      </c>
      <c r="I906" s="524" t="str">
        <f t="shared" si="60"/>
        <v>是</v>
      </c>
      <c r="J906" s="312" t="str">
        <f t="shared" si="59"/>
        <v>项</v>
      </c>
    </row>
    <row r="907" s="372" customFormat="1" ht="24" customHeight="1" spans="1:10">
      <c r="A907" s="330">
        <v>2130207</v>
      </c>
      <c r="B907" s="379" t="s">
        <v>866</v>
      </c>
      <c r="C907" s="602">
        <v>63</v>
      </c>
      <c r="D907" s="709">
        <v>50</v>
      </c>
      <c r="E907" s="710">
        <v>50</v>
      </c>
      <c r="F907" s="710">
        <v>112</v>
      </c>
      <c r="G907" s="526">
        <f t="shared" si="57"/>
        <v>0.777777777777778</v>
      </c>
      <c r="H907" s="470">
        <f t="shared" si="58"/>
        <v>2.24</v>
      </c>
      <c r="I907" s="524" t="str">
        <f t="shared" si="60"/>
        <v>是</v>
      </c>
      <c r="J907" s="312" t="str">
        <f t="shared" si="59"/>
        <v>项</v>
      </c>
    </row>
    <row r="908" s="372" customFormat="1" ht="24" customHeight="1" spans="1:10">
      <c r="A908" s="330">
        <v>2130209</v>
      </c>
      <c r="B908" s="379" t="s">
        <v>867</v>
      </c>
      <c r="C908" s="602">
        <v>259</v>
      </c>
      <c r="D908" s="709">
        <v>270</v>
      </c>
      <c r="E908" s="710">
        <v>270</v>
      </c>
      <c r="F908" s="710">
        <v>41</v>
      </c>
      <c r="G908" s="526">
        <f t="shared" si="57"/>
        <v>-0.841698841698842</v>
      </c>
      <c r="H908" s="470">
        <f t="shared" si="58"/>
        <v>0.151851851851852</v>
      </c>
      <c r="I908" s="524" t="str">
        <f t="shared" si="60"/>
        <v>是</v>
      </c>
      <c r="J908" s="312" t="str">
        <f t="shared" si="59"/>
        <v>项</v>
      </c>
    </row>
    <row r="909" s="372" customFormat="1" ht="24" customHeight="1" spans="1:10">
      <c r="A909" s="330">
        <v>2130211</v>
      </c>
      <c r="B909" s="379" t="s">
        <v>868</v>
      </c>
      <c r="C909" s="602">
        <v>5</v>
      </c>
      <c r="D909" s="709">
        <v>5</v>
      </c>
      <c r="E909" s="710">
        <v>5</v>
      </c>
      <c r="F909" s="710">
        <v>9</v>
      </c>
      <c r="G909" s="526">
        <f t="shared" si="57"/>
        <v>0.8</v>
      </c>
      <c r="H909" s="470">
        <f t="shared" si="58"/>
        <v>1.8</v>
      </c>
      <c r="I909" s="524" t="str">
        <f t="shared" si="60"/>
        <v>是</v>
      </c>
      <c r="J909" s="312" t="str">
        <f t="shared" si="59"/>
        <v>项</v>
      </c>
    </row>
    <row r="910" s="372" customFormat="1" ht="24" customHeight="1" spans="1:10">
      <c r="A910" s="330">
        <v>2130212</v>
      </c>
      <c r="B910" s="379" t="s">
        <v>869</v>
      </c>
      <c r="C910" s="602">
        <v>166</v>
      </c>
      <c r="D910" s="709">
        <v>236</v>
      </c>
      <c r="E910" s="710">
        <v>236</v>
      </c>
      <c r="F910" s="710">
        <v>761</v>
      </c>
      <c r="G910" s="526">
        <f t="shared" si="57"/>
        <v>3.58433734939759</v>
      </c>
      <c r="H910" s="470">
        <f t="shared" si="58"/>
        <v>3.22457627118644</v>
      </c>
      <c r="I910" s="524" t="str">
        <f t="shared" si="60"/>
        <v>是</v>
      </c>
      <c r="J910" s="312" t="str">
        <f t="shared" si="59"/>
        <v>项</v>
      </c>
    </row>
    <row r="911" s="372" customFormat="1" ht="24" hidden="1" customHeight="1" spans="1:10">
      <c r="A911" s="330">
        <v>2130213</v>
      </c>
      <c r="B911" s="379" t="s">
        <v>870</v>
      </c>
      <c r="C911" s="602">
        <v>0</v>
      </c>
      <c r="D911" s="709">
        <v>0</v>
      </c>
      <c r="E911" s="710">
        <v>0</v>
      </c>
      <c r="F911" s="710">
        <v>0</v>
      </c>
      <c r="G911" s="526" t="str">
        <f t="shared" si="57"/>
        <v/>
      </c>
      <c r="H911" s="470" t="str">
        <f t="shared" si="58"/>
        <v/>
      </c>
      <c r="I911" s="524" t="str">
        <f t="shared" si="60"/>
        <v>否</v>
      </c>
      <c r="J911" s="312" t="str">
        <f t="shared" si="59"/>
        <v>项</v>
      </c>
    </row>
    <row r="912" s="372" customFormat="1" ht="24" hidden="1" customHeight="1" spans="1:10">
      <c r="A912" s="330">
        <v>2130217</v>
      </c>
      <c r="B912" s="379" t="s">
        <v>871</v>
      </c>
      <c r="C912" s="602">
        <v>0</v>
      </c>
      <c r="D912" s="709">
        <v>0</v>
      </c>
      <c r="E912" s="710">
        <v>0</v>
      </c>
      <c r="F912" s="710">
        <v>0</v>
      </c>
      <c r="G912" s="526" t="str">
        <f t="shared" si="57"/>
        <v/>
      </c>
      <c r="H912" s="470" t="str">
        <f t="shared" si="58"/>
        <v/>
      </c>
      <c r="I912" s="524" t="str">
        <f t="shared" si="60"/>
        <v>否</v>
      </c>
      <c r="J912" s="312" t="str">
        <f t="shared" si="59"/>
        <v>项</v>
      </c>
    </row>
    <row r="913" s="372" customFormat="1" ht="24" hidden="1" customHeight="1" spans="1:10">
      <c r="A913" s="330">
        <v>2130220</v>
      </c>
      <c r="B913" s="379" t="s">
        <v>872</v>
      </c>
      <c r="C913" s="602">
        <v>0</v>
      </c>
      <c r="D913" s="709">
        <v>0</v>
      </c>
      <c r="E913" s="710">
        <v>0</v>
      </c>
      <c r="F913" s="710">
        <v>0</v>
      </c>
      <c r="G913" s="526" t="str">
        <f t="shared" si="57"/>
        <v/>
      </c>
      <c r="H913" s="470" t="str">
        <f t="shared" si="58"/>
        <v/>
      </c>
      <c r="I913" s="524" t="str">
        <f t="shared" si="60"/>
        <v>否</v>
      </c>
      <c r="J913" s="312" t="str">
        <f t="shared" si="59"/>
        <v>项</v>
      </c>
    </row>
    <row r="914" s="372" customFormat="1" ht="24" hidden="1" customHeight="1" spans="1:10">
      <c r="A914" s="330">
        <v>2130221</v>
      </c>
      <c r="B914" s="379" t="s">
        <v>873</v>
      </c>
      <c r="C914" s="602">
        <v>0</v>
      </c>
      <c r="D914" s="709">
        <v>0</v>
      </c>
      <c r="E914" s="710">
        <v>0</v>
      </c>
      <c r="F914" s="710">
        <v>0</v>
      </c>
      <c r="G914" s="526" t="str">
        <f t="shared" si="57"/>
        <v/>
      </c>
      <c r="H914" s="470" t="str">
        <f t="shared" si="58"/>
        <v/>
      </c>
      <c r="I914" s="524" t="str">
        <f t="shared" si="60"/>
        <v>否</v>
      </c>
      <c r="J914" s="312" t="str">
        <f t="shared" si="59"/>
        <v>项</v>
      </c>
    </row>
    <row r="915" s="372" customFormat="1" ht="24" hidden="1" customHeight="1" spans="1:10">
      <c r="A915" s="330">
        <v>2130223</v>
      </c>
      <c r="B915" s="379" t="s">
        <v>874</v>
      </c>
      <c r="C915" s="602">
        <v>0</v>
      </c>
      <c r="D915" s="709">
        <v>0</v>
      </c>
      <c r="E915" s="710">
        <v>0</v>
      </c>
      <c r="F915" s="710">
        <v>0</v>
      </c>
      <c r="G915" s="526" t="str">
        <f t="shared" si="57"/>
        <v/>
      </c>
      <c r="H915" s="470" t="str">
        <f t="shared" si="58"/>
        <v/>
      </c>
      <c r="I915" s="524" t="str">
        <f t="shared" si="60"/>
        <v>否</v>
      </c>
      <c r="J915" s="312" t="str">
        <f t="shared" si="59"/>
        <v>项</v>
      </c>
    </row>
    <row r="916" s="372" customFormat="1" ht="24" hidden="1" customHeight="1" spans="1:10">
      <c r="A916" s="330">
        <v>2130226</v>
      </c>
      <c r="B916" s="379" t="s">
        <v>875</v>
      </c>
      <c r="C916" s="602">
        <v>0</v>
      </c>
      <c r="D916" s="709">
        <v>0</v>
      </c>
      <c r="E916" s="710">
        <v>0</v>
      </c>
      <c r="F916" s="710">
        <v>0</v>
      </c>
      <c r="G916" s="526" t="str">
        <f t="shared" si="57"/>
        <v/>
      </c>
      <c r="H916" s="470" t="str">
        <f t="shared" si="58"/>
        <v/>
      </c>
      <c r="I916" s="524" t="str">
        <f t="shared" si="60"/>
        <v>否</v>
      </c>
      <c r="J916" s="312" t="str">
        <f t="shared" si="59"/>
        <v>项</v>
      </c>
    </row>
    <row r="917" s="372" customFormat="1" ht="24" hidden="1" customHeight="1" spans="1:10">
      <c r="A917" s="330">
        <v>2130227</v>
      </c>
      <c r="B917" s="379" t="s">
        <v>876</v>
      </c>
      <c r="C917" s="602">
        <v>0</v>
      </c>
      <c r="D917" s="709">
        <v>0</v>
      </c>
      <c r="E917" s="710">
        <v>0</v>
      </c>
      <c r="F917" s="710">
        <v>0</v>
      </c>
      <c r="G917" s="526" t="str">
        <f t="shared" si="57"/>
        <v/>
      </c>
      <c r="H917" s="470" t="str">
        <f t="shared" si="58"/>
        <v/>
      </c>
      <c r="I917" s="524" t="str">
        <f t="shared" si="60"/>
        <v>否</v>
      </c>
      <c r="J917" s="312" t="str">
        <f t="shared" si="59"/>
        <v>项</v>
      </c>
    </row>
    <row r="918" s="372" customFormat="1" ht="24" customHeight="1" spans="1:10">
      <c r="A918" s="330">
        <v>2130234</v>
      </c>
      <c r="B918" s="379" t="s">
        <v>877</v>
      </c>
      <c r="C918" s="602">
        <v>60924</v>
      </c>
      <c r="D918" s="709">
        <v>57681</v>
      </c>
      <c r="E918" s="710">
        <v>58177</v>
      </c>
      <c r="F918" s="710">
        <v>727</v>
      </c>
      <c r="G918" s="526">
        <f t="shared" si="57"/>
        <v>-0.988067099993434</v>
      </c>
      <c r="H918" s="470">
        <f t="shared" si="58"/>
        <v>0.0126038036788544</v>
      </c>
      <c r="I918" s="524" t="str">
        <f t="shared" si="60"/>
        <v>是</v>
      </c>
      <c r="J918" s="312" t="str">
        <f t="shared" si="59"/>
        <v>项</v>
      </c>
    </row>
    <row r="919" s="372" customFormat="1" ht="24" hidden="1" customHeight="1" spans="1:10">
      <c r="A919" s="330">
        <v>2130236</v>
      </c>
      <c r="B919" s="379" t="s">
        <v>878</v>
      </c>
      <c r="C919" s="602">
        <v>0</v>
      </c>
      <c r="D919" s="709">
        <v>0</v>
      </c>
      <c r="E919" s="710">
        <v>0</v>
      </c>
      <c r="F919" s="710">
        <v>0</v>
      </c>
      <c r="G919" s="526" t="str">
        <f t="shared" si="57"/>
        <v/>
      </c>
      <c r="H919" s="470" t="str">
        <f t="shared" si="58"/>
        <v/>
      </c>
      <c r="I919" s="524" t="str">
        <f t="shared" si="60"/>
        <v>否</v>
      </c>
      <c r="J919" s="312" t="str">
        <f t="shared" si="59"/>
        <v>项</v>
      </c>
    </row>
    <row r="920" s="372" customFormat="1" ht="24" customHeight="1" spans="1:10">
      <c r="A920" s="330">
        <v>2130237</v>
      </c>
      <c r="B920" s="379" t="s">
        <v>847</v>
      </c>
      <c r="C920" s="602">
        <v>0</v>
      </c>
      <c r="D920" s="709">
        <v>0</v>
      </c>
      <c r="E920" s="710">
        <v>0</v>
      </c>
      <c r="F920" s="710">
        <v>30</v>
      </c>
      <c r="G920" s="526" t="str">
        <f t="shared" si="57"/>
        <v/>
      </c>
      <c r="H920" s="470" t="str">
        <f t="shared" si="58"/>
        <v/>
      </c>
      <c r="I920" s="524" t="str">
        <f t="shared" si="60"/>
        <v>是</v>
      </c>
      <c r="J920" s="312" t="str">
        <f t="shared" si="59"/>
        <v>项</v>
      </c>
    </row>
    <row r="921" s="506" customFormat="1" ht="24" customHeight="1" spans="1:10">
      <c r="A921" s="326">
        <v>2130238</v>
      </c>
      <c r="B921" s="327" t="s">
        <v>879</v>
      </c>
      <c r="C921" s="602">
        <v>0</v>
      </c>
      <c r="D921" s="709">
        <v>0</v>
      </c>
      <c r="E921" s="710">
        <v>0</v>
      </c>
      <c r="F921" s="710">
        <v>1</v>
      </c>
      <c r="G921" s="526" t="str">
        <f t="shared" si="57"/>
        <v/>
      </c>
      <c r="H921" s="470" t="str">
        <f t="shared" si="58"/>
        <v/>
      </c>
      <c r="I921" s="524" t="str">
        <f t="shared" si="60"/>
        <v>是</v>
      </c>
      <c r="J921" s="309" t="str">
        <f t="shared" si="59"/>
        <v>项</v>
      </c>
    </row>
    <row r="922" s="372" customFormat="1" ht="24" customHeight="1" spans="1:10">
      <c r="A922" s="330">
        <v>2130299</v>
      </c>
      <c r="B922" s="379" t="s">
        <v>880</v>
      </c>
      <c r="C922" s="602">
        <v>110</v>
      </c>
      <c r="D922" s="709">
        <v>20</v>
      </c>
      <c r="E922" s="710">
        <v>20</v>
      </c>
      <c r="F922" s="710">
        <v>511</v>
      </c>
      <c r="G922" s="526">
        <f t="shared" si="57"/>
        <v>3.64545454545455</v>
      </c>
      <c r="H922" s="470">
        <f t="shared" si="58"/>
        <v>25.55</v>
      </c>
      <c r="I922" s="524" t="str">
        <f t="shared" si="60"/>
        <v>是</v>
      </c>
      <c r="J922" s="312" t="str">
        <f t="shared" si="59"/>
        <v>项</v>
      </c>
    </row>
    <row r="923" s="372" customFormat="1" ht="24" customHeight="1" spans="1:10">
      <c r="A923" s="330">
        <v>21303</v>
      </c>
      <c r="B923" s="379" t="s">
        <v>881</v>
      </c>
      <c r="C923" s="601">
        <v>15042</v>
      </c>
      <c r="D923" s="708">
        <f>SUM(D924:D950)</f>
        <v>14748</v>
      </c>
      <c r="E923" s="708">
        <f>SUM(E924:E950)</f>
        <v>13995</v>
      </c>
      <c r="F923" s="708">
        <f>SUM(F924:F950)</f>
        <v>3872</v>
      </c>
      <c r="G923" s="523">
        <f t="shared" si="57"/>
        <v>-0.742587421885388</v>
      </c>
      <c r="H923" s="467">
        <f t="shared" si="58"/>
        <v>0.262544073772715</v>
      </c>
      <c r="I923" s="524" t="str">
        <f t="shared" si="60"/>
        <v>是</v>
      </c>
      <c r="J923" s="312" t="str">
        <f t="shared" si="59"/>
        <v>款</v>
      </c>
    </row>
    <row r="924" ht="24" customHeight="1" spans="1:10">
      <c r="A924" s="330">
        <v>2130301</v>
      </c>
      <c r="B924" s="379" t="s">
        <v>212</v>
      </c>
      <c r="C924" s="602">
        <v>576</v>
      </c>
      <c r="D924" s="709">
        <v>615</v>
      </c>
      <c r="E924" s="710">
        <v>615</v>
      </c>
      <c r="F924" s="710">
        <v>557</v>
      </c>
      <c r="G924" s="526">
        <f t="shared" si="57"/>
        <v>-0.0329861111111111</v>
      </c>
      <c r="H924" s="470">
        <f t="shared" si="58"/>
        <v>0.905691056910569</v>
      </c>
      <c r="I924" s="524" t="str">
        <f t="shared" si="60"/>
        <v>是</v>
      </c>
      <c r="J924" s="312" t="str">
        <f t="shared" si="59"/>
        <v>项</v>
      </c>
    </row>
    <row r="925" s="372" customFormat="1" ht="24" customHeight="1" spans="1:10">
      <c r="A925" s="330">
        <v>2130302</v>
      </c>
      <c r="B925" s="379" t="s">
        <v>213</v>
      </c>
      <c r="C925" s="602">
        <v>72</v>
      </c>
      <c r="D925" s="709">
        <v>70</v>
      </c>
      <c r="E925" s="710">
        <v>70</v>
      </c>
      <c r="F925" s="710">
        <v>45</v>
      </c>
      <c r="G925" s="526">
        <f t="shared" si="57"/>
        <v>-0.375</v>
      </c>
      <c r="H925" s="470">
        <f t="shared" si="58"/>
        <v>0.642857142857143</v>
      </c>
      <c r="I925" s="524" t="str">
        <f t="shared" si="60"/>
        <v>是</v>
      </c>
      <c r="J925" s="312" t="str">
        <f t="shared" si="59"/>
        <v>项</v>
      </c>
    </row>
    <row r="926" s="372" customFormat="1" ht="24" hidden="1" customHeight="1" spans="1:10">
      <c r="A926" s="330">
        <v>2130303</v>
      </c>
      <c r="B926" s="379" t="s">
        <v>214</v>
      </c>
      <c r="C926" s="602">
        <v>0</v>
      </c>
      <c r="D926" s="709">
        <v>0</v>
      </c>
      <c r="E926" s="710">
        <v>0</v>
      </c>
      <c r="F926" s="710">
        <v>0</v>
      </c>
      <c r="G926" s="526" t="str">
        <f t="shared" si="57"/>
        <v/>
      </c>
      <c r="H926" s="470" t="str">
        <f t="shared" si="58"/>
        <v/>
      </c>
      <c r="I926" s="524" t="str">
        <f t="shared" si="60"/>
        <v>否</v>
      </c>
      <c r="J926" s="312" t="str">
        <f t="shared" si="59"/>
        <v>项</v>
      </c>
    </row>
    <row r="927" s="372" customFormat="1" ht="24" customHeight="1" spans="1:10">
      <c r="A927" s="330">
        <v>2130304</v>
      </c>
      <c r="B927" s="379" t="s">
        <v>882</v>
      </c>
      <c r="C927" s="602">
        <v>309</v>
      </c>
      <c r="D927" s="709">
        <v>290</v>
      </c>
      <c r="E927" s="710">
        <v>290</v>
      </c>
      <c r="F927" s="710">
        <v>443</v>
      </c>
      <c r="G927" s="526">
        <f t="shared" si="57"/>
        <v>0.433656957928803</v>
      </c>
      <c r="H927" s="470">
        <f t="shared" si="58"/>
        <v>1.52758620689655</v>
      </c>
      <c r="I927" s="524" t="str">
        <f t="shared" si="60"/>
        <v>是</v>
      </c>
      <c r="J927" s="312" t="str">
        <f t="shared" si="59"/>
        <v>项</v>
      </c>
    </row>
    <row r="928" s="372" customFormat="1" ht="24" customHeight="1" spans="1:10">
      <c r="A928" s="330">
        <v>2130305</v>
      </c>
      <c r="B928" s="379" t="s">
        <v>883</v>
      </c>
      <c r="C928" s="602">
        <v>1892</v>
      </c>
      <c r="D928" s="709">
        <v>1800</v>
      </c>
      <c r="E928" s="710">
        <v>1000</v>
      </c>
      <c r="F928" s="710">
        <v>1437</v>
      </c>
      <c r="G928" s="526">
        <f t="shared" si="57"/>
        <v>-0.240486257928118</v>
      </c>
      <c r="H928" s="470">
        <f t="shared" si="58"/>
        <v>0.798333333333333</v>
      </c>
      <c r="I928" s="524" t="str">
        <f t="shared" si="60"/>
        <v>是</v>
      </c>
      <c r="J928" s="312" t="str">
        <f t="shared" si="59"/>
        <v>项</v>
      </c>
    </row>
    <row r="929" s="372" customFormat="1" ht="24" hidden="1" customHeight="1" spans="1:10">
      <c r="A929" s="330">
        <v>2130306</v>
      </c>
      <c r="B929" s="379" t="s">
        <v>884</v>
      </c>
      <c r="C929" s="602">
        <v>0</v>
      </c>
      <c r="D929" s="709">
        <v>0</v>
      </c>
      <c r="E929" s="710">
        <v>0</v>
      </c>
      <c r="F929" s="710">
        <v>0</v>
      </c>
      <c r="G929" s="526" t="str">
        <f t="shared" si="57"/>
        <v/>
      </c>
      <c r="H929" s="470" t="str">
        <f t="shared" si="58"/>
        <v/>
      </c>
      <c r="I929" s="524" t="str">
        <f t="shared" si="60"/>
        <v>否</v>
      </c>
      <c r="J929" s="312" t="str">
        <f t="shared" si="59"/>
        <v>项</v>
      </c>
    </row>
    <row r="930" s="372" customFormat="1" ht="24" hidden="1" customHeight="1" spans="1:10">
      <c r="A930" s="330">
        <v>2130307</v>
      </c>
      <c r="B930" s="379" t="s">
        <v>885</v>
      </c>
      <c r="C930" s="602">
        <v>0</v>
      </c>
      <c r="D930" s="709">
        <v>0</v>
      </c>
      <c r="E930" s="710">
        <v>0</v>
      </c>
      <c r="F930" s="710">
        <v>0</v>
      </c>
      <c r="G930" s="526" t="str">
        <f t="shared" si="57"/>
        <v/>
      </c>
      <c r="H930" s="470" t="str">
        <f t="shared" si="58"/>
        <v/>
      </c>
      <c r="I930" s="524" t="str">
        <f t="shared" si="60"/>
        <v>否</v>
      </c>
      <c r="J930" s="312" t="str">
        <f t="shared" si="59"/>
        <v>项</v>
      </c>
    </row>
    <row r="931" s="372" customFormat="1" ht="24" customHeight="1" spans="1:10">
      <c r="A931" s="330">
        <v>2130308</v>
      </c>
      <c r="B931" s="379" t="s">
        <v>886</v>
      </c>
      <c r="C931" s="602">
        <v>120</v>
      </c>
      <c r="D931" s="709">
        <v>165</v>
      </c>
      <c r="E931" s="710">
        <v>212</v>
      </c>
      <c r="F931" s="710">
        <v>644</v>
      </c>
      <c r="G931" s="526">
        <f t="shared" si="57"/>
        <v>4.36666666666667</v>
      </c>
      <c r="H931" s="470">
        <f t="shared" si="58"/>
        <v>3.9030303030303</v>
      </c>
      <c r="I931" s="524" t="str">
        <f t="shared" si="60"/>
        <v>是</v>
      </c>
      <c r="J931" s="312" t="str">
        <f t="shared" si="59"/>
        <v>项</v>
      </c>
    </row>
    <row r="932" s="372" customFormat="1" ht="24" customHeight="1" spans="1:10">
      <c r="A932" s="330">
        <v>2130309</v>
      </c>
      <c r="B932" s="379" t="s">
        <v>887</v>
      </c>
      <c r="C932" s="602">
        <v>16</v>
      </c>
      <c r="D932" s="709">
        <v>0</v>
      </c>
      <c r="E932" s="710">
        <v>0</v>
      </c>
      <c r="F932" s="710">
        <v>0</v>
      </c>
      <c r="G932" s="526">
        <f t="shared" si="57"/>
        <v>-1</v>
      </c>
      <c r="H932" s="470" t="str">
        <f t="shared" si="58"/>
        <v/>
      </c>
      <c r="I932" s="524" t="str">
        <f t="shared" si="60"/>
        <v>是</v>
      </c>
      <c r="J932" s="312" t="str">
        <f t="shared" si="59"/>
        <v>项</v>
      </c>
    </row>
    <row r="933" s="372" customFormat="1" ht="24" customHeight="1" spans="1:10">
      <c r="A933" s="330">
        <v>2130310</v>
      </c>
      <c r="B933" s="379" t="s">
        <v>888</v>
      </c>
      <c r="C933" s="602">
        <v>143</v>
      </c>
      <c r="D933" s="709">
        <v>152</v>
      </c>
      <c r="E933" s="710">
        <v>152</v>
      </c>
      <c r="F933" s="710">
        <v>15</v>
      </c>
      <c r="G933" s="526">
        <f t="shared" si="57"/>
        <v>-0.895104895104895</v>
      </c>
      <c r="H933" s="470">
        <f t="shared" si="58"/>
        <v>0.0986842105263158</v>
      </c>
      <c r="I933" s="524" t="str">
        <f t="shared" si="60"/>
        <v>是</v>
      </c>
      <c r="J933" s="312" t="str">
        <f t="shared" si="59"/>
        <v>项</v>
      </c>
    </row>
    <row r="934" s="372" customFormat="1" ht="24" customHeight="1" spans="1:10">
      <c r="A934" s="330">
        <v>2130311</v>
      </c>
      <c r="B934" s="379" t="s">
        <v>889</v>
      </c>
      <c r="C934" s="602">
        <v>20</v>
      </c>
      <c r="D934" s="709">
        <v>20</v>
      </c>
      <c r="E934" s="710">
        <v>20</v>
      </c>
      <c r="F934" s="710">
        <v>10</v>
      </c>
      <c r="G934" s="526">
        <f t="shared" si="57"/>
        <v>-0.5</v>
      </c>
      <c r="H934" s="470">
        <f t="shared" si="58"/>
        <v>0.5</v>
      </c>
      <c r="I934" s="524" t="str">
        <f t="shared" si="60"/>
        <v>是</v>
      </c>
      <c r="J934" s="312" t="str">
        <f t="shared" si="59"/>
        <v>项</v>
      </c>
    </row>
    <row r="935" s="372" customFormat="1" ht="24" hidden="1" customHeight="1" spans="1:10">
      <c r="A935" s="330">
        <v>2130312</v>
      </c>
      <c r="B935" s="379" t="s">
        <v>890</v>
      </c>
      <c r="C935" s="602">
        <v>0</v>
      </c>
      <c r="D935" s="709">
        <v>0</v>
      </c>
      <c r="E935" s="710">
        <v>0</v>
      </c>
      <c r="F935" s="710">
        <v>0</v>
      </c>
      <c r="G935" s="526" t="str">
        <f t="shared" si="57"/>
        <v/>
      </c>
      <c r="H935" s="470" t="str">
        <f t="shared" si="58"/>
        <v/>
      </c>
      <c r="I935" s="524" t="str">
        <f t="shared" si="60"/>
        <v>否</v>
      </c>
      <c r="J935" s="312" t="str">
        <f t="shared" si="59"/>
        <v>项</v>
      </c>
    </row>
    <row r="936" s="372" customFormat="1" ht="24" customHeight="1" spans="1:10">
      <c r="A936" s="330">
        <v>2130313</v>
      </c>
      <c r="B936" s="379" t="s">
        <v>891</v>
      </c>
      <c r="C936" s="602">
        <v>10</v>
      </c>
      <c r="D936" s="709">
        <v>10</v>
      </c>
      <c r="E936" s="710">
        <v>10</v>
      </c>
      <c r="F936" s="710">
        <v>25</v>
      </c>
      <c r="G936" s="526">
        <f t="shared" si="57"/>
        <v>1.5</v>
      </c>
      <c r="H936" s="470">
        <f t="shared" si="58"/>
        <v>2.5</v>
      </c>
      <c r="I936" s="524" t="str">
        <f t="shared" si="60"/>
        <v>是</v>
      </c>
      <c r="J936" s="312" t="str">
        <f t="shared" si="59"/>
        <v>项</v>
      </c>
    </row>
    <row r="937" s="372" customFormat="1" ht="24" customHeight="1" spans="1:10">
      <c r="A937" s="330">
        <v>2130314</v>
      </c>
      <c r="B937" s="379" t="s">
        <v>892</v>
      </c>
      <c r="C937" s="602">
        <v>40</v>
      </c>
      <c r="D937" s="709">
        <v>45</v>
      </c>
      <c r="E937" s="710">
        <v>45</v>
      </c>
      <c r="F937" s="710">
        <v>34</v>
      </c>
      <c r="G937" s="526">
        <f t="shared" si="57"/>
        <v>-0.15</v>
      </c>
      <c r="H937" s="470">
        <f t="shared" si="58"/>
        <v>0.755555555555556</v>
      </c>
      <c r="I937" s="524" t="str">
        <f t="shared" si="60"/>
        <v>是</v>
      </c>
      <c r="J937" s="312" t="str">
        <f t="shared" si="59"/>
        <v>项</v>
      </c>
    </row>
    <row r="938" s="372" customFormat="1" ht="24" customHeight="1" spans="1:10">
      <c r="A938" s="330">
        <v>2130315</v>
      </c>
      <c r="B938" s="379" t="s">
        <v>893</v>
      </c>
      <c r="C938" s="602">
        <v>15</v>
      </c>
      <c r="D938" s="709">
        <v>18</v>
      </c>
      <c r="E938" s="710">
        <v>18</v>
      </c>
      <c r="F938" s="710">
        <v>0</v>
      </c>
      <c r="G938" s="526">
        <f t="shared" si="57"/>
        <v>-1</v>
      </c>
      <c r="H938" s="470">
        <f t="shared" si="58"/>
        <v>0</v>
      </c>
      <c r="I938" s="524" t="str">
        <f t="shared" si="60"/>
        <v>是</v>
      </c>
      <c r="J938" s="312" t="str">
        <f t="shared" si="59"/>
        <v>项</v>
      </c>
    </row>
    <row r="939" s="372" customFormat="1" ht="24" customHeight="1" spans="1:10">
      <c r="A939" s="330">
        <v>2130316</v>
      </c>
      <c r="B939" s="379" t="s">
        <v>894</v>
      </c>
      <c r="C939" s="602">
        <v>12</v>
      </c>
      <c r="D939" s="709">
        <v>0</v>
      </c>
      <c r="E939" s="710">
        <v>0</v>
      </c>
      <c r="F939" s="710">
        <v>0</v>
      </c>
      <c r="G939" s="526">
        <f t="shared" si="57"/>
        <v>-1</v>
      </c>
      <c r="H939" s="470" t="str">
        <f t="shared" si="58"/>
        <v/>
      </c>
      <c r="I939" s="524" t="str">
        <f t="shared" si="60"/>
        <v>是</v>
      </c>
      <c r="J939" s="312" t="str">
        <f t="shared" si="59"/>
        <v>项</v>
      </c>
    </row>
    <row r="940" s="372" customFormat="1" ht="24" hidden="1" customHeight="1" spans="1:10">
      <c r="A940" s="330">
        <v>2130317</v>
      </c>
      <c r="B940" s="379" t="s">
        <v>895</v>
      </c>
      <c r="C940" s="602">
        <v>0</v>
      </c>
      <c r="D940" s="709">
        <v>0</v>
      </c>
      <c r="E940" s="710">
        <v>0</v>
      </c>
      <c r="F940" s="710">
        <v>0</v>
      </c>
      <c r="G940" s="526" t="str">
        <f t="shared" si="57"/>
        <v/>
      </c>
      <c r="H940" s="470" t="str">
        <f t="shared" si="58"/>
        <v/>
      </c>
      <c r="I940" s="524" t="str">
        <f t="shared" si="60"/>
        <v>否</v>
      </c>
      <c r="J940" s="312" t="str">
        <f t="shared" si="59"/>
        <v>项</v>
      </c>
    </row>
    <row r="941" s="372" customFormat="1" ht="24" hidden="1" customHeight="1" spans="1:10">
      <c r="A941" s="330">
        <v>2130318</v>
      </c>
      <c r="B941" s="379" t="s">
        <v>896</v>
      </c>
      <c r="C941" s="602">
        <v>0</v>
      </c>
      <c r="D941" s="709">
        <v>0</v>
      </c>
      <c r="E941" s="710">
        <v>0</v>
      </c>
      <c r="F941" s="710">
        <v>0</v>
      </c>
      <c r="G941" s="526" t="str">
        <f t="shared" si="57"/>
        <v/>
      </c>
      <c r="H941" s="470" t="str">
        <f t="shared" si="58"/>
        <v/>
      </c>
      <c r="I941" s="524" t="str">
        <f t="shared" si="60"/>
        <v>否</v>
      </c>
      <c r="J941" s="312" t="str">
        <f t="shared" si="59"/>
        <v>项</v>
      </c>
    </row>
    <row r="942" s="372" customFormat="1" ht="24" customHeight="1" spans="1:10">
      <c r="A942" s="330">
        <v>2130319</v>
      </c>
      <c r="B942" s="379" t="s">
        <v>897</v>
      </c>
      <c r="C942" s="602">
        <v>0</v>
      </c>
      <c r="D942" s="709">
        <v>0</v>
      </c>
      <c r="E942" s="710">
        <v>0</v>
      </c>
      <c r="F942" s="710">
        <v>10</v>
      </c>
      <c r="G942" s="526" t="str">
        <f t="shared" si="57"/>
        <v/>
      </c>
      <c r="H942" s="470" t="str">
        <f t="shared" si="58"/>
        <v/>
      </c>
      <c r="I942" s="524" t="str">
        <f t="shared" si="60"/>
        <v>是</v>
      </c>
      <c r="J942" s="312" t="str">
        <f t="shared" si="59"/>
        <v>项</v>
      </c>
    </row>
    <row r="943" s="372" customFormat="1" ht="24" hidden="1" customHeight="1" spans="1:10">
      <c r="A943" s="330">
        <v>2130321</v>
      </c>
      <c r="B943" s="379" t="s">
        <v>898</v>
      </c>
      <c r="C943" s="602">
        <v>0</v>
      </c>
      <c r="D943" s="709">
        <v>0</v>
      </c>
      <c r="E943" s="710">
        <v>0</v>
      </c>
      <c r="F943" s="710">
        <v>0</v>
      </c>
      <c r="G943" s="526" t="str">
        <f t="shared" si="57"/>
        <v/>
      </c>
      <c r="H943" s="470" t="str">
        <f t="shared" si="58"/>
        <v/>
      </c>
      <c r="I943" s="524" t="str">
        <f t="shared" si="60"/>
        <v>否</v>
      </c>
      <c r="J943" s="312" t="str">
        <f t="shared" si="59"/>
        <v>项</v>
      </c>
    </row>
    <row r="944" s="372" customFormat="1" ht="24" hidden="1" customHeight="1" spans="1:10">
      <c r="A944" s="330">
        <v>2130322</v>
      </c>
      <c r="B944" s="379" t="s">
        <v>899</v>
      </c>
      <c r="C944" s="602">
        <v>0</v>
      </c>
      <c r="D944" s="709">
        <v>0</v>
      </c>
      <c r="E944" s="710">
        <v>0</v>
      </c>
      <c r="F944" s="710">
        <v>0</v>
      </c>
      <c r="G944" s="526" t="str">
        <f t="shared" si="57"/>
        <v/>
      </c>
      <c r="H944" s="470" t="str">
        <f t="shared" si="58"/>
        <v/>
      </c>
      <c r="I944" s="524" t="str">
        <f t="shared" si="60"/>
        <v>否</v>
      </c>
      <c r="J944" s="312" t="str">
        <f t="shared" si="59"/>
        <v>项</v>
      </c>
    </row>
    <row r="945" s="372" customFormat="1" ht="24" hidden="1" customHeight="1" spans="1:10">
      <c r="A945" s="330">
        <v>2130333</v>
      </c>
      <c r="B945" s="379" t="s">
        <v>874</v>
      </c>
      <c r="C945" s="602">
        <v>0</v>
      </c>
      <c r="D945" s="709">
        <v>0</v>
      </c>
      <c r="E945" s="710">
        <v>0</v>
      </c>
      <c r="F945" s="710">
        <v>0</v>
      </c>
      <c r="G945" s="526" t="str">
        <f t="shared" si="57"/>
        <v/>
      </c>
      <c r="H945" s="470" t="str">
        <f t="shared" si="58"/>
        <v/>
      </c>
      <c r="I945" s="524" t="str">
        <f t="shared" si="60"/>
        <v>否</v>
      </c>
      <c r="J945" s="312" t="str">
        <f t="shared" si="59"/>
        <v>项</v>
      </c>
    </row>
    <row r="946" s="372" customFormat="1" ht="24" hidden="1" customHeight="1" spans="1:10">
      <c r="A946" s="330">
        <v>2130334</v>
      </c>
      <c r="B946" s="379" t="s">
        <v>900</v>
      </c>
      <c r="C946" s="602">
        <v>0</v>
      </c>
      <c r="D946" s="709">
        <v>0</v>
      </c>
      <c r="E946" s="710">
        <v>0</v>
      </c>
      <c r="F946" s="710">
        <v>0</v>
      </c>
      <c r="G946" s="526" t="str">
        <f t="shared" si="57"/>
        <v/>
      </c>
      <c r="H946" s="470" t="str">
        <f t="shared" si="58"/>
        <v/>
      </c>
      <c r="I946" s="524" t="str">
        <f t="shared" si="60"/>
        <v>否</v>
      </c>
      <c r="J946" s="312" t="str">
        <f t="shared" si="59"/>
        <v>项</v>
      </c>
    </row>
    <row r="947" s="372" customFormat="1" ht="24" hidden="1" customHeight="1" spans="1:10">
      <c r="A947" s="330">
        <v>2130335</v>
      </c>
      <c r="B947" s="379" t="s">
        <v>901</v>
      </c>
      <c r="C947" s="602">
        <v>0</v>
      </c>
      <c r="D947" s="709">
        <v>0</v>
      </c>
      <c r="E947" s="710">
        <v>0</v>
      </c>
      <c r="F947" s="710">
        <v>0</v>
      </c>
      <c r="G947" s="526" t="str">
        <f t="shared" si="57"/>
        <v/>
      </c>
      <c r="H947" s="470" t="str">
        <f t="shared" si="58"/>
        <v/>
      </c>
      <c r="I947" s="524" t="str">
        <f t="shared" si="60"/>
        <v>否</v>
      </c>
      <c r="J947" s="312" t="str">
        <f t="shared" si="59"/>
        <v>项</v>
      </c>
    </row>
    <row r="948" s="372" customFormat="1" ht="24" hidden="1" customHeight="1" spans="1:10">
      <c r="A948" s="330">
        <v>2130336</v>
      </c>
      <c r="B948" s="379" t="s">
        <v>902</v>
      </c>
      <c r="C948" s="602">
        <v>0</v>
      </c>
      <c r="D948" s="709">
        <v>0</v>
      </c>
      <c r="E948" s="710">
        <v>0</v>
      </c>
      <c r="F948" s="710">
        <v>0</v>
      </c>
      <c r="G948" s="526" t="str">
        <f t="shared" si="57"/>
        <v/>
      </c>
      <c r="H948" s="470" t="str">
        <f t="shared" si="58"/>
        <v/>
      </c>
      <c r="I948" s="524" t="str">
        <f t="shared" si="60"/>
        <v>否</v>
      </c>
      <c r="J948" s="312" t="str">
        <f t="shared" si="59"/>
        <v>项</v>
      </c>
    </row>
    <row r="949" ht="24" hidden="1" customHeight="1" spans="1:10">
      <c r="A949" s="330">
        <v>2130337</v>
      </c>
      <c r="B949" s="379" t="s">
        <v>903</v>
      </c>
      <c r="C949" s="602">
        <v>0</v>
      </c>
      <c r="D949" s="709">
        <v>0</v>
      </c>
      <c r="E949" s="710">
        <v>0</v>
      </c>
      <c r="F949" s="710">
        <v>0</v>
      </c>
      <c r="G949" s="526" t="str">
        <f t="shared" si="57"/>
        <v/>
      </c>
      <c r="H949" s="470" t="str">
        <f t="shared" si="58"/>
        <v/>
      </c>
      <c r="I949" s="524" t="str">
        <f t="shared" si="60"/>
        <v>否</v>
      </c>
      <c r="J949" s="312" t="str">
        <f t="shared" si="59"/>
        <v>项</v>
      </c>
    </row>
    <row r="950" s="372" customFormat="1" ht="24" customHeight="1" spans="1:10">
      <c r="A950" s="330">
        <v>2130399</v>
      </c>
      <c r="B950" s="379" t="s">
        <v>904</v>
      </c>
      <c r="C950" s="602">
        <v>11817</v>
      </c>
      <c r="D950" s="709">
        <v>11563</v>
      </c>
      <c r="E950" s="710">
        <v>11563</v>
      </c>
      <c r="F950" s="710">
        <v>652</v>
      </c>
      <c r="G950" s="526">
        <f t="shared" si="57"/>
        <v>-0.944825251755945</v>
      </c>
      <c r="H950" s="470">
        <f t="shared" si="58"/>
        <v>0.0563867508432068</v>
      </c>
      <c r="I950" s="524" t="str">
        <f t="shared" si="60"/>
        <v>是</v>
      </c>
      <c r="J950" s="312" t="str">
        <f t="shared" si="59"/>
        <v>项</v>
      </c>
    </row>
    <row r="951" s="372" customFormat="1" ht="24" customHeight="1" spans="1:10">
      <c r="A951" s="330">
        <v>21305</v>
      </c>
      <c r="B951" s="405" t="s">
        <v>905</v>
      </c>
      <c r="C951" s="601">
        <v>1202</v>
      </c>
      <c r="D951" s="708">
        <f>SUM(D952:D957)</f>
        <v>775</v>
      </c>
      <c r="E951" s="708">
        <f>SUM(E952:E957)</f>
        <v>775</v>
      </c>
      <c r="F951" s="708">
        <f>SUM(F952:F957)</f>
        <v>1240</v>
      </c>
      <c r="G951" s="523">
        <f t="shared" si="57"/>
        <v>0.0316139767054908</v>
      </c>
      <c r="H951" s="467">
        <f t="shared" si="58"/>
        <v>1.6</v>
      </c>
      <c r="I951" s="524" t="str">
        <f t="shared" si="60"/>
        <v>是</v>
      </c>
      <c r="J951" s="312" t="str">
        <f t="shared" si="59"/>
        <v>款</v>
      </c>
    </row>
    <row r="952" s="372" customFormat="1" ht="24" hidden="1" customHeight="1" spans="1:10">
      <c r="A952" s="330">
        <v>2130504</v>
      </c>
      <c r="B952" s="379" t="s">
        <v>906</v>
      </c>
      <c r="C952" s="602">
        <v>0</v>
      </c>
      <c r="D952" s="709">
        <v>0</v>
      </c>
      <c r="E952" s="710">
        <v>0</v>
      </c>
      <c r="F952" s="710">
        <v>0</v>
      </c>
      <c r="G952" s="526" t="str">
        <f t="shared" si="57"/>
        <v/>
      </c>
      <c r="H952" s="470" t="str">
        <f t="shared" si="58"/>
        <v/>
      </c>
      <c r="I952" s="524" t="str">
        <f t="shared" si="60"/>
        <v>否</v>
      </c>
      <c r="J952" s="312" t="str">
        <f t="shared" si="59"/>
        <v>项</v>
      </c>
    </row>
    <row r="953" s="372" customFormat="1" ht="24" customHeight="1" spans="1:10">
      <c r="A953" s="330">
        <v>2130505</v>
      </c>
      <c r="B953" s="379" t="s">
        <v>907</v>
      </c>
      <c r="C953" s="602">
        <v>60</v>
      </c>
      <c r="D953" s="709">
        <v>65</v>
      </c>
      <c r="E953" s="710">
        <v>65</v>
      </c>
      <c r="F953" s="710">
        <v>368</v>
      </c>
      <c r="G953" s="526">
        <f t="shared" si="57"/>
        <v>5.13333333333333</v>
      </c>
      <c r="H953" s="470">
        <f t="shared" si="58"/>
        <v>5.66153846153846</v>
      </c>
      <c r="I953" s="524" t="str">
        <f t="shared" si="60"/>
        <v>是</v>
      </c>
      <c r="J953" s="312" t="str">
        <f t="shared" si="59"/>
        <v>项</v>
      </c>
    </row>
    <row r="954" s="372" customFormat="1" ht="24" customHeight="1" spans="1:10">
      <c r="A954" s="330">
        <v>2130506</v>
      </c>
      <c r="B954" s="379" t="s">
        <v>908</v>
      </c>
      <c r="C954" s="602">
        <v>348</v>
      </c>
      <c r="D954" s="709">
        <v>354</v>
      </c>
      <c r="E954" s="710">
        <v>354</v>
      </c>
      <c r="F954" s="710">
        <v>450</v>
      </c>
      <c r="G954" s="526">
        <f t="shared" si="57"/>
        <v>0.293103448275862</v>
      </c>
      <c r="H954" s="470">
        <f t="shared" si="58"/>
        <v>1.27118644067797</v>
      </c>
      <c r="I954" s="524" t="str">
        <f t="shared" si="60"/>
        <v>是</v>
      </c>
      <c r="J954" s="312" t="str">
        <f t="shared" si="59"/>
        <v>项</v>
      </c>
    </row>
    <row r="955" s="372" customFormat="1" ht="24" customHeight="1" spans="1:10">
      <c r="A955" s="330">
        <v>2130507</v>
      </c>
      <c r="B955" s="405" t="s">
        <v>909</v>
      </c>
      <c r="C955" s="602">
        <v>100</v>
      </c>
      <c r="D955" s="709">
        <v>100</v>
      </c>
      <c r="E955" s="710">
        <v>100</v>
      </c>
      <c r="F955" s="710">
        <v>-3</v>
      </c>
      <c r="G955" s="526">
        <f t="shared" si="57"/>
        <v>-1.03</v>
      </c>
      <c r="H955" s="470">
        <f t="shared" si="58"/>
        <v>-0.03</v>
      </c>
      <c r="I955" s="524" t="str">
        <f t="shared" si="60"/>
        <v>是</v>
      </c>
      <c r="J955" s="312" t="str">
        <f t="shared" si="59"/>
        <v>项</v>
      </c>
    </row>
    <row r="956" s="372" customFormat="1" ht="24" hidden="1" customHeight="1" spans="1:10">
      <c r="A956" s="330">
        <v>2130508</v>
      </c>
      <c r="B956" s="379" t="s">
        <v>910</v>
      </c>
      <c r="C956" s="602">
        <v>0</v>
      </c>
      <c r="D956" s="709">
        <v>0</v>
      </c>
      <c r="E956" s="710">
        <v>0</v>
      </c>
      <c r="F956" s="710">
        <v>0</v>
      </c>
      <c r="G956" s="526" t="str">
        <f t="shared" si="57"/>
        <v/>
      </c>
      <c r="H956" s="470" t="str">
        <f t="shared" si="58"/>
        <v/>
      </c>
      <c r="I956" s="524" t="str">
        <f t="shared" si="60"/>
        <v>否</v>
      </c>
      <c r="J956" s="312" t="str">
        <f t="shared" si="59"/>
        <v>项</v>
      </c>
    </row>
    <row r="957" s="372" customFormat="1" ht="24" customHeight="1" spans="1:10">
      <c r="A957" s="330">
        <v>2130599</v>
      </c>
      <c r="B957" s="405" t="s">
        <v>911</v>
      </c>
      <c r="C957" s="602">
        <v>276</v>
      </c>
      <c r="D957" s="709">
        <v>256</v>
      </c>
      <c r="E957" s="710">
        <v>256</v>
      </c>
      <c r="F957" s="710">
        <v>425</v>
      </c>
      <c r="G957" s="526">
        <f t="shared" si="57"/>
        <v>0.539855072463768</v>
      </c>
      <c r="H957" s="470">
        <f t="shared" si="58"/>
        <v>1.66015625</v>
      </c>
      <c r="I957" s="524" t="str">
        <f t="shared" si="60"/>
        <v>是</v>
      </c>
      <c r="J957" s="312" t="str">
        <f t="shared" si="59"/>
        <v>项</v>
      </c>
    </row>
    <row r="958" s="372" customFormat="1" ht="24" hidden="1" customHeight="1" spans="1:10">
      <c r="A958" s="330">
        <v>21307</v>
      </c>
      <c r="B958" s="379" t="s">
        <v>912</v>
      </c>
      <c r="C958" s="601">
        <v>0</v>
      </c>
      <c r="D958" s="708">
        <f>SUM(D959:D963)</f>
        <v>0</v>
      </c>
      <c r="E958" s="708">
        <f>SUM(E959:E963)</f>
        <v>0</v>
      </c>
      <c r="F958" s="708">
        <f>SUM(F959:F963)</f>
        <v>0</v>
      </c>
      <c r="G958" s="523" t="str">
        <f t="shared" si="57"/>
        <v/>
      </c>
      <c r="H958" s="467" t="str">
        <f t="shared" si="58"/>
        <v/>
      </c>
      <c r="I958" s="524" t="str">
        <f t="shared" si="60"/>
        <v>否</v>
      </c>
      <c r="J958" s="312" t="str">
        <f t="shared" si="59"/>
        <v>款</v>
      </c>
    </row>
    <row r="959" s="372" customFormat="1" ht="24" hidden="1" customHeight="1" spans="1:10">
      <c r="A959" s="330">
        <v>2130701</v>
      </c>
      <c r="B959" s="379" t="s">
        <v>913</v>
      </c>
      <c r="C959" s="602">
        <v>0</v>
      </c>
      <c r="D959" s="709"/>
      <c r="E959" s="710">
        <v>0</v>
      </c>
      <c r="F959" s="710">
        <v>0</v>
      </c>
      <c r="G959" s="526" t="str">
        <f t="shared" si="57"/>
        <v/>
      </c>
      <c r="H959" s="470" t="str">
        <f t="shared" si="58"/>
        <v/>
      </c>
      <c r="I959" s="524" t="str">
        <f t="shared" si="60"/>
        <v>否</v>
      </c>
      <c r="J959" s="312" t="str">
        <f t="shared" si="59"/>
        <v>项</v>
      </c>
    </row>
    <row r="960" s="372" customFormat="1" ht="24" hidden="1" customHeight="1" spans="1:10">
      <c r="A960" s="330">
        <v>2130705</v>
      </c>
      <c r="B960" s="379" t="s">
        <v>914</v>
      </c>
      <c r="C960" s="602">
        <v>0</v>
      </c>
      <c r="D960" s="709"/>
      <c r="E960" s="710">
        <v>0</v>
      </c>
      <c r="F960" s="710">
        <v>0</v>
      </c>
      <c r="G960" s="526" t="str">
        <f t="shared" si="57"/>
        <v/>
      </c>
      <c r="H960" s="470" t="str">
        <f t="shared" si="58"/>
        <v/>
      </c>
      <c r="I960" s="524" t="str">
        <f t="shared" si="60"/>
        <v>否</v>
      </c>
      <c r="J960" s="312" t="str">
        <f t="shared" si="59"/>
        <v>项</v>
      </c>
    </row>
    <row r="961" s="372" customFormat="1" ht="24" hidden="1" customHeight="1" spans="1:10">
      <c r="A961" s="330">
        <v>2130706</v>
      </c>
      <c r="B961" s="379" t="s">
        <v>915</v>
      </c>
      <c r="C961" s="602">
        <v>0</v>
      </c>
      <c r="D961" s="709"/>
      <c r="E961" s="710">
        <v>0</v>
      </c>
      <c r="F961" s="710">
        <v>0</v>
      </c>
      <c r="G961" s="526" t="str">
        <f t="shared" si="57"/>
        <v/>
      </c>
      <c r="H961" s="470" t="str">
        <f t="shared" si="58"/>
        <v/>
      </c>
      <c r="I961" s="524" t="str">
        <f t="shared" si="60"/>
        <v>否</v>
      </c>
      <c r="J961" s="312" t="str">
        <f t="shared" si="59"/>
        <v>项</v>
      </c>
    </row>
    <row r="962" s="372" customFormat="1" ht="24" hidden="1" customHeight="1" spans="1:10">
      <c r="A962" s="330">
        <v>2130707</v>
      </c>
      <c r="B962" s="379" t="s">
        <v>916</v>
      </c>
      <c r="C962" s="602">
        <v>0</v>
      </c>
      <c r="D962" s="709"/>
      <c r="E962" s="710">
        <v>0</v>
      </c>
      <c r="F962" s="710">
        <v>0</v>
      </c>
      <c r="G962" s="526" t="str">
        <f t="shared" si="57"/>
        <v/>
      </c>
      <c r="H962" s="470" t="str">
        <f t="shared" si="58"/>
        <v/>
      </c>
      <c r="I962" s="524" t="str">
        <f t="shared" si="60"/>
        <v>否</v>
      </c>
      <c r="J962" s="312" t="str">
        <f t="shared" si="59"/>
        <v>项</v>
      </c>
    </row>
    <row r="963" s="372" customFormat="1" ht="24" hidden="1" customHeight="1" spans="1:10">
      <c r="A963" s="330">
        <v>2130799</v>
      </c>
      <c r="B963" s="379" t="s">
        <v>917</v>
      </c>
      <c r="C963" s="602">
        <v>0</v>
      </c>
      <c r="D963" s="709"/>
      <c r="E963" s="710">
        <v>0</v>
      </c>
      <c r="F963" s="710">
        <v>0</v>
      </c>
      <c r="G963" s="526" t="str">
        <f t="shared" ref="G963:G1026" si="61">IFERROR((F963-C963)/C963,"")</f>
        <v/>
      </c>
      <c r="H963" s="470" t="str">
        <f t="shared" ref="H963:H1026" si="62">IFERROR(F963/D963,"")</f>
        <v/>
      </c>
      <c r="I963" s="524" t="str">
        <f t="shared" si="60"/>
        <v>否</v>
      </c>
      <c r="J963" s="312" t="str">
        <f t="shared" ref="J963:J1026" si="63">IF(LEN(A963)=3,"类",IF(LEN(A963)=5,"款","项"))</f>
        <v>项</v>
      </c>
    </row>
    <row r="964" s="372" customFormat="1" ht="24" customHeight="1" spans="1:10">
      <c r="A964" s="330">
        <v>21308</v>
      </c>
      <c r="B964" s="379" t="s">
        <v>918</v>
      </c>
      <c r="C964" s="601">
        <v>2332</v>
      </c>
      <c r="D964" s="708">
        <f>SUM(D965:D969)</f>
        <v>2015</v>
      </c>
      <c r="E964" s="708">
        <f>SUM(E965:E969)</f>
        <v>2015</v>
      </c>
      <c r="F964" s="708">
        <f>SUM(F965:F969)</f>
        <v>2116</v>
      </c>
      <c r="G964" s="523">
        <f t="shared" si="61"/>
        <v>-0.0926243567753002</v>
      </c>
      <c r="H964" s="467">
        <f t="shared" si="62"/>
        <v>1.05012406947891</v>
      </c>
      <c r="I964" s="524" t="str">
        <f t="shared" ref="I964:I1027" si="64">IF(LEN(A964)=3,"是",IF(B964&lt;&gt;"",IF(SUM(C964:F964)&lt;&gt;0,"是","否"),"是"))</f>
        <v>是</v>
      </c>
      <c r="J964" s="312" t="str">
        <f t="shared" si="63"/>
        <v>款</v>
      </c>
    </row>
    <row r="965" s="372" customFormat="1" ht="24" hidden="1" customHeight="1" spans="1:10">
      <c r="A965" s="330">
        <v>2130801</v>
      </c>
      <c r="B965" s="379" t="s">
        <v>919</v>
      </c>
      <c r="C965" s="602">
        <v>0</v>
      </c>
      <c r="D965" s="709"/>
      <c r="E965" s="710">
        <v>0</v>
      </c>
      <c r="F965" s="710">
        <v>0</v>
      </c>
      <c r="G965" s="526" t="str">
        <f t="shared" si="61"/>
        <v/>
      </c>
      <c r="H965" s="470" t="str">
        <f t="shared" si="62"/>
        <v/>
      </c>
      <c r="I965" s="524" t="str">
        <f t="shared" si="64"/>
        <v>否</v>
      </c>
      <c r="J965" s="312" t="str">
        <f t="shared" si="63"/>
        <v>项</v>
      </c>
    </row>
    <row r="966" s="372" customFormat="1" ht="24" customHeight="1" spans="1:10">
      <c r="A966" s="330">
        <v>2130803</v>
      </c>
      <c r="B966" s="379" t="s">
        <v>920</v>
      </c>
      <c r="C966" s="602">
        <v>0</v>
      </c>
      <c r="D966" s="709"/>
      <c r="E966" s="710">
        <v>0</v>
      </c>
      <c r="F966" s="710">
        <v>303</v>
      </c>
      <c r="G966" s="526" t="str">
        <f t="shared" si="61"/>
        <v/>
      </c>
      <c r="H966" s="470" t="str">
        <f t="shared" si="62"/>
        <v/>
      </c>
      <c r="I966" s="524" t="str">
        <f t="shared" si="64"/>
        <v>是</v>
      </c>
      <c r="J966" s="312" t="str">
        <f t="shared" si="63"/>
        <v>项</v>
      </c>
    </row>
    <row r="967" s="372" customFormat="1" ht="24" customHeight="1" spans="1:10">
      <c r="A967" s="330">
        <v>2130804</v>
      </c>
      <c r="B967" s="405" t="s">
        <v>921</v>
      </c>
      <c r="C967" s="602">
        <v>2332</v>
      </c>
      <c r="D967" s="709">
        <v>2015</v>
      </c>
      <c r="E967" s="710">
        <v>2015</v>
      </c>
      <c r="F967" s="710">
        <v>1813</v>
      </c>
      <c r="G967" s="526">
        <f t="shared" si="61"/>
        <v>-0.222555746140652</v>
      </c>
      <c r="H967" s="470">
        <f t="shared" si="62"/>
        <v>0.899751861042184</v>
      </c>
      <c r="I967" s="524" t="str">
        <f t="shared" si="64"/>
        <v>是</v>
      </c>
      <c r="J967" s="312" t="str">
        <f t="shared" si="63"/>
        <v>项</v>
      </c>
    </row>
    <row r="968" s="372" customFormat="1" ht="24" hidden="1" customHeight="1" spans="1:10">
      <c r="A968" s="330">
        <v>2130805</v>
      </c>
      <c r="B968" s="379" t="s">
        <v>922</v>
      </c>
      <c r="C968" s="602">
        <v>0</v>
      </c>
      <c r="D968" s="709"/>
      <c r="E968" s="710">
        <v>0</v>
      </c>
      <c r="F968" s="710">
        <v>0</v>
      </c>
      <c r="G968" s="526" t="str">
        <f t="shared" si="61"/>
        <v/>
      </c>
      <c r="H968" s="470" t="str">
        <f t="shared" si="62"/>
        <v/>
      </c>
      <c r="I968" s="524" t="str">
        <f t="shared" si="64"/>
        <v>否</v>
      </c>
      <c r="J968" s="312" t="str">
        <f t="shared" si="63"/>
        <v>项</v>
      </c>
    </row>
    <row r="969" s="372" customFormat="1" ht="24" hidden="1" customHeight="1" spans="1:10">
      <c r="A969" s="330">
        <v>2130899</v>
      </c>
      <c r="B969" s="379" t="s">
        <v>923</v>
      </c>
      <c r="C969" s="602">
        <v>0</v>
      </c>
      <c r="D969" s="709"/>
      <c r="E969" s="710">
        <v>0</v>
      </c>
      <c r="F969" s="710">
        <v>0</v>
      </c>
      <c r="G969" s="526" t="str">
        <f t="shared" si="61"/>
        <v/>
      </c>
      <c r="H969" s="470" t="str">
        <f t="shared" si="62"/>
        <v/>
      </c>
      <c r="I969" s="524" t="str">
        <f t="shared" si="64"/>
        <v>否</v>
      </c>
      <c r="J969" s="312" t="str">
        <f t="shared" si="63"/>
        <v>项</v>
      </c>
    </row>
    <row r="970" s="372" customFormat="1" ht="24" hidden="1" customHeight="1" spans="1:10">
      <c r="A970" s="330">
        <v>21309</v>
      </c>
      <c r="B970" s="379" t="s">
        <v>924</v>
      </c>
      <c r="C970" s="601">
        <v>0</v>
      </c>
      <c r="D970" s="708">
        <f>SUM(D971:D972)</f>
        <v>0</v>
      </c>
      <c r="E970" s="708">
        <f>SUM(E971:E972)</f>
        <v>0</v>
      </c>
      <c r="F970" s="708">
        <f>SUM(F971:F972)</f>
        <v>0</v>
      </c>
      <c r="G970" s="523" t="str">
        <f t="shared" si="61"/>
        <v/>
      </c>
      <c r="H970" s="467" t="str">
        <f t="shared" si="62"/>
        <v/>
      </c>
      <c r="I970" s="524" t="str">
        <f t="shared" si="64"/>
        <v>否</v>
      </c>
      <c r="J970" s="312" t="str">
        <f t="shared" si="63"/>
        <v>款</v>
      </c>
    </row>
    <row r="971" s="372" customFormat="1" ht="24" hidden="1" customHeight="1" spans="1:10">
      <c r="A971" s="330">
        <v>2130901</v>
      </c>
      <c r="B971" s="379" t="s">
        <v>925</v>
      </c>
      <c r="C971" s="602">
        <v>0</v>
      </c>
      <c r="D971" s="709"/>
      <c r="E971" s="710">
        <v>0</v>
      </c>
      <c r="F971" s="710">
        <v>0</v>
      </c>
      <c r="G971" s="526" t="str">
        <f t="shared" si="61"/>
        <v/>
      </c>
      <c r="H971" s="470" t="str">
        <f t="shared" si="62"/>
        <v/>
      </c>
      <c r="I971" s="524" t="str">
        <f t="shared" si="64"/>
        <v>否</v>
      </c>
      <c r="J971" s="312" t="str">
        <f t="shared" si="63"/>
        <v>项</v>
      </c>
    </row>
    <row r="972" ht="24" hidden="1" customHeight="1" spans="1:10">
      <c r="A972" s="330">
        <v>2130999</v>
      </c>
      <c r="B972" s="379" t="s">
        <v>926</v>
      </c>
      <c r="C972" s="602">
        <v>0</v>
      </c>
      <c r="D972" s="709"/>
      <c r="E972" s="710">
        <v>0</v>
      </c>
      <c r="F972" s="710">
        <v>0</v>
      </c>
      <c r="G972" s="526" t="str">
        <f t="shared" si="61"/>
        <v/>
      </c>
      <c r="H972" s="470" t="str">
        <f t="shared" si="62"/>
        <v/>
      </c>
      <c r="I972" s="524" t="str">
        <f t="shared" si="64"/>
        <v>否</v>
      </c>
      <c r="J972" s="312" t="str">
        <f t="shared" si="63"/>
        <v>项</v>
      </c>
    </row>
    <row r="973" s="372" customFormat="1" ht="24" customHeight="1" spans="1:10">
      <c r="A973" s="330">
        <v>21399</v>
      </c>
      <c r="B973" s="379" t="s">
        <v>927</v>
      </c>
      <c r="C973" s="601">
        <v>144</v>
      </c>
      <c r="D973" s="708">
        <f>SUM(D974:D975)</f>
        <v>0</v>
      </c>
      <c r="E973" s="708">
        <f>SUM(E974:E975)</f>
        <v>0</v>
      </c>
      <c r="F973" s="708">
        <f>SUM(F974:F975)</f>
        <v>62</v>
      </c>
      <c r="G973" s="523">
        <f t="shared" si="61"/>
        <v>-0.569444444444444</v>
      </c>
      <c r="H973" s="467" t="str">
        <f t="shared" si="62"/>
        <v/>
      </c>
      <c r="I973" s="524" t="str">
        <f t="shared" si="64"/>
        <v>是</v>
      </c>
      <c r="J973" s="312" t="str">
        <f t="shared" si="63"/>
        <v>款</v>
      </c>
    </row>
    <row r="974" s="372" customFormat="1" ht="24" hidden="1" customHeight="1" spans="1:10">
      <c r="A974" s="330">
        <v>2139901</v>
      </c>
      <c r="B974" s="379" t="s">
        <v>928</v>
      </c>
      <c r="C974" s="602">
        <v>0</v>
      </c>
      <c r="D974" s="709"/>
      <c r="E974" s="710">
        <v>0</v>
      </c>
      <c r="F974" s="710">
        <v>0</v>
      </c>
      <c r="G974" s="526" t="str">
        <f t="shared" si="61"/>
        <v/>
      </c>
      <c r="H974" s="470" t="str">
        <f t="shared" si="62"/>
        <v/>
      </c>
      <c r="I974" s="524" t="str">
        <f t="shared" si="64"/>
        <v>否</v>
      </c>
      <c r="J974" s="312" t="str">
        <f t="shared" si="63"/>
        <v>项</v>
      </c>
    </row>
    <row r="975" s="372" customFormat="1" ht="24" customHeight="1" spans="1:10">
      <c r="A975" s="330">
        <v>2139999</v>
      </c>
      <c r="B975" s="379" t="s">
        <v>929</v>
      </c>
      <c r="C975" s="602">
        <v>144</v>
      </c>
      <c r="D975" s="709">
        <v>0</v>
      </c>
      <c r="E975" s="710">
        <v>0</v>
      </c>
      <c r="F975" s="710">
        <v>62</v>
      </c>
      <c r="G975" s="526">
        <f t="shared" si="61"/>
        <v>-0.569444444444444</v>
      </c>
      <c r="H975" s="470" t="str">
        <f t="shared" si="62"/>
        <v/>
      </c>
      <c r="I975" s="524" t="str">
        <f t="shared" si="64"/>
        <v>是</v>
      </c>
      <c r="J975" s="312" t="str">
        <f t="shared" si="63"/>
        <v>项</v>
      </c>
    </row>
    <row r="976" s="372" customFormat="1" ht="24" customHeight="1" spans="1:10">
      <c r="A976" s="329">
        <v>214</v>
      </c>
      <c r="B976" s="377" t="s">
        <v>187</v>
      </c>
      <c r="C976" s="601">
        <v>21839</v>
      </c>
      <c r="D976" s="708">
        <f>D977+D998+D1008+D1018+D1025</f>
        <v>22433</v>
      </c>
      <c r="E976" s="708">
        <f>E977+E998+E1008+E1018+E1025</f>
        <v>17634</v>
      </c>
      <c r="F976" s="708">
        <f>F977+F998+F1008+F1018+F1025</f>
        <v>28594</v>
      </c>
      <c r="G976" s="523">
        <f t="shared" si="61"/>
        <v>0.309309034296442</v>
      </c>
      <c r="H976" s="467">
        <f t="shared" si="62"/>
        <v>1.27464003922792</v>
      </c>
      <c r="I976" s="524" t="str">
        <f t="shared" si="64"/>
        <v>是</v>
      </c>
      <c r="J976" s="312" t="str">
        <f t="shared" si="63"/>
        <v>类</v>
      </c>
    </row>
    <row r="977" s="372" customFormat="1" ht="24" customHeight="1" spans="1:10">
      <c r="A977" s="330">
        <v>21401</v>
      </c>
      <c r="B977" s="379" t="s">
        <v>930</v>
      </c>
      <c r="C977" s="601">
        <v>13064</v>
      </c>
      <c r="D977" s="708">
        <f>SUM(D978:D997)</f>
        <v>14203</v>
      </c>
      <c r="E977" s="708">
        <f>SUM(E978:E997)</f>
        <v>9404</v>
      </c>
      <c r="F977" s="708">
        <f>SUM(F978:F997)</f>
        <v>16506</v>
      </c>
      <c r="G977" s="523">
        <f t="shared" si="61"/>
        <v>0.263472137170851</v>
      </c>
      <c r="H977" s="467">
        <f t="shared" si="62"/>
        <v>1.16214884179399</v>
      </c>
      <c r="I977" s="524" t="str">
        <f t="shared" si="64"/>
        <v>是</v>
      </c>
      <c r="J977" s="312" t="str">
        <f t="shared" si="63"/>
        <v>款</v>
      </c>
    </row>
    <row r="978" s="372" customFormat="1" ht="24" customHeight="1" spans="1:10">
      <c r="A978" s="330">
        <v>2140101</v>
      </c>
      <c r="B978" s="379" t="s">
        <v>212</v>
      </c>
      <c r="C978" s="602">
        <v>-171</v>
      </c>
      <c r="D978" s="709">
        <v>986</v>
      </c>
      <c r="E978" s="710">
        <v>1187</v>
      </c>
      <c r="F978" s="710">
        <v>3610</v>
      </c>
      <c r="G978" s="526">
        <f>-IFERROR((F978-C978)/C978,"")</f>
        <v>22.1111111111111</v>
      </c>
      <c r="H978" s="470">
        <f t="shared" si="62"/>
        <v>3.66125760649087</v>
      </c>
      <c r="I978" s="524" t="str">
        <f t="shared" si="64"/>
        <v>是</v>
      </c>
      <c r="J978" s="312" t="str">
        <f t="shared" si="63"/>
        <v>项</v>
      </c>
    </row>
    <row r="979" s="372" customFormat="1" ht="24" hidden="1" customHeight="1" spans="1:10">
      <c r="A979" s="330">
        <v>2140102</v>
      </c>
      <c r="B979" s="379" t="s">
        <v>213</v>
      </c>
      <c r="C979" s="602">
        <v>0</v>
      </c>
      <c r="D979" s="709">
        <v>0</v>
      </c>
      <c r="E979" s="710">
        <v>0</v>
      </c>
      <c r="F979" s="710">
        <v>0</v>
      </c>
      <c r="G979" s="526" t="str">
        <f t="shared" si="61"/>
        <v/>
      </c>
      <c r="H979" s="470" t="str">
        <f t="shared" si="62"/>
        <v/>
      </c>
      <c r="I979" s="524" t="str">
        <f t="shared" si="64"/>
        <v>否</v>
      </c>
      <c r="J979" s="312" t="str">
        <f t="shared" si="63"/>
        <v>项</v>
      </c>
    </row>
    <row r="980" s="372" customFormat="1" ht="24" hidden="1" customHeight="1" spans="1:10">
      <c r="A980" s="330">
        <v>2140103</v>
      </c>
      <c r="B980" s="379" t="s">
        <v>214</v>
      </c>
      <c r="C980" s="602">
        <v>0</v>
      </c>
      <c r="D980" s="709">
        <v>0</v>
      </c>
      <c r="E980" s="710">
        <v>0</v>
      </c>
      <c r="F980" s="710">
        <v>0</v>
      </c>
      <c r="G980" s="526" t="str">
        <f t="shared" si="61"/>
        <v/>
      </c>
      <c r="H980" s="470" t="str">
        <f t="shared" si="62"/>
        <v/>
      </c>
      <c r="I980" s="524" t="str">
        <f t="shared" si="64"/>
        <v>否</v>
      </c>
      <c r="J980" s="312" t="str">
        <f t="shared" si="63"/>
        <v>项</v>
      </c>
    </row>
    <row r="981" s="372" customFormat="1" ht="24" customHeight="1" spans="1:10">
      <c r="A981" s="330">
        <v>2140104</v>
      </c>
      <c r="B981" s="379" t="s">
        <v>931</v>
      </c>
      <c r="C981" s="602">
        <v>10684</v>
      </c>
      <c r="D981" s="709">
        <v>10723</v>
      </c>
      <c r="E981" s="710">
        <v>5723</v>
      </c>
      <c r="F981" s="710">
        <v>9729</v>
      </c>
      <c r="G981" s="526">
        <f t="shared" si="61"/>
        <v>-0.0893859977536503</v>
      </c>
      <c r="H981" s="470">
        <f t="shared" si="62"/>
        <v>0.907302060990394</v>
      </c>
      <c r="I981" s="524" t="str">
        <f t="shared" si="64"/>
        <v>是</v>
      </c>
      <c r="J981" s="312" t="str">
        <f t="shared" si="63"/>
        <v>项</v>
      </c>
    </row>
    <row r="982" s="372" customFormat="1" ht="24" customHeight="1" spans="1:10">
      <c r="A982" s="330">
        <v>2140106</v>
      </c>
      <c r="B982" s="379" t="s">
        <v>932</v>
      </c>
      <c r="C982" s="602">
        <v>449</v>
      </c>
      <c r="D982" s="709">
        <v>359</v>
      </c>
      <c r="E982" s="710">
        <v>359</v>
      </c>
      <c r="F982" s="710">
        <v>561</v>
      </c>
      <c r="G982" s="526">
        <f t="shared" si="61"/>
        <v>0.249443207126949</v>
      </c>
      <c r="H982" s="470">
        <f t="shared" si="62"/>
        <v>1.56267409470752</v>
      </c>
      <c r="I982" s="524" t="str">
        <f t="shared" si="64"/>
        <v>是</v>
      </c>
      <c r="J982" s="312" t="str">
        <f t="shared" si="63"/>
        <v>项</v>
      </c>
    </row>
    <row r="983" ht="24" hidden="1" customHeight="1" spans="1:10">
      <c r="A983" s="330">
        <v>2140109</v>
      </c>
      <c r="B983" s="379" t="s">
        <v>933</v>
      </c>
      <c r="C983" s="602">
        <v>0</v>
      </c>
      <c r="D983" s="709">
        <v>0</v>
      </c>
      <c r="E983" s="710">
        <v>0</v>
      </c>
      <c r="F983" s="710">
        <v>0</v>
      </c>
      <c r="G983" s="526" t="str">
        <f t="shared" si="61"/>
        <v/>
      </c>
      <c r="H983" s="470" t="str">
        <f t="shared" si="62"/>
        <v/>
      </c>
      <c r="I983" s="524" t="str">
        <f t="shared" si="64"/>
        <v>否</v>
      </c>
      <c r="J983" s="312" t="str">
        <f t="shared" si="63"/>
        <v>项</v>
      </c>
    </row>
    <row r="984" s="372" customFormat="1" ht="24" hidden="1" customHeight="1" spans="1:10">
      <c r="A984" s="330">
        <v>2140110</v>
      </c>
      <c r="B984" s="379" t="s">
        <v>934</v>
      </c>
      <c r="C984" s="602">
        <v>0</v>
      </c>
      <c r="D984" s="709">
        <v>0</v>
      </c>
      <c r="E984" s="710">
        <v>0</v>
      </c>
      <c r="F984" s="710">
        <v>0</v>
      </c>
      <c r="G984" s="526" t="str">
        <f t="shared" si="61"/>
        <v/>
      </c>
      <c r="H984" s="470" t="str">
        <f t="shared" si="62"/>
        <v/>
      </c>
      <c r="I984" s="524" t="str">
        <f t="shared" si="64"/>
        <v>否</v>
      </c>
      <c r="J984" s="312" t="str">
        <f t="shared" si="63"/>
        <v>项</v>
      </c>
    </row>
    <row r="985" s="372" customFormat="1" ht="24" customHeight="1" spans="1:10">
      <c r="A985" s="330">
        <v>2140112</v>
      </c>
      <c r="B985" s="379" t="s">
        <v>935</v>
      </c>
      <c r="C985" s="602">
        <v>2200</v>
      </c>
      <c r="D985" s="709">
        <v>2015</v>
      </c>
      <c r="E985" s="710">
        <v>2015</v>
      </c>
      <c r="F985" s="710">
        <v>2332</v>
      </c>
      <c r="G985" s="526">
        <f t="shared" si="61"/>
        <v>0.06</v>
      </c>
      <c r="H985" s="470">
        <f t="shared" si="62"/>
        <v>1.15732009925558</v>
      </c>
      <c r="I985" s="524" t="str">
        <f t="shared" si="64"/>
        <v>是</v>
      </c>
      <c r="J985" s="312" t="str">
        <f t="shared" si="63"/>
        <v>项</v>
      </c>
    </row>
    <row r="986" s="372" customFormat="1" ht="24" hidden="1" customHeight="1" spans="1:10">
      <c r="A986" s="330">
        <v>2140114</v>
      </c>
      <c r="B986" s="379" t="s">
        <v>936</v>
      </c>
      <c r="C986" s="602">
        <v>0</v>
      </c>
      <c r="D986" s="709">
        <v>0</v>
      </c>
      <c r="E986" s="710">
        <v>0</v>
      </c>
      <c r="F986" s="710">
        <v>0</v>
      </c>
      <c r="G986" s="526" t="str">
        <f t="shared" si="61"/>
        <v/>
      </c>
      <c r="H986" s="470" t="str">
        <f t="shared" si="62"/>
        <v/>
      </c>
      <c r="I986" s="524" t="str">
        <f t="shared" si="64"/>
        <v>否</v>
      </c>
      <c r="J986" s="312" t="str">
        <f t="shared" si="63"/>
        <v>项</v>
      </c>
    </row>
    <row r="987" s="372" customFormat="1" ht="24" hidden="1" customHeight="1" spans="1:10">
      <c r="A987" s="330">
        <v>2140122</v>
      </c>
      <c r="B987" s="379" t="s">
        <v>937</v>
      </c>
      <c r="C987" s="602">
        <v>0</v>
      </c>
      <c r="D987" s="709">
        <v>0</v>
      </c>
      <c r="E987" s="710">
        <v>0</v>
      </c>
      <c r="F987" s="710">
        <v>0</v>
      </c>
      <c r="G987" s="526" t="str">
        <f t="shared" si="61"/>
        <v/>
      </c>
      <c r="H987" s="470" t="str">
        <f t="shared" si="62"/>
        <v/>
      </c>
      <c r="I987" s="524" t="str">
        <f t="shared" si="64"/>
        <v>否</v>
      </c>
      <c r="J987" s="312" t="str">
        <f t="shared" si="63"/>
        <v>项</v>
      </c>
    </row>
    <row r="988" s="372" customFormat="1" ht="24" hidden="1" customHeight="1" spans="1:10">
      <c r="A988" s="330">
        <v>2140123</v>
      </c>
      <c r="B988" s="379" t="s">
        <v>938</v>
      </c>
      <c r="C988" s="602">
        <v>0</v>
      </c>
      <c r="D988" s="709">
        <v>0</v>
      </c>
      <c r="E988" s="710">
        <v>0</v>
      </c>
      <c r="F988" s="710">
        <v>0</v>
      </c>
      <c r="G988" s="526" t="str">
        <f t="shared" si="61"/>
        <v/>
      </c>
      <c r="H988" s="470" t="str">
        <f t="shared" si="62"/>
        <v/>
      </c>
      <c r="I988" s="524" t="str">
        <f t="shared" si="64"/>
        <v>否</v>
      </c>
      <c r="J988" s="312" t="str">
        <f t="shared" si="63"/>
        <v>项</v>
      </c>
    </row>
    <row r="989" ht="24" hidden="1" customHeight="1" spans="1:10">
      <c r="A989" s="330">
        <v>2140127</v>
      </c>
      <c r="B989" s="379" t="s">
        <v>939</v>
      </c>
      <c r="C989" s="602">
        <v>0</v>
      </c>
      <c r="D989" s="709">
        <v>0</v>
      </c>
      <c r="E989" s="710">
        <v>0</v>
      </c>
      <c r="F989" s="710">
        <v>0</v>
      </c>
      <c r="G989" s="526" t="str">
        <f t="shared" si="61"/>
        <v/>
      </c>
      <c r="H989" s="470" t="str">
        <f t="shared" si="62"/>
        <v/>
      </c>
      <c r="I989" s="524" t="str">
        <f t="shared" si="64"/>
        <v>否</v>
      </c>
      <c r="J989" s="312" t="str">
        <f t="shared" si="63"/>
        <v>项</v>
      </c>
    </row>
    <row r="990" s="372" customFormat="1" ht="24" hidden="1" customHeight="1" spans="1:10">
      <c r="A990" s="330">
        <v>2140128</v>
      </c>
      <c r="B990" s="379" t="s">
        <v>940</v>
      </c>
      <c r="C990" s="602">
        <v>0</v>
      </c>
      <c r="D990" s="709">
        <v>0</v>
      </c>
      <c r="E990" s="710">
        <v>0</v>
      </c>
      <c r="F990" s="710">
        <v>0</v>
      </c>
      <c r="G990" s="526" t="str">
        <f t="shared" si="61"/>
        <v/>
      </c>
      <c r="H990" s="470" t="str">
        <f t="shared" si="62"/>
        <v/>
      </c>
      <c r="I990" s="524" t="str">
        <f t="shared" si="64"/>
        <v>否</v>
      </c>
      <c r="J990" s="312" t="str">
        <f t="shared" si="63"/>
        <v>项</v>
      </c>
    </row>
    <row r="991" s="372" customFormat="1" ht="24" hidden="1" customHeight="1" spans="1:10">
      <c r="A991" s="330">
        <v>2140129</v>
      </c>
      <c r="B991" s="379" t="s">
        <v>941</v>
      </c>
      <c r="C991" s="602">
        <v>0</v>
      </c>
      <c r="D991" s="709">
        <v>0</v>
      </c>
      <c r="E991" s="710">
        <v>0</v>
      </c>
      <c r="F991" s="710">
        <v>0</v>
      </c>
      <c r="G991" s="526" t="str">
        <f t="shared" si="61"/>
        <v/>
      </c>
      <c r="H991" s="470" t="str">
        <f t="shared" si="62"/>
        <v/>
      </c>
      <c r="I991" s="524" t="str">
        <f t="shared" si="64"/>
        <v>否</v>
      </c>
      <c r="J991" s="312" t="str">
        <f t="shared" si="63"/>
        <v>项</v>
      </c>
    </row>
    <row r="992" s="372" customFormat="1" ht="24" hidden="1" customHeight="1" spans="1:10">
      <c r="A992" s="330">
        <v>2140130</v>
      </c>
      <c r="B992" s="379" t="s">
        <v>942</v>
      </c>
      <c r="C992" s="602">
        <v>0</v>
      </c>
      <c r="D992" s="709">
        <v>0</v>
      </c>
      <c r="E992" s="710">
        <v>0</v>
      </c>
      <c r="F992" s="710">
        <v>0</v>
      </c>
      <c r="G992" s="526" t="str">
        <f t="shared" si="61"/>
        <v/>
      </c>
      <c r="H992" s="470" t="str">
        <f t="shared" si="62"/>
        <v/>
      </c>
      <c r="I992" s="524" t="str">
        <f t="shared" si="64"/>
        <v>否</v>
      </c>
      <c r="J992" s="312" t="str">
        <f t="shared" si="63"/>
        <v>项</v>
      </c>
    </row>
    <row r="993" s="372" customFormat="1" ht="24" customHeight="1" spans="1:10">
      <c r="A993" s="330">
        <v>2140131</v>
      </c>
      <c r="B993" s="379" t="s">
        <v>943</v>
      </c>
      <c r="C993" s="602">
        <v>35</v>
      </c>
      <c r="D993" s="709">
        <v>70</v>
      </c>
      <c r="E993" s="710">
        <v>70</v>
      </c>
      <c r="F993" s="710">
        <v>16</v>
      </c>
      <c r="G993" s="526">
        <f t="shared" si="61"/>
        <v>-0.542857142857143</v>
      </c>
      <c r="H993" s="470">
        <f t="shared" si="62"/>
        <v>0.228571428571429</v>
      </c>
      <c r="I993" s="524" t="str">
        <f t="shared" si="64"/>
        <v>是</v>
      </c>
      <c r="J993" s="312" t="str">
        <f t="shared" si="63"/>
        <v>项</v>
      </c>
    </row>
    <row r="994" s="372" customFormat="1" ht="24" hidden="1" customHeight="1" spans="1:10">
      <c r="A994" s="330">
        <v>2140133</v>
      </c>
      <c r="B994" s="379" t="s">
        <v>944</v>
      </c>
      <c r="C994" s="602">
        <v>0</v>
      </c>
      <c r="D994" s="709">
        <v>0</v>
      </c>
      <c r="E994" s="710">
        <v>0</v>
      </c>
      <c r="F994" s="710">
        <v>0</v>
      </c>
      <c r="G994" s="526" t="str">
        <f t="shared" si="61"/>
        <v/>
      </c>
      <c r="H994" s="470" t="str">
        <f t="shared" si="62"/>
        <v/>
      </c>
      <c r="I994" s="524" t="str">
        <f t="shared" si="64"/>
        <v>否</v>
      </c>
      <c r="J994" s="312" t="str">
        <f t="shared" si="63"/>
        <v>项</v>
      </c>
    </row>
    <row r="995" s="372" customFormat="1" ht="24" hidden="1" customHeight="1" spans="1:10">
      <c r="A995" s="330">
        <v>2140136</v>
      </c>
      <c r="B995" s="379" t="s">
        <v>945</v>
      </c>
      <c r="C995" s="602">
        <v>0</v>
      </c>
      <c r="D995" s="709">
        <v>0</v>
      </c>
      <c r="E995" s="710">
        <v>0</v>
      </c>
      <c r="F995" s="710">
        <v>0</v>
      </c>
      <c r="G995" s="526" t="str">
        <f t="shared" si="61"/>
        <v/>
      </c>
      <c r="H995" s="470" t="str">
        <f t="shared" si="62"/>
        <v/>
      </c>
      <c r="I995" s="524" t="str">
        <f t="shared" si="64"/>
        <v>否</v>
      </c>
      <c r="J995" s="312" t="str">
        <f t="shared" si="63"/>
        <v>项</v>
      </c>
    </row>
    <row r="996" ht="24" customHeight="1" spans="1:10">
      <c r="A996" s="330">
        <v>2140138</v>
      </c>
      <c r="B996" s="379" t="s">
        <v>946</v>
      </c>
      <c r="C996" s="602">
        <v>119</v>
      </c>
      <c r="D996" s="709">
        <v>50</v>
      </c>
      <c r="E996" s="710">
        <v>50</v>
      </c>
      <c r="F996" s="710">
        <v>156</v>
      </c>
      <c r="G996" s="526">
        <f t="shared" si="61"/>
        <v>0.310924369747899</v>
      </c>
      <c r="H996" s="470">
        <f t="shared" si="62"/>
        <v>3.12</v>
      </c>
      <c r="I996" s="524" t="str">
        <f t="shared" si="64"/>
        <v>是</v>
      </c>
      <c r="J996" s="312" t="str">
        <f t="shared" si="63"/>
        <v>项</v>
      </c>
    </row>
    <row r="997" s="372" customFormat="1" ht="24" customHeight="1" spans="1:10">
      <c r="A997" s="330">
        <v>2140199</v>
      </c>
      <c r="B997" s="379" t="s">
        <v>947</v>
      </c>
      <c r="C997" s="602">
        <v>-252</v>
      </c>
      <c r="D997" s="709">
        <v>0</v>
      </c>
      <c r="E997" s="710">
        <v>0</v>
      </c>
      <c r="F997" s="710">
        <v>102</v>
      </c>
      <c r="G997" s="526">
        <f>-IFERROR((F997-C997)/C997,"")</f>
        <v>1.4047619047619</v>
      </c>
      <c r="H997" s="470" t="str">
        <f t="shared" si="62"/>
        <v/>
      </c>
      <c r="I997" s="524" t="str">
        <f t="shared" si="64"/>
        <v>是</v>
      </c>
      <c r="J997" s="312" t="str">
        <f t="shared" si="63"/>
        <v>项</v>
      </c>
    </row>
    <row r="998" s="372" customFormat="1" ht="24" customHeight="1" spans="1:10">
      <c r="A998" s="330">
        <v>21402</v>
      </c>
      <c r="B998" s="379" t="s">
        <v>948</v>
      </c>
      <c r="C998" s="601">
        <v>202</v>
      </c>
      <c r="D998" s="708">
        <f>SUM(D999:D1007)</f>
        <v>185</v>
      </c>
      <c r="E998" s="708">
        <f>SUM(E999:E1007)</f>
        <v>185</v>
      </c>
      <c r="F998" s="708">
        <f>SUM(F999:F1007)</f>
        <v>150</v>
      </c>
      <c r="G998" s="523">
        <f t="shared" si="61"/>
        <v>-0.257425742574257</v>
      </c>
      <c r="H998" s="467">
        <f t="shared" si="62"/>
        <v>0.810810810810811</v>
      </c>
      <c r="I998" s="524" t="str">
        <f t="shared" si="64"/>
        <v>是</v>
      </c>
      <c r="J998" s="312" t="str">
        <f t="shared" si="63"/>
        <v>款</v>
      </c>
    </row>
    <row r="999" ht="24" hidden="1" customHeight="1" spans="1:10">
      <c r="A999" s="330">
        <v>2140201</v>
      </c>
      <c r="B999" s="379" t="s">
        <v>212</v>
      </c>
      <c r="C999" s="602">
        <v>0</v>
      </c>
      <c r="D999" s="709"/>
      <c r="E999" s="710">
        <v>0</v>
      </c>
      <c r="F999" s="710">
        <v>0</v>
      </c>
      <c r="G999" s="526" t="str">
        <f t="shared" si="61"/>
        <v/>
      </c>
      <c r="H999" s="470" t="str">
        <f t="shared" si="62"/>
        <v/>
      </c>
      <c r="I999" s="524" t="str">
        <f t="shared" si="64"/>
        <v>否</v>
      </c>
      <c r="J999" s="312" t="str">
        <f t="shared" si="63"/>
        <v>项</v>
      </c>
    </row>
    <row r="1000" s="372" customFormat="1" ht="24" hidden="1" customHeight="1" spans="1:10">
      <c r="A1000" s="330">
        <v>2140202</v>
      </c>
      <c r="B1000" s="379" t="s">
        <v>213</v>
      </c>
      <c r="C1000" s="602">
        <v>0</v>
      </c>
      <c r="D1000" s="709"/>
      <c r="E1000" s="710">
        <v>0</v>
      </c>
      <c r="F1000" s="710">
        <v>0</v>
      </c>
      <c r="G1000" s="526" t="str">
        <f t="shared" si="61"/>
        <v/>
      </c>
      <c r="H1000" s="470" t="str">
        <f t="shared" si="62"/>
        <v/>
      </c>
      <c r="I1000" s="524" t="str">
        <f t="shared" si="64"/>
        <v>否</v>
      </c>
      <c r="J1000" s="312" t="str">
        <f t="shared" si="63"/>
        <v>项</v>
      </c>
    </row>
    <row r="1001" s="372" customFormat="1" ht="24" hidden="1" customHeight="1" spans="1:10">
      <c r="A1001" s="330">
        <v>2140203</v>
      </c>
      <c r="B1001" s="379" t="s">
        <v>214</v>
      </c>
      <c r="C1001" s="602">
        <v>0</v>
      </c>
      <c r="D1001" s="709"/>
      <c r="E1001" s="710">
        <v>0</v>
      </c>
      <c r="F1001" s="710">
        <v>0</v>
      </c>
      <c r="G1001" s="526" t="str">
        <f t="shared" si="61"/>
        <v/>
      </c>
      <c r="H1001" s="470" t="str">
        <f t="shared" si="62"/>
        <v/>
      </c>
      <c r="I1001" s="524" t="str">
        <f t="shared" si="64"/>
        <v>否</v>
      </c>
      <c r="J1001" s="312" t="str">
        <f t="shared" si="63"/>
        <v>项</v>
      </c>
    </row>
    <row r="1002" ht="24" hidden="1" customHeight="1" spans="1:10">
      <c r="A1002" s="330">
        <v>2140204</v>
      </c>
      <c r="B1002" s="379" t="s">
        <v>949</v>
      </c>
      <c r="C1002" s="602">
        <v>0</v>
      </c>
      <c r="D1002" s="709"/>
      <c r="E1002" s="710">
        <v>0</v>
      </c>
      <c r="F1002" s="710">
        <v>0</v>
      </c>
      <c r="G1002" s="526" t="str">
        <f t="shared" si="61"/>
        <v/>
      </c>
      <c r="H1002" s="470" t="str">
        <f t="shared" si="62"/>
        <v/>
      </c>
      <c r="I1002" s="524" t="str">
        <f t="shared" si="64"/>
        <v>否</v>
      </c>
      <c r="J1002" s="312" t="str">
        <f t="shared" si="63"/>
        <v>项</v>
      </c>
    </row>
    <row r="1003" ht="24" hidden="1" customHeight="1" spans="1:10">
      <c r="A1003" s="330">
        <v>2140205</v>
      </c>
      <c r="B1003" s="379" t="s">
        <v>950</v>
      </c>
      <c r="C1003" s="602">
        <v>0</v>
      </c>
      <c r="D1003" s="709"/>
      <c r="E1003" s="710">
        <v>0</v>
      </c>
      <c r="F1003" s="710">
        <v>0</v>
      </c>
      <c r="G1003" s="526" t="str">
        <f t="shared" si="61"/>
        <v/>
      </c>
      <c r="H1003" s="470" t="str">
        <f t="shared" si="62"/>
        <v/>
      </c>
      <c r="I1003" s="524" t="str">
        <f t="shared" si="64"/>
        <v>否</v>
      </c>
      <c r="J1003" s="312" t="str">
        <f t="shared" si="63"/>
        <v>项</v>
      </c>
    </row>
    <row r="1004" s="372" customFormat="1" ht="24" hidden="1" customHeight="1" spans="1:10">
      <c r="A1004" s="330">
        <v>2140206</v>
      </c>
      <c r="B1004" s="379" t="s">
        <v>951</v>
      </c>
      <c r="C1004" s="602">
        <v>0</v>
      </c>
      <c r="D1004" s="709"/>
      <c r="E1004" s="710">
        <v>0</v>
      </c>
      <c r="F1004" s="710">
        <v>0</v>
      </c>
      <c r="G1004" s="526" t="str">
        <f t="shared" si="61"/>
        <v/>
      </c>
      <c r="H1004" s="470" t="str">
        <f t="shared" si="62"/>
        <v/>
      </c>
      <c r="I1004" s="524" t="str">
        <f t="shared" si="64"/>
        <v>否</v>
      </c>
      <c r="J1004" s="312" t="str">
        <f t="shared" si="63"/>
        <v>项</v>
      </c>
    </row>
    <row r="1005" s="372" customFormat="1" ht="24" hidden="1" customHeight="1" spans="1:10">
      <c r="A1005" s="330">
        <v>2140207</v>
      </c>
      <c r="B1005" s="379" t="s">
        <v>952</v>
      </c>
      <c r="C1005" s="602">
        <v>0</v>
      </c>
      <c r="D1005" s="709"/>
      <c r="E1005" s="710">
        <v>0</v>
      </c>
      <c r="F1005" s="710">
        <v>0</v>
      </c>
      <c r="G1005" s="526" t="str">
        <f t="shared" si="61"/>
        <v/>
      </c>
      <c r="H1005" s="470" t="str">
        <f t="shared" si="62"/>
        <v/>
      </c>
      <c r="I1005" s="524" t="str">
        <f t="shared" si="64"/>
        <v>否</v>
      </c>
      <c r="J1005" s="312" t="str">
        <f t="shared" si="63"/>
        <v>项</v>
      </c>
    </row>
    <row r="1006" s="372" customFormat="1" ht="24" hidden="1" customHeight="1" spans="1:10">
      <c r="A1006" s="330">
        <v>2140208</v>
      </c>
      <c r="B1006" s="379" t="s">
        <v>953</v>
      </c>
      <c r="C1006" s="602">
        <v>0</v>
      </c>
      <c r="D1006" s="709"/>
      <c r="E1006" s="710">
        <v>0</v>
      </c>
      <c r="F1006" s="710">
        <v>0</v>
      </c>
      <c r="G1006" s="526" t="str">
        <f t="shared" si="61"/>
        <v/>
      </c>
      <c r="H1006" s="470" t="str">
        <f t="shared" si="62"/>
        <v/>
      </c>
      <c r="I1006" s="524" t="str">
        <f t="shared" si="64"/>
        <v>否</v>
      </c>
      <c r="J1006" s="312" t="str">
        <f t="shared" si="63"/>
        <v>项</v>
      </c>
    </row>
    <row r="1007" s="372" customFormat="1" ht="24" customHeight="1" spans="1:10">
      <c r="A1007" s="330">
        <v>2140299</v>
      </c>
      <c r="B1007" s="379" t="s">
        <v>954</v>
      </c>
      <c r="C1007" s="602">
        <v>202</v>
      </c>
      <c r="D1007" s="709">
        <v>185</v>
      </c>
      <c r="E1007" s="710">
        <v>185</v>
      </c>
      <c r="F1007" s="710">
        <v>150</v>
      </c>
      <c r="G1007" s="526">
        <f t="shared" si="61"/>
        <v>-0.257425742574257</v>
      </c>
      <c r="H1007" s="470">
        <f t="shared" si="62"/>
        <v>0.810810810810811</v>
      </c>
      <c r="I1007" s="524" t="str">
        <f t="shared" si="64"/>
        <v>是</v>
      </c>
      <c r="J1007" s="312" t="str">
        <f t="shared" si="63"/>
        <v>项</v>
      </c>
    </row>
    <row r="1008" s="372" customFormat="1" ht="24" customHeight="1" spans="1:10">
      <c r="A1008" s="330">
        <v>21403</v>
      </c>
      <c r="B1008" s="379" t="s">
        <v>955</v>
      </c>
      <c r="C1008" s="601">
        <v>7525</v>
      </c>
      <c r="D1008" s="708">
        <f>SUM(D1009:D1017)</f>
        <v>7623</v>
      </c>
      <c r="E1008" s="708">
        <f>SUM(E1009:E1017)</f>
        <v>7623</v>
      </c>
      <c r="F1008" s="708">
        <f>SUM(F1009:F1017)</f>
        <v>10802</v>
      </c>
      <c r="G1008" s="523">
        <f t="shared" si="61"/>
        <v>0.435481727574751</v>
      </c>
      <c r="H1008" s="467">
        <f t="shared" si="62"/>
        <v>1.41702741702742</v>
      </c>
      <c r="I1008" s="524" t="str">
        <f t="shared" si="64"/>
        <v>是</v>
      </c>
      <c r="J1008" s="312" t="str">
        <f t="shared" si="63"/>
        <v>款</v>
      </c>
    </row>
    <row r="1009" s="372" customFormat="1" ht="24" hidden="1" customHeight="1" spans="1:10">
      <c r="A1009" s="330">
        <v>2140301</v>
      </c>
      <c r="B1009" s="379" t="s">
        <v>212</v>
      </c>
      <c r="C1009" s="602">
        <v>0</v>
      </c>
      <c r="D1009" s="709"/>
      <c r="E1009" s="710">
        <v>0</v>
      </c>
      <c r="F1009" s="710">
        <v>0</v>
      </c>
      <c r="G1009" s="526" t="str">
        <f t="shared" si="61"/>
        <v/>
      </c>
      <c r="H1009" s="470" t="str">
        <f t="shared" si="62"/>
        <v/>
      </c>
      <c r="I1009" s="524" t="str">
        <f t="shared" si="64"/>
        <v>否</v>
      </c>
      <c r="J1009" s="312" t="str">
        <f t="shared" si="63"/>
        <v>项</v>
      </c>
    </row>
    <row r="1010" s="372" customFormat="1" ht="24" hidden="1" customHeight="1" spans="1:10">
      <c r="A1010" s="330">
        <v>2140302</v>
      </c>
      <c r="B1010" s="379" t="s">
        <v>213</v>
      </c>
      <c r="C1010" s="602">
        <v>0</v>
      </c>
      <c r="D1010" s="709"/>
      <c r="E1010" s="710">
        <v>0</v>
      </c>
      <c r="F1010" s="710">
        <v>0</v>
      </c>
      <c r="G1010" s="526" t="str">
        <f t="shared" si="61"/>
        <v/>
      </c>
      <c r="H1010" s="470" t="str">
        <f t="shared" si="62"/>
        <v/>
      </c>
      <c r="I1010" s="524" t="str">
        <f t="shared" si="64"/>
        <v>否</v>
      </c>
      <c r="J1010" s="312" t="str">
        <f t="shared" si="63"/>
        <v>项</v>
      </c>
    </row>
    <row r="1011" s="372" customFormat="1" ht="24" hidden="1" customHeight="1" spans="1:10">
      <c r="A1011" s="330">
        <v>2140303</v>
      </c>
      <c r="B1011" s="379" t="s">
        <v>214</v>
      </c>
      <c r="C1011" s="602">
        <v>0</v>
      </c>
      <c r="D1011" s="709"/>
      <c r="E1011" s="710">
        <v>0</v>
      </c>
      <c r="F1011" s="710">
        <v>0</v>
      </c>
      <c r="G1011" s="526" t="str">
        <f t="shared" si="61"/>
        <v/>
      </c>
      <c r="H1011" s="470" t="str">
        <f t="shared" si="62"/>
        <v/>
      </c>
      <c r="I1011" s="524" t="str">
        <f t="shared" si="64"/>
        <v>否</v>
      </c>
      <c r="J1011" s="312" t="str">
        <f t="shared" si="63"/>
        <v>项</v>
      </c>
    </row>
    <row r="1012" s="372" customFormat="1" ht="24" customHeight="1" spans="1:10">
      <c r="A1012" s="330">
        <v>2140304</v>
      </c>
      <c r="B1012" s="379" t="s">
        <v>956</v>
      </c>
      <c r="C1012" s="602">
        <v>0</v>
      </c>
      <c r="D1012" s="709"/>
      <c r="E1012" s="710">
        <v>0</v>
      </c>
      <c r="F1012" s="710">
        <v>30</v>
      </c>
      <c r="G1012" s="526" t="str">
        <f t="shared" si="61"/>
        <v/>
      </c>
      <c r="H1012" s="470" t="str">
        <f t="shared" si="62"/>
        <v/>
      </c>
      <c r="I1012" s="524" t="str">
        <f t="shared" si="64"/>
        <v>是</v>
      </c>
      <c r="J1012" s="312" t="str">
        <f t="shared" si="63"/>
        <v>项</v>
      </c>
    </row>
    <row r="1013" s="372" customFormat="1" ht="24" hidden="1" customHeight="1" spans="1:10">
      <c r="A1013" s="330">
        <v>2140305</v>
      </c>
      <c r="B1013" s="379" t="s">
        <v>957</v>
      </c>
      <c r="C1013" s="602">
        <v>0</v>
      </c>
      <c r="D1013" s="709"/>
      <c r="E1013" s="710">
        <v>0</v>
      </c>
      <c r="F1013" s="710">
        <v>0</v>
      </c>
      <c r="G1013" s="526" t="str">
        <f t="shared" si="61"/>
        <v/>
      </c>
      <c r="H1013" s="470" t="str">
        <f t="shared" si="62"/>
        <v/>
      </c>
      <c r="I1013" s="524" t="str">
        <f t="shared" si="64"/>
        <v>否</v>
      </c>
      <c r="J1013" s="312" t="str">
        <f t="shared" si="63"/>
        <v>项</v>
      </c>
    </row>
    <row r="1014" s="372" customFormat="1" ht="24" hidden="1" customHeight="1" spans="1:10">
      <c r="A1014" s="330">
        <v>2140306</v>
      </c>
      <c r="B1014" s="379" t="s">
        <v>958</v>
      </c>
      <c r="C1014" s="602">
        <v>0</v>
      </c>
      <c r="D1014" s="709"/>
      <c r="E1014" s="710">
        <v>0</v>
      </c>
      <c r="F1014" s="710">
        <v>0</v>
      </c>
      <c r="G1014" s="526" t="str">
        <f t="shared" si="61"/>
        <v/>
      </c>
      <c r="H1014" s="470" t="str">
        <f t="shared" si="62"/>
        <v/>
      </c>
      <c r="I1014" s="524" t="str">
        <f t="shared" si="64"/>
        <v>否</v>
      </c>
      <c r="J1014" s="312" t="str">
        <f t="shared" si="63"/>
        <v>项</v>
      </c>
    </row>
    <row r="1015" s="372" customFormat="1" ht="24" hidden="1" customHeight="1" spans="1:10">
      <c r="A1015" s="330">
        <v>2140307</v>
      </c>
      <c r="B1015" s="379" t="s">
        <v>959</v>
      </c>
      <c r="C1015" s="602">
        <v>0</v>
      </c>
      <c r="D1015" s="709"/>
      <c r="E1015" s="710">
        <v>0</v>
      </c>
      <c r="F1015" s="710">
        <v>0</v>
      </c>
      <c r="G1015" s="526" t="str">
        <f t="shared" si="61"/>
        <v/>
      </c>
      <c r="H1015" s="470" t="str">
        <f t="shared" si="62"/>
        <v/>
      </c>
      <c r="I1015" s="524" t="str">
        <f t="shared" si="64"/>
        <v>否</v>
      </c>
      <c r="J1015" s="312" t="str">
        <f t="shared" si="63"/>
        <v>项</v>
      </c>
    </row>
    <row r="1016" s="372" customFormat="1" ht="24" hidden="1" customHeight="1" spans="1:10">
      <c r="A1016" s="330">
        <v>2140308</v>
      </c>
      <c r="B1016" s="379" t="s">
        <v>960</v>
      </c>
      <c r="C1016" s="602">
        <v>0</v>
      </c>
      <c r="D1016" s="709"/>
      <c r="E1016" s="710">
        <v>0</v>
      </c>
      <c r="F1016" s="710">
        <v>0</v>
      </c>
      <c r="G1016" s="526" t="str">
        <f t="shared" si="61"/>
        <v/>
      </c>
      <c r="H1016" s="470" t="str">
        <f t="shared" si="62"/>
        <v/>
      </c>
      <c r="I1016" s="524" t="str">
        <f t="shared" si="64"/>
        <v>否</v>
      </c>
      <c r="J1016" s="312" t="str">
        <f t="shared" si="63"/>
        <v>项</v>
      </c>
    </row>
    <row r="1017" s="372" customFormat="1" ht="24" customHeight="1" spans="1:10">
      <c r="A1017" s="330">
        <v>2140399</v>
      </c>
      <c r="B1017" s="379" t="s">
        <v>961</v>
      </c>
      <c r="C1017" s="602">
        <v>7525</v>
      </c>
      <c r="D1017" s="709">
        <v>7623</v>
      </c>
      <c r="E1017" s="710">
        <v>7623</v>
      </c>
      <c r="F1017" s="710">
        <v>10772</v>
      </c>
      <c r="G1017" s="526">
        <f t="shared" si="61"/>
        <v>0.431495016611296</v>
      </c>
      <c r="H1017" s="470">
        <f t="shared" si="62"/>
        <v>1.4130919585465</v>
      </c>
      <c r="I1017" s="524" t="str">
        <f t="shared" si="64"/>
        <v>是</v>
      </c>
      <c r="J1017" s="312" t="str">
        <f t="shared" si="63"/>
        <v>项</v>
      </c>
    </row>
    <row r="1018" s="372" customFormat="1" ht="24" customHeight="1" spans="1:10">
      <c r="A1018" s="330">
        <v>21405</v>
      </c>
      <c r="B1018" s="379" t="s">
        <v>962</v>
      </c>
      <c r="C1018" s="601">
        <v>150</v>
      </c>
      <c r="D1018" s="708">
        <f>SUM(D1019:D1024)</f>
        <v>171</v>
      </c>
      <c r="E1018" s="708">
        <f>SUM(E1019:E1024)</f>
        <v>171</v>
      </c>
      <c r="F1018" s="708">
        <f>SUM(F1019:F1024)</f>
        <v>240</v>
      </c>
      <c r="G1018" s="523">
        <f t="shared" si="61"/>
        <v>0.6</v>
      </c>
      <c r="H1018" s="467">
        <f t="shared" si="62"/>
        <v>1.40350877192982</v>
      </c>
      <c r="I1018" s="524" t="str">
        <f t="shared" si="64"/>
        <v>是</v>
      </c>
      <c r="J1018" s="312" t="str">
        <f t="shared" si="63"/>
        <v>款</v>
      </c>
    </row>
    <row r="1019" s="372" customFormat="1" ht="24" customHeight="1" spans="1:10">
      <c r="A1019" s="330">
        <v>2140501</v>
      </c>
      <c r="B1019" s="379" t="s">
        <v>212</v>
      </c>
      <c r="C1019" s="602">
        <v>140</v>
      </c>
      <c r="D1019" s="709">
        <v>141</v>
      </c>
      <c r="E1019" s="710">
        <v>141</v>
      </c>
      <c r="F1019" s="710">
        <v>240</v>
      </c>
      <c r="G1019" s="526">
        <f t="shared" si="61"/>
        <v>0.714285714285714</v>
      </c>
      <c r="H1019" s="470">
        <f t="shared" si="62"/>
        <v>1.70212765957447</v>
      </c>
      <c r="I1019" s="524" t="str">
        <f t="shared" si="64"/>
        <v>是</v>
      </c>
      <c r="J1019" s="312" t="str">
        <f t="shared" si="63"/>
        <v>项</v>
      </c>
    </row>
    <row r="1020" s="372" customFormat="1" ht="24" hidden="1" customHeight="1" spans="1:10">
      <c r="A1020" s="330">
        <v>2140502</v>
      </c>
      <c r="B1020" s="379" t="s">
        <v>213</v>
      </c>
      <c r="C1020" s="602">
        <v>0</v>
      </c>
      <c r="D1020" s="709"/>
      <c r="E1020" s="710">
        <v>0</v>
      </c>
      <c r="F1020" s="710">
        <v>0</v>
      </c>
      <c r="G1020" s="526" t="str">
        <f t="shared" si="61"/>
        <v/>
      </c>
      <c r="H1020" s="470" t="str">
        <f t="shared" si="62"/>
        <v/>
      </c>
      <c r="I1020" s="524" t="str">
        <f t="shared" si="64"/>
        <v>否</v>
      </c>
      <c r="J1020" s="312" t="str">
        <f t="shared" si="63"/>
        <v>项</v>
      </c>
    </row>
    <row r="1021" s="372" customFormat="1" ht="24" hidden="1" customHeight="1" spans="1:10">
      <c r="A1021" s="330">
        <v>2140503</v>
      </c>
      <c r="B1021" s="379" t="s">
        <v>214</v>
      </c>
      <c r="C1021" s="602">
        <v>0</v>
      </c>
      <c r="D1021" s="709"/>
      <c r="E1021" s="710">
        <v>0</v>
      </c>
      <c r="F1021" s="710">
        <v>0</v>
      </c>
      <c r="G1021" s="526" t="str">
        <f t="shared" si="61"/>
        <v/>
      </c>
      <c r="H1021" s="470" t="str">
        <f t="shared" si="62"/>
        <v/>
      </c>
      <c r="I1021" s="524" t="str">
        <f t="shared" si="64"/>
        <v>否</v>
      </c>
      <c r="J1021" s="312" t="str">
        <f t="shared" si="63"/>
        <v>项</v>
      </c>
    </row>
    <row r="1022" s="372" customFormat="1" ht="24" hidden="1" customHeight="1" spans="1:10">
      <c r="A1022" s="330">
        <v>2140504</v>
      </c>
      <c r="B1022" s="379" t="s">
        <v>953</v>
      </c>
      <c r="C1022" s="602">
        <v>0</v>
      </c>
      <c r="D1022" s="709"/>
      <c r="E1022" s="710">
        <v>0</v>
      </c>
      <c r="F1022" s="710">
        <v>0</v>
      </c>
      <c r="G1022" s="526" t="str">
        <f t="shared" si="61"/>
        <v/>
      </c>
      <c r="H1022" s="470" t="str">
        <f t="shared" si="62"/>
        <v/>
      </c>
      <c r="I1022" s="524" t="str">
        <f t="shared" si="64"/>
        <v>否</v>
      </c>
      <c r="J1022" s="312" t="str">
        <f t="shared" si="63"/>
        <v>项</v>
      </c>
    </row>
    <row r="1023" s="372" customFormat="1" ht="24" hidden="1" customHeight="1" spans="1:10">
      <c r="A1023" s="330">
        <v>2140505</v>
      </c>
      <c r="B1023" s="379" t="s">
        <v>963</v>
      </c>
      <c r="C1023" s="602">
        <v>0</v>
      </c>
      <c r="D1023" s="709"/>
      <c r="E1023" s="710">
        <v>0</v>
      </c>
      <c r="F1023" s="710">
        <v>0</v>
      </c>
      <c r="G1023" s="526" t="str">
        <f t="shared" si="61"/>
        <v/>
      </c>
      <c r="H1023" s="470" t="str">
        <f t="shared" si="62"/>
        <v/>
      </c>
      <c r="I1023" s="524" t="str">
        <f t="shared" si="64"/>
        <v>否</v>
      </c>
      <c r="J1023" s="312" t="str">
        <f t="shared" si="63"/>
        <v>项</v>
      </c>
    </row>
    <row r="1024" s="372" customFormat="1" ht="24" customHeight="1" spans="1:10">
      <c r="A1024" s="330">
        <v>2140599</v>
      </c>
      <c r="B1024" s="379" t="s">
        <v>964</v>
      </c>
      <c r="C1024" s="602">
        <v>10</v>
      </c>
      <c r="D1024" s="709">
        <v>30</v>
      </c>
      <c r="E1024" s="710">
        <v>30</v>
      </c>
      <c r="F1024" s="710">
        <v>0</v>
      </c>
      <c r="G1024" s="526">
        <f t="shared" si="61"/>
        <v>-1</v>
      </c>
      <c r="H1024" s="470">
        <f t="shared" si="62"/>
        <v>0</v>
      </c>
      <c r="I1024" s="524" t="str">
        <f t="shared" si="64"/>
        <v>是</v>
      </c>
      <c r="J1024" s="312" t="str">
        <f t="shared" si="63"/>
        <v>项</v>
      </c>
    </row>
    <row r="1025" s="372" customFormat="1" ht="24" customHeight="1" spans="1:10">
      <c r="A1025" s="330">
        <v>21499</v>
      </c>
      <c r="B1025" s="379" t="s">
        <v>965</v>
      </c>
      <c r="C1025" s="601">
        <v>898</v>
      </c>
      <c r="D1025" s="708">
        <f>SUM(D1026:D1027)</f>
        <v>251</v>
      </c>
      <c r="E1025" s="708">
        <f>SUM(E1026:E1027)</f>
        <v>251</v>
      </c>
      <c r="F1025" s="708">
        <f>SUM(F1026:F1027)</f>
        <v>896</v>
      </c>
      <c r="G1025" s="523">
        <f t="shared" si="61"/>
        <v>-0.0022271714922049</v>
      </c>
      <c r="H1025" s="467">
        <f t="shared" si="62"/>
        <v>3.56972111553785</v>
      </c>
      <c r="I1025" s="524" t="str">
        <f t="shared" si="64"/>
        <v>是</v>
      </c>
      <c r="J1025" s="312" t="str">
        <f t="shared" si="63"/>
        <v>款</v>
      </c>
    </row>
    <row r="1026" s="372" customFormat="1" ht="24" customHeight="1" spans="1:10">
      <c r="A1026" s="330">
        <v>2149901</v>
      </c>
      <c r="B1026" s="379" t="s">
        <v>966</v>
      </c>
      <c r="C1026" s="602">
        <v>501</v>
      </c>
      <c r="D1026" s="709">
        <v>0</v>
      </c>
      <c r="E1026" s="710">
        <v>0</v>
      </c>
      <c r="F1026" s="710">
        <v>492</v>
      </c>
      <c r="G1026" s="526">
        <f t="shared" si="61"/>
        <v>-0.0179640718562874</v>
      </c>
      <c r="H1026" s="470" t="str">
        <f t="shared" si="62"/>
        <v/>
      </c>
      <c r="I1026" s="524" t="str">
        <f t="shared" si="64"/>
        <v>是</v>
      </c>
      <c r="J1026" s="312" t="str">
        <f t="shared" si="63"/>
        <v>项</v>
      </c>
    </row>
    <row r="1027" s="372" customFormat="1" ht="24" customHeight="1" spans="1:10">
      <c r="A1027" s="330">
        <v>2149999</v>
      </c>
      <c r="B1027" s="379" t="s">
        <v>967</v>
      </c>
      <c r="C1027" s="602">
        <v>397</v>
      </c>
      <c r="D1027" s="709">
        <v>251</v>
      </c>
      <c r="E1027" s="710">
        <v>251</v>
      </c>
      <c r="F1027" s="710">
        <v>404</v>
      </c>
      <c r="G1027" s="526">
        <f t="shared" ref="G1027:G1090" si="65">IFERROR((F1027-C1027)/C1027,"")</f>
        <v>0.017632241813602</v>
      </c>
      <c r="H1027" s="470">
        <f t="shared" ref="H1027:H1090" si="66">IFERROR(F1027/D1027,"")</f>
        <v>1.60956175298805</v>
      </c>
      <c r="I1027" s="524" t="str">
        <f t="shared" si="64"/>
        <v>是</v>
      </c>
      <c r="J1027" s="312" t="str">
        <f t="shared" ref="J1027:J1090" si="67">IF(LEN(A1027)=3,"类",IF(LEN(A1027)=5,"款","项"))</f>
        <v>项</v>
      </c>
    </row>
    <row r="1028" s="372" customFormat="1" ht="24" customHeight="1" spans="1:10">
      <c r="A1028" s="329">
        <v>215</v>
      </c>
      <c r="B1028" s="377" t="s">
        <v>188</v>
      </c>
      <c r="C1028" s="601">
        <v>73429</v>
      </c>
      <c r="D1028" s="708">
        <f>D1029+D1039+D1055+D1060+D1071+D1078+D1086</f>
        <v>68152</v>
      </c>
      <c r="E1028" s="708">
        <f>E1029+E1039+E1055+E1060+E1071+E1078+E1086</f>
        <v>79061</v>
      </c>
      <c r="F1028" s="708">
        <f>F1029+F1039+F1055+F1060+F1071+F1078+F1086</f>
        <v>44782</v>
      </c>
      <c r="G1028" s="523">
        <f t="shared" si="65"/>
        <v>-0.390131964210326</v>
      </c>
      <c r="H1028" s="467">
        <f t="shared" si="66"/>
        <v>0.657090034041554</v>
      </c>
      <c r="I1028" s="524" t="str">
        <f t="shared" ref="I1028:I1091" si="68">IF(LEN(A1028)=3,"是",IF(B1028&lt;&gt;"",IF(SUM(C1028:F1028)&lt;&gt;0,"是","否"),"是"))</f>
        <v>是</v>
      </c>
      <c r="J1028" s="312" t="str">
        <f t="shared" si="67"/>
        <v>类</v>
      </c>
    </row>
    <row r="1029" s="372" customFormat="1" ht="24" customHeight="1" spans="1:10">
      <c r="A1029" s="330">
        <v>21501</v>
      </c>
      <c r="B1029" s="379" t="s">
        <v>968</v>
      </c>
      <c r="C1029" s="601">
        <v>3</v>
      </c>
      <c r="D1029" s="708">
        <f>SUM(D1030:D1038)</f>
        <v>5</v>
      </c>
      <c r="E1029" s="708">
        <f>SUM(E1030:E1038)</f>
        <v>5</v>
      </c>
      <c r="F1029" s="708">
        <f>SUM(F1030:F1038)</f>
        <v>0</v>
      </c>
      <c r="G1029" s="523">
        <f t="shared" si="65"/>
        <v>-1</v>
      </c>
      <c r="H1029" s="467">
        <f t="shared" si="66"/>
        <v>0</v>
      </c>
      <c r="I1029" s="524" t="str">
        <f t="shared" si="68"/>
        <v>是</v>
      </c>
      <c r="J1029" s="312" t="str">
        <f t="shared" si="67"/>
        <v>款</v>
      </c>
    </row>
    <row r="1030" s="372" customFormat="1" ht="24" customHeight="1" spans="1:10">
      <c r="A1030" s="330">
        <v>2150101</v>
      </c>
      <c r="B1030" s="379" t="s">
        <v>212</v>
      </c>
      <c r="C1030" s="602">
        <v>3</v>
      </c>
      <c r="D1030" s="709">
        <v>5</v>
      </c>
      <c r="E1030" s="710">
        <v>5</v>
      </c>
      <c r="F1030" s="710">
        <v>0</v>
      </c>
      <c r="G1030" s="526">
        <f t="shared" si="65"/>
        <v>-1</v>
      </c>
      <c r="H1030" s="470">
        <f t="shared" si="66"/>
        <v>0</v>
      </c>
      <c r="I1030" s="524" t="str">
        <f t="shared" si="68"/>
        <v>是</v>
      </c>
      <c r="J1030" s="312" t="str">
        <f t="shared" si="67"/>
        <v>项</v>
      </c>
    </row>
    <row r="1031" ht="24" hidden="1" customHeight="1" spans="1:10">
      <c r="A1031" s="330">
        <v>2150102</v>
      </c>
      <c r="B1031" s="379" t="s">
        <v>213</v>
      </c>
      <c r="C1031" s="602">
        <v>0</v>
      </c>
      <c r="D1031" s="709"/>
      <c r="E1031" s="710">
        <v>0</v>
      </c>
      <c r="F1031" s="710">
        <v>0</v>
      </c>
      <c r="G1031" s="526" t="str">
        <f t="shared" si="65"/>
        <v/>
      </c>
      <c r="H1031" s="470" t="str">
        <f t="shared" si="66"/>
        <v/>
      </c>
      <c r="I1031" s="524" t="str">
        <f t="shared" si="68"/>
        <v>否</v>
      </c>
      <c r="J1031" s="312" t="str">
        <f t="shared" si="67"/>
        <v>项</v>
      </c>
    </row>
    <row r="1032" s="372" customFormat="1" ht="24" hidden="1" customHeight="1" spans="1:10">
      <c r="A1032" s="330">
        <v>2150103</v>
      </c>
      <c r="B1032" s="379" t="s">
        <v>214</v>
      </c>
      <c r="C1032" s="602">
        <v>0</v>
      </c>
      <c r="D1032" s="709"/>
      <c r="E1032" s="710">
        <v>0</v>
      </c>
      <c r="F1032" s="710">
        <v>0</v>
      </c>
      <c r="G1032" s="526" t="str">
        <f t="shared" si="65"/>
        <v/>
      </c>
      <c r="H1032" s="470" t="str">
        <f t="shared" si="66"/>
        <v/>
      </c>
      <c r="I1032" s="524" t="str">
        <f t="shared" si="68"/>
        <v>否</v>
      </c>
      <c r="J1032" s="312" t="str">
        <f t="shared" si="67"/>
        <v>项</v>
      </c>
    </row>
    <row r="1033" s="372" customFormat="1" ht="24" hidden="1" customHeight="1" spans="1:10">
      <c r="A1033" s="330">
        <v>2150104</v>
      </c>
      <c r="B1033" s="379" t="s">
        <v>969</v>
      </c>
      <c r="C1033" s="602">
        <v>0</v>
      </c>
      <c r="D1033" s="709"/>
      <c r="E1033" s="710">
        <v>0</v>
      </c>
      <c r="F1033" s="710">
        <v>0</v>
      </c>
      <c r="G1033" s="526" t="str">
        <f t="shared" si="65"/>
        <v/>
      </c>
      <c r="H1033" s="470" t="str">
        <f t="shared" si="66"/>
        <v/>
      </c>
      <c r="I1033" s="524" t="str">
        <f t="shared" si="68"/>
        <v>否</v>
      </c>
      <c r="J1033" s="312" t="str">
        <f t="shared" si="67"/>
        <v>项</v>
      </c>
    </row>
    <row r="1034" s="372" customFormat="1" ht="24" hidden="1" customHeight="1" spans="1:10">
      <c r="A1034" s="330">
        <v>2150105</v>
      </c>
      <c r="B1034" s="379" t="s">
        <v>970</v>
      </c>
      <c r="C1034" s="602">
        <v>0</v>
      </c>
      <c r="D1034" s="709"/>
      <c r="E1034" s="710">
        <v>0</v>
      </c>
      <c r="F1034" s="710">
        <v>0</v>
      </c>
      <c r="G1034" s="526" t="str">
        <f t="shared" si="65"/>
        <v/>
      </c>
      <c r="H1034" s="470" t="str">
        <f t="shared" si="66"/>
        <v/>
      </c>
      <c r="I1034" s="524" t="str">
        <f t="shared" si="68"/>
        <v>否</v>
      </c>
      <c r="J1034" s="312" t="str">
        <f t="shared" si="67"/>
        <v>项</v>
      </c>
    </row>
    <row r="1035" s="372" customFormat="1" ht="24" hidden="1" customHeight="1" spans="1:10">
      <c r="A1035" s="330">
        <v>2150106</v>
      </c>
      <c r="B1035" s="379" t="s">
        <v>971</v>
      </c>
      <c r="C1035" s="602">
        <v>0</v>
      </c>
      <c r="D1035" s="709"/>
      <c r="E1035" s="710">
        <v>0</v>
      </c>
      <c r="F1035" s="710">
        <v>0</v>
      </c>
      <c r="G1035" s="526" t="str">
        <f t="shared" si="65"/>
        <v/>
      </c>
      <c r="H1035" s="470" t="str">
        <f t="shared" si="66"/>
        <v/>
      </c>
      <c r="I1035" s="524" t="str">
        <f t="shared" si="68"/>
        <v>否</v>
      </c>
      <c r="J1035" s="312" t="str">
        <f t="shared" si="67"/>
        <v>项</v>
      </c>
    </row>
    <row r="1036" s="372" customFormat="1" ht="24" hidden="1" customHeight="1" spans="1:10">
      <c r="A1036" s="330">
        <v>2150107</v>
      </c>
      <c r="B1036" s="379" t="s">
        <v>972</v>
      </c>
      <c r="C1036" s="602">
        <v>0</v>
      </c>
      <c r="D1036" s="709"/>
      <c r="E1036" s="710">
        <v>0</v>
      </c>
      <c r="F1036" s="710">
        <v>0</v>
      </c>
      <c r="G1036" s="526" t="str">
        <f t="shared" si="65"/>
        <v/>
      </c>
      <c r="H1036" s="470" t="str">
        <f t="shared" si="66"/>
        <v/>
      </c>
      <c r="I1036" s="524" t="str">
        <f t="shared" si="68"/>
        <v>否</v>
      </c>
      <c r="J1036" s="312" t="str">
        <f t="shared" si="67"/>
        <v>项</v>
      </c>
    </row>
    <row r="1037" s="372" customFormat="1" ht="24" hidden="1" customHeight="1" spans="1:10">
      <c r="A1037" s="330">
        <v>2150108</v>
      </c>
      <c r="B1037" s="379" t="s">
        <v>973</v>
      </c>
      <c r="C1037" s="602">
        <v>0</v>
      </c>
      <c r="D1037" s="709"/>
      <c r="E1037" s="710">
        <v>0</v>
      </c>
      <c r="F1037" s="710">
        <v>0</v>
      </c>
      <c r="G1037" s="526" t="str">
        <f t="shared" si="65"/>
        <v/>
      </c>
      <c r="H1037" s="470" t="str">
        <f t="shared" si="66"/>
        <v/>
      </c>
      <c r="I1037" s="524" t="str">
        <f t="shared" si="68"/>
        <v>否</v>
      </c>
      <c r="J1037" s="312" t="str">
        <f t="shared" si="67"/>
        <v>项</v>
      </c>
    </row>
    <row r="1038" s="372" customFormat="1" ht="24" hidden="1" customHeight="1" spans="1:10">
      <c r="A1038" s="330">
        <v>2150199</v>
      </c>
      <c r="B1038" s="379" t="s">
        <v>974</v>
      </c>
      <c r="C1038" s="602">
        <v>0</v>
      </c>
      <c r="D1038" s="709"/>
      <c r="E1038" s="710">
        <v>0</v>
      </c>
      <c r="F1038" s="710">
        <v>0</v>
      </c>
      <c r="G1038" s="526" t="str">
        <f t="shared" si="65"/>
        <v/>
      </c>
      <c r="H1038" s="470" t="str">
        <f t="shared" si="66"/>
        <v/>
      </c>
      <c r="I1038" s="524" t="str">
        <f t="shared" si="68"/>
        <v>否</v>
      </c>
      <c r="J1038" s="312" t="str">
        <f t="shared" si="67"/>
        <v>项</v>
      </c>
    </row>
    <row r="1039" s="372" customFormat="1" ht="24" hidden="1" customHeight="1" spans="1:10">
      <c r="A1039" s="330">
        <v>21502</v>
      </c>
      <c r="B1039" s="379" t="s">
        <v>975</v>
      </c>
      <c r="C1039" s="601">
        <v>0</v>
      </c>
      <c r="D1039" s="708">
        <f>SUM(D1040:D1054)</f>
        <v>0</v>
      </c>
      <c r="E1039" s="708">
        <f>SUM(E1040:E1054)</f>
        <v>0</v>
      </c>
      <c r="F1039" s="708">
        <f>SUM(F1040:F1054)</f>
        <v>0</v>
      </c>
      <c r="G1039" s="523" t="str">
        <f t="shared" si="65"/>
        <v/>
      </c>
      <c r="H1039" s="467" t="str">
        <f t="shared" si="66"/>
        <v/>
      </c>
      <c r="I1039" s="524" t="str">
        <f t="shared" si="68"/>
        <v>否</v>
      </c>
      <c r="J1039" s="312" t="str">
        <f t="shared" si="67"/>
        <v>款</v>
      </c>
    </row>
    <row r="1040" s="372" customFormat="1" ht="24" hidden="1" customHeight="1" spans="1:10">
      <c r="A1040" s="330">
        <v>2150201</v>
      </c>
      <c r="B1040" s="379" t="s">
        <v>212</v>
      </c>
      <c r="C1040" s="602">
        <v>0</v>
      </c>
      <c r="D1040" s="709"/>
      <c r="E1040" s="710">
        <v>0</v>
      </c>
      <c r="F1040" s="710">
        <v>0</v>
      </c>
      <c r="G1040" s="526" t="str">
        <f t="shared" si="65"/>
        <v/>
      </c>
      <c r="H1040" s="470" t="str">
        <f t="shared" si="66"/>
        <v/>
      </c>
      <c r="I1040" s="524" t="str">
        <f t="shared" si="68"/>
        <v>否</v>
      </c>
      <c r="J1040" s="312" t="str">
        <f t="shared" si="67"/>
        <v>项</v>
      </c>
    </row>
    <row r="1041" ht="24" hidden="1" customHeight="1" spans="1:10">
      <c r="A1041" s="330">
        <v>2150202</v>
      </c>
      <c r="B1041" s="379" t="s">
        <v>213</v>
      </c>
      <c r="C1041" s="602">
        <v>0</v>
      </c>
      <c r="D1041" s="709"/>
      <c r="E1041" s="710">
        <v>0</v>
      </c>
      <c r="F1041" s="710">
        <v>0</v>
      </c>
      <c r="G1041" s="526" t="str">
        <f t="shared" si="65"/>
        <v/>
      </c>
      <c r="H1041" s="470" t="str">
        <f t="shared" si="66"/>
        <v/>
      </c>
      <c r="I1041" s="524" t="str">
        <f t="shared" si="68"/>
        <v>否</v>
      </c>
      <c r="J1041" s="312" t="str">
        <f t="shared" si="67"/>
        <v>项</v>
      </c>
    </row>
    <row r="1042" s="372" customFormat="1" ht="24" hidden="1" customHeight="1" spans="1:10">
      <c r="A1042" s="330">
        <v>2150203</v>
      </c>
      <c r="B1042" s="379" t="s">
        <v>214</v>
      </c>
      <c r="C1042" s="602">
        <v>0</v>
      </c>
      <c r="D1042" s="709"/>
      <c r="E1042" s="710">
        <v>0</v>
      </c>
      <c r="F1042" s="710">
        <v>0</v>
      </c>
      <c r="G1042" s="526" t="str">
        <f t="shared" si="65"/>
        <v/>
      </c>
      <c r="H1042" s="470" t="str">
        <f t="shared" si="66"/>
        <v/>
      </c>
      <c r="I1042" s="524" t="str">
        <f t="shared" si="68"/>
        <v>否</v>
      </c>
      <c r="J1042" s="312" t="str">
        <f t="shared" si="67"/>
        <v>项</v>
      </c>
    </row>
    <row r="1043" s="372" customFormat="1" ht="24" hidden="1" customHeight="1" spans="1:10">
      <c r="A1043" s="330">
        <v>2150204</v>
      </c>
      <c r="B1043" s="379" t="s">
        <v>976</v>
      </c>
      <c r="C1043" s="602">
        <v>0</v>
      </c>
      <c r="D1043" s="709"/>
      <c r="E1043" s="710">
        <v>0</v>
      </c>
      <c r="F1043" s="710">
        <v>0</v>
      </c>
      <c r="G1043" s="526" t="str">
        <f t="shared" si="65"/>
        <v/>
      </c>
      <c r="H1043" s="470" t="str">
        <f t="shared" si="66"/>
        <v/>
      </c>
      <c r="I1043" s="524" t="str">
        <f t="shared" si="68"/>
        <v>否</v>
      </c>
      <c r="J1043" s="312" t="str">
        <f t="shared" si="67"/>
        <v>项</v>
      </c>
    </row>
    <row r="1044" s="372" customFormat="1" ht="24" hidden="1" customHeight="1" spans="1:10">
      <c r="A1044" s="330">
        <v>2150205</v>
      </c>
      <c r="B1044" s="379" t="s">
        <v>977</v>
      </c>
      <c r="C1044" s="602">
        <v>0</v>
      </c>
      <c r="D1044" s="709"/>
      <c r="E1044" s="710">
        <v>0</v>
      </c>
      <c r="F1044" s="710">
        <v>0</v>
      </c>
      <c r="G1044" s="526" t="str">
        <f t="shared" si="65"/>
        <v/>
      </c>
      <c r="H1044" s="470" t="str">
        <f t="shared" si="66"/>
        <v/>
      </c>
      <c r="I1044" s="524" t="str">
        <f t="shared" si="68"/>
        <v>否</v>
      </c>
      <c r="J1044" s="312" t="str">
        <f t="shared" si="67"/>
        <v>项</v>
      </c>
    </row>
    <row r="1045" s="372" customFormat="1" ht="24" hidden="1" customHeight="1" spans="1:10">
      <c r="A1045" s="330">
        <v>2150206</v>
      </c>
      <c r="B1045" s="379" t="s">
        <v>978</v>
      </c>
      <c r="C1045" s="602">
        <v>0</v>
      </c>
      <c r="D1045" s="709"/>
      <c r="E1045" s="710">
        <v>0</v>
      </c>
      <c r="F1045" s="710">
        <v>0</v>
      </c>
      <c r="G1045" s="526" t="str">
        <f t="shared" si="65"/>
        <v/>
      </c>
      <c r="H1045" s="470" t="str">
        <f t="shared" si="66"/>
        <v/>
      </c>
      <c r="I1045" s="524" t="str">
        <f t="shared" si="68"/>
        <v>否</v>
      </c>
      <c r="J1045" s="312" t="str">
        <f t="shared" si="67"/>
        <v>项</v>
      </c>
    </row>
    <row r="1046" ht="24" hidden="1" customHeight="1" spans="1:10">
      <c r="A1046" s="330">
        <v>2150207</v>
      </c>
      <c r="B1046" s="379" t="s">
        <v>979</v>
      </c>
      <c r="C1046" s="602">
        <v>0</v>
      </c>
      <c r="D1046" s="709"/>
      <c r="E1046" s="710">
        <v>0</v>
      </c>
      <c r="F1046" s="710">
        <v>0</v>
      </c>
      <c r="G1046" s="526" t="str">
        <f t="shared" si="65"/>
        <v/>
      </c>
      <c r="H1046" s="470" t="str">
        <f t="shared" si="66"/>
        <v/>
      </c>
      <c r="I1046" s="524" t="str">
        <f t="shared" si="68"/>
        <v>否</v>
      </c>
      <c r="J1046" s="312" t="str">
        <f t="shared" si="67"/>
        <v>项</v>
      </c>
    </row>
    <row r="1047" s="372" customFormat="1" ht="24" hidden="1" customHeight="1" spans="1:10">
      <c r="A1047" s="330">
        <v>2150208</v>
      </c>
      <c r="B1047" s="379" t="s">
        <v>980</v>
      </c>
      <c r="C1047" s="602">
        <v>0</v>
      </c>
      <c r="D1047" s="709"/>
      <c r="E1047" s="710">
        <v>0</v>
      </c>
      <c r="F1047" s="710">
        <v>0</v>
      </c>
      <c r="G1047" s="526" t="str">
        <f t="shared" si="65"/>
        <v/>
      </c>
      <c r="H1047" s="470" t="str">
        <f t="shared" si="66"/>
        <v/>
      </c>
      <c r="I1047" s="524" t="str">
        <f t="shared" si="68"/>
        <v>否</v>
      </c>
      <c r="J1047" s="312" t="str">
        <f t="shared" si="67"/>
        <v>项</v>
      </c>
    </row>
    <row r="1048" s="372" customFormat="1" ht="24" hidden="1" customHeight="1" spans="1:10">
      <c r="A1048" s="330">
        <v>2150209</v>
      </c>
      <c r="B1048" s="379" t="s">
        <v>981</v>
      </c>
      <c r="C1048" s="602">
        <v>0</v>
      </c>
      <c r="D1048" s="709"/>
      <c r="E1048" s="710">
        <v>0</v>
      </c>
      <c r="F1048" s="710">
        <v>0</v>
      </c>
      <c r="G1048" s="526" t="str">
        <f t="shared" si="65"/>
        <v/>
      </c>
      <c r="H1048" s="470" t="str">
        <f t="shared" si="66"/>
        <v/>
      </c>
      <c r="I1048" s="524" t="str">
        <f t="shared" si="68"/>
        <v>否</v>
      </c>
      <c r="J1048" s="312" t="str">
        <f t="shared" si="67"/>
        <v>项</v>
      </c>
    </row>
    <row r="1049" s="372" customFormat="1" ht="24" hidden="1" customHeight="1" spans="1:10">
      <c r="A1049" s="330">
        <v>2150210</v>
      </c>
      <c r="B1049" s="379" t="s">
        <v>982</v>
      </c>
      <c r="C1049" s="602">
        <v>0</v>
      </c>
      <c r="D1049" s="709"/>
      <c r="E1049" s="710">
        <v>0</v>
      </c>
      <c r="F1049" s="710">
        <v>0</v>
      </c>
      <c r="G1049" s="526" t="str">
        <f t="shared" si="65"/>
        <v/>
      </c>
      <c r="H1049" s="470" t="str">
        <f t="shared" si="66"/>
        <v/>
      </c>
      <c r="I1049" s="524" t="str">
        <f t="shared" si="68"/>
        <v>否</v>
      </c>
      <c r="J1049" s="312" t="str">
        <f t="shared" si="67"/>
        <v>项</v>
      </c>
    </row>
    <row r="1050" s="372" customFormat="1" ht="24" hidden="1" customHeight="1" spans="1:10">
      <c r="A1050" s="330">
        <v>2150212</v>
      </c>
      <c r="B1050" s="379" t="s">
        <v>983</v>
      </c>
      <c r="C1050" s="602">
        <v>0</v>
      </c>
      <c r="D1050" s="709"/>
      <c r="E1050" s="710">
        <v>0</v>
      </c>
      <c r="F1050" s="710">
        <v>0</v>
      </c>
      <c r="G1050" s="526" t="str">
        <f t="shared" si="65"/>
        <v/>
      </c>
      <c r="H1050" s="470" t="str">
        <f t="shared" si="66"/>
        <v/>
      </c>
      <c r="I1050" s="524" t="str">
        <f t="shared" si="68"/>
        <v>否</v>
      </c>
      <c r="J1050" s="312" t="str">
        <f t="shared" si="67"/>
        <v>项</v>
      </c>
    </row>
    <row r="1051" s="372" customFormat="1" ht="24" hidden="1" customHeight="1" spans="1:10">
      <c r="A1051" s="330">
        <v>2150213</v>
      </c>
      <c r="B1051" s="379" t="s">
        <v>984</v>
      </c>
      <c r="C1051" s="602">
        <v>0</v>
      </c>
      <c r="D1051" s="709"/>
      <c r="E1051" s="710">
        <v>0</v>
      </c>
      <c r="F1051" s="710">
        <v>0</v>
      </c>
      <c r="G1051" s="526" t="str">
        <f t="shared" si="65"/>
        <v/>
      </c>
      <c r="H1051" s="470" t="str">
        <f t="shared" si="66"/>
        <v/>
      </c>
      <c r="I1051" s="524" t="str">
        <f t="shared" si="68"/>
        <v>否</v>
      </c>
      <c r="J1051" s="312" t="str">
        <f t="shared" si="67"/>
        <v>项</v>
      </c>
    </row>
    <row r="1052" s="372" customFormat="1" ht="24" hidden="1" customHeight="1" spans="1:10">
      <c r="A1052" s="330">
        <v>2150214</v>
      </c>
      <c r="B1052" s="379" t="s">
        <v>985</v>
      </c>
      <c r="C1052" s="602">
        <v>0</v>
      </c>
      <c r="D1052" s="709"/>
      <c r="E1052" s="710">
        <v>0</v>
      </c>
      <c r="F1052" s="710">
        <v>0</v>
      </c>
      <c r="G1052" s="526" t="str">
        <f t="shared" si="65"/>
        <v/>
      </c>
      <c r="H1052" s="470" t="str">
        <f t="shared" si="66"/>
        <v/>
      </c>
      <c r="I1052" s="524" t="str">
        <f t="shared" si="68"/>
        <v>否</v>
      </c>
      <c r="J1052" s="312" t="str">
        <f t="shared" si="67"/>
        <v>项</v>
      </c>
    </row>
    <row r="1053" ht="24" hidden="1" customHeight="1" spans="1:10">
      <c r="A1053" s="330">
        <v>2150215</v>
      </c>
      <c r="B1053" s="379" t="s">
        <v>986</v>
      </c>
      <c r="C1053" s="602">
        <v>0</v>
      </c>
      <c r="D1053" s="709"/>
      <c r="E1053" s="710">
        <v>0</v>
      </c>
      <c r="F1053" s="710">
        <v>0</v>
      </c>
      <c r="G1053" s="526" t="str">
        <f t="shared" si="65"/>
        <v/>
      </c>
      <c r="H1053" s="470" t="str">
        <f t="shared" si="66"/>
        <v/>
      </c>
      <c r="I1053" s="524" t="str">
        <f t="shared" si="68"/>
        <v>否</v>
      </c>
      <c r="J1053" s="312" t="str">
        <f t="shared" si="67"/>
        <v>项</v>
      </c>
    </row>
    <row r="1054" s="372" customFormat="1" ht="24" hidden="1" customHeight="1" spans="1:10">
      <c r="A1054" s="330">
        <v>2150299</v>
      </c>
      <c r="B1054" s="379" t="s">
        <v>987</v>
      </c>
      <c r="C1054" s="602">
        <v>0</v>
      </c>
      <c r="D1054" s="709"/>
      <c r="E1054" s="710">
        <v>0</v>
      </c>
      <c r="F1054" s="710">
        <v>0</v>
      </c>
      <c r="G1054" s="526" t="str">
        <f t="shared" si="65"/>
        <v/>
      </c>
      <c r="H1054" s="470" t="str">
        <f t="shared" si="66"/>
        <v/>
      </c>
      <c r="I1054" s="524" t="str">
        <f t="shared" si="68"/>
        <v>否</v>
      </c>
      <c r="J1054" s="312" t="str">
        <f t="shared" si="67"/>
        <v>项</v>
      </c>
    </row>
    <row r="1055" s="372" customFormat="1" ht="24" customHeight="1" spans="1:10">
      <c r="A1055" s="330">
        <v>21503</v>
      </c>
      <c r="B1055" s="379" t="s">
        <v>988</v>
      </c>
      <c r="C1055" s="601">
        <v>940</v>
      </c>
      <c r="D1055" s="708">
        <f>SUM(D1056:D1059)</f>
        <v>0</v>
      </c>
      <c r="E1055" s="708">
        <f>SUM(E1056:E1059)</f>
        <v>0</v>
      </c>
      <c r="F1055" s="708">
        <f>SUM(F1056:F1059)</f>
        <v>0</v>
      </c>
      <c r="G1055" s="523">
        <f t="shared" si="65"/>
        <v>-1</v>
      </c>
      <c r="H1055" s="467" t="str">
        <f t="shared" si="66"/>
        <v/>
      </c>
      <c r="I1055" s="524" t="str">
        <f t="shared" si="68"/>
        <v>是</v>
      </c>
      <c r="J1055" s="312" t="str">
        <f t="shared" si="67"/>
        <v>款</v>
      </c>
    </row>
    <row r="1056" s="372" customFormat="1" ht="24" hidden="1" customHeight="1" spans="1:10">
      <c r="A1056" s="330">
        <v>2150301</v>
      </c>
      <c r="B1056" s="379" t="s">
        <v>212</v>
      </c>
      <c r="C1056" s="602">
        <v>0</v>
      </c>
      <c r="D1056" s="709"/>
      <c r="E1056" s="710">
        <v>0</v>
      </c>
      <c r="F1056" s="710">
        <v>0</v>
      </c>
      <c r="G1056" s="526" t="str">
        <f t="shared" si="65"/>
        <v/>
      </c>
      <c r="H1056" s="470" t="str">
        <f t="shared" si="66"/>
        <v/>
      </c>
      <c r="I1056" s="524" t="str">
        <f t="shared" si="68"/>
        <v>否</v>
      </c>
      <c r="J1056" s="312" t="str">
        <f t="shared" si="67"/>
        <v>项</v>
      </c>
    </row>
    <row r="1057" s="372" customFormat="1" ht="24" hidden="1" customHeight="1" spans="1:10">
      <c r="A1057" s="330">
        <v>2150302</v>
      </c>
      <c r="B1057" s="379" t="s">
        <v>213</v>
      </c>
      <c r="C1057" s="602">
        <v>0</v>
      </c>
      <c r="D1057" s="709"/>
      <c r="E1057" s="710">
        <v>0</v>
      </c>
      <c r="F1057" s="710">
        <v>0</v>
      </c>
      <c r="G1057" s="526" t="str">
        <f t="shared" si="65"/>
        <v/>
      </c>
      <c r="H1057" s="470" t="str">
        <f t="shared" si="66"/>
        <v/>
      </c>
      <c r="I1057" s="524" t="str">
        <f t="shared" si="68"/>
        <v>否</v>
      </c>
      <c r="J1057" s="312" t="str">
        <f t="shared" si="67"/>
        <v>项</v>
      </c>
    </row>
    <row r="1058" ht="24" hidden="1" customHeight="1" spans="1:10">
      <c r="A1058" s="330">
        <v>2150303</v>
      </c>
      <c r="B1058" s="379" t="s">
        <v>214</v>
      </c>
      <c r="C1058" s="602">
        <v>0</v>
      </c>
      <c r="D1058" s="709"/>
      <c r="E1058" s="710">
        <v>0</v>
      </c>
      <c r="F1058" s="710">
        <v>0</v>
      </c>
      <c r="G1058" s="526" t="str">
        <f t="shared" si="65"/>
        <v/>
      </c>
      <c r="H1058" s="470" t="str">
        <f t="shared" si="66"/>
        <v/>
      </c>
      <c r="I1058" s="524" t="str">
        <f t="shared" si="68"/>
        <v>否</v>
      </c>
      <c r="J1058" s="312" t="str">
        <f t="shared" si="67"/>
        <v>项</v>
      </c>
    </row>
    <row r="1059" s="372" customFormat="1" ht="24" customHeight="1" spans="1:10">
      <c r="A1059" s="330">
        <v>2150399</v>
      </c>
      <c r="B1059" s="379" t="s">
        <v>989</v>
      </c>
      <c r="C1059" s="602">
        <v>940</v>
      </c>
      <c r="D1059" s="709">
        <v>0</v>
      </c>
      <c r="E1059" s="710">
        <v>0</v>
      </c>
      <c r="F1059" s="710">
        <v>0</v>
      </c>
      <c r="G1059" s="526">
        <f t="shared" si="65"/>
        <v>-1</v>
      </c>
      <c r="H1059" s="470" t="str">
        <f t="shared" si="66"/>
        <v/>
      </c>
      <c r="I1059" s="524" t="str">
        <f t="shared" si="68"/>
        <v>是</v>
      </c>
      <c r="J1059" s="312" t="str">
        <f t="shared" si="67"/>
        <v>项</v>
      </c>
    </row>
    <row r="1060" s="374" customFormat="1" ht="24" customHeight="1" spans="1:10">
      <c r="A1060" s="331">
        <v>21505</v>
      </c>
      <c r="B1060" s="327" t="s">
        <v>990</v>
      </c>
      <c r="C1060" s="359">
        <v>6898</v>
      </c>
      <c r="D1060" s="708">
        <f>SUM(D1061:D1070)</f>
        <v>6981</v>
      </c>
      <c r="E1060" s="708">
        <f>SUM(E1061:E1070)</f>
        <v>6981</v>
      </c>
      <c r="F1060" s="708">
        <f>SUM(F1061:F1070)</f>
        <v>2111</v>
      </c>
      <c r="G1060" s="523">
        <f t="shared" si="65"/>
        <v>-0.693969266454045</v>
      </c>
      <c r="H1060" s="467">
        <f t="shared" si="66"/>
        <v>0.30239220742014</v>
      </c>
      <c r="I1060" s="524" t="str">
        <f t="shared" si="68"/>
        <v>是</v>
      </c>
      <c r="J1060" s="313" t="str">
        <f t="shared" si="67"/>
        <v>款</v>
      </c>
    </row>
    <row r="1061" ht="24" customHeight="1" spans="1:10">
      <c r="A1061" s="330">
        <v>2150501</v>
      </c>
      <c r="B1061" s="379" t="s">
        <v>212</v>
      </c>
      <c r="C1061" s="602">
        <v>617</v>
      </c>
      <c r="D1061" s="709">
        <v>665</v>
      </c>
      <c r="E1061" s="710">
        <v>665</v>
      </c>
      <c r="F1061" s="710">
        <v>594</v>
      </c>
      <c r="G1061" s="526">
        <f t="shared" si="65"/>
        <v>-0.0372771474878444</v>
      </c>
      <c r="H1061" s="470">
        <f t="shared" si="66"/>
        <v>0.893233082706767</v>
      </c>
      <c r="I1061" s="524" t="str">
        <f t="shared" si="68"/>
        <v>是</v>
      </c>
      <c r="J1061" s="312" t="str">
        <f t="shared" si="67"/>
        <v>项</v>
      </c>
    </row>
    <row r="1062" ht="24" customHeight="1" spans="1:10">
      <c r="A1062" s="330">
        <v>2150502</v>
      </c>
      <c r="B1062" s="379" t="s">
        <v>213</v>
      </c>
      <c r="C1062" s="602">
        <v>4</v>
      </c>
      <c r="D1062" s="709">
        <v>8</v>
      </c>
      <c r="E1062" s="710">
        <v>8</v>
      </c>
      <c r="F1062" s="710">
        <v>0</v>
      </c>
      <c r="G1062" s="526">
        <f t="shared" si="65"/>
        <v>-1</v>
      </c>
      <c r="H1062" s="470">
        <f t="shared" si="66"/>
        <v>0</v>
      </c>
      <c r="I1062" s="524" t="str">
        <f t="shared" si="68"/>
        <v>是</v>
      </c>
      <c r="J1062" s="312" t="str">
        <f t="shared" si="67"/>
        <v>项</v>
      </c>
    </row>
    <row r="1063" s="372" customFormat="1" ht="24" hidden="1" customHeight="1" spans="1:10">
      <c r="A1063" s="330">
        <v>2150503</v>
      </c>
      <c r="B1063" s="379" t="s">
        <v>214</v>
      </c>
      <c r="C1063" s="602">
        <v>0</v>
      </c>
      <c r="D1063" s="709">
        <v>0</v>
      </c>
      <c r="E1063" s="710">
        <v>0</v>
      </c>
      <c r="F1063" s="710">
        <v>0</v>
      </c>
      <c r="G1063" s="526" t="str">
        <f t="shared" si="65"/>
        <v/>
      </c>
      <c r="H1063" s="470" t="str">
        <f t="shared" si="66"/>
        <v/>
      </c>
      <c r="I1063" s="524" t="str">
        <f t="shared" si="68"/>
        <v>否</v>
      </c>
      <c r="J1063" s="312" t="str">
        <f t="shared" si="67"/>
        <v>项</v>
      </c>
    </row>
    <row r="1064" s="372" customFormat="1" ht="24" hidden="1" customHeight="1" spans="1:10">
      <c r="A1064" s="330">
        <v>2150505</v>
      </c>
      <c r="B1064" s="379" t="s">
        <v>991</v>
      </c>
      <c r="C1064" s="602">
        <v>0</v>
      </c>
      <c r="D1064" s="709">
        <v>0</v>
      </c>
      <c r="E1064" s="710">
        <v>0</v>
      </c>
      <c r="F1064" s="710">
        <v>0</v>
      </c>
      <c r="G1064" s="526" t="str">
        <f t="shared" si="65"/>
        <v/>
      </c>
      <c r="H1064" s="470" t="str">
        <f t="shared" si="66"/>
        <v/>
      </c>
      <c r="I1064" s="524" t="str">
        <f t="shared" si="68"/>
        <v>否</v>
      </c>
      <c r="J1064" s="312" t="str">
        <f t="shared" si="67"/>
        <v>项</v>
      </c>
    </row>
    <row r="1065" s="372" customFormat="1" ht="24" hidden="1" customHeight="1" spans="1:10">
      <c r="A1065" s="330">
        <v>2150507</v>
      </c>
      <c r="B1065" s="379" t="s">
        <v>992</v>
      </c>
      <c r="C1065" s="602">
        <v>0</v>
      </c>
      <c r="D1065" s="709">
        <v>0</v>
      </c>
      <c r="E1065" s="710">
        <v>0</v>
      </c>
      <c r="F1065" s="710">
        <v>0</v>
      </c>
      <c r="G1065" s="526" t="str">
        <f t="shared" si="65"/>
        <v/>
      </c>
      <c r="H1065" s="470" t="str">
        <f t="shared" si="66"/>
        <v/>
      </c>
      <c r="I1065" s="524" t="str">
        <f t="shared" si="68"/>
        <v>否</v>
      </c>
      <c r="J1065" s="312" t="str">
        <f t="shared" si="67"/>
        <v>项</v>
      </c>
    </row>
    <row r="1066" s="372" customFormat="1" ht="24" customHeight="1" spans="1:10">
      <c r="A1066" s="330">
        <v>2150508</v>
      </c>
      <c r="B1066" s="379" t="s">
        <v>993</v>
      </c>
      <c r="C1066" s="602">
        <v>598</v>
      </c>
      <c r="D1066" s="709">
        <v>485</v>
      </c>
      <c r="E1066" s="710">
        <v>485</v>
      </c>
      <c r="F1066" s="710">
        <v>87</v>
      </c>
      <c r="G1066" s="526">
        <f t="shared" si="65"/>
        <v>-0.854515050167224</v>
      </c>
      <c r="H1066" s="470">
        <f t="shared" si="66"/>
        <v>0.179381443298969</v>
      </c>
      <c r="I1066" s="524" t="str">
        <f t="shared" si="68"/>
        <v>是</v>
      </c>
      <c r="J1066" s="312" t="str">
        <f t="shared" si="67"/>
        <v>项</v>
      </c>
    </row>
    <row r="1067" s="372" customFormat="1" ht="24" customHeight="1" spans="1:10">
      <c r="A1067" s="527">
        <v>2150516</v>
      </c>
      <c r="B1067" s="543" t="s">
        <v>994</v>
      </c>
      <c r="C1067" s="602">
        <v>5522</v>
      </c>
      <c r="D1067" s="709">
        <v>5658</v>
      </c>
      <c r="E1067" s="710">
        <v>5658</v>
      </c>
      <c r="F1067" s="710">
        <v>585</v>
      </c>
      <c r="G1067" s="526">
        <f t="shared" si="65"/>
        <v>-0.894060123143788</v>
      </c>
      <c r="H1067" s="470">
        <f t="shared" si="66"/>
        <v>0.1033934252386</v>
      </c>
      <c r="I1067" s="524" t="str">
        <f t="shared" si="68"/>
        <v>是</v>
      </c>
      <c r="J1067" s="312" t="str">
        <f t="shared" si="67"/>
        <v>项</v>
      </c>
    </row>
    <row r="1068" s="372" customFormat="1" ht="24" customHeight="1" spans="1:10">
      <c r="A1068" s="527">
        <v>2150517</v>
      </c>
      <c r="B1068" s="543" t="s">
        <v>995</v>
      </c>
      <c r="C1068" s="602">
        <v>0</v>
      </c>
      <c r="D1068" s="709">
        <v>0</v>
      </c>
      <c r="E1068" s="710">
        <v>0</v>
      </c>
      <c r="F1068" s="710">
        <v>685</v>
      </c>
      <c r="G1068" s="526" t="str">
        <f t="shared" si="65"/>
        <v/>
      </c>
      <c r="H1068" s="470" t="str">
        <f t="shared" si="66"/>
        <v/>
      </c>
      <c r="I1068" s="524" t="str">
        <f t="shared" si="68"/>
        <v>是</v>
      </c>
      <c r="J1068" s="312" t="str">
        <f t="shared" si="67"/>
        <v>项</v>
      </c>
    </row>
    <row r="1069" s="372" customFormat="1" ht="24" customHeight="1" spans="1:10">
      <c r="A1069" s="527">
        <v>2150550</v>
      </c>
      <c r="B1069" s="543" t="s">
        <v>221</v>
      </c>
      <c r="C1069" s="602">
        <v>157</v>
      </c>
      <c r="D1069" s="709">
        <v>165</v>
      </c>
      <c r="E1069" s="710">
        <v>165</v>
      </c>
      <c r="F1069" s="710">
        <v>160</v>
      </c>
      <c r="G1069" s="526">
        <f t="shared" si="65"/>
        <v>0.0191082802547771</v>
      </c>
      <c r="H1069" s="470">
        <f t="shared" si="66"/>
        <v>0.96969696969697</v>
      </c>
      <c r="I1069" s="524" t="str">
        <f t="shared" si="68"/>
        <v>是</v>
      </c>
      <c r="J1069" s="312" t="str">
        <f t="shared" si="67"/>
        <v>项</v>
      </c>
    </row>
    <row r="1070" s="374" customFormat="1" ht="24" hidden="1" customHeight="1" spans="1:10">
      <c r="A1070" s="331">
        <v>2150599</v>
      </c>
      <c r="B1070" s="327" t="s">
        <v>996</v>
      </c>
      <c r="C1070" s="608">
        <v>0</v>
      </c>
      <c r="D1070" s="709">
        <v>0</v>
      </c>
      <c r="E1070" s="710">
        <v>0</v>
      </c>
      <c r="F1070" s="710">
        <v>0</v>
      </c>
      <c r="G1070" s="526" t="str">
        <f t="shared" si="65"/>
        <v/>
      </c>
      <c r="H1070" s="470" t="str">
        <f t="shared" si="66"/>
        <v/>
      </c>
      <c r="I1070" s="524" t="str">
        <f t="shared" si="68"/>
        <v>否</v>
      </c>
      <c r="J1070" s="313" t="str">
        <f t="shared" si="67"/>
        <v>项</v>
      </c>
    </row>
    <row r="1071" s="372" customFormat="1" ht="24" customHeight="1" spans="1:10">
      <c r="A1071" s="330">
        <v>21507</v>
      </c>
      <c r="B1071" s="379" t="s">
        <v>997</v>
      </c>
      <c r="C1071" s="601">
        <v>62496</v>
      </c>
      <c r="D1071" s="708">
        <f>SUM(D1072:D1077)</f>
        <v>61166</v>
      </c>
      <c r="E1071" s="708">
        <f>SUM(E1072:E1077)</f>
        <v>72075</v>
      </c>
      <c r="F1071" s="708">
        <f>SUM(F1072:F1077)</f>
        <v>42004</v>
      </c>
      <c r="G1071" s="523">
        <f t="shared" si="65"/>
        <v>-0.32789298515105</v>
      </c>
      <c r="H1071" s="467">
        <f t="shared" si="66"/>
        <v>0.686721381159468</v>
      </c>
      <c r="I1071" s="524" t="str">
        <f t="shared" si="68"/>
        <v>是</v>
      </c>
      <c r="J1071" s="312" t="str">
        <f t="shared" si="67"/>
        <v>款</v>
      </c>
    </row>
    <row r="1072" ht="24" customHeight="1" spans="1:10">
      <c r="A1072" s="330">
        <v>2150701</v>
      </c>
      <c r="B1072" s="379" t="s">
        <v>212</v>
      </c>
      <c r="C1072" s="602">
        <v>279</v>
      </c>
      <c r="D1072" s="709">
        <v>302</v>
      </c>
      <c r="E1072" s="710">
        <v>302</v>
      </c>
      <c r="F1072" s="710">
        <v>325</v>
      </c>
      <c r="G1072" s="526">
        <f t="shared" si="65"/>
        <v>0.164874551971326</v>
      </c>
      <c r="H1072" s="470">
        <f t="shared" si="66"/>
        <v>1.07615894039735</v>
      </c>
      <c r="I1072" s="524" t="str">
        <f t="shared" si="68"/>
        <v>是</v>
      </c>
      <c r="J1072" s="312" t="str">
        <f t="shared" si="67"/>
        <v>项</v>
      </c>
    </row>
    <row r="1073" s="372" customFormat="1" ht="24" customHeight="1" spans="1:10">
      <c r="A1073" s="330">
        <v>2150702</v>
      </c>
      <c r="B1073" s="379" t="s">
        <v>213</v>
      </c>
      <c r="C1073" s="602">
        <v>5</v>
      </c>
      <c r="D1073" s="709">
        <v>5</v>
      </c>
      <c r="E1073" s="710">
        <v>5</v>
      </c>
      <c r="F1073" s="710">
        <v>0</v>
      </c>
      <c r="G1073" s="526">
        <f t="shared" si="65"/>
        <v>-1</v>
      </c>
      <c r="H1073" s="470">
        <f t="shared" si="66"/>
        <v>0</v>
      </c>
      <c r="I1073" s="524" t="str">
        <f t="shared" si="68"/>
        <v>是</v>
      </c>
      <c r="J1073" s="312" t="str">
        <f t="shared" si="67"/>
        <v>项</v>
      </c>
    </row>
    <row r="1074" s="372" customFormat="1" ht="24" hidden="1" customHeight="1" spans="1:10">
      <c r="A1074" s="330">
        <v>2150703</v>
      </c>
      <c r="B1074" s="379" t="s">
        <v>214</v>
      </c>
      <c r="C1074" s="602">
        <v>0</v>
      </c>
      <c r="D1074" s="709">
        <v>0</v>
      </c>
      <c r="E1074" s="710">
        <v>0</v>
      </c>
      <c r="F1074" s="710">
        <v>0</v>
      </c>
      <c r="G1074" s="526" t="str">
        <f t="shared" si="65"/>
        <v/>
      </c>
      <c r="H1074" s="470" t="str">
        <f t="shared" si="66"/>
        <v/>
      </c>
      <c r="I1074" s="524" t="str">
        <f t="shared" si="68"/>
        <v>否</v>
      </c>
      <c r="J1074" s="312" t="str">
        <f t="shared" si="67"/>
        <v>项</v>
      </c>
    </row>
    <row r="1075" s="372" customFormat="1" ht="24" hidden="1" customHeight="1" spans="1:10">
      <c r="A1075" s="330">
        <v>2150704</v>
      </c>
      <c r="B1075" s="379" t="s">
        <v>998</v>
      </c>
      <c r="C1075" s="602">
        <v>0</v>
      </c>
      <c r="D1075" s="709">
        <v>0</v>
      </c>
      <c r="E1075" s="710">
        <v>0</v>
      </c>
      <c r="F1075" s="710">
        <v>0</v>
      </c>
      <c r="G1075" s="526" t="str">
        <f t="shared" si="65"/>
        <v/>
      </c>
      <c r="H1075" s="470" t="str">
        <f t="shared" si="66"/>
        <v/>
      </c>
      <c r="I1075" s="524" t="str">
        <f t="shared" si="68"/>
        <v>否</v>
      </c>
      <c r="J1075" s="312" t="str">
        <f t="shared" si="67"/>
        <v>项</v>
      </c>
    </row>
    <row r="1076" s="372" customFormat="1" ht="24" hidden="1" customHeight="1" spans="1:10">
      <c r="A1076" s="330">
        <v>2150705</v>
      </c>
      <c r="B1076" s="379" t="s">
        <v>999</v>
      </c>
      <c r="C1076" s="602">
        <v>0</v>
      </c>
      <c r="D1076" s="709">
        <v>0</v>
      </c>
      <c r="E1076" s="710">
        <v>0</v>
      </c>
      <c r="F1076" s="710">
        <v>0</v>
      </c>
      <c r="G1076" s="526" t="str">
        <f t="shared" si="65"/>
        <v/>
      </c>
      <c r="H1076" s="470" t="str">
        <f t="shared" si="66"/>
        <v/>
      </c>
      <c r="I1076" s="524" t="str">
        <f t="shared" si="68"/>
        <v>否</v>
      </c>
      <c r="J1076" s="312" t="str">
        <f t="shared" si="67"/>
        <v>项</v>
      </c>
    </row>
    <row r="1077" s="372" customFormat="1" ht="24" customHeight="1" spans="1:10">
      <c r="A1077" s="330">
        <v>2150799</v>
      </c>
      <c r="B1077" s="379" t="s">
        <v>1000</v>
      </c>
      <c r="C1077" s="602">
        <v>62212</v>
      </c>
      <c r="D1077" s="709">
        <v>60859</v>
      </c>
      <c r="E1077" s="710">
        <v>71768</v>
      </c>
      <c r="F1077" s="710">
        <v>41679</v>
      </c>
      <c r="G1077" s="526">
        <f t="shared" si="65"/>
        <v>-0.330048865170707</v>
      </c>
      <c r="H1077" s="470">
        <f t="shared" si="66"/>
        <v>0.684845298148179</v>
      </c>
      <c r="I1077" s="524" t="str">
        <f t="shared" si="68"/>
        <v>是</v>
      </c>
      <c r="J1077" s="312" t="str">
        <f t="shared" si="67"/>
        <v>项</v>
      </c>
    </row>
    <row r="1078" s="372" customFormat="1" ht="24" customHeight="1" spans="1:10">
      <c r="A1078" s="330">
        <v>21508</v>
      </c>
      <c r="B1078" s="379" t="s">
        <v>1001</v>
      </c>
      <c r="C1078" s="601">
        <v>3092</v>
      </c>
      <c r="D1078" s="708">
        <f>SUM(D1079:D1085)</f>
        <v>0</v>
      </c>
      <c r="E1078" s="708">
        <f>SUM(E1079:E1085)</f>
        <v>0</v>
      </c>
      <c r="F1078" s="708">
        <f>SUM(F1079:F1085)</f>
        <v>-141</v>
      </c>
      <c r="G1078" s="523">
        <f t="shared" si="65"/>
        <v>-1.04560155239327</v>
      </c>
      <c r="H1078" s="467" t="str">
        <f t="shared" si="66"/>
        <v/>
      </c>
      <c r="I1078" s="524" t="str">
        <f t="shared" si="68"/>
        <v>是</v>
      </c>
      <c r="J1078" s="312" t="str">
        <f t="shared" si="67"/>
        <v>款</v>
      </c>
    </row>
    <row r="1079" s="372" customFormat="1" ht="24" hidden="1" customHeight="1" spans="1:10">
      <c r="A1079" s="330">
        <v>2150801</v>
      </c>
      <c r="B1079" s="379" t="s">
        <v>212</v>
      </c>
      <c r="C1079" s="602">
        <v>0</v>
      </c>
      <c r="D1079" s="709">
        <v>0</v>
      </c>
      <c r="E1079" s="710">
        <v>0</v>
      </c>
      <c r="F1079" s="710">
        <v>0</v>
      </c>
      <c r="G1079" s="526" t="str">
        <f t="shared" si="65"/>
        <v/>
      </c>
      <c r="H1079" s="470" t="str">
        <f t="shared" si="66"/>
        <v/>
      </c>
      <c r="I1079" s="524" t="str">
        <f t="shared" si="68"/>
        <v>否</v>
      </c>
      <c r="J1079" s="312" t="str">
        <f t="shared" si="67"/>
        <v>项</v>
      </c>
    </row>
    <row r="1080" s="372" customFormat="1" ht="24" hidden="1" customHeight="1" spans="1:10">
      <c r="A1080" s="330">
        <v>2150802</v>
      </c>
      <c r="B1080" s="379" t="s">
        <v>213</v>
      </c>
      <c r="C1080" s="602">
        <v>0</v>
      </c>
      <c r="D1080" s="709">
        <v>0</v>
      </c>
      <c r="E1080" s="710">
        <v>0</v>
      </c>
      <c r="F1080" s="710">
        <v>0</v>
      </c>
      <c r="G1080" s="526" t="str">
        <f t="shared" si="65"/>
        <v/>
      </c>
      <c r="H1080" s="470" t="str">
        <f t="shared" si="66"/>
        <v/>
      </c>
      <c r="I1080" s="524" t="str">
        <f t="shared" si="68"/>
        <v>否</v>
      </c>
      <c r="J1080" s="312" t="str">
        <f t="shared" si="67"/>
        <v>项</v>
      </c>
    </row>
    <row r="1081" s="372" customFormat="1" ht="24" hidden="1" customHeight="1" spans="1:10">
      <c r="A1081" s="330">
        <v>2150803</v>
      </c>
      <c r="B1081" s="379" t="s">
        <v>214</v>
      </c>
      <c r="C1081" s="602">
        <v>0</v>
      </c>
      <c r="D1081" s="709">
        <v>0</v>
      </c>
      <c r="E1081" s="710">
        <v>0</v>
      </c>
      <c r="F1081" s="710">
        <v>0</v>
      </c>
      <c r="G1081" s="526" t="str">
        <f t="shared" si="65"/>
        <v/>
      </c>
      <c r="H1081" s="470" t="str">
        <f t="shared" si="66"/>
        <v/>
      </c>
      <c r="I1081" s="524" t="str">
        <f t="shared" si="68"/>
        <v>否</v>
      </c>
      <c r="J1081" s="312" t="str">
        <f t="shared" si="67"/>
        <v>项</v>
      </c>
    </row>
    <row r="1082" s="372" customFormat="1" ht="24" hidden="1" customHeight="1" spans="1:10">
      <c r="A1082" s="330">
        <v>2150804</v>
      </c>
      <c r="B1082" s="379" t="s">
        <v>1002</v>
      </c>
      <c r="C1082" s="602">
        <v>0</v>
      </c>
      <c r="D1082" s="709">
        <v>0</v>
      </c>
      <c r="E1082" s="710">
        <v>0</v>
      </c>
      <c r="F1082" s="710">
        <v>0</v>
      </c>
      <c r="G1082" s="526" t="str">
        <f t="shared" si="65"/>
        <v/>
      </c>
      <c r="H1082" s="470" t="str">
        <f t="shared" si="66"/>
        <v/>
      </c>
      <c r="I1082" s="524" t="str">
        <f t="shared" si="68"/>
        <v>否</v>
      </c>
      <c r="J1082" s="312" t="str">
        <f t="shared" si="67"/>
        <v>项</v>
      </c>
    </row>
    <row r="1083" s="372" customFormat="1" ht="24" customHeight="1" spans="1:10">
      <c r="A1083" s="330">
        <v>2150805</v>
      </c>
      <c r="B1083" s="379" t="s">
        <v>1003</v>
      </c>
      <c r="C1083" s="602">
        <v>595</v>
      </c>
      <c r="D1083" s="709">
        <v>0</v>
      </c>
      <c r="E1083" s="710">
        <v>0</v>
      </c>
      <c r="F1083" s="710">
        <v>349</v>
      </c>
      <c r="G1083" s="526">
        <f t="shared" si="65"/>
        <v>-0.41344537815126</v>
      </c>
      <c r="H1083" s="470" t="str">
        <f t="shared" si="66"/>
        <v/>
      </c>
      <c r="I1083" s="524" t="str">
        <f t="shared" si="68"/>
        <v>是</v>
      </c>
      <c r="J1083" s="312" t="str">
        <f t="shared" si="67"/>
        <v>项</v>
      </c>
    </row>
    <row r="1084" s="372" customFormat="1" ht="24" hidden="1" customHeight="1" spans="1:10">
      <c r="A1084" s="527">
        <v>2150806</v>
      </c>
      <c r="B1084" s="534" t="s">
        <v>1004</v>
      </c>
      <c r="C1084" s="602">
        <v>0</v>
      </c>
      <c r="D1084" s="709">
        <v>0</v>
      </c>
      <c r="E1084" s="710">
        <v>0</v>
      </c>
      <c r="F1084" s="710">
        <v>0</v>
      </c>
      <c r="G1084" s="526" t="str">
        <f t="shared" si="65"/>
        <v/>
      </c>
      <c r="H1084" s="470" t="str">
        <f t="shared" si="66"/>
        <v/>
      </c>
      <c r="I1084" s="524" t="str">
        <f t="shared" si="68"/>
        <v>否</v>
      </c>
      <c r="J1084" s="312" t="str">
        <f t="shared" si="67"/>
        <v>项</v>
      </c>
    </row>
    <row r="1085" s="372" customFormat="1" ht="24" customHeight="1" spans="1:10">
      <c r="A1085" s="330">
        <v>2150899</v>
      </c>
      <c r="B1085" s="379" t="s">
        <v>1005</v>
      </c>
      <c r="C1085" s="602">
        <v>2497</v>
      </c>
      <c r="D1085" s="709">
        <v>0</v>
      </c>
      <c r="E1085" s="710">
        <v>0</v>
      </c>
      <c r="F1085" s="710">
        <v>-490</v>
      </c>
      <c r="G1085" s="526">
        <f t="shared" si="65"/>
        <v>-1.19623548257909</v>
      </c>
      <c r="H1085" s="470" t="str">
        <f t="shared" si="66"/>
        <v/>
      </c>
      <c r="I1085" s="524" t="str">
        <f t="shared" si="68"/>
        <v>是</v>
      </c>
      <c r="J1085" s="312" t="str">
        <f t="shared" si="67"/>
        <v>项</v>
      </c>
    </row>
    <row r="1086" s="372" customFormat="1" ht="24" customHeight="1" spans="1:10">
      <c r="A1086" s="330">
        <v>21599</v>
      </c>
      <c r="B1086" s="379" t="s">
        <v>1006</v>
      </c>
      <c r="C1086" s="601">
        <v>0</v>
      </c>
      <c r="D1086" s="708">
        <f>SUM(D1087:D1091)</f>
        <v>0</v>
      </c>
      <c r="E1086" s="708">
        <f>SUM(E1087:E1091)</f>
        <v>0</v>
      </c>
      <c r="F1086" s="708">
        <f>SUM(F1087:F1091)</f>
        <v>808</v>
      </c>
      <c r="G1086" s="523" t="str">
        <f t="shared" si="65"/>
        <v/>
      </c>
      <c r="H1086" s="467" t="str">
        <f t="shared" si="66"/>
        <v/>
      </c>
      <c r="I1086" s="524" t="str">
        <f t="shared" si="68"/>
        <v>是</v>
      </c>
      <c r="J1086" s="312" t="str">
        <f t="shared" si="67"/>
        <v>款</v>
      </c>
    </row>
    <row r="1087" s="372" customFormat="1" ht="24" hidden="1" customHeight="1" spans="1:10">
      <c r="A1087" s="330">
        <v>2159901</v>
      </c>
      <c r="B1087" s="379" t="s">
        <v>1007</v>
      </c>
      <c r="C1087" s="602">
        <v>0</v>
      </c>
      <c r="D1087" s="709"/>
      <c r="E1087" s="710">
        <v>0</v>
      </c>
      <c r="F1087" s="710">
        <v>0</v>
      </c>
      <c r="G1087" s="526" t="str">
        <f t="shared" si="65"/>
        <v/>
      </c>
      <c r="H1087" s="470" t="str">
        <f t="shared" si="66"/>
        <v/>
      </c>
      <c r="I1087" s="524" t="str">
        <f t="shared" si="68"/>
        <v>否</v>
      </c>
      <c r="J1087" s="312" t="str">
        <f t="shared" si="67"/>
        <v>项</v>
      </c>
    </row>
    <row r="1088" ht="24" hidden="1" customHeight="1" spans="1:10">
      <c r="A1088" s="330">
        <v>2159904</v>
      </c>
      <c r="B1088" s="379" t="s">
        <v>1008</v>
      </c>
      <c r="C1088" s="602">
        <v>0</v>
      </c>
      <c r="D1088" s="709"/>
      <c r="E1088" s="710">
        <v>0</v>
      </c>
      <c r="F1088" s="710">
        <v>0</v>
      </c>
      <c r="G1088" s="526" t="str">
        <f t="shared" si="65"/>
        <v/>
      </c>
      <c r="H1088" s="470" t="str">
        <f t="shared" si="66"/>
        <v/>
      </c>
      <c r="I1088" s="524" t="str">
        <f t="shared" si="68"/>
        <v>否</v>
      </c>
      <c r="J1088" s="312" t="str">
        <f t="shared" si="67"/>
        <v>项</v>
      </c>
    </row>
    <row r="1089" s="372" customFormat="1" ht="24" hidden="1" customHeight="1" spans="1:10">
      <c r="A1089" s="330">
        <v>2159905</v>
      </c>
      <c r="B1089" s="379" t="s">
        <v>1009</v>
      </c>
      <c r="C1089" s="602">
        <v>0</v>
      </c>
      <c r="D1089" s="709"/>
      <c r="E1089" s="710">
        <v>0</v>
      </c>
      <c r="F1089" s="710">
        <v>0</v>
      </c>
      <c r="G1089" s="526" t="str">
        <f t="shared" si="65"/>
        <v/>
      </c>
      <c r="H1089" s="470" t="str">
        <f t="shared" si="66"/>
        <v/>
      </c>
      <c r="I1089" s="524" t="str">
        <f t="shared" si="68"/>
        <v>否</v>
      </c>
      <c r="J1089" s="312" t="str">
        <f t="shared" si="67"/>
        <v>项</v>
      </c>
    </row>
    <row r="1090" s="372" customFormat="1" ht="24" hidden="1" customHeight="1" spans="1:10">
      <c r="A1090" s="330">
        <v>2159906</v>
      </c>
      <c r="B1090" s="379" t="s">
        <v>1010</v>
      </c>
      <c r="C1090" s="602">
        <v>0</v>
      </c>
      <c r="D1090" s="709"/>
      <c r="E1090" s="710">
        <v>0</v>
      </c>
      <c r="F1090" s="710">
        <v>0</v>
      </c>
      <c r="G1090" s="526" t="str">
        <f t="shared" si="65"/>
        <v/>
      </c>
      <c r="H1090" s="470" t="str">
        <f t="shared" si="66"/>
        <v/>
      </c>
      <c r="I1090" s="524" t="str">
        <f t="shared" si="68"/>
        <v>否</v>
      </c>
      <c r="J1090" s="312" t="str">
        <f t="shared" si="67"/>
        <v>项</v>
      </c>
    </row>
    <row r="1091" s="372" customFormat="1" ht="24" customHeight="1" spans="1:10">
      <c r="A1091" s="330">
        <v>2159999</v>
      </c>
      <c r="B1091" s="379" t="s">
        <v>1011</v>
      </c>
      <c r="C1091" s="602">
        <v>0</v>
      </c>
      <c r="D1091" s="709"/>
      <c r="E1091" s="710">
        <v>0</v>
      </c>
      <c r="F1091" s="710">
        <v>808</v>
      </c>
      <c r="G1091" s="526" t="str">
        <f t="shared" ref="G1091:G1154" si="69">IFERROR((F1091-C1091)/C1091,"")</f>
        <v/>
      </c>
      <c r="H1091" s="470" t="str">
        <f t="shared" ref="H1091:H1154" si="70">IFERROR(F1091/D1091,"")</f>
        <v/>
      </c>
      <c r="I1091" s="524" t="str">
        <f t="shared" si="68"/>
        <v>是</v>
      </c>
      <c r="J1091" s="312" t="str">
        <f t="shared" ref="J1091:J1154" si="71">IF(LEN(A1091)=3,"类",IF(LEN(A1091)=5,"款","项"))</f>
        <v>项</v>
      </c>
    </row>
    <row r="1092" s="372" customFormat="1" ht="24" customHeight="1" spans="1:10">
      <c r="A1092" s="329">
        <v>216</v>
      </c>
      <c r="B1092" s="377" t="s">
        <v>189</v>
      </c>
      <c r="C1092" s="601">
        <v>283</v>
      </c>
      <c r="D1092" s="708">
        <f>D1093+D1103+D1109</f>
        <v>292</v>
      </c>
      <c r="E1092" s="708">
        <f>E1093+E1103+E1109</f>
        <v>292</v>
      </c>
      <c r="F1092" s="708">
        <f>F1093+F1103+F1109</f>
        <v>1649</v>
      </c>
      <c r="G1092" s="523">
        <f t="shared" si="69"/>
        <v>4.82685512367491</v>
      </c>
      <c r="H1092" s="467">
        <f t="shared" si="70"/>
        <v>5.6472602739726</v>
      </c>
      <c r="I1092" s="524" t="str">
        <f t="shared" ref="I1092:I1155" si="72">IF(LEN(A1092)=3,"是",IF(B1092&lt;&gt;"",IF(SUM(C1092:F1092)&lt;&gt;0,"是","否"),"是"))</f>
        <v>是</v>
      </c>
      <c r="J1092" s="312" t="str">
        <f t="shared" si="71"/>
        <v>类</v>
      </c>
    </row>
    <row r="1093" ht="24" customHeight="1" spans="1:10">
      <c r="A1093" s="330">
        <v>21602</v>
      </c>
      <c r="B1093" s="379" t="s">
        <v>1012</v>
      </c>
      <c r="C1093" s="601">
        <v>283</v>
      </c>
      <c r="D1093" s="708">
        <f>SUM(D1094:D1102)</f>
        <v>292</v>
      </c>
      <c r="E1093" s="708">
        <f>SUM(E1094:E1102)</f>
        <v>292</v>
      </c>
      <c r="F1093" s="708">
        <f>SUM(F1094:F1102)</f>
        <v>1156</v>
      </c>
      <c r="G1093" s="523">
        <f t="shared" si="69"/>
        <v>3.08480565371025</v>
      </c>
      <c r="H1093" s="467">
        <f t="shared" si="70"/>
        <v>3.95890410958904</v>
      </c>
      <c r="I1093" s="524" t="str">
        <f t="shared" si="72"/>
        <v>是</v>
      </c>
      <c r="J1093" s="312" t="str">
        <f t="shared" si="71"/>
        <v>款</v>
      </c>
    </row>
    <row r="1094" s="372" customFormat="1" ht="24" customHeight="1" spans="1:10">
      <c r="A1094" s="330">
        <v>2160201</v>
      </c>
      <c r="B1094" s="379" t="s">
        <v>212</v>
      </c>
      <c r="C1094" s="602">
        <v>202</v>
      </c>
      <c r="D1094" s="709">
        <v>213</v>
      </c>
      <c r="E1094" s="710">
        <v>213</v>
      </c>
      <c r="F1094" s="710">
        <v>211</v>
      </c>
      <c r="G1094" s="526">
        <f t="shared" si="69"/>
        <v>0.0445544554455446</v>
      </c>
      <c r="H1094" s="470">
        <f t="shared" si="70"/>
        <v>0.990610328638498</v>
      </c>
      <c r="I1094" s="524" t="str">
        <f t="shared" si="72"/>
        <v>是</v>
      </c>
      <c r="J1094" s="312" t="str">
        <f t="shared" si="71"/>
        <v>项</v>
      </c>
    </row>
    <row r="1095" s="372" customFormat="1" ht="24" hidden="1" customHeight="1" spans="1:10">
      <c r="A1095" s="330">
        <v>2160202</v>
      </c>
      <c r="B1095" s="379" t="s">
        <v>213</v>
      </c>
      <c r="C1095" s="602">
        <v>0</v>
      </c>
      <c r="D1095" s="709">
        <v>0</v>
      </c>
      <c r="E1095" s="710">
        <v>0</v>
      </c>
      <c r="F1095" s="710">
        <v>0</v>
      </c>
      <c r="G1095" s="526" t="str">
        <f t="shared" si="69"/>
        <v/>
      </c>
      <c r="H1095" s="470" t="str">
        <f t="shared" si="70"/>
        <v/>
      </c>
      <c r="I1095" s="524" t="str">
        <f t="shared" si="72"/>
        <v>否</v>
      </c>
      <c r="J1095" s="312" t="str">
        <f t="shared" si="71"/>
        <v>项</v>
      </c>
    </row>
    <row r="1096" s="372" customFormat="1" ht="24" hidden="1" customHeight="1" spans="1:10">
      <c r="A1096" s="330">
        <v>2160203</v>
      </c>
      <c r="B1096" s="379" t="s">
        <v>214</v>
      </c>
      <c r="C1096" s="602">
        <v>0</v>
      </c>
      <c r="D1096" s="709">
        <v>0</v>
      </c>
      <c r="E1096" s="710">
        <v>0</v>
      </c>
      <c r="F1096" s="710">
        <v>0</v>
      </c>
      <c r="G1096" s="526" t="str">
        <f t="shared" si="69"/>
        <v/>
      </c>
      <c r="H1096" s="470" t="str">
        <f t="shared" si="70"/>
        <v/>
      </c>
      <c r="I1096" s="524" t="str">
        <f t="shared" si="72"/>
        <v>否</v>
      </c>
      <c r="J1096" s="312" t="str">
        <f t="shared" si="71"/>
        <v>项</v>
      </c>
    </row>
    <row r="1097" s="372" customFormat="1" ht="24" hidden="1" customHeight="1" spans="1:10">
      <c r="A1097" s="330">
        <v>2160216</v>
      </c>
      <c r="B1097" s="379" t="s">
        <v>1013</v>
      </c>
      <c r="C1097" s="602">
        <v>0</v>
      </c>
      <c r="D1097" s="709">
        <v>0</v>
      </c>
      <c r="E1097" s="710">
        <v>0</v>
      </c>
      <c r="F1097" s="710">
        <v>0</v>
      </c>
      <c r="G1097" s="526" t="str">
        <f t="shared" si="69"/>
        <v/>
      </c>
      <c r="H1097" s="470" t="str">
        <f t="shared" si="70"/>
        <v/>
      </c>
      <c r="I1097" s="524" t="str">
        <f t="shared" si="72"/>
        <v>否</v>
      </c>
      <c r="J1097" s="312" t="str">
        <f t="shared" si="71"/>
        <v>项</v>
      </c>
    </row>
    <row r="1098" s="372" customFormat="1" ht="24" hidden="1" customHeight="1" spans="1:10">
      <c r="A1098" s="330">
        <v>2160217</v>
      </c>
      <c r="B1098" s="379" t="s">
        <v>1014</v>
      </c>
      <c r="C1098" s="602">
        <v>0</v>
      </c>
      <c r="D1098" s="709">
        <v>0</v>
      </c>
      <c r="E1098" s="710">
        <v>0</v>
      </c>
      <c r="F1098" s="710">
        <v>0</v>
      </c>
      <c r="G1098" s="526" t="str">
        <f t="shared" si="69"/>
        <v/>
      </c>
      <c r="H1098" s="470" t="str">
        <f t="shared" si="70"/>
        <v/>
      </c>
      <c r="I1098" s="524" t="str">
        <f t="shared" si="72"/>
        <v>否</v>
      </c>
      <c r="J1098" s="312" t="str">
        <f t="shared" si="71"/>
        <v>项</v>
      </c>
    </row>
    <row r="1099" s="372" customFormat="1" ht="24" hidden="1" customHeight="1" spans="1:10">
      <c r="A1099" s="330">
        <v>2160218</v>
      </c>
      <c r="B1099" s="379" t="s">
        <v>1015</v>
      </c>
      <c r="C1099" s="602">
        <v>0</v>
      </c>
      <c r="D1099" s="709">
        <v>0</v>
      </c>
      <c r="E1099" s="710">
        <v>0</v>
      </c>
      <c r="F1099" s="710">
        <v>0</v>
      </c>
      <c r="G1099" s="526" t="str">
        <f t="shared" si="69"/>
        <v/>
      </c>
      <c r="H1099" s="470" t="str">
        <f t="shared" si="70"/>
        <v/>
      </c>
      <c r="I1099" s="524" t="str">
        <f t="shared" si="72"/>
        <v>否</v>
      </c>
      <c r="J1099" s="312" t="str">
        <f t="shared" si="71"/>
        <v>项</v>
      </c>
    </row>
    <row r="1100" s="372" customFormat="1" ht="24" hidden="1" customHeight="1" spans="1:10">
      <c r="A1100" s="330">
        <v>2160219</v>
      </c>
      <c r="B1100" s="379" t="s">
        <v>1016</v>
      </c>
      <c r="C1100" s="602">
        <v>0</v>
      </c>
      <c r="D1100" s="709">
        <v>0</v>
      </c>
      <c r="E1100" s="710">
        <v>0</v>
      </c>
      <c r="F1100" s="710">
        <v>0</v>
      </c>
      <c r="G1100" s="526" t="str">
        <f t="shared" si="69"/>
        <v/>
      </c>
      <c r="H1100" s="470" t="str">
        <f t="shared" si="70"/>
        <v/>
      </c>
      <c r="I1100" s="524" t="str">
        <f t="shared" si="72"/>
        <v>否</v>
      </c>
      <c r="J1100" s="312" t="str">
        <f t="shared" si="71"/>
        <v>项</v>
      </c>
    </row>
    <row r="1101" s="372" customFormat="1" ht="24" customHeight="1" spans="1:10">
      <c r="A1101" s="330">
        <v>2160250</v>
      </c>
      <c r="B1101" s="379" t="s">
        <v>221</v>
      </c>
      <c r="C1101" s="602">
        <v>55</v>
      </c>
      <c r="D1101" s="709">
        <v>58</v>
      </c>
      <c r="E1101" s="710">
        <v>58</v>
      </c>
      <c r="F1101" s="710">
        <v>64</v>
      </c>
      <c r="G1101" s="526">
        <f t="shared" si="69"/>
        <v>0.163636363636364</v>
      </c>
      <c r="H1101" s="470">
        <f t="shared" si="70"/>
        <v>1.10344827586207</v>
      </c>
      <c r="I1101" s="524" t="str">
        <f t="shared" si="72"/>
        <v>是</v>
      </c>
      <c r="J1101" s="312" t="str">
        <f t="shared" si="71"/>
        <v>项</v>
      </c>
    </row>
    <row r="1102" s="372" customFormat="1" ht="24" customHeight="1" spans="1:10">
      <c r="A1102" s="330">
        <v>2160299</v>
      </c>
      <c r="B1102" s="379" t="s">
        <v>1017</v>
      </c>
      <c r="C1102" s="602">
        <v>26</v>
      </c>
      <c r="D1102" s="709">
        <v>21</v>
      </c>
      <c r="E1102" s="710">
        <v>21</v>
      </c>
      <c r="F1102" s="710">
        <v>881</v>
      </c>
      <c r="G1102" s="526">
        <f t="shared" si="69"/>
        <v>32.8846153846154</v>
      </c>
      <c r="H1102" s="470">
        <f t="shared" si="70"/>
        <v>41.9523809523809</v>
      </c>
      <c r="I1102" s="524" t="str">
        <f t="shared" si="72"/>
        <v>是</v>
      </c>
      <c r="J1102" s="312" t="str">
        <f t="shared" si="71"/>
        <v>项</v>
      </c>
    </row>
    <row r="1103" s="372" customFormat="1" ht="24" customHeight="1" spans="1:10">
      <c r="A1103" s="330">
        <v>21606</v>
      </c>
      <c r="B1103" s="379" t="s">
        <v>1018</v>
      </c>
      <c r="C1103" s="601">
        <v>0</v>
      </c>
      <c r="D1103" s="708">
        <f>SUM(D1104:D1108)</f>
        <v>0</v>
      </c>
      <c r="E1103" s="708">
        <f>SUM(E1104:E1108)</f>
        <v>0</v>
      </c>
      <c r="F1103" s="708">
        <f>SUM(F1104:F1108)</f>
        <v>439</v>
      </c>
      <c r="G1103" s="523" t="str">
        <f t="shared" si="69"/>
        <v/>
      </c>
      <c r="H1103" s="467" t="str">
        <f t="shared" si="70"/>
        <v/>
      </c>
      <c r="I1103" s="524" t="str">
        <f t="shared" si="72"/>
        <v>是</v>
      </c>
      <c r="J1103" s="312" t="str">
        <f t="shared" si="71"/>
        <v>款</v>
      </c>
    </row>
    <row r="1104" s="372" customFormat="1" ht="24" hidden="1" customHeight="1" spans="1:10">
      <c r="A1104" s="330">
        <v>2160601</v>
      </c>
      <c r="B1104" s="379" t="s">
        <v>212</v>
      </c>
      <c r="C1104" s="602">
        <v>0</v>
      </c>
      <c r="D1104" s="709"/>
      <c r="E1104" s="710">
        <v>0</v>
      </c>
      <c r="F1104" s="710">
        <v>0</v>
      </c>
      <c r="G1104" s="526" t="str">
        <f t="shared" si="69"/>
        <v/>
      </c>
      <c r="H1104" s="470" t="str">
        <f t="shared" si="70"/>
        <v/>
      </c>
      <c r="I1104" s="524" t="str">
        <f t="shared" si="72"/>
        <v>否</v>
      </c>
      <c r="J1104" s="312" t="str">
        <f t="shared" si="71"/>
        <v>项</v>
      </c>
    </row>
    <row r="1105" s="372" customFormat="1" ht="24" hidden="1" customHeight="1" spans="1:10">
      <c r="A1105" s="330">
        <v>2160602</v>
      </c>
      <c r="B1105" s="379" t="s">
        <v>213</v>
      </c>
      <c r="C1105" s="602">
        <v>0</v>
      </c>
      <c r="D1105" s="709"/>
      <c r="E1105" s="710">
        <v>0</v>
      </c>
      <c r="F1105" s="710">
        <v>0</v>
      </c>
      <c r="G1105" s="526" t="str">
        <f t="shared" si="69"/>
        <v/>
      </c>
      <c r="H1105" s="470" t="str">
        <f t="shared" si="70"/>
        <v/>
      </c>
      <c r="I1105" s="524" t="str">
        <f t="shared" si="72"/>
        <v>否</v>
      </c>
      <c r="J1105" s="312" t="str">
        <f t="shared" si="71"/>
        <v>项</v>
      </c>
    </row>
    <row r="1106" s="372" customFormat="1" ht="24" hidden="1" customHeight="1" spans="1:10">
      <c r="A1106" s="330">
        <v>2160603</v>
      </c>
      <c r="B1106" s="379" t="s">
        <v>214</v>
      </c>
      <c r="C1106" s="602">
        <v>0</v>
      </c>
      <c r="D1106" s="709"/>
      <c r="E1106" s="710">
        <v>0</v>
      </c>
      <c r="F1106" s="710">
        <v>0</v>
      </c>
      <c r="G1106" s="526" t="str">
        <f t="shared" si="69"/>
        <v/>
      </c>
      <c r="H1106" s="470" t="str">
        <f t="shared" si="70"/>
        <v/>
      </c>
      <c r="I1106" s="524" t="str">
        <f t="shared" si="72"/>
        <v>否</v>
      </c>
      <c r="J1106" s="312" t="str">
        <f t="shared" si="71"/>
        <v>项</v>
      </c>
    </row>
    <row r="1107" s="372" customFormat="1" ht="24" hidden="1" customHeight="1" spans="1:10">
      <c r="A1107" s="330">
        <v>2160607</v>
      </c>
      <c r="B1107" s="379" t="s">
        <v>1019</v>
      </c>
      <c r="C1107" s="602">
        <v>0</v>
      </c>
      <c r="D1107" s="709"/>
      <c r="E1107" s="710">
        <v>0</v>
      </c>
      <c r="F1107" s="710">
        <v>0</v>
      </c>
      <c r="G1107" s="526" t="str">
        <f t="shared" si="69"/>
        <v/>
      </c>
      <c r="H1107" s="470" t="str">
        <f t="shared" si="70"/>
        <v/>
      </c>
      <c r="I1107" s="524" t="str">
        <f t="shared" si="72"/>
        <v>否</v>
      </c>
      <c r="J1107" s="312" t="str">
        <f t="shared" si="71"/>
        <v>项</v>
      </c>
    </row>
    <row r="1108" s="372" customFormat="1" ht="24" customHeight="1" spans="1:10">
      <c r="A1108" s="330">
        <v>2160699</v>
      </c>
      <c r="B1108" s="379" t="s">
        <v>1020</v>
      </c>
      <c r="C1108" s="602">
        <v>0</v>
      </c>
      <c r="D1108" s="709"/>
      <c r="E1108" s="710">
        <v>0</v>
      </c>
      <c r="F1108" s="710">
        <v>439</v>
      </c>
      <c r="G1108" s="526" t="str">
        <f t="shared" si="69"/>
        <v/>
      </c>
      <c r="H1108" s="470" t="str">
        <f t="shared" si="70"/>
        <v/>
      </c>
      <c r="I1108" s="524" t="str">
        <f t="shared" si="72"/>
        <v>是</v>
      </c>
      <c r="J1108" s="312" t="str">
        <f t="shared" si="71"/>
        <v>项</v>
      </c>
    </row>
    <row r="1109" s="372" customFormat="1" ht="24" customHeight="1" spans="1:10">
      <c r="A1109" s="330">
        <v>21699</v>
      </c>
      <c r="B1109" s="379" t="s">
        <v>1021</v>
      </c>
      <c r="C1109" s="601">
        <v>0</v>
      </c>
      <c r="D1109" s="708">
        <f>SUM(D1110:D1111)</f>
        <v>0</v>
      </c>
      <c r="E1109" s="708">
        <f>SUM(E1110:E1111)</f>
        <v>0</v>
      </c>
      <c r="F1109" s="708">
        <f>SUM(F1110:F1111)</f>
        <v>54</v>
      </c>
      <c r="G1109" s="523" t="str">
        <f t="shared" si="69"/>
        <v/>
      </c>
      <c r="H1109" s="467" t="str">
        <f t="shared" si="70"/>
        <v/>
      </c>
      <c r="I1109" s="524" t="str">
        <f t="shared" si="72"/>
        <v>是</v>
      </c>
      <c r="J1109" s="312" t="str">
        <f t="shared" si="71"/>
        <v>款</v>
      </c>
    </row>
    <row r="1110" ht="24" hidden="1" customHeight="1" spans="1:10">
      <c r="A1110" s="330">
        <v>2169901</v>
      </c>
      <c r="B1110" s="379" t="s">
        <v>1022</v>
      </c>
      <c r="C1110" s="602">
        <v>0</v>
      </c>
      <c r="D1110" s="709"/>
      <c r="E1110" s="710">
        <v>0</v>
      </c>
      <c r="F1110" s="710">
        <v>0</v>
      </c>
      <c r="G1110" s="526" t="str">
        <f t="shared" si="69"/>
        <v/>
      </c>
      <c r="H1110" s="470" t="str">
        <f t="shared" si="70"/>
        <v/>
      </c>
      <c r="I1110" s="524" t="str">
        <f t="shared" si="72"/>
        <v>否</v>
      </c>
      <c r="J1110" s="312" t="str">
        <f t="shared" si="71"/>
        <v>项</v>
      </c>
    </row>
    <row r="1111" s="372" customFormat="1" ht="24" customHeight="1" spans="1:10">
      <c r="A1111" s="330">
        <v>2169999</v>
      </c>
      <c r="B1111" s="379" t="s">
        <v>1023</v>
      </c>
      <c r="C1111" s="602">
        <v>0</v>
      </c>
      <c r="D1111" s="709">
        <v>0</v>
      </c>
      <c r="E1111" s="710">
        <v>0</v>
      </c>
      <c r="F1111" s="710">
        <v>54</v>
      </c>
      <c r="G1111" s="526" t="str">
        <f t="shared" si="69"/>
        <v/>
      </c>
      <c r="H1111" s="470" t="str">
        <f t="shared" si="70"/>
        <v/>
      </c>
      <c r="I1111" s="524" t="str">
        <f t="shared" si="72"/>
        <v>是</v>
      </c>
      <c r="J1111" s="312" t="str">
        <f t="shared" si="71"/>
        <v>项</v>
      </c>
    </row>
    <row r="1112" s="372" customFormat="1" ht="24" customHeight="1" spans="1:10">
      <c r="A1112" s="329">
        <v>217</v>
      </c>
      <c r="B1112" s="377" t="s">
        <v>190</v>
      </c>
      <c r="C1112" s="601">
        <v>326</v>
      </c>
      <c r="D1112" s="708">
        <f>D1113+D1120+D1130+D1136+D1139</f>
        <v>321</v>
      </c>
      <c r="E1112" s="708">
        <f>E1113+E1120+E1130+E1136+E1139</f>
        <v>321</v>
      </c>
      <c r="F1112" s="708">
        <f>F1113+F1120+F1130+F1136+F1139</f>
        <v>439</v>
      </c>
      <c r="G1112" s="523">
        <f t="shared" si="69"/>
        <v>0.346625766871166</v>
      </c>
      <c r="H1112" s="467">
        <f t="shared" si="70"/>
        <v>1.36760124610592</v>
      </c>
      <c r="I1112" s="524" t="str">
        <f t="shared" si="72"/>
        <v>是</v>
      </c>
      <c r="J1112" s="312" t="str">
        <f t="shared" si="71"/>
        <v>类</v>
      </c>
    </row>
    <row r="1113" s="372" customFormat="1" ht="24" customHeight="1" spans="1:10">
      <c r="A1113" s="330">
        <v>21701</v>
      </c>
      <c r="B1113" s="379" t="s">
        <v>1024</v>
      </c>
      <c r="C1113" s="601">
        <v>50</v>
      </c>
      <c r="D1113" s="708">
        <f>SUM(D1114:D1119)</f>
        <v>100</v>
      </c>
      <c r="E1113" s="708">
        <f>SUM(E1114:E1119)</f>
        <v>100</v>
      </c>
      <c r="F1113" s="708">
        <f>SUM(F1114:F1119)</f>
        <v>435</v>
      </c>
      <c r="G1113" s="523">
        <f t="shared" si="69"/>
        <v>7.7</v>
      </c>
      <c r="H1113" s="467">
        <f t="shared" si="70"/>
        <v>4.35</v>
      </c>
      <c r="I1113" s="524" t="str">
        <f t="shared" si="72"/>
        <v>是</v>
      </c>
      <c r="J1113" s="312" t="str">
        <f t="shared" si="71"/>
        <v>款</v>
      </c>
    </row>
    <row r="1114" s="372" customFormat="1" ht="24" customHeight="1" spans="1:10">
      <c r="A1114" s="330">
        <v>2170101</v>
      </c>
      <c r="B1114" s="379" t="s">
        <v>212</v>
      </c>
      <c r="C1114" s="602">
        <v>0</v>
      </c>
      <c r="D1114" s="709">
        <v>0</v>
      </c>
      <c r="E1114" s="710">
        <v>0</v>
      </c>
      <c r="F1114" s="710">
        <v>435</v>
      </c>
      <c r="G1114" s="526" t="str">
        <f t="shared" si="69"/>
        <v/>
      </c>
      <c r="H1114" s="470" t="str">
        <f t="shared" si="70"/>
        <v/>
      </c>
      <c r="I1114" s="524" t="str">
        <f t="shared" si="72"/>
        <v>是</v>
      </c>
      <c r="J1114" s="312" t="str">
        <f t="shared" si="71"/>
        <v>项</v>
      </c>
    </row>
    <row r="1115" s="372" customFormat="1" ht="24" customHeight="1" spans="1:10">
      <c r="A1115" s="330">
        <v>2170102</v>
      </c>
      <c r="B1115" s="379" t="s">
        <v>213</v>
      </c>
      <c r="C1115" s="602">
        <v>50</v>
      </c>
      <c r="D1115" s="709">
        <v>100</v>
      </c>
      <c r="E1115" s="710">
        <v>100</v>
      </c>
      <c r="F1115" s="710">
        <v>0</v>
      </c>
      <c r="G1115" s="526">
        <f t="shared" si="69"/>
        <v>-1</v>
      </c>
      <c r="H1115" s="470">
        <f t="shared" si="70"/>
        <v>0</v>
      </c>
      <c r="I1115" s="524" t="str">
        <f t="shared" si="72"/>
        <v>是</v>
      </c>
      <c r="J1115" s="312" t="str">
        <f t="shared" si="71"/>
        <v>项</v>
      </c>
    </row>
    <row r="1116" s="372" customFormat="1" ht="24" hidden="1" customHeight="1" spans="1:10">
      <c r="A1116" s="330">
        <v>2170103</v>
      </c>
      <c r="B1116" s="379" t="s">
        <v>214</v>
      </c>
      <c r="C1116" s="602">
        <v>0</v>
      </c>
      <c r="D1116" s="709">
        <v>0</v>
      </c>
      <c r="E1116" s="710">
        <v>0</v>
      </c>
      <c r="F1116" s="710">
        <v>0</v>
      </c>
      <c r="G1116" s="526" t="str">
        <f t="shared" si="69"/>
        <v/>
      </c>
      <c r="H1116" s="470" t="str">
        <f t="shared" si="70"/>
        <v/>
      </c>
      <c r="I1116" s="524" t="str">
        <f t="shared" si="72"/>
        <v>否</v>
      </c>
      <c r="J1116" s="312" t="str">
        <f t="shared" si="71"/>
        <v>项</v>
      </c>
    </row>
    <row r="1117" ht="24" hidden="1" customHeight="1" spans="1:10">
      <c r="A1117" s="330">
        <v>2170104</v>
      </c>
      <c r="B1117" s="379" t="s">
        <v>1025</v>
      </c>
      <c r="C1117" s="602">
        <v>0</v>
      </c>
      <c r="D1117" s="709">
        <v>0</v>
      </c>
      <c r="E1117" s="710">
        <v>0</v>
      </c>
      <c r="F1117" s="710">
        <v>0</v>
      </c>
      <c r="G1117" s="526" t="str">
        <f t="shared" si="69"/>
        <v/>
      </c>
      <c r="H1117" s="470" t="str">
        <f t="shared" si="70"/>
        <v/>
      </c>
      <c r="I1117" s="524" t="str">
        <f t="shared" si="72"/>
        <v>否</v>
      </c>
      <c r="J1117" s="312" t="str">
        <f t="shared" si="71"/>
        <v>项</v>
      </c>
    </row>
    <row r="1118" s="372" customFormat="1" ht="24" hidden="1" customHeight="1" spans="1:10">
      <c r="A1118" s="330">
        <v>2170150</v>
      </c>
      <c r="B1118" s="379" t="s">
        <v>221</v>
      </c>
      <c r="C1118" s="602">
        <v>0</v>
      </c>
      <c r="D1118" s="709">
        <v>0</v>
      </c>
      <c r="E1118" s="710">
        <v>0</v>
      </c>
      <c r="F1118" s="710">
        <v>0</v>
      </c>
      <c r="G1118" s="526" t="str">
        <f t="shared" si="69"/>
        <v/>
      </c>
      <c r="H1118" s="470" t="str">
        <f t="shared" si="70"/>
        <v/>
      </c>
      <c r="I1118" s="524" t="str">
        <f t="shared" si="72"/>
        <v>否</v>
      </c>
      <c r="J1118" s="312" t="str">
        <f t="shared" si="71"/>
        <v>项</v>
      </c>
    </row>
    <row r="1119" s="372" customFormat="1" ht="24" hidden="1" customHeight="1" spans="1:10">
      <c r="A1119" s="330">
        <v>2170199</v>
      </c>
      <c r="B1119" s="379" t="s">
        <v>1026</v>
      </c>
      <c r="C1119" s="602">
        <v>0</v>
      </c>
      <c r="D1119" s="709">
        <v>0</v>
      </c>
      <c r="E1119" s="710">
        <v>0</v>
      </c>
      <c r="F1119" s="710">
        <v>0</v>
      </c>
      <c r="G1119" s="526" t="str">
        <f t="shared" si="69"/>
        <v/>
      </c>
      <c r="H1119" s="470" t="str">
        <f t="shared" si="70"/>
        <v/>
      </c>
      <c r="I1119" s="524" t="str">
        <f t="shared" si="72"/>
        <v>否</v>
      </c>
      <c r="J1119" s="312" t="str">
        <f t="shared" si="71"/>
        <v>项</v>
      </c>
    </row>
    <row r="1120" s="372" customFormat="1" ht="24" customHeight="1" spans="1:10">
      <c r="A1120" s="406">
        <v>21702</v>
      </c>
      <c r="B1120" s="379" t="s">
        <v>1027</v>
      </c>
      <c r="C1120" s="601">
        <v>100</v>
      </c>
      <c r="D1120" s="708">
        <f>SUM(D1121:D1129)</f>
        <v>100</v>
      </c>
      <c r="E1120" s="708">
        <f>SUM(E1121:E1129)</f>
        <v>100</v>
      </c>
      <c r="F1120" s="708">
        <f>SUM(F1121:F1129)</f>
        <v>0</v>
      </c>
      <c r="G1120" s="523">
        <f t="shared" si="69"/>
        <v>-1</v>
      </c>
      <c r="H1120" s="467">
        <f t="shared" si="70"/>
        <v>0</v>
      </c>
      <c r="I1120" s="524" t="str">
        <f t="shared" si="72"/>
        <v>是</v>
      </c>
      <c r="J1120" s="312" t="str">
        <f t="shared" si="71"/>
        <v>款</v>
      </c>
    </row>
    <row r="1121" s="372" customFormat="1" ht="24" hidden="1" customHeight="1" spans="1:10">
      <c r="A1121" s="544">
        <v>2170201</v>
      </c>
      <c r="B1121" s="545" t="s">
        <v>1028</v>
      </c>
      <c r="C1121" s="602">
        <v>0</v>
      </c>
      <c r="D1121" s="709">
        <v>0</v>
      </c>
      <c r="E1121" s="710">
        <v>0</v>
      </c>
      <c r="F1121" s="710">
        <v>0</v>
      </c>
      <c r="G1121" s="526" t="str">
        <f t="shared" si="69"/>
        <v/>
      </c>
      <c r="H1121" s="470" t="str">
        <f t="shared" si="70"/>
        <v/>
      </c>
      <c r="I1121" s="524" t="str">
        <f t="shared" si="72"/>
        <v>否</v>
      </c>
      <c r="J1121" s="312" t="str">
        <f t="shared" si="71"/>
        <v>项</v>
      </c>
    </row>
    <row r="1122" s="372" customFormat="1" ht="24" customHeight="1" spans="1:10">
      <c r="A1122" s="544">
        <v>2170202</v>
      </c>
      <c r="B1122" s="545" t="s">
        <v>1029</v>
      </c>
      <c r="C1122" s="602">
        <v>0</v>
      </c>
      <c r="D1122" s="709">
        <v>100</v>
      </c>
      <c r="E1122" s="710">
        <v>100</v>
      </c>
      <c r="F1122" s="710">
        <v>0</v>
      </c>
      <c r="G1122" s="526" t="str">
        <f t="shared" si="69"/>
        <v/>
      </c>
      <c r="H1122" s="470">
        <f t="shared" si="70"/>
        <v>0</v>
      </c>
      <c r="I1122" s="524" t="str">
        <f t="shared" si="72"/>
        <v>是</v>
      </c>
      <c r="J1122" s="312" t="str">
        <f t="shared" si="71"/>
        <v>项</v>
      </c>
    </row>
    <row r="1123" s="372" customFormat="1" ht="24" hidden="1" customHeight="1" spans="1:10">
      <c r="A1123" s="544">
        <v>2170203</v>
      </c>
      <c r="B1123" s="545" t="s">
        <v>1030</v>
      </c>
      <c r="C1123" s="602">
        <v>0</v>
      </c>
      <c r="D1123" s="709">
        <v>0</v>
      </c>
      <c r="E1123" s="710">
        <v>0</v>
      </c>
      <c r="F1123" s="710">
        <v>0</v>
      </c>
      <c r="G1123" s="526" t="str">
        <f t="shared" si="69"/>
        <v/>
      </c>
      <c r="H1123" s="470" t="str">
        <f t="shared" si="70"/>
        <v/>
      </c>
      <c r="I1123" s="524" t="str">
        <f t="shared" si="72"/>
        <v>否</v>
      </c>
      <c r="J1123" s="312" t="str">
        <f t="shared" si="71"/>
        <v>项</v>
      </c>
    </row>
    <row r="1124" s="372" customFormat="1" ht="24" hidden="1" customHeight="1" spans="1:10">
      <c r="A1124" s="544">
        <v>2170204</v>
      </c>
      <c r="B1124" s="545" t="s">
        <v>1031</v>
      </c>
      <c r="C1124" s="602">
        <v>0</v>
      </c>
      <c r="D1124" s="709">
        <v>0</v>
      </c>
      <c r="E1124" s="710">
        <v>0</v>
      </c>
      <c r="F1124" s="710">
        <v>0</v>
      </c>
      <c r="G1124" s="526" t="str">
        <f t="shared" si="69"/>
        <v/>
      </c>
      <c r="H1124" s="470" t="str">
        <f t="shared" si="70"/>
        <v/>
      </c>
      <c r="I1124" s="524" t="str">
        <f t="shared" si="72"/>
        <v>否</v>
      </c>
      <c r="J1124" s="312" t="str">
        <f t="shared" si="71"/>
        <v>项</v>
      </c>
    </row>
    <row r="1125" ht="24" hidden="1" customHeight="1" spans="1:10">
      <c r="A1125" s="544">
        <v>2170205</v>
      </c>
      <c r="B1125" s="545" t="s">
        <v>1032</v>
      </c>
      <c r="C1125" s="602">
        <v>0</v>
      </c>
      <c r="D1125" s="709">
        <v>0</v>
      </c>
      <c r="E1125" s="710">
        <v>0</v>
      </c>
      <c r="F1125" s="710">
        <v>0</v>
      </c>
      <c r="G1125" s="526" t="str">
        <f t="shared" si="69"/>
        <v/>
      </c>
      <c r="H1125" s="470" t="str">
        <f t="shared" si="70"/>
        <v/>
      </c>
      <c r="I1125" s="524" t="str">
        <f t="shared" si="72"/>
        <v>否</v>
      </c>
      <c r="J1125" s="312" t="str">
        <f t="shared" si="71"/>
        <v>项</v>
      </c>
    </row>
    <row r="1126" s="372" customFormat="1" ht="24" hidden="1" customHeight="1" spans="1:10">
      <c r="A1126" s="544">
        <v>2170206</v>
      </c>
      <c r="B1126" s="545" t="s">
        <v>1033</v>
      </c>
      <c r="C1126" s="602">
        <v>0</v>
      </c>
      <c r="D1126" s="709">
        <v>0</v>
      </c>
      <c r="E1126" s="710">
        <v>0</v>
      </c>
      <c r="F1126" s="710">
        <v>0</v>
      </c>
      <c r="G1126" s="526" t="str">
        <f t="shared" si="69"/>
        <v/>
      </c>
      <c r="H1126" s="470" t="str">
        <f t="shared" si="70"/>
        <v/>
      </c>
      <c r="I1126" s="524" t="str">
        <f t="shared" si="72"/>
        <v>否</v>
      </c>
      <c r="J1126" s="312" t="str">
        <f t="shared" si="71"/>
        <v>项</v>
      </c>
    </row>
    <row r="1127" s="372" customFormat="1" ht="24" hidden="1" customHeight="1" spans="1:10">
      <c r="A1127" s="544">
        <v>2170207</v>
      </c>
      <c r="B1127" s="545" t="s">
        <v>1034</v>
      </c>
      <c r="C1127" s="602">
        <v>0</v>
      </c>
      <c r="D1127" s="709">
        <v>0</v>
      </c>
      <c r="E1127" s="710">
        <v>0</v>
      </c>
      <c r="F1127" s="710">
        <v>0</v>
      </c>
      <c r="G1127" s="526" t="str">
        <f t="shared" si="69"/>
        <v/>
      </c>
      <c r="H1127" s="470" t="str">
        <f t="shared" si="70"/>
        <v/>
      </c>
      <c r="I1127" s="524" t="str">
        <f t="shared" si="72"/>
        <v>否</v>
      </c>
      <c r="J1127" s="312" t="str">
        <f t="shared" si="71"/>
        <v>项</v>
      </c>
    </row>
    <row r="1128" s="372" customFormat="1" ht="24" hidden="1" customHeight="1" spans="1:10">
      <c r="A1128" s="544">
        <v>2170208</v>
      </c>
      <c r="B1128" s="545" t="s">
        <v>1035</v>
      </c>
      <c r="C1128" s="602">
        <v>0</v>
      </c>
      <c r="D1128" s="709">
        <v>0</v>
      </c>
      <c r="E1128" s="710">
        <v>0</v>
      </c>
      <c r="F1128" s="710">
        <v>0</v>
      </c>
      <c r="G1128" s="526" t="str">
        <f t="shared" si="69"/>
        <v/>
      </c>
      <c r="H1128" s="470" t="str">
        <f t="shared" si="70"/>
        <v/>
      </c>
      <c r="I1128" s="524" t="str">
        <f t="shared" si="72"/>
        <v>否</v>
      </c>
      <c r="J1128" s="312" t="str">
        <f t="shared" si="71"/>
        <v>项</v>
      </c>
    </row>
    <row r="1129" s="372" customFormat="1" ht="24" customHeight="1" spans="1:10">
      <c r="A1129" s="544">
        <v>2170299</v>
      </c>
      <c r="B1129" s="545" t="s">
        <v>1036</v>
      </c>
      <c r="C1129" s="602">
        <v>100</v>
      </c>
      <c r="D1129" s="709">
        <v>0</v>
      </c>
      <c r="E1129" s="710">
        <v>0</v>
      </c>
      <c r="F1129" s="710">
        <v>0</v>
      </c>
      <c r="G1129" s="526">
        <f t="shared" si="69"/>
        <v>-1</v>
      </c>
      <c r="H1129" s="470" t="str">
        <f t="shared" si="70"/>
        <v/>
      </c>
      <c r="I1129" s="524" t="str">
        <f t="shared" si="72"/>
        <v>是</v>
      </c>
      <c r="J1129" s="312" t="str">
        <f t="shared" si="71"/>
        <v>项</v>
      </c>
    </row>
    <row r="1130" s="372" customFormat="1" ht="24" customHeight="1" spans="1:10">
      <c r="A1130" s="330">
        <v>21703</v>
      </c>
      <c r="B1130" s="379" t="s">
        <v>1037</v>
      </c>
      <c r="C1130" s="601">
        <v>172</v>
      </c>
      <c r="D1130" s="708">
        <f>SUM(D1131:D1135)</f>
        <v>121</v>
      </c>
      <c r="E1130" s="708">
        <f>SUM(E1131:E1135)</f>
        <v>121</v>
      </c>
      <c r="F1130" s="708">
        <f>SUM(F1131:F1135)</f>
        <v>0</v>
      </c>
      <c r="G1130" s="523">
        <f t="shared" si="69"/>
        <v>-1</v>
      </c>
      <c r="H1130" s="467">
        <f t="shared" si="70"/>
        <v>0</v>
      </c>
      <c r="I1130" s="524" t="str">
        <f t="shared" si="72"/>
        <v>是</v>
      </c>
      <c r="J1130" s="312" t="str">
        <f t="shared" si="71"/>
        <v>款</v>
      </c>
    </row>
    <row r="1131" ht="24" hidden="1" customHeight="1" spans="1:10">
      <c r="A1131" s="330">
        <v>2170301</v>
      </c>
      <c r="B1131" s="379" t="s">
        <v>1038</v>
      </c>
      <c r="C1131" s="602">
        <v>0</v>
      </c>
      <c r="D1131" s="709">
        <v>0</v>
      </c>
      <c r="E1131" s="710">
        <v>0</v>
      </c>
      <c r="F1131" s="710">
        <v>0</v>
      </c>
      <c r="G1131" s="526" t="str">
        <f t="shared" si="69"/>
        <v/>
      </c>
      <c r="H1131" s="470" t="str">
        <f t="shared" si="70"/>
        <v/>
      </c>
      <c r="I1131" s="524" t="str">
        <f t="shared" si="72"/>
        <v>否</v>
      </c>
      <c r="J1131" s="312" t="str">
        <f t="shared" si="71"/>
        <v>项</v>
      </c>
    </row>
    <row r="1132" ht="24" customHeight="1" spans="1:10">
      <c r="A1132" s="330">
        <v>2170302</v>
      </c>
      <c r="B1132" s="379" t="s">
        <v>1039</v>
      </c>
      <c r="C1132" s="602">
        <v>149</v>
      </c>
      <c r="D1132" s="709">
        <v>121</v>
      </c>
      <c r="E1132" s="710">
        <v>121</v>
      </c>
      <c r="F1132" s="710">
        <v>0</v>
      </c>
      <c r="G1132" s="526">
        <f t="shared" si="69"/>
        <v>-1</v>
      </c>
      <c r="H1132" s="470">
        <f t="shared" si="70"/>
        <v>0</v>
      </c>
      <c r="I1132" s="524" t="str">
        <f t="shared" si="72"/>
        <v>是</v>
      </c>
      <c r="J1132" s="312" t="str">
        <f t="shared" si="71"/>
        <v>项</v>
      </c>
    </row>
    <row r="1133" s="372" customFormat="1" ht="24" hidden="1" customHeight="1" spans="1:10">
      <c r="A1133" s="330">
        <v>2170303</v>
      </c>
      <c r="B1133" s="379" t="s">
        <v>1040</v>
      </c>
      <c r="C1133" s="602">
        <v>0</v>
      </c>
      <c r="D1133" s="709">
        <v>0</v>
      </c>
      <c r="E1133" s="710">
        <v>0</v>
      </c>
      <c r="F1133" s="710">
        <v>0</v>
      </c>
      <c r="G1133" s="526" t="str">
        <f t="shared" si="69"/>
        <v/>
      </c>
      <c r="H1133" s="470" t="str">
        <f t="shared" si="70"/>
        <v/>
      </c>
      <c r="I1133" s="524" t="str">
        <f t="shared" si="72"/>
        <v>否</v>
      </c>
      <c r="J1133" s="312" t="str">
        <f t="shared" si="71"/>
        <v>项</v>
      </c>
    </row>
    <row r="1134" s="372" customFormat="1" ht="24" hidden="1" customHeight="1" spans="1:10">
      <c r="A1134" s="330">
        <v>2170304</v>
      </c>
      <c r="B1134" s="379" t="s">
        <v>1041</v>
      </c>
      <c r="C1134" s="602">
        <v>0</v>
      </c>
      <c r="D1134" s="709">
        <v>0</v>
      </c>
      <c r="E1134" s="710">
        <v>0</v>
      </c>
      <c r="F1134" s="710">
        <v>0</v>
      </c>
      <c r="G1134" s="526" t="str">
        <f t="shared" si="69"/>
        <v/>
      </c>
      <c r="H1134" s="470" t="str">
        <f t="shared" si="70"/>
        <v/>
      </c>
      <c r="I1134" s="524" t="str">
        <f t="shared" si="72"/>
        <v>否</v>
      </c>
      <c r="J1134" s="312" t="str">
        <f t="shared" si="71"/>
        <v>项</v>
      </c>
    </row>
    <row r="1135" s="372" customFormat="1" ht="24" customHeight="1" spans="1:10">
      <c r="A1135" s="330">
        <v>2170399</v>
      </c>
      <c r="B1135" s="379" t="s">
        <v>1042</v>
      </c>
      <c r="C1135" s="602">
        <v>23</v>
      </c>
      <c r="D1135" s="709"/>
      <c r="E1135" s="710">
        <v>0</v>
      </c>
      <c r="F1135" s="710">
        <v>0</v>
      </c>
      <c r="G1135" s="526">
        <f t="shared" si="69"/>
        <v>-1</v>
      </c>
      <c r="H1135" s="470" t="str">
        <f t="shared" si="70"/>
        <v/>
      </c>
      <c r="I1135" s="524" t="str">
        <f t="shared" si="72"/>
        <v>是</v>
      </c>
      <c r="J1135" s="312" t="str">
        <f t="shared" si="71"/>
        <v>项</v>
      </c>
    </row>
    <row r="1136" s="372" customFormat="1" ht="24" hidden="1" customHeight="1" spans="1:10">
      <c r="A1136" s="339">
        <v>21704</v>
      </c>
      <c r="B1136" s="379" t="s">
        <v>1043</v>
      </c>
      <c r="C1136" s="601">
        <v>0</v>
      </c>
      <c r="D1136" s="708">
        <f>SUM(D1137:D1138)</f>
        <v>0</v>
      </c>
      <c r="E1136" s="708">
        <f>SUM(E1137:E1138)</f>
        <v>0</v>
      </c>
      <c r="F1136" s="708">
        <f>SUM(F1137:F1138)</f>
        <v>0</v>
      </c>
      <c r="G1136" s="523" t="str">
        <f t="shared" si="69"/>
        <v/>
      </c>
      <c r="H1136" s="467" t="str">
        <f t="shared" si="70"/>
        <v/>
      </c>
      <c r="I1136" s="524" t="str">
        <f t="shared" si="72"/>
        <v>否</v>
      </c>
      <c r="J1136" s="312" t="str">
        <f t="shared" si="71"/>
        <v>款</v>
      </c>
    </row>
    <row r="1137" s="372" customFormat="1" ht="24" hidden="1" customHeight="1" spans="1:10">
      <c r="A1137" s="339">
        <v>2170401</v>
      </c>
      <c r="B1137" s="379" t="s">
        <v>1044</v>
      </c>
      <c r="C1137" s="602">
        <v>0</v>
      </c>
      <c r="D1137" s="709"/>
      <c r="E1137" s="710">
        <v>0</v>
      </c>
      <c r="F1137" s="710">
        <v>0</v>
      </c>
      <c r="G1137" s="526" t="str">
        <f t="shared" si="69"/>
        <v/>
      </c>
      <c r="H1137" s="470" t="str">
        <f t="shared" si="70"/>
        <v/>
      </c>
      <c r="I1137" s="524" t="str">
        <f t="shared" si="72"/>
        <v>否</v>
      </c>
      <c r="J1137" s="312" t="str">
        <f t="shared" si="71"/>
        <v>项</v>
      </c>
    </row>
    <row r="1138" s="372" customFormat="1" ht="24" hidden="1" customHeight="1" spans="1:10">
      <c r="A1138" s="339">
        <v>2170499</v>
      </c>
      <c r="B1138" s="379" t="s">
        <v>1045</v>
      </c>
      <c r="C1138" s="602">
        <v>0</v>
      </c>
      <c r="D1138" s="709"/>
      <c r="E1138" s="710">
        <v>0</v>
      </c>
      <c r="F1138" s="710">
        <v>0</v>
      </c>
      <c r="G1138" s="526" t="str">
        <f t="shared" si="69"/>
        <v/>
      </c>
      <c r="H1138" s="470" t="str">
        <f t="shared" si="70"/>
        <v/>
      </c>
      <c r="I1138" s="524" t="str">
        <f t="shared" si="72"/>
        <v>否</v>
      </c>
      <c r="J1138" s="312" t="str">
        <f t="shared" si="71"/>
        <v>项</v>
      </c>
    </row>
    <row r="1139" s="372" customFormat="1" ht="24" customHeight="1" spans="1:10">
      <c r="A1139" s="330">
        <v>21799</v>
      </c>
      <c r="B1139" s="379" t="s">
        <v>1046</v>
      </c>
      <c r="C1139" s="601">
        <v>4</v>
      </c>
      <c r="D1139" s="708">
        <f>SUM(D1140:D1141)</f>
        <v>0</v>
      </c>
      <c r="E1139" s="708">
        <f>SUM(E1140:E1141)</f>
        <v>0</v>
      </c>
      <c r="F1139" s="708">
        <f>SUM(F1140:F1141)</f>
        <v>4</v>
      </c>
      <c r="G1139" s="523">
        <f t="shared" si="69"/>
        <v>0</v>
      </c>
      <c r="H1139" s="467" t="str">
        <f t="shared" si="70"/>
        <v/>
      </c>
      <c r="I1139" s="524" t="str">
        <f t="shared" si="72"/>
        <v>是</v>
      </c>
      <c r="J1139" s="312" t="str">
        <f t="shared" si="71"/>
        <v>款</v>
      </c>
    </row>
    <row r="1140" s="372" customFormat="1" ht="24" hidden="1" customHeight="1" spans="1:10">
      <c r="A1140" s="406">
        <v>2179902</v>
      </c>
      <c r="B1140" s="379" t="s">
        <v>1047</v>
      </c>
      <c r="C1140" s="602">
        <v>0</v>
      </c>
      <c r="D1140" s="709"/>
      <c r="E1140" s="710">
        <v>0</v>
      </c>
      <c r="F1140" s="710">
        <v>0</v>
      </c>
      <c r="G1140" s="526" t="str">
        <f t="shared" si="69"/>
        <v/>
      </c>
      <c r="H1140" s="470" t="str">
        <f t="shared" si="70"/>
        <v/>
      </c>
      <c r="I1140" s="524" t="str">
        <f t="shared" si="72"/>
        <v>否</v>
      </c>
      <c r="J1140" s="312" t="str">
        <f t="shared" si="71"/>
        <v>项</v>
      </c>
    </row>
    <row r="1141" s="372" customFormat="1" ht="24" customHeight="1" spans="1:10">
      <c r="A1141" s="546">
        <v>2179999</v>
      </c>
      <c r="B1141" s="379" t="s">
        <v>1042</v>
      </c>
      <c r="C1141" s="602">
        <v>4</v>
      </c>
      <c r="D1141" s="709">
        <v>0</v>
      </c>
      <c r="E1141" s="710">
        <v>0</v>
      </c>
      <c r="F1141" s="710">
        <v>4</v>
      </c>
      <c r="G1141" s="526">
        <f t="shared" si="69"/>
        <v>0</v>
      </c>
      <c r="H1141" s="470" t="str">
        <f t="shared" si="70"/>
        <v/>
      </c>
      <c r="I1141" s="524" t="str">
        <f t="shared" si="72"/>
        <v>是</v>
      </c>
      <c r="J1141" s="312" t="str">
        <f t="shared" si="71"/>
        <v>项</v>
      </c>
    </row>
    <row r="1142" ht="24" customHeight="1" spans="1:10">
      <c r="A1142" s="329">
        <v>219</v>
      </c>
      <c r="B1142" s="377" t="s">
        <v>191</v>
      </c>
      <c r="C1142" s="601">
        <v>0</v>
      </c>
      <c r="D1142" s="708">
        <f>D1143+D1144+D1145+D1146+D1147+D1148+D1149+D1150+D1151</f>
        <v>0</v>
      </c>
      <c r="E1142" s="708">
        <f>E1143+E1144+E1145+E1146+E1147+E1148+E1149+E1150+E1151</f>
        <v>0</v>
      </c>
      <c r="F1142" s="708">
        <f>F1143+F1144+F1145+F1146+F1147+F1148+F1149+F1150+F1151</f>
        <v>0</v>
      </c>
      <c r="G1142" s="523" t="str">
        <f t="shared" si="69"/>
        <v/>
      </c>
      <c r="H1142" s="467" t="str">
        <f t="shared" si="70"/>
        <v/>
      </c>
      <c r="I1142" s="524" t="str">
        <f t="shared" si="72"/>
        <v>是</v>
      </c>
      <c r="J1142" s="312" t="str">
        <f t="shared" si="71"/>
        <v>类</v>
      </c>
    </row>
    <row r="1143" s="372" customFormat="1" ht="24" hidden="1" customHeight="1" spans="1:10">
      <c r="A1143" s="330">
        <v>21901</v>
      </c>
      <c r="B1143" s="379" t="s">
        <v>1048</v>
      </c>
      <c r="C1143" s="601">
        <v>0</v>
      </c>
      <c r="D1143" s="711"/>
      <c r="E1143" s="711"/>
      <c r="F1143" s="711"/>
      <c r="G1143" s="523" t="str">
        <f t="shared" si="69"/>
        <v/>
      </c>
      <c r="H1143" s="467" t="str">
        <f t="shared" si="70"/>
        <v/>
      </c>
      <c r="I1143" s="524" t="str">
        <f t="shared" si="72"/>
        <v>否</v>
      </c>
      <c r="J1143" s="312" t="str">
        <f t="shared" si="71"/>
        <v>款</v>
      </c>
    </row>
    <row r="1144" s="372" customFormat="1" ht="24" hidden="1" customHeight="1" spans="1:10">
      <c r="A1144" s="330">
        <v>21902</v>
      </c>
      <c r="B1144" s="379" t="s">
        <v>1049</v>
      </c>
      <c r="C1144" s="601">
        <v>0</v>
      </c>
      <c r="D1144" s="711"/>
      <c r="E1144" s="711"/>
      <c r="F1144" s="711"/>
      <c r="G1144" s="523" t="str">
        <f t="shared" si="69"/>
        <v/>
      </c>
      <c r="H1144" s="467" t="str">
        <f t="shared" si="70"/>
        <v/>
      </c>
      <c r="I1144" s="524" t="str">
        <f t="shared" si="72"/>
        <v>否</v>
      </c>
      <c r="J1144" s="312" t="str">
        <f t="shared" si="71"/>
        <v>款</v>
      </c>
    </row>
    <row r="1145" s="372" customFormat="1" ht="24" hidden="1" customHeight="1" spans="1:10">
      <c r="A1145" s="330">
        <v>21903</v>
      </c>
      <c r="B1145" s="405" t="s">
        <v>1050</v>
      </c>
      <c r="C1145" s="601">
        <v>0</v>
      </c>
      <c r="D1145" s="711"/>
      <c r="E1145" s="711"/>
      <c r="F1145" s="711"/>
      <c r="G1145" s="523" t="str">
        <f t="shared" si="69"/>
        <v/>
      </c>
      <c r="H1145" s="467" t="str">
        <f t="shared" si="70"/>
        <v/>
      </c>
      <c r="I1145" s="524" t="str">
        <f t="shared" si="72"/>
        <v>否</v>
      </c>
      <c r="J1145" s="312" t="str">
        <f t="shared" si="71"/>
        <v>款</v>
      </c>
    </row>
    <row r="1146" s="372" customFormat="1" ht="24" hidden="1" customHeight="1" spans="1:10">
      <c r="A1146" s="330">
        <v>21904</v>
      </c>
      <c r="B1146" s="405" t="s">
        <v>1051</v>
      </c>
      <c r="C1146" s="601">
        <v>0</v>
      </c>
      <c r="D1146" s="711"/>
      <c r="E1146" s="711"/>
      <c r="F1146" s="711"/>
      <c r="G1146" s="523" t="str">
        <f t="shared" si="69"/>
        <v/>
      </c>
      <c r="H1146" s="467" t="str">
        <f t="shared" si="70"/>
        <v/>
      </c>
      <c r="I1146" s="524" t="str">
        <f t="shared" si="72"/>
        <v>否</v>
      </c>
      <c r="J1146" s="312" t="str">
        <f t="shared" si="71"/>
        <v>款</v>
      </c>
    </row>
    <row r="1147" s="372" customFormat="1" ht="24" hidden="1" customHeight="1" spans="1:10">
      <c r="A1147" s="330">
        <v>21905</v>
      </c>
      <c r="B1147" s="379" t="s">
        <v>1052</v>
      </c>
      <c r="C1147" s="601">
        <v>0</v>
      </c>
      <c r="D1147" s="711"/>
      <c r="E1147" s="711"/>
      <c r="F1147" s="711"/>
      <c r="G1147" s="523" t="str">
        <f t="shared" si="69"/>
        <v/>
      </c>
      <c r="H1147" s="467" t="str">
        <f t="shared" si="70"/>
        <v/>
      </c>
      <c r="I1147" s="524" t="str">
        <f t="shared" si="72"/>
        <v>否</v>
      </c>
      <c r="J1147" s="312" t="str">
        <f t="shared" si="71"/>
        <v>款</v>
      </c>
    </row>
    <row r="1148" ht="24" hidden="1" customHeight="1" spans="1:10">
      <c r="A1148" s="330">
        <v>21906</v>
      </c>
      <c r="B1148" s="405" t="s">
        <v>840</v>
      </c>
      <c r="C1148" s="601">
        <v>0</v>
      </c>
      <c r="D1148" s="711"/>
      <c r="E1148" s="711"/>
      <c r="F1148" s="711"/>
      <c r="G1148" s="523" t="str">
        <f t="shared" si="69"/>
        <v/>
      </c>
      <c r="H1148" s="467" t="str">
        <f t="shared" si="70"/>
        <v/>
      </c>
      <c r="I1148" s="524" t="str">
        <f t="shared" si="72"/>
        <v>否</v>
      </c>
      <c r="J1148" s="312" t="str">
        <f t="shared" si="71"/>
        <v>款</v>
      </c>
    </row>
    <row r="1149" s="372" customFormat="1" ht="24" hidden="1" customHeight="1" spans="1:10">
      <c r="A1149" s="330">
        <v>21907</v>
      </c>
      <c r="B1149" s="379" t="s">
        <v>1053</v>
      </c>
      <c r="C1149" s="601">
        <v>0</v>
      </c>
      <c r="D1149" s="711"/>
      <c r="E1149" s="711"/>
      <c r="F1149" s="711"/>
      <c r="G1149" s="523" t="str">
        <f t="shared" si="69"/>
        <v/>
      </c>
      <c r="H1149" s="467" t="str">
        <f t="shared" si="70"/>
        <v/>
      </c>
      <c r="I1149" s="524" t="str">
        <f t="shared" si="72"/>
        <v>否</v>
      </c>
      <c r="J1149" s="312" t="str">
        <f t="shared" si="71"/>
        <v>款</v>
      </c>
    </row>
    <row r="1150" s="372" customFormat="1" ht="24" hidden="1" customHeight="1" spans="1:10">
      <c r="A1150" s="330">
        <v>21908</v>
      </c>
      <c r="B1150" s="379" t="s">
        <v>1054</v>
      </c>
      <c r="C1150" s="601">
        <v>0</v>
      </c>
      <c r="D1150" s="711"/>
      <c r="E1150" s="711"/>
      <c r="F1150" s="711"/>
      <c r="G1150" s="523" t="str">
        <f t="shared" si="69"/>
        <v/>
      </c>
      <c r="H1150" s="467" t="str">
        <f t="shared" si="70"/>
        <v/>
      </c>
      <c r="I1150" s="524" t="str">
        <f t="shared" si="72"/>
        <v>否</v>
      </c>
      <c r="J1150" s="312" t="str">
        <f t="shared" si="71"/>
        <v>款</v>
      </c>
    </row>
    <row r="1151" ht="24" hidden="1" customHeight="1" spans="1:10">
      <c r="A1151" s="330">
        <v>21999</v>
      </c>
      <c r="B1151" s="379" t="s">
        <v>1055</v>
      </c>
      <c r="C1151" s="601">
        <v>0</v>
      </c>
      <c r="D1151" s="711"/>
      <c r="E1151" s="711"/>
      <c r="F1151" s="711"/>
      <c r="G1151" s="523" t="str">
        <f t="shared" si="69"/>
        <v/>
      </c>
      <c r="H1151" s="467" t="str">
        <f t="shared" si="70"/>
        <v/>
      </c>
      <c r="I1151" s="524" t="str">
        <f t="shared" si="72"/>
        <v>否</v>
      </c>
      <c r="J1151" s="312" t="str">
        <f t="shared" si="71"/>
        <v>款</v>
      </c>
    </row>
    <row r="1152" ht="24" customHeight="1" spans="1:10">
      <c r="A1152" s="329">
        <v>220</v>
      </c>
      <c r="B1152" s="377" t="s">
        <v>192</v>
      </c>
      <c r="C1152" s="601">
        <v>3936</v>
      </c>
      <c r="D1152" s="708">
        <f>D1153+D1180+D1195</f>
        <v>4043</v>
      </c>
      <c r="E1152" s="708">
        <f>E1153+E1180+E1195</f>
        <v>4374</v>
      </c>
      <c r="F1152" s="708">
        <f>F1153+F1180+F1195</f>
        <v>6051</v>
      </c>
      <c r="G1152" s="523">
        <f t="shared" si="69"/>
        <v>0.53734756097561</v>
      </c>
      <c r="H1152" s="467">
        <f t="shared" si="70"/>
        <v>1.49666089537472</v>
      </c>
      <c r="I1152" s="524" t="str">
        <f t="shared" si="72"/>
        <v>是</v>
      </c>
      <c r="J1152" s="312" t="str">
        <f t="shared" si="71"/>
        <v>类</v>
      </c>
    </row>
    <row r="1153" s="372" customFormat="1" ht="24" customHeight="1" spans="1:10">
      <c r="A1153" s="330">
        <v>22001</v>
      </c>
      <c r="B1153" s="379" t="s">
        <v>1056</v>
      </c>
      <c r="C1153" s="601">
        <v>3655</v>
      </c>
      <c r="D1153" s="708">
        <f>SUM(D1154:D1179)</f>
        <v>3833</v>
      </c>
      <c r="E1153" s="708">
        <f>SUM(E1154:E1179)</f>
        <v>3833</v>
      </c>
      <c r="F1153" s="708">
        <f>SUM(F1154:F1179)</f>
        <v>5505</v>
      </c>
      <c r="G1153" s="523">
        <f t="shared" si="69"/>
        <v>0.506155950752394</v>
      </c>
      <c r="H1153" s="467">
        <f t="shared" si="70"/>
        <v>1.43621184450822</v>
      </c>
      <c r="I1153" s="524" t="str">
        <f t="shared" si="72"/>
        <v>是</v>
      </c>
      <c r="J1153" s="312" t="str">
        <f t="shared" si="71"/>
        <v>款</v>
      </c>
    </row>
    <row r="1154" s="372" customFormat="1" ht="24" customHeight="1" spans="1:10">
      <c r="A1154" s="330">
        <v>2200101</v>
      </c>
      <c r="B1154" s="379" t="s">
        <v>212</v>
      </c>
      <c r="C1154" s="602">
        <v>1237</v>
      </c>
      <c r="D1154" s="709">
        <v>1315</v>
      </c>
      <c r="E1154" s="710">
        <v>1315</v>
      </c>
      <c r="F1154" s="710">
        <v>1291</v>
      </c>
      <c r="G1154" s="526">
        <f t="shared" si="69"/>
        <v>0.0436540016168149</v>
      </c>
      <c r="H1154" s="470">
        <f t="shared" si="70"/>
        <v>0.981749049429658</v>
      </c>
      <c r="I1154" s="524" t="str">
        <f t="shared" si="72"/>
        <v>是</v>
      </c>
      <c r="J1154" s="312" t="str">
        <f t="shared" si="71"/>
        <v>项</v>
      </c>
    </row>
    <row r="1155" s="372" customFormat="1" ht="24" customHeight="1" spans="1:10">
      <c r="A1155" s="330">
        <v>2200102</v>
      </c>
      <c r="B1155" s="379" t="s">
        <v>213</v>
      </c>
      <c r="C1155" s="602">
        <v>4</v>
      </c>
      <c r="D1155" s="709">
        <v>5</v>
      </c>
      <c r="E1155" s="710">
        <v>5</v>
      </c>
      <c r="F1155" s="710">
        <v>0</v>
      </c>
      <c r="G1155" s="526">
        <f t="shared" ref="G1155:G1218" si="73">IFERROR((F1155-C1155)/C1155,"")</f>
        <v>-1</v>
      </c>
      <c r="H1155" s="470">
        <f t="shared" ref="H1155:H1218" si="74">IFERROR(F1155/D1155,"")</f>
        <v>0</v>
      </c>
      <c r="I1155" s="524" t="str">
        <f t="shared" si="72"/>
        <v>是</v>
      </c>
      <c r="J1155" s="312" t="str">
        <f t="shared" ref="J1155:J1218" si="75">IF(LEN(A1155)=3,"类",IF(LEN(A1155)=5,"款","项"))</f>
        <v>项</v>
      </c>
    </row>
    <row r="1156" s="372" customFormat="1" ht="24" hidden="1" customHeight="1" spans="1:10">
      <c r="A1156" s="330">
        <v>2200103</v>
      </c>
      <c r="B1156" s="379" t="s">
        <v>214</v>
      </c>
      <c r="C1156" s="602">
        <v>0</v>
      </c>
      <c r="D1156" s="709">
        <v>0</v>
      </c>
      <c r="E1156" s="710">
        <v>0</v>
      </c>
      <c r="F1156" s="710">
        <v>0</v>
      </c>
      <c r="G1156" s="526" t="str">
        <f t="shared" si="73"/>
        <v/>
      </c>
      <c r="H1156" s="470" t="str">
        <f t="shared" si="74"/>
        <v/>
      </c>
      <c r="I1156" s="524" t="str">
        <f t="shared" ref="I1156:I1219" si="76">IF(LEN(A1156)=3,"是",IF(B1156&lt;&gt;"",IF(SUM(C1156:F1156)&lt;&gt;0,"是","否"),"是"))</f>
        <v>否</v>
      </c>
      <c r="J1156" s="312" t="str">
        <f t="shared" si="75"/>
        <v>项</v>
      </c>
    </row>
    <row r="1157" s="372" customFormat="1" ht="24" customHeight="1" spans="1:10">
      <c r="A1157" s="330">
        <v>2200104</v>
      </c>
      <c r="B1157" s="379" t="s">
        <v>1057</v>
      </c>
      <c r="C1157" s="602">
        <v>0</v>
      </c>
      <c r="D1157" s="709">
        <v>0</v>
      </c>
      <c r="E1157" s="710">
        <v>0</v>
      </c>
      <c r="F1157" s="710">
        <v>253</v>
      </c>
      <c r="G1157" s="526" t="str">
        <f t="shared" si="73"/>
        <v/>
      </c>
      <c r="H1157" s="470" t="str">
        <f t="shared" si="74"/>
        <v/>
      </c>
      <c r="I1157" s="524" t="str">
        <f t="shared" si="76"/>
        <v>是</v>
      </c>
      <c r="J1157" s="312" t="str">
        <f t="shared" si="75"/>
        <v>项</v>
      </c>
    </row>
    <row r="1158" s="372" customFormat="1" ht="24" customHeight="1" spans="1:10">
      <c r="A1158" s="330">
        <v>2200106</v>
      </c>
      <c r="B1158" s="379" t="s">
        <v>1058</v>
      </c>
      <c r="C1158" s="602">
        <v>1569</v>
      </c>
      <c r="D1158" s="709">
        <v>1625</v>
      </c>
      <c r="E1158" s="710">
        <v>1625</v>
      </c>
      <c r="F1158" s="710">
        <v>3084</v>
      </c>
      <c r="G1158" s="526">
        <f t="shared" si="73"/>
        <v>0.965583173996176</v>
      </c>
      <c r="H1158" s="470">
        <f t="shared" si="74"/>
        <v>1.89784615384615</v>
      </c>
      <c r="I1158" s="524" t="str">
        <f t="shared" si="76"/>
        <v>是</v>
      </c>
      <c r="J1158" s="312" t="str">
        <f t="shared" si="75"/>
        <v>项</v>
      </c>
    </row>
    <row r="1159" ht="24" hidden="1" customHeight="1" spans="1:10">
      <c r="A1159" s="330">
        <v>2200107</v>
      </c>
      <c r="B1159" s="379" t="s">
        <v>1059</v>
      </c>
      <c r="C1159" s="602">
        <v>0</v>
      </c>
      <c r="D1159" s="709">
        <v>0</v>
      </c>
      <c r="E1159" s="710">
        <v>0</v>
      </c>
      <c r="F1159" s="710">
        <v>0</v>
      </c>
      <c r="G1159" s="526" t="str">
        <f t="shared" si="73"/>
        <v/>
      </c>
      <c r="H1159" s="470" t="str">
        <f t="shared" si="74"/>
        <v/>
      </c>
      <c r="I1159" s="524" t="str">
        <f t="shared" si="76"/>
        <v>否</v>
      </c>
      <c r="J1159" s="312" t="str">
        <f t="shared" si="75"/>
        <v>项</v>
      </c>
    </row>
    <row r="1160" s="372" customFormat="1" ht="24" hidden="1" customHeight="1" spans="1:10">
      <c r="A1160" s="330">
        <v>2200108</v>
      </c>
      <c r="B1160" s="379" t="s">
        <v>1060</v>
      </c>
      <c r="C1160" s="602">
        <v>0</v>
      </c>
      <c r="D1160" s="709">
        <v>0</v>
      </c>
      <c r="E1160" s="710">
        <v>0</v>
      </c>
      <c r="F1160" s="710">
        <v>0</v>
      </c>
      <c r="G1160" s="526" t="str">
        <f t="shared" si="73"/>
        <v/>
      </c>
      <c r="H1160" s="470" t="str">
        <f t="shared" si="74"/>
        <v/>
      </c>
      <c r="I1160" s="524" t="str">
        <f t="shared" si="76"/>
        <v>否</v>
      </c>
      <c r="J1160" s="312" t="str">
        <f t="shared" si="75"/>
        <v>项</v>
      </c>
    </row>
    <row r="1161" s="372" customFormat="1" ht="24" customHeight="1" spans="1:10">
      <c r="A1161" s="330">
        <v>2200109</v>
      </c>
      <c r="B1161" s="379" t="s">
        <v>1061</v>
      </c>
      <c r="C1161" s="602">
        <v>29</v>
      </c>
      <c r="D1161" s="709">
        <v>32</v>
      </c>
      <c r="E1161" s="710">
        <v>32</v>
      </c>
      <c r="F1161" s="710">
        <v>0</v>
      </c>
      <c r="G1161" s="526">
        <f t="shared" si="73"/>
        <v>-1</v>
      </c>
      <c r="H1161" s="470">
        <f t="shared" si="74"/>
        <v>0</v>
      </c>
      <c r="I1161" s="524" t="str">
        <f t="shared" si="76"/>
        <v>是</v>
      </c>
      <c r="J1161" s="312" t="str">
        <f t="shared" si="75"/>
        <v>项</v>
      </c>
    </row>
    <row r="1162" s="372" customFormat="1" ht="24" hidden="1" customHeight="1" spans="1:10">
      <c r="A1162" s="330">
        <v>2200112</v>
      </c>
      <c r="B1162" s="379" t="s">
        <v>1062</v>
      </c>
      <c r="C1162" s="602">
        <v>0</v>
      </c>
      <c r="D1162" s="709">
        <v>0</v>
      </c>
      <c r="E1162" s="710">
        <v>0</v>
      </c>
      <c r="F1162" s="710">
        <v>0</v>
      </c>
      <c r="G1162" s="526" t="str">
        <f t="shared" si="73"/>
        <v/>
      </c>
      <c r="H1162" s="470" t="str">
        <f t="shared" si="74"/>
        <v/>
      </c>
      <c r="I1162" s="524" t="str">
        <f t="shared" si="76"/>
        <v>否</v>
      </c>
      <c r="J1162" s="312" t="str">
        <f t="shared" si="75"/>
        <v>项</v>
      </c>
    </row>
    <row r="1163" s="372" customFormat="1" ht="24" hidden="1" customHeight="1" spans="1:10">
      <c r="A1163" s="330">
        <v>2200113</v>
      </c>
      <c r="B1163" s="379" t="s">
        <v>1063</v>
      </c>
      <c r="C1163" s="602">
        <v>0</v>
      </c>
      <c r="D1163" s="709">
        <v>0</v>
      </c>
      <c r="E1163" s="710">
        <v>0</v>
      </c>
      <c r="F1163" s="710">
        <v>0</v>
      </c>
      <c r="G1163" s="526" t="str">
        <f t="shared" si="73"/>
        <v/>
      </c>
      <c r="H1163" s="470" t="str">
        <f t="shared" si="74"/>
        <v/>
      </c>
      <c r="I1163" s="524" t="str">
        <f t="shared" si="76"/>
        <v>否</v>
      </c>
      <c r="J1163" s="312" t="str">
        <f t="shared" si="75"/>
        <v>项</v>
      </c>
    </row>
    <row r="1164" s="372" customFormat="1" ht="24" hidden="1" customHeight="1" spans="1:10">
      <c r="A1164" s="330">
        <v>2200114</v>
      </c>
      <c r="B1164" s="379" t="s">
        <v>1064</v>
      </c>
      <c r="C1164" s="602">
        <v>0</v>
      </c>
      <c r="D1164" s="709">
        <v>0</v>
      </c>
      <c r="E1164" s="710">
        <v>0</v>
      </c>
      <c r="F1164" s="710">
        <v>0</v>
      </c>
      <c r="G1164" s="526" t="str">
        <f t="shared" si="73"/>
        <v/>
      </c>
      <c r="H1164" s="470" t="str">
        <f t="shared" si="74"/>
        <v/>
      </c>
      <c r="I1164" s="524" t="str">
        <f t="shared" si="76"/>
        <v>否</v>
      </c>
      <c r="J1164" s="312" t="str">
        <f t="shared" si="75"/>
        <v>项</v>
      </c>
    </row>
    <row r="1165" s="372" customFormat="1" ht="24" hidden="1" customHeight="1" spans="1:10">
      <c r="A1165" s="330">
        <v>2200115</v>
      </c>
      <c r="B1165" s="379" t="s">
        <v>1065</v>
      </c>
      <c r="C1165" s="602">
        <v>0</v>
      </c>
      <c r="D1165" s="709">
        <v>0</v>
      </c>
      <c r="E1165" s="710">
        <v>0</v>
      </c>
      <c r="F1165" s="710">
        <v>0</v>
      </c>
      <c r="G1165" s="526" t="str">
        <f t="shared" si="73"/>
        <v/>
      </c>
      <c r="H1165" s="470" t="str">
        <f t="shared" si="74"/>
        <v/>
      </c>
      <c r="I1165" s="524" t="str">
        <f t="shared" si="76"/>
        <v>否</v>
      </c>
      <c r="J1165" s="312" t="str">
        <f t="shared" si="75"/>
        <v>项</v>
      </c>
    </row>
    <row r="1166" s="372" customFormat="1" ht="24" hidden="1" customHeight="1" spans="1:10">
      <c r="A1166" s="330">
        <v>2200116</v>
      </c>
      <c r="B1166" s="379" t="s">
        <v>1066</v>
      </c>
      <c r="C1166" s="602">
        <v>0</v>
      </c>
      <c r="D1166" s="709">
        <v>0</v>
      </c>
      <c r="E1166" s="710">
        <v>0</v>
      </c>
      <c r="F1166" s="710">
        <v>0</v>
      </c>
      <c r="G1166" s="526" t="str">
        <f t="shared" si="73"/>
        <v/>
      </c>
      <c r="H1166" s="470" t="str">
        <f t="shared" si="74"/>
        <v/>
      </c>
      <c r="I1166" s="524" t="str">
        <f t="shared" si="76"/>
        <v>否</v>
      </c>
      <c r="J1166" s="312" t="str">
        <f t="shared" si="75"/>
        <v>项</v>
      </c>
    </row>
    <row r="1167" s="372" customFormat="1" ht="24" hidden="1" customHeight="1" spans="1:10">
      <c r="A1167" s="330">
        <v>2200119</v>
      </c>
      <c r="B1167" s="379" t="s">
        <v>1067</v>
      </c>
      <c r="C1167" s="602">
        <v>0</v>
      </c>
      <c r="D1167" s="709">
        <v>0</v>
      </c>
      <c r="E1167" s="710">
        <v>0</v>
      </c>
      <c r="F1167" s="710">
        <v>0</v>
      </c>
      <c r="G1167" s="526" t="str">
        <f t="shared" si="73"/>
        <v/>
      </c>
      <c r="H1167" s="470" t="str">
        <f t="shared" si="74"/>
        <v/>
      </c>
      <c r="I1167" s="524" t="str">
        <f t="shared" si="76"/>
        <v>否</v>
      </c>
      <c r="J1167" s="312" t="str">
        <f t="shared" si="75"/>
        <v>项</v>
      </c>
    </row>
    <row r="1168" s="372" customFormat="1" ht="24" hidden="1" customHeight="1" spans="1:10">
      <c r="A1168" s="330">
        <v>2200120</v>
      </c>
      <c r="B1168" s="379" t="s">
        <v>1068</v>
      </c>
      <c r="C1168" s="602">
        <v>0</v>
      </c>
      <c r="D1168" s="709">
        <v>0</v>
      </c>
      <c r="E1168" s="710">
        <v>0</v>
      </c>
      <c r="F1168" s="710">
        <v>0</v>
      </c>
      <c r="G1168" s="526" t="str">
        <f t="shared" si="73"/>
        <v/>
      </c>
      <c r="H1168" s="470" t="str">
        <f t="shared" si="74"/>
        <v/>
      </c>
      <c r="I1168" s="524" t="str">
        <f t="shared" si="76"/>
        <v>否</v>
      </c>
      <c r="J1168" s="312" t="str">
        <f t="shared" si="75"/>
        <v>项</v>
      </c>
    </row>
    <row r="1169" ht="24" hidden="1" customHeight="1" spans="1:10">
      <c r="A1169" s="330">
        <v>2200121</v>
      </c>
      <c r="B1169" s="379" t="s">
        <v>1069</v>
      </c>
      <c r="C1169" s="602">
        <v>0</v>
      </c>
      <c r="D1169" s="709">
        <v>0</v>
      </c>
      <c r="E1169" s="710">
        <v>0</v>
      </c>
      <c r="F1169" s="710">
        <v>0</v>
      </c>
      <c r="G1169" s="526" t="str">
        <f t="shared" si="73"/>
        <v/>
      </c>
      <c r="H1169" s="470" t="str">
        <f t="shared" si="74"/>
        <v/>
      </c>
      <c r="I1169" s="524" t="str">
        <f t="shared" si="76"/>
        <v>否</v>
      </c>
      <c r="J1169" s="312" t="str">
        <f t="shared" si="75"/>
        <v>项</v>
      </c>
    </row>
    <row r="1170" s="372" customFormat="1" ht="24" hidden="1" customHeight="1" spans="1:10">
      <c r="A1170" s="330">
        <v>2200122</v>
      </c>
      <c r="B1170" s="379" t="s">
        <v>1070</v>
      </c>
      <c r="C1170" s="602">
        <v>0</v>
      </c>
      <c r="D1170" s="709">
        <v>0</v>
      </c>
      <c r="E1170" s="710">
        <v>0</v>
      </c>
      <c r="F1170" s="710">
        <v>0</v>
      </c>
      <c r="G1170" s="526" t="str">
        <f t="shared" si="73"/>
        <v/>
      </c>
      <c r="H1170" s="470" t="str">
        <f t="shared" si="74"/>
        <v/>
      </c>
      <c r="I1170" s="524" t="str">
        <f t="shared" si="76"/>
        <v>否</v>
      </c>
      <c r="J1170" s="312" t="str">
        <f t="shared" si="75"/>
        <v>项</v>
      </c>
    </row>
    <row r="1171" s="372" customFormat="1" ht="24" hidden="1" customHeight="1" spans="1:10">
      <c r="A1171" s="330">
        <v>2200123</v>
      </c>
      <c r="B1171" s="379" t="s">
        <v>1071</v>
      </c>
      <c r="C1171" s="602">
        <v>0</v>
      </c>
      <c r="D1171" s="709">
        <v>0</v>
      </c>
      <c r="E1171" s="710">
        <v>0</v>
      </c>
      <c r="F1171" s="710">
        <v>0</v>
      </c>
      <c r="G1171" s="526" t="str">
        <f t="shared" si="73"/>
        <v/>
      </c>
      <c r="H1171" s="470" t="str">
        <f t="shared" si="74"/>
        <v/>
      </c>
      <c r="I1171" s="524" t="str">
        <f t="shared" si="76"/>
        <v>否</v>
      </c>
      <c r="J1171" s="312" t="str">
        <f t="shared" si="75"/>
        <v>项</v>
      </c>
    </row>
    <row r="1172" s="372" customFormat="1" ht="24" hidden="1" customHeight="1" spans="1:10">
      <c r="A1172" s="330">
        <v>2200124</v>
      </c>
      <c r="B1172" s="379" t="s">
        <v>1072</v>
      </c>
      <c r="C1172" s="602">
        <v>0</v>
      </c>
      <c r="D1172" s="709">
        <v>0</v>
      </c>
      <c r="E1172" s="710">
        <v>0</v>
      </c>
      <c r="F1172" s="710">
        <v>0</v>
      </c>
      <c r="G1172" s="526" t="str">
        <f t="shared" si="73"/>
        <v/>
      </c>
      <c r="H1172" s="470" t="str">
        <f t="shared" si="74"/>
        <v/>
      </c>
      <c r="I1172" s="524" t="str">
        <f t="shared" si="76"/>
        <v>否</v>
      </c>
      <c r="J1172" s="312" t="str">
        <f t="shared" si="75"/>
        <v>项</v>
      </c>
    </row>
    <row r="1173" s="372" customFormat="1" ht="24" hidden="1" customHeight="1" spans="1:10">
      <c r="A1173" s="330">
        <v>2200125</v>
      </c>
      <c r="B1173" s="379" t="s">
        <v>1073</v>
      </c>
      <c r="C1173" s="602">
        <v>0</v>
      </c>
      <c r="D1173" s="709">
        <v>0</v>
      </c>
      <c r="E1173" s="710">
        <v>0</v>
      </c>
      <c r="F1173" s="710">
        <v>0</v>
      </c>
      <c r="G1173" s="526" t="str">
        <f t="shared" si="73"/>
        <v/>
      </c>
      <c r="H1173" s="470" t="str">
        <f t="shared" si="74"/>
        <v/>
      </c>
      <c r="I1173" s="524" t="str">
        <f t="shared" si="76"/>
        <v>否</v>
      </c>
      <c r="J1173" s="312" t="str">
        <f t="shared" si="75"/>
        <v>项</v>
      </c>
    </row>
    <row r="1174" s="372" customFormat="1" ht="24" hidden="1" customHeight="1" spans="1:10">
      <c r="A1174" s="330">
        <v>2200126</v>
      </c>
      <c r="B1174" s="379" t="s">
        <v>1074</v>
      </c>
      <c r="C1174" s="602">
        <v>0</v>
      </c>
      <c r="D1174" s="709">
        <v>0</v>
      </c>
      <c r="E1174" s="710">
        <v>0</v>
      </c>
      <c r="F1174" s="710">
        <v>0</v>
      </c>
      <c r="G1174" s="526" t="str">
        <f t="shared" si="73"/>
        <v/>
      </c>
      <c r="H1174" s="470" t="str">
        <f t="shared" si="74"/>
        <v/>
      </c>
      <c r="I1174" s="524" t="str">
        <f t="shared" si="76"/>
        <v>否</v>
      </c>
      <c r="J1174" s="312" t="str">
        <f t="shared" si="75"/>
        <v>项</v>
      </c>
    </row>
    <row r="1175" ht="24" hidden="1" customHeight="1" spans="1:10">
      <c r="A1175" s="330">
        <v>2200127</v>
      </c>
      <c r="B1175" s="379" t="s">
        <v>1075</v>
      </c>
      <c r="C1175" s="602">
        <v>0</v>
      </c>
      <c r="D1175" s="709">
        <v>0</v>
      </c>
      <c r="E1175" s="710">
        <v>0</v>
      </c>
      <c r="F1175" s="710">
        <v>0</v>
      </c>
      <c r="G1175" s="526" t="str">
        <f t="shared" si="73"/>
        <v/>
      </c>
      <c r="H1175" s="470" t="str">
        <f t="shared" si="74"/>
        <v/>
      </c>
      <c r="I1175" s="524" t="str">
        <f t="shared" si="76"/>
        <v>否</v>
      </c>
      <c r="J1175" s="312" t="str">
        <f t="shared" si="75"/>
        <v>项</v>
      </c>
    </row>
    <row r="1176" s="372" customFormat="1" ht="24" hidden="1" customHeight="1" spans="1:10">
      <c r="A1176" s="330">
        <v>2200128</v>
      </c>
      <c r="B1176" s="379" t="s">
        <v>1076</v>
      </c>
      <c r="C1176" s="602">
        <v>0</v>
      </c>
      <c r="D1176" s="709">
        <v>0</v>
      </c>
      <c r="E1176" s="710">
        <v>0</v>
      </c>
      <c r="F1176" s="710">
        <v>0</v>
      </c>
      <c r="G1176" s="526" t="str">
        <f t="shared" si="73"/>
        <v/>
      </c>
      <c r="H1176" s="470" t="str">
        <f t="shared" si="74"/>
        <v/>
      </c>
      <c r="I1176" s="524" t="str">
        <f t="shared" si="76"/>
        <v>否</v>
      </c>
      <c r="J1176" s="312" t="str">
        <f t="shared" si="75"/>
        <v>项</v>
      </c>
    </row>
    <row r="1177" s="372" customFormat="1" ht="24" hidden="1" customHeight="1" spans="1:10">
      <c r="A1177" s="330">
        <v>2200129</v>
      </c>
      <c r="B1177" s="379" t="s">
        <v>1077</v>
      </c>
      <c r="C1177" s="602">
        <v>0</v>
      </c>
      <c r="D1177" s="709">
        <v>0</v>
      </c>
      <c r="E1177" s="710">
        <v>0</v>
      </c>
      <c r="F1177" s="710">
        <v>0</v>
      </c>
      <c r="G1177" s="526" t="str">
        <f t="shared" si="73"/>
        <v/>
      </c>
      <c r="H1177" s="470" t="str">
        <f t="shared" si="74"/>
        <v/>
      </c>
      <c r="I1177" s="524" t="str">
        <f t="shared" si="76"/>
        <v>否</v>
      </c>
      <c r="J1177" s="312" t="str">
        <f t="shared" si="75"/>
        <v>项</v>
      </c>
    </row>
    <row r="1178" ht="24" customHeight="1" spans="1:10">
      <c r="A1178" s="330">
        <v>2200150</v>
      </c>
      <c r="B1178" s="379" t="s">
        <v>221</v>
      </c>
      <c r="C1178" s="602">
        <v>796</v>
      </c>
      <c r="D1178" s="709">
        <v>856</v>
      </c>
      <c r="E1178" s="710">
        <v>856</v>
      </c>
      <c r="F1178" s="710">
        <v>834</v>
      </c>
      <c r="G1178" s="526">
        <f t="shared" si="73"/>
        <v>0.0477386934673367</v>
      </c>
      <c r="H1178" s="470">
        <f t="shared" si="74"/>
        <v>0.974299065420561</v>
      </c>
      <c r="I1178" s="524" t="str">
        <f t="shared" si="76"/>
        <v>是</v>
      </c>
      <c r="J1178" s="312" t="str">
        <f t="shared" si="75"/>
        <v>项</v>
      </c>
    </row>
    <row r="1179" s="372" customFormat="1" ht="24" customHeight="1" spans="1:10">
      <c r="A1179" s="331">
        <v>2200199</v>
      </c>
      <c r="B1179" s="327" t="s">
        <v>1078</v>
      </c>
      <c r="C1179" s="602">
        <v>20</v>
      </c>
      <c r="D1179" s="709">
        <v>0</v>
      </c>
      <c r="E1179" s="710">
        <v>0</v>
      </c>
      <c r="F1179" s="710">
        <v>43</v>
      </c>
      <c r="G1179" s="526">
        <f t="shared" si="73"/>
        <v>1.15</v>
      </c>
      <c r="H1179" s="470" t="str">
        <f t="shared" si="74"/>
        <v/>
      </c>
      <c r="I1179" s="524" t="str">
        <f t="shared" si="76"/>
        <v>是</v>
      </c>
      <c r="J1179" s="313" t="str">
        <f t="shared" si="75"/>
        <v>项</v>
      </c>
    </row>
    <row r="1180" s="372" customFormat="1" ht="24" customHeight="1" spans="1:10">
      <c r="A1180" s="330">
        <v>22005</v>
      </c>
      <c r="B1180" s="379" t="s">
        <v>1079</v>
      </c>
      <c r="C1180" s="601">
        <v>278</v>
      </c>
      <c r="D1180" s="708">
        <f>SUM(D1181:D1194)</f>
        <v>210</v>
      </c>
      <c r="E1180" s="708">
        <f>SUM(E1181:E1194)</f>
        <v>541</v>
      </c>
      <c r="F1180" s="708">
        <f>SUM(F1181:F1194)</f>
        <v>544</v>
      </c>
      <c r="G1180" s="523">
        <f t="shared" si="73"/>
        <v>0.956834532374101</v>
      </c>
      <c r="H1180" s="467">
        <f t="shared" si="74"/>
        <v>2.59047619047619</v>
      </c>
      <c r="I1180" s="524" t="str">
        <f t="shared" si="76"/>
        <v>是</v>
      </c>
      <c r="J1180" s="312" t="str">
        <f t="shared" si="75"/>
        <v>款</v>
      </c>
    </row>
    <row r="1181" s="372" customFormat="1" ht="24" hidden="1" customHeight="1" spans="1:10">
      <c r="A1181" s="330">
        <v>2200501</v>
      </c>
      <c r="B1181" s="379" t="s">
        <v>212</v>
      </c>
      <c r="C1181" s="602">
        <v>0</v>
      </c>
      <c r="D1181" s="709"/>
      <c r="E1181" s="710">
        <v>0</v>
      </c>
      <c r="F1181" s="710">
        <v>0</v>
      </c>
      <c r="G1181" s="526" t="str">
        <f t="shared" si="73"/>
        <v/>
      </c>
      <c r="H1181" s="470" t="str">
        <f t="shared" si="74"/>
        <v/>
      </c>
      <c r="I1181" s="524" t="str">
        <f t="shared" si="76"/>
        <v>否</v>
      </c>
      <c r="J1181" s="312" t="str">
        <f t="shared" si="75"/>
        <v>项</v>
      </c>
    </row>
    <row r="1182" s="372" customFormat="1" ht="24" hidden="1" customHeight="1" spans="1:10">
      <c r="A1182" s="330">
        <v>2200502</v>
      </c>
      <c r="B1182" s="379" t="s">
        <v>213</v>
      </c>
      <c r="C1182" s="602">
        <v>0</v>
      </c>
      <c r="D1182" s="709"/>
      <c r="E1182" s="710">
        <v>0</v>
      </c>
      <c r="F1182" s="710">
        <v>0</v>
      </c>
      <c r="G1182" s="526" t="str">
        <f t="shared" si="73"/>
        <v/>
      </c>
      <c r="H1182" s="470" t="str">
        <f t="shared" si="74"/>
        <v/>
      </c>
      <c r="I1182" s="524" t="str">
        <f t="shared" si="76"/>
        <v>否</v>
      </c>
      <c r="J1182" s="312" t="str">
        <f t="shared" si="75"/>
        <v>项</v>
      </c>
    </row>
    <row r="1183" s="372" customFormat="1" ht="24" hidden="1" customHeight="1" spans="1:10">
      <c r="A1183" s="330">
        <v>2200503</v>
      </c>
      <c r="B1183" s="379" t="s">
        <v>214</v>
      </c>
      <c r="C1183" s="602">
        <v>0</v>
      </c>
      <c r="D1183" s="709"/>
      <c r="E1183" s="710">
        <v>0</v>
      </c>
      <c r="F1183" s="710">
        <v>0</v>
      </c>
      <c r="G1183" s="526" t="str">
        <f t="shared" si="73"/>
        <v/>
      </c>
      <c r="H1183" s="470" t="str">
        <f t="shared" si="74"/>
        <v/>
      </c>
      <c r="I1183" s="524" t="str">
        <f t="shared" si="76"/>
        <v>否</v>
      </c>
      <c r="J1183" s="312" t="str">
        <f t="shared" si="75"/>
        <v>项</v>
      </c>
    </row>
    <row r="1184" s="374" customFormat="1" ht="24" customHeight="1" spans="1:10">
      <c r="A1184" s="330">
        <v>2200504</v>
      </c>
      <c r="B1184" s="379" t="s">
        <v>1080</v>
      </c>
      <c r="C1184" s="602">
        <v>210</v>
      </c>
      <c r="D1184" s="709">
        <v>210</v>
      </c>
      <c r="E1184" s="710">
        <v>210</v>
      </c>
      <c r="F1184" s="710">
        <v>210</v>
      </c>
      <c r="G1184" s="526">
        <f t="shared" si="73"/>
        <v>0</v>
      </c>
      <c r="H1184" s="470">
        <f t="shared" si="74"/>
        <v>1</v>
      </c>
      <c r="I1184" s="524" t="str">
        <f t="shared" si="76"/>
        <v>是</v>
      </c>
      <c r="J1184" s="312" t="str">
        <f t="shared" si="75"/>
        <v>项</v>
      </c>
    </row>
    <row r="1185" s="372" customFormat="1" ht="24" hidden="1" customHeight="1" spans="1:10">
      <c r="A1185" s="330">
        <v>2200506</v>
      </c>
      <c r="B1185" s="379" t="s">
        <v>1081</v>
      </c>
      <c r="C1185" s="602">
        <v>0</v>
      </c>
      <c r="D1185" s="709"/>
      <c r="E1185" s="710">
        <v>0</v>
      </c>
      <c r="F1185" s="710">
        <v>0</v>
      </c>
      <c r="G1185" s="526" t="str">
        <f t="shared" si="73"/>
        <v/>
      </c>
      <c r="H1185" s="470" t="str">
        <f t="shared" si="74"/>
        <v/>
      </c>
      <c r="I1185" s="524" t="str">
        <f t="shared" si="76"/>
        <v>否</v>
      </c>
      <c r="J1185" s="312" t="str">
        <f t="shared" si="75"/>
        <v>项</v>
      </c>
    </row>
    <row r="1186" s="372" customFormat="1" ht="24" hidden="1" customHeight="1" spans="1:10">
      <c r="A1186" s="330">
        <v>2200507</v>
      </c>
      <c r="B1186" s="379" t="s">
        <v>1082</v>
      </c>
      <c r="C1186" s="602">
        <v>0</v>
      </c>
      <c r="D1186" s="709"/>
      <c r="E1186" s="710">
        <v>0</v>
      </c>
      <c r="F1186" s="710">
        <v>0</v>
      </c>
      <c r="G1186" s="526" t="str">
        <f t="shared" si="73"/>
        <v/>
      </c>
      <c r="H1186" s="470" t="str">
        <f t="shared" si="74"/>
        <v/>
      </c>
      <c r="I1186" s="524" t="str">
        <f t="shared" si="76"/>
        <v>否</v>
      </c>
      <c r="J1186" s="312" t="str">
        <f t="shared" si="75"/>
        <v>项</v>
      </c>
    </row>
    <row r="1187" ht="24" hidden="1" customHeight="1" spans="1:10">
      <c r="A1187" s="330">
        <v>2200508</v>
      </c>
      <c r="B1187" s="379" t="s">
        <v>1083</v>
      </c>
      <c r="C1187" s="602">
        <v>0</v>
      </c>
      <c r="D1187" s="709"/>
      <c r="E1187" s="710">
        <v>0</v>
      </c>
      <c r="F1187" s="710">
        <v>0</v>
      </c>
      <c r="G1187" s="526" t="str">
        <f t="shared" si="73"/>
        <v/>
      </c>
      <c r="H1187" s="470" t="str">
        <f t="shared" si="74"/>
        <v/>
      </c>
      <c r="I1187" s="524" t="str">
        <f t="shared" si="76"/>
        <v>否</v>
      </c>
      <c r="J1187" s="312" t="str">
        <f t="shared" si="75"/>
        <v>项</v>
      </c>
    </row>
    <row r="1188" ht="24" customHeight="1" spans="1:10">
      <c r="A1188" s="330">
        <v>2200509</v>
      </c>
      <c r="B1188" s="379" t="s">
        <v>1084</v>
      </c>
      <c r="C1188" s="602">
        <v>0</v>
      </c>
      <c r="D1188" s="709"/>
      <c r="E1188" s="710">
        <v>331</v>
      </c>
      <c r="F1188" s="710">
        <v>331</v>
      </c>
      <c r="G1188" s="526" t="str">
        <f t="shared" si="73"/>
        <v/>
      </c>
      <c r="H1188" s="470" t="str">
        <f t="shared" si="74"/>
        <v/>
      </c>
      <c r="I1188" s="524" t="str">
        <f t="shared" si="76"/>
        <v>是</v>
      </c>
      <c r="J1188" s="312" t="str">
        <f t="shared" si="75"/>
        <v>项</v>
      </c>
    </row>
    <row r="1189" ht="24" hidden="1" customHeight="1" spans="1:10">
      <c r="A1189" s="330">
        <v>2200510</v>
      </c>
      <c r="B1189" s="379" t="s">
        <v>1085</v>
      </c>
      <c r="C1189" s="602">
        <v>0</v>
      </c>
      <c r="D1189" s="709"/>
      <c r="E1189" s="710">
        <v>0</v>
      </c>
      <c r="F1189" s="710">
        <v>0</v>
      </c>
      <c r="G1189" s="526" t="str">
        <f t="shared" si="73"/>
        <v/>
      </c>
      <c r="H1189" s="470" t="str">
        <f t="shared" si="74"/>
        <v/>
      </c>
      <c r="I1189" s="524" t="str">
        <f t="shared" si="76"/>
        <v>否</v>
      </c>
      <c r="J1189" s="312" t="str">
        <f t="shared" si="75"/>
        <v>项</v>
      </c>
    </row>
    <row r="1190" s="372" customFormat="1" ht="24" hidden="1" customHeight="1" spans="1:10">
      <c r="A1190" s="330">
        <v>2200511</v>
      </c>
      <c r="B1190" s="379" t="s">
        <v>1086</v>
      </c>
      <c r="C1190" s="602">
        <v>0</v>
      </c>
      <c r="D1190" s="709"/>
      <c r="E1190" s="710">
        <v>0</v>
      </c>
      <c r="F1190" s="710">
        <v>0</v>
      </c>
      <c r="G1190" s="526" t="str">
        <f t="shared" si="73"/>
        <v/>
      </c>
      <c r="H1190" s="470" t="str">
        <f t="shared" si="74"/>
        <v/>
      </c>
      <c r="I1190" s="524" t="str">
        <f t="shared" si="76"/>
        <v>否</v>
      </c>
      <c r="J1190" s="312" t="str">
        <f t="shared" si="75"/>
        <v>项</v>
      </c>
    </row>
    <row r="1191" s="372" customFormat="1" ht="24" hidden="1" customHeight="1" spans="1:10">
      <c r="A1191" s="330">
        <v>2200512</v>
      </c>
      <c r="B1191" s="379" t="s">
        <v>1087</v>
      </c>
      <c r="C1191" s="602">
        <v>0</v>
      </c>
      <c r="D1191" s="709"/>
      <c r="E1191" s="710">
        <v>0</v>
      </c>
      <c r="F1191" s="710">
        <v>0</v>
      </c>
      <c r="G1191" s="526" t="str">
        <f t="shared" si="73"/>
        <v/>
      </c>
      <c r="H1191" s="470" t="str">
        <f t="shared" si="74"/>
        <v/>
      </c>
      <c r="I1191" s="524" t="str">
        <f t="shared" si="76"/>
        <v>否</v>
      </c>
      <c r="J1191" s="312" t="str">
        <f t="shared" si="75"/>
        <v>项</v>
      </c>
    </row>
    <row r="1192" s="372" customFormat="1" ht="24" hidden="1" customHeight="1" spans="1:10">
      <c r="A1192" s="330">
        <v>2200513</v>
      </c>
      <c r="B1192" s="379" t="s">
        <v>1088</v>
      </c>
      <c r="C1192" s="602">
        <v>0</v>
      </c>
      <c r="D1192" s="709"/>
      <c r="E1192" s="710">
        <v>0</v>
      </c>
      <c r="F1192" s="710">
        <v>0</v>
      </c>
      <c r="G1192" s="526" t="str">
        <f t="shared" si="73"/>
        <v/>
      </c>
      <c r="H1192" s="470" t="str">
        <f t="shared" si="74"/>
        <v/>
      </c>
      <c r="I1192" s="524" t="str">
        <f t="shared" si="76"/>
        <v>否</v>
      </c>
      <c r="J1192" s="312" t="str">
        <f t="shared" si="75"/>
        <v>项</v>
      </c>
    </row>
    <row r="1193" s="372" customFormat="1" ht="24" hidden="1" customHeight="1" spans="1:10">
      <c r="A1193" s="330">
        <v>2200514</v>
      </c>
      <c r="B1193" s="379" t="s">
        <v>1089</v>
      </c>
      <c r="C1193" s="602">
        <v>0</v>
      </c>
      <c r="D1193" s="709"/>
      <c r="E1193" s="710">
        <v>0</v>
      </c>
      <c r="F1193" s="710">
        <v>0</v>
      </c>
      <c r="G1193" s="526" t="str">
        <f t="shared" si="73"/>
        <v/>
      </c>
      <c r="H1193" s="470" t="str">
        <f t="shared" si="74"/>
        <v/>
      </c>
      <c r="I1193" s="524" t="str">
        <f t="shared" si="76"/>
        <v>否</v>
      </c>
      <c r="J1193" s="312" t="str">
        <f t="shared" si="75"/>
        <v>项</v>
      </c>
    </row>
    <row r="1194" s="372" customFormat="1" ht="24" customHeight="1" spans="1:10">
      <c r="A1194" s="330">
        <v>2200599</v>
      </c>
      <c r="B1194" s="379" t="s">
        <v>1090</v>
      </c>
      <c r="C1194" s="602">
        <v>68</v>
      </c>
      <c r="D1194" s="709">
        <v>0</v>
      </c>
      <c r="E1194" s="710">
        <v>0</v>
      </c>
      <c r="F1194" s="710">
        <v>3</v>
      </c>
      <c r="G1194" s="526">
        <f t="shared" si="73"/>
        <v>-0.955882352941177</v>
      </c>
      <c r="H1194" s="470" t="str">
        <f t="shared" si="74"/>
        <v/>
      </c>
      <c r="I1194" s="524" t="str">
        <f t="shared" si="76"/>
        <v>是</v>
      </c>
      <c r="J1194" s="312" t="str">
        <f t="shared" si="75"/>
        <v>项</v>
      </c>
    </row>
    <row r="1195" s="372" customFormat="1" ht="24" customHeight="1" spans="1:10">
      <c r="A1195" s="330">
        <v>22099</v>
      </c>
      <c r="B1195" s="379" t="s">
        <v>1091</v>
      </c>
      <c r="C1195" s="601">
        <v>3</v>
      </c>
      <c r="D1195" s="708">
        <f>D1196</f>
        <v>0</v>
      </c>
      <c r="E1195" s="708">
        <f>E1196</f>
        <v>0</v>
      </c>
      <c r="F1195" s="708">
        <f>F1196</f>
        <v>2</v>
      </c>
      <c r="G1195" s="523">
        <f t="shared" si="73"/>
        <v>-0.333333333333333</v>
      </c>
      <c r="H1195" s="467" t="str">
        <f t="shared" si="74"/>
        <v/>
      </c>
      <c r="I1195" s="524" t="str">
        <f t="shared" si="76"/>
        <v>是</v>
      </c>
      <c r="J1195" s="312" t="str">
        <f t="shared" si="75"/>
        <v>款</v>
      </c>
    </row>
    <row r="1196" s="372" customFormat="1" ht="24" customHeight="1" spans="1:10">
      <c r="A1196" s="330">
        <v>2209999</v>
      </c>
      <c r="B1196" s="379" t="s">
        <v>1092</v>
      </c>
      <c r="C1196" s="602">
        <v>3</v>
      </c>
      <c r="D1196" s="709">
        <v>0</v>
      </c>
      <c r="E1196" s="710">
        <v>0</v>
      </c>
      <c r="F1196" s="710">
        <v>2</v>
      </c>
      <c r="G1196" s="526">
        <f t="shared" si="73"/>
        <v>-0.333333333333333</v>
      </c>
      <c r="H1196" s="470" t="str">
        <f t="shared" si="74"/>
        <v/>
      </c>
      <c r="I1196" s="524" t="str">
        <f t="shared" si="76"/>
        <v>是</v>
      </c>
      <c r="J1196" s="312" t="str">
        <f t="shared" si="75"/>
        <v>项</v>
      </c>
    </row>
    <row r="1197" s="372" customFormat="1" ht="24" customHeight="1" spans="1:10">
      <c r="A1197" s="329">
        <v>221</v>
      </c>
      <c r="B1197" s="377" t="s">
        <v>193</v>
      </c>
      <c r="C1197" s="601">
        <v>10177</v>
      </c>
      <c r="D1197" s="708">
        <f>D1198+D1208+D1212</f>
        <v>10285</v>
      </c>
      <c r="E1197" s="708">
        <f>E1198+E1208+E1212</f>
        <v>10285</v>
      </c>
      <c r="F1197" s="708">
        <f>F1198+F1208+F1212</f>
        <v>10227</v>
      </c>
      <c r="G1197" s="523">
        <f t="shared" si="73"/>
        <v>0.00491303920605286</v>
      </c>
      <c r="H1197" s="467">
        <f t="shared" si="74"/>
        <v>0.994360719494409</v>
      </c>
      <c r="I1197" s="524" t="str">
        <f t="shared" si="76"/>
        <v>是</v>
      </c>
      <c r="J1197" s="312" t="str">
        <f t="shared" si="75"/>
        <v>类</v>
      </c>
    </row>
    <row r="1198" s="372" customFormat="1" ht="24" hidden="1" customHeight="1" spans="1:10">
      <c r="A1198" s="330">
        <v>22101</v>
      </c>
      <c r="B1198" s="379" t="s">
        <v>1093</v>
      </c>
      <c r="C1198" s="601">
        <v>0</v>
      </c>
      <c r="D1198" s="708">
        <f>SUM(D1199:D1207)</f>
        <v>0</v>
      </c>
      <c r="E1198" s="708">
        <f>SUM(E1199:E1207)</f>
        <v>0</v>
      </c>
      <c r="F1198" s="708">
        <f>SUM(F1199:F1207)</f>
        <v>0</v>
      </c>
      <c r="G1198" s="523" t="str">
        <f t="shared" si="73"/>
        <v/>
      </c>
      <c r="H1198" s="467" t="str">
        <f t="shared" si="74"/>
        <v/>
      </c>
      <c r="I1198" s="524" t="str">
        <f t="shared" si="76"/>
        <v>否</v>
      </c>
      <c r="J1198" s="312" t="str">
        <f t="shared" si="75"/>
        <v>款</v>
      </c>
    </row>
    <row r="1199" s="372" customFormat="1" ht="24" hidden="1" customHeight="1" spans="1:10">
      <c r="A1199" s="330">
        <v>2210102</v>
      </c>
      <c r="B1199" s="379" t="s">
        <v>1094</v>
      </c>
      <c r="C1199" s="602">
        <v>0</v>
      </c>
      <c r="D1199" s="709"/>
      <c r="E1199" s="710">
        <v>0</v>
      </c>
      <c r="F1199" s="710">
        <v>0</v>
      </c>
      <c r="G1199" s="526" t="str">
        <f t="shared" si="73"/>
        <v/>
      </c>
      <c r="H1199" s="470" t="str">
        <f t="shared" si="74"/>
        <v/>
      </c>
      <c r="I1199" s="524" t="str">
        <f t="shared" si="76"/>
        <v>否</v>
      </c>
      <c r="J1199" s="312" t="str">
        <f t="shared" si="75"/>
        <v>项</v>
      </c>
    </row>
    <row r="1200" s="372" customFormat="1" ht="24" hidden="1" customHeight="1" spans="1:10">
      <c r="A1200" s="330">
        <v>2210103</v>
      </c>
      <c r="B1200" s="379" t="s">
        <v>1095</v>
      </c>
      <c r="C1200" s="602">
        <v>0</v>
      </c>
      <c r="D1200" s="709"/>
      <c r="E1200" s="710">
        <v>0</v>
      </c>
      <c r="F1200" s="710">
        <v>0</v>
      </c>
      <c r="G1200" s="526" t="str">
        <f t="shared" si="73"/>
        <v/>
      </c>
      <c r="H1200" s="470" t="str">
        <f t="shared" si="74"/>
        <v/>
      </c>
      <c r="I1200" s="524" t="str">
        <f t="shared" si="76"/>
        <v>否</v>
      </c>
      <c r="J1200" s="312" t="str">
        <f t="shared" si="75"/>
        <v>项</v>
      </c>
    </row>
    <row r="1201" s="372" customFormat="1" ht="24" hidden="1" customHeight="1" spans="1:10">
      <c r="A1201" s="330">
        <v>2210104</v>
      </c>
      <c r="B1201" s="379" t="s">
        <v>1096</v>
      </c>
      <c r="C1201" s="602">
        <v>0</v>
      </c>
      <c r="D1201" s="709"/>
      <c r="E1201" s="710">
        <v>0</v>
      </c>
      <c r="F1201" s="710">
        <v>0</v>
      </c>
      <c r="G1201" s="526" t="str">
        <f t="shared" si="73"/>
        <v/>
      </c>
      <c r="H1201" s="470" t="str">
        <f t="shared" si="74"/>
        <v/>
      </c>
      <c r="I1201" s="524" t="str">
        <f t="shared" si="76"/>
        <v>否</v>
      </c>
      <c r="J1201" s="312" t="str">
        <f t="shared" si="75"/>
        <v>项</v>
      </c>
    </row>
    <row r="1202" s="372" customFormat="1" ht="24" hidden="1" customHeight="1" spans="1:10">
      <c r="A1202" s="330">
        <v>2210105</v>
      </c>
      <c r="B1202" s="379" t="s">
        <v>1097</v>
      </c>
      <c r="C1202" s="602">
        <v>0</v>
      </c>
      <c r="D1202" s="709"/>
      <c r="E1202" s="710">
        <v>0</v>
      </c>
      <c r="F1202" s="710">
        <v>0</v>
      </c>
      <c r="G1202" s="526" t="str">
        <f t="shared" si="73"/>
        <v/>
      </c>
      <c r="H1202" s="470" t="str">
        <f t="shared" si="74"/>
        <v/>
      </c>
      <c r="I1202" s="524" t="str">
        <f t="shared" si="76"/>
        <v>否</v>
      </c>
      <c r="J1202" s="312" t="str">
        <f t="shared" si="75"/>
        <v>项</v>
      </c>
    </row>
    <row r="1203" s="372" customFormat="1" ht="24" hidden="1" customHeight="1" spans="1:10">
      <c r="A1203" s="330">
        <v>2210108</v>
      </c>
      <c r="B1203" s="379" t="s">
        <v>1100</v>
      </c>
      <c r="C1203" s="602">
        <v>0</v>
      </c>
      <c r="D1203" s="709"/>
      <c r="E1203" s="710">
        <v>0</v>
      </c>
      <c r="F1203" s="710">
        <v>0</v>
      </c>
      <c r="G1203" s="526" t="str">
        <f t="shared" si="73"/>
        <v/>
      </c>
      <c r="H1203" s="470" t="str">
        <f t="shared" si="74"/>
        <v/>
      </c>
      <c r="I1203" s="524" t="str">
        <f t="shared" si="76"/>
        <v>否</v>
      </c>
      <c r="J1203" s="312" t="str">
        <f t="shared" si="75"/>
        <v>项</v>
      </c>
    </row>
    <row r="1204" s="374" customFormat="1" ht="24" hidden="1" customHeight="1" spans="1:10">
      <c r="A1204" s="354">
        <v>2210111</v>
      </c>
      <c r="B1204" s="327" t="s">
        <v>1102</v>
      </c>
      <c r="C1204" s="608"/>
      <c r="D1204" s="709"/>
      <c r="E1204" s="710">
        <v>0</v>
      </c>
      <c r="F1204" s="710">
        <v>0</v>
      </c>
      <c r="G1204" s="526" t="str">
        <f t="shared" si="73"/>
        <v/>
      </c>
      <c r="H1204" s="470" t="str">
        <f t="shared" si="74"/>
        <v/>
      </c>
      <c r="I1204" s="524" t="str">
        <f t="shared" si="76"/>
        <v>否</v>
      </c>
      <c r="J1204" s="313" t="str">
        <f t="shared" si="75"/>
        <v>项</v>
      </c>
    </row>
    <row r="1205" s="374" customFormat="1" ht="24" hidden="1" customHeight="1" spans="1:10">
      <c r="A1205" s="354">
        <v>2210112</v>
      </c>
      <c r="B1205" s="327" t="s">
        <v>1103</v>
      </c>
      <c r="C1205" s="608"/>
      <c r="D1205" s="709"/>
      <c r="E1205" s="710">
        <v>0</v>
      </c>
      <c r="F1205" s="710">
        <v>0</v>
      </c>
      <c r="G1205" s="526" t="str">
        <f t="shared" si="73"/>
        <v/>
      </c>
      <c r="H1205" s="470" t="str">
        <f t="shared" si="74"/>
        <v/>
      </c>
      <c r="I1205" s="524" t="str">
        <f t="shared" si="76"/>
        <v>否</v>
      </c>
      <c r="J1205" s="313" t="str">
        <f t="shared" si="75"/>
        <v>项</v>
      </c>
    </row>
    <row r="1206" s="374" customFormat="1" ht="24" hidden="1" customHeight="1" spans="1:10">
      <c r="A1206" s="354">
        <v>2210113</v>
      </c>
      <c r="B1206" s="327" t="s">
        <v>1104</v>
      </c>
      <c r="C1206" s="608"/>
      <c r="D1206" s="709"/>
      <c r="E1206" s="710">
        <v>0</v>
      </c>
      <c r="F1206" s="710">
        <v>0</v>
      </c>
      <c r="G1206" s="526" t="str">
        <f t="shared" si="73"/>
        <v/>
      </c>
      <c r="H1206" s="470" t="str">
        <f t="shared" si="74"/>
        <v/>
      </c>
      <c r="I1206" s="524" t="str">
        <f t="shared" si="76"/>
        <v>否</v>
      </c>
      <c r="J1206" s="313" t="str">
        <f t="shared" si="75"/>
        <v>项</v>
      </c>
    </row>
    <row r="1207" s="372" customFormat="1" ht="24" hidden="1" customHeight="1" spans="1:10">
      <c r="A1207" s="330">
        <v>2210199</v>
      </c>
      <c r="B1207" s="379" t="s">
        <v>1105</v>
      </c>
      <c r="C1207" s="602">
        <v>0</v>
      </c>
      <c r="D1207" s="709"/>
      <c r="E1207" s="710">
        <v>0</v>
      </c>
      <c r="F1207" s="710">
        <v>0</v>
      </c>
      <c r="G1207" s="526" t="str">
        <f t="shared" si="73"/>
        <v/>
      </c>
      <c r="H1207" s="470" t="str">
        <f t="shared" si="74"/>
        <v/>
      </c>
      <c r="I1207" s="524" t="str">
        <f t="shared" si="76"/>
        <v>否</v>
      </c>
      <c r="J1207" s="312" t="str">
        <f t="shared" si="75"/>
        <v>项</v>
      </c>
    </row>
    <row r="1208" s="372" customFormat="1" ht="24" customHeight="1" spans="1:10">
      <c r="A1208" s="330">
        <v>22102</v>
      </c>
      <c r="B1208" s="379" t="s">
        <v>1106</v>
      </c>
      <c r="C1208" s="601">
        <v>9268</v>
      </c>
      <c r="D1208" s="708">
        <f>SUM(D1209:D1211)</f>
        <v>9435</v>
      </c>
      <c r="E1208" s="708">
        <f>SUM(E1209:E1211)</f>
        <v>9435</v>
      </c>
      <c r="F1208" s="708">
        <f>SUM(F1209:F1211)</f>
        <v>9285</v>
      </c>
      <c r="G1208" s="523">
        <f t="shared" si="73"/>
        <v>0.00183426845058265</v>
      </c>
      <c r="H1208" s="467">
        <f t="shared" si="74"/>
        <v>0.984101748807631</v>
      </c>
      <c r="I1208" s="524" t="str">
        <f t="shared" si="76"/>
        <v>是</v>
      </c>
      <c r="J1208" s="312" t="str">
        <f t="shared" si="75"/>
        <v>款</v>
      </c>
    </row>
    <row r="1209" s="372" customFormat="1" ht="24" customHeight="1" spans="1:10">
      <c r="A1209" s="330">
        <v>2210201</v>
      </c>
      <c r="B1209" s="379" t="s">
        <v>1107</v>
      </c>
      <c r="C1209" s="602">
        <v>8938</v>
      </c>
      <c r="D1209" s="709">
        <v>9115</v>
      </c>
      <c r="E1209" s="710">
        <v>9115</v>
      </c>
      <c r="F1209" s="710">
        <v>8966</v>
      </c>
      <c r="G1209" s="526">
        <f t="shared" si="73"/>
        <v>0.00313269187737749</v>
      </c>
      <c r="H1209" s="470">
        <f t="shared" si="74"/>
        <v>0.983653318705431</v>
      </c>
      <c r="I1209" s="524" t="str">
        <f t="shared" si="76"/>
        <v>是</v>
      </c>
      <c r="J1209" s="312" t="str">
        <f t="shared" si="75"/>
        <v>项</v>
      </c>
    </row>
    <row r="1210" s="372" customFormat="1" ht="24" hidden="1" customHeight="1" spans="1:10">
      <c r="A1210" s="330">
        <v>2210202</v>
      </c>
      <c r="B1210" s="379" t="s">
        <v>1108</v>
      </c>
      <c r="C1210" s="602">
        <v>0</v>
      </c>
      <c r="D1210" s="709">
        <v>0</v>
      </c>
      <c r="E1210" s="710">
        <v>0</v>
      </c>
      <c r="F1210" s="710">
        <v>0</v>
      </c>
      <c r="G1210" s="526" t="str">
        <f t="shared" si="73"/>
        <v/>
      </c>
      <c r="H1210" s="470" t="str">
        <f t="shared" si="74"/>
        <v/>
      </c>
      <c r="I1210" s="524" t="str">
        <f t="shared" si="76"/>
        <v>否</v>
      </c>
      <c r="J1210" s="312" t="str">
        <f t="shared" si="75"/>
        <v>项</v>
      </c>
    </row>
    <row r="1211" s="372" customFormat="1" ht="24" customHeight="1" spans="1:10">
      <c r="A1211" s="330">
        <v>2210203</v>
      </c>
      <c r="B1211" s="379" t="s">
        <v>1109</v>
      </c>
      <c r="C1211" s="602">
        <v>330</v>
      </c>
      <c r="D1211" s="709">
        <v>320</v>
      </c>
      <c r="E1211" s="710">
        <v>320</v>
      </c>
      <c r="F1211" s="710">
        <v>319</v>
      </c>
      <c r="G1211" s="526">
        <f t="shared" si="73"/>
        <v>-0.0333333333333333</v>
      </c>
      <c r="H1211" s="470">
        <f t="shared" si="74"/>
        <v>0.996875</v>
      </c>
      <c r="I1211" s="524" t="str">
        <f t="shared" si="76"/>
        <v>是</v>
      </c>
      <c r="J1211" s="312" t="str">
        <f t="shared" si="75"/>
        <v>项</v>
      </c>
    </row>
    <row r="1212" s="372" customFormat="1" ht="24" customHeight="1" spans="1:10">
      <c r="A1212" s="330">
        <v>22103</v>
      </c>
      <c r="B1212" s="379" t="s">
        <v>1110</v>
      </c>
      <c r="C1212" s="601">
        <v>909</v>
      </c>
      <c r="D1212" s="708">
        <f>SUM(D1213:D1215)</f>
        <v>850</v>
      </c>
      <c r="E1212" s="708">
        <f>SUM(E1213:E1215)</f>
        <v>850</v>
      </c>
      <c r="F1212" s="708">
        <f>SUM(F1213:F1215)</f>
        <v>942</v>
      </c>
      <c r="G1212" s="523">
        <f t="shared" si="73"/>
        <v>0.0363036303630363</v>
      </c>
      <c r="H1212" s="467">
        <f t="shared" si="74"/>
        <v>1.10823529411765</v>
      </c>
      <c r="I1212" s="524" t="str">
        <f t="shared" si="76"/>
        <v>是</v>
      </c>
      <c r="J1212" s="312" t="str">
        <f t="shared" si="75"/>
        <v>款</v>
      </c>
    </row>
    <row r="1213" s="372" customFormat="1" ht="24" hidden="1" customHeight="1" spans="1:10">
      <c r="A1213" s="330">
        <v>2210301</v>
      </c>
      <c r="B1213" s="379" t="s">
        <v>1111</v>
      </c>
      <c r="C1213" s="602">
        <v>0</v>
      </c>
      <c r="D1213" s="709"/>
      <c r="E1213" s="710">
        <v>0</v>
      </c>
      <c r="F1213" s="710">
        <v>0</v>
      </c>
      <c r="G1213" s="526" t="str">
        <f t="shared" si="73"/>
        <v/>
      </c>
      <c r="H1213" s="470" t="str">
        <f t="shared" si="74"/>
        <v/>
      </c>
      <c r="I1213" s="524" t="str">
        <f t="shared" si="76"/>
        <v>否</v>
      </c>
      <c r="J1213" s="312" t="str">
        <f t="shared" si="75"/>
        <v>项</v>
      </c>
    </row>
    <row r="1214" ht="24" customHeight="1" spans="1:10">
      <c r="A1214" s="330">
        <v>2210302</v>
      </c>
      <c r="B1214" s="379" t="s">
        <v>1112</v>
      </c>
      <c r="C1214" s="602">
        <v>909</v>
      </c>
      <c r="D1214" s="709">
        <v>850</v>
      </c>
      <c r="E1214" s="710">
        <v>850</v>
      </c>
      <c r="F1214" s="710">
        <v>942</v>
      </c>
      <c r="G1214" s="526">
        <f t="shared" si="73"/>
        <v>0.0363036303630363</v>
      </c>
      <c r="H1214" s="470">
        <f t="shared" si="74"/>
        <v>1.10823529411765</v>
      </c>
      <c r="I1214" s="524" t="str">
        <f t="shared" si="76"/>
        <v>是</v>
      </c>
      <c r="J1214" s="312" t="str">
        <f t="shared" si="75"/>
        <v>项</v>
      </c>
    </row>
    <row r="1215" s="372" customFormat="1" ht="24" hidden="1" customHeight="1" spans="1:10">
      <c r="A1215" s="330">
        <v>2210399</v>
      </c>
      <c r="B1215" s="379" t="s">
        <v>1113</v>
      </c>
      <c r="C1215" s="602">
        <v>0</v>
      </c>
      <c r="D1215" s="709"/>
      <c r="E1215" s="710">
        <v>0</v>
      </c>
      <c r="F1215" s="710">
        <v>0</v>
      </c>
      <c r="G1215" s="526" t="str">
        <f t="shared" si="73"/>
        <v/>
      </c>
      <c r="H1215" s="470" t="str">
        <f t="shared" si="74"/>
        <v/>
      </c>
      <c r="I1215" s="524" t="str">
        <f t="shared" si="76"/>
        <v>否</v>
      </c>
      <c r="J1215" s="312" t="str">
        <f t="shared" si="75"/>
        <v>项</v>
      </c>
    </row>
    <row r="1216" s="372" customFormat="1" ht="24" customHeight="1" spans="1:10">
      <c r="A1216" s="329">
        <v>222</v>
      </c>
      <c r="B1216" s="377" t="s">
        <v>194</v>
      </c>
      <c r="C1216" s="601">
        <v>1495</v>
      </c>
      <c r="D1216" s="708">
        <f>D1217+D1235+D1242+D1248</f>
        <v>1417</v>
      </c>
      <c r="E1216" s="708">
        <f>E1217+E1235+E1242+E1248</f>
        <v>1417</v>
      </c>
      <c r="F1216" s="708">
        <f>F1217+F1235+F1242+F1248</f>
        <v>1326</v>
      </c>
      <c r="G1216" s="523">
        <f t="shared" si="73"/>
        <v>-0.11304347826087</v>
      </c>
      <c r="H1216" s="467">
        <f t="shared" si="74"/>
        <v>0.935779816513762</v>
      </c>
      <c r="I1216" s="524" t="str">
        <f t="shared" si="76"/>
        <v>是</v>
      </c>
      <c r="J1216" s="312" t="str">
        <f t="shared" si="75"/>
        <v>类</v>
      </c>
    </row>
    <row r="1217" s="372" customFormat="1" ht="24" customHeight="1" spans="1:10">
      <c r="A1217" s="330">
        <v>22201</v>
      </c>
      <c r="B1217" s="379" t="s">
        <v>1114</v>
      </c>
      <c r="C1217" s="601">
        <v>1093</v>
      </c>
      <c r="D1217" s="708">
        <f>SUM(D1218:D1234)</f>
        <v>1032</v>
      </c>
      <c r="E1217" s="708">
        <f>SUM(E1218:E1234)</f>
        <v>1032</v>
      </c>
      <c r="F1217" s="708">
        <f>SUM(F1218:F1234)</f>
        <v>1288</v>
      </c>
      <c r="G1217" s="523">
        <f t="shared" si="73"/>
        <v>0.178408051235133</v>
      </c>
      <c r="H1217" s="467">
        <f t="shared" si="74"/>
        <v>1.24806201550388</v>
      </c>
      <c r="I1217" s="524" t="str">
        <f t="shared" si="76"/>
        <v>是</v>
      </c>
      <c r="J1217" s="312" t="str">
        <f t="shared" si="75"/>
        <v>款</v>
      </c>
    </row>
    <row r="1218" s="372" customFormat="1" ht="24" customHeight="1" spans="1:10">
      <c r="A1218" s="330">
        <v>2220101</v>
      </c>
      <c r="B1218" s="379" t="s">
        <v>212</v>
      </c>
      <c r="C1218" s="602">
        <v>239</v>
      </c>
      <c r="D1218" s="709">
        <v>259</v>
      </c>
      <c r="E1218" s="710">
        <v>259</v>
      </c>
      <c r="F1218" s="710">
        <v>258</v>
      </c>
      <c r="G1218" s="526">
        <f t="shared" si="73"/>
        <v>0.0794979079497908</v>
      </c>
      <c r="H1218" s="470">
        <f t="shared" si="74"/>
        <v>0.996138996138996</v>
      </c>
      <c r="I1218" s="524" t="str">
        <f t="shared" si="76"/>
        <v>是</v>
      </c>
      <c r="J1218" s="312" t="str">
        <f t="shared" si="75"/>
        <v>项</v>
      </c>
    </row>
    <row r="1219" s="372" customFormat="1" ht="24" hidden="1" customHeight="1" spans="1:10">
      <c r="A1219" s="330">
        <v>2220102</v>
      </c>
      <c r="B1219" s="379" t="s">
        <v>213</v>
      </c>
      <c r="C1219" s="602">
        <v>0</v>
      </c>
      <c r="D1219" s="709">
        <v>0</v>
      </c>
      <c r="E1219" s="710">
        <v>0</v>
      </c>
      <c r="F1219" s="710">
        <v>0</v>
      </c>
      <c r="G1219" s="526" t="str">
        <f t="shared" ref="G1219:G1282" si="77">IFERROR((F1219-C1219)/C1219,"")</f>
        <v/>
      </c>
      <c r="H1219" s="470" t="str">
        <f t="shared" ref="H1219:H1282" si="78">IFERROR(F1219/D1219,"")</f>
        <v/>
      </c>
      <c r="I1219" s="524" t="str">
        <f t="shared" si="76"/>
        <v>否</v>
      </c>
      <c r="J1219" s="312" t="str">
        <f t="shared" ref="J1219:J1282" si="79">IF(LEN(A1219)=3,"类",IF(LEN(A1219)=5,"款","项"))</f>
        <v>项</v>
      </c>
    </row>
    <row r="1220" s="372" customFormat="1" ht="24" hidden="1" customHeight="1" spans="1:10">
      <c r="A1220" s="330">
        <v>2220103</v>
      </c>
      <c r="B1220" s="379" t="s">
        <v>214</v>
      </c>
      <c r="C1220" s="602">
        <v>0</v>
      </c>
      <c r="D1220" s="709">
        <v>0</v>
      </c>
      <c r="E1220" s="710">
        <v>0</v>
      </c>
      <c r="F1220" s="710">
        <v>0</v>
      </c>
      <c r="G1220" s="526" t="str">
        <f t="shared" si="77"/>
        <v/>
      </c>
      <c r="H1220" s="470" t="str">
        <f t="shared" si="78"/>
        <v/>
      </c>
      <c r="I1220" s="524" t="str">
        <f t="shared" ref="I1220:I1283" si="80">IF(LEN(A1220)=3,"是",IF(B1220&lt;&gt;"",IF(SUM(C1220:F1220)&lt;&gt;0,"是","否"),"是"))</f>
        <v>否</v>
      </c>
      <c r="J1220" s="312" t="str">
        <f t="shared" si="79"/>
        <v>项</v>
      </c>
    </row>
    <row r="1221" s="372" customFormat="1" ht="24" hidden="1" customHeight="1" spans="1:10">
      <c r="A1221" s="330">
        <v>2220104</v>
      </c>
      <c r="B1221" s="379" t="s">
        <v>1115</v>
      </c>
      <c r="C1221" s="602">
        <v>0</v>
      </c>
      <c r="D1221" s="709">
        <v>0</v>
      </c>
      <c r="E1221" s="710">
        <v>0</v>
      </c>
      <c r="F1221" s="710">
        <v>0</v>
      </c>
      <c r="G1221" s="526" t="str">
        <f t="shared" si="77"/>
        <v/>
      </c>
      <c r="H1221" s="470" t="str">
        <f t="shared" si="78"/>
        <v/>
      </c>
      <c r="I1221" s="524" t="str">
        <f t="shared" si="80"/>
        <v>否</v>
      </c>
      <c r="J1221" s="312" t="str">
        <f t="shared" si="79"/>
        <v>项</v>
      </c>
    </row>
    <row r="1222" s="372" customFormat="1" ht="24" hidden="1" customHeight="1" spans="1:10">
      <c r="A1222" s="330">
        <v>2220105</v>
      </c>
      <c r="B1222" s="379" t="s">
        <v>1116</v>
      </c>
      <c r="C1222" s="602">
        <v>0</v>
      </c>
      <c r="D1222" s="709">
        <v>0</v>
      </c>
      <c r="E1222" s="710">
        <v>0</v>
      </c>
      <c r="F1222" s="710">
        <v>0</v>
      </c>
      <c r="G1222" s="526" t="str">
        <f t="shared" si="77"/>
        <v/>
      </c>
      <c r="H1222" s="470" t="str">
        <f t="shared" si="78"/>
        <v/>
      </c>
      <c r="I1222" s="524" t="str">
        <f t="shared" si="80"/>
        <v>否</v>
      </c>
      <c r="J1222" s="312" t="str">
        <f t="shared" si="79"/>
        <v>项</v>
      </c>
    </row>
    <row r="1223" s="372" customFormat="1" ht="24" hidden="1" customHeight="1" spans="1:10">
      <c r="A1223" s="330">
        <v>2220106</v>
      </c>
      <c r="B1223" s="379" t="s">
        <v>1117</v>
      </c>
      <c r="C1223" s="602">
        <v>0</v>
      </c>
      <c r="D1223" s="709">
        <v>0</v>
      </c>
      <c r="E1223" s="710">
        <v>0</v>
      </c>
      <c r="F1223" s="710">
        <v>0</v>
      </c>
      <c r="G1223" s="526" t="str">
        <f t="shared" si="77"/>
        <v/>
      </c>
      <c r="H1223" s="470" t="str">
        <f t="shared" si="78"/>
        <v/>
      </c>
      <c r="I1223" s="524" t="str">
        <f t="shared" si="80"/>
        <v>否</v>
      </c>
      <c r="J1223" s="312" t="str">
        <f t="shared" si="79"/>
        <v>项</v>
      </c>
    </row>
    <row r="1224" s="372" customFormat="1" ht="24" hidden="1" customHeight="1" spans="1:10">
      <c r="A1224" s="330">
        <v>2220107</v>
      </c>
      <c r="B1224" s="379" t="s">
        <v>1118</v>
      </c>
      <c r="C1224" s="602">
        <v>0</v>
      </c>
      <c r="D1224" s="709">
        <v>0</v>
      </c>
      <c r="E1224" s="710">
        <v>0</v>
      </c>
      <c r="F1224" s="710">
        <v>0</v>
      </c>
      <c r="G1224" s="526" t="str">
        <f t="shared" si="77"/>
        <v/>
      </c>
      <c r="H1224" s="470" t="str">
        <f t="shared" si="78"/>
        <v/>
      </c>
      <c r="I1224" s="524" t="str">
        <f t="shared" si="80"/>
        <v>否</v>
      </c>
      <c r="J1224" s="312" t="str">
        <f t="shared" si="79"/>
        <v>项</v>
      </c>
    </row>
    <row r="1225" s="372" customFormat="1" ht="24" hidden="1" customHeight="1" spans="1:10">
      <c r="A1225" s="330">
        <v>2220112</v>
      </c>
      <c r="B1225" s="379" t="s">
        <v>1119</v>
      </c>
      <c r="C1225" s="602">
        <v>0</v>
      </c>
      <c r="D1225" s="709">
        <v>0</v>
      </c>
      <c r="E1225" s="710">
        <v>0</v>
      </c>
      <c r="F1225" s="710">
        <v>0</v>
      </c>
      <c r="G1225" s="526" t="str">
        <f t="shared" si="77"/>
        <v/>
      </c>
      <c r="H1225" s="470" t="str">
        <f t="shared" si="78"/>
        <v/>
      </c>
      <c r="I1225" s="524" t="str">
        <f t="shared" si="80"/>
        <v>否</v>
      </c>
      <c r="J1225" s="312" t="str">
        <f t="shared" si="79"/>
        <v>项</v>
      </c>
    </row>
    <row r="1226" s="372" customFormat="1" ht="24" hidden="1" customHeight="1" spans="1:10">
      <c r="A1226" s="330">
        <v>2220113</v>
      </c>
      <c r="B1226" s="379" t="s">
        <v>1120</v>
      </c>
      <c r="C1226" s="602">
        <v>0</v>
      </c>
      <c r="D1226" s="709">
        <v>0</v>
      </c>
      <c r="E1226" s="710">
        <v>0</v>
      </c>
      <c r="F1226" s="710">
        <v>0</v>
      </c>
      <c r="G1226" s="526" t="str">
        <f t="shared" si="77"/>
        <v/>
      </c>
      <c r="H1226" s="470" t="str">
        <f t="shared" si="78"/>
        <v/>
      </c>
      <c r="I1226" s="524" t="str">
        <f t="shared" si="80"/>
        <v>否</v>
      </c>
      <c r="J1226" s="312" t="str">
        <f t="shared" si="79"/>
        <v>项</v>
      </c>
    </row>
    <row r="1227" s="372" customFormat="1" ht="24" hidden="1" customHeight="1" spans="1:10">
      <c r="A1227" s="330">
        <v>2220114</v>
      </c>
      <c r="B1227" s="379" t="s">
        <v>1121</v>
      </c>
      <c r="C1227" s="602">
        <v>0</v>
      </c>
      <c r="D1227" s="709">
        <v>0</v>
      </c>
      <c r="E1227" s="710">
        <v>0</v>
      </c>
      <c r="F1227" s="710">
        <v>0</v>
      </c>
      <c r="G1227" s="526" t="str">
        <f t="shared" si="77"/>
        <v/>
      </c>
      <c r="H1227" s="470" t="str">
        <f t="shared" si="78"/>
        <v/>
      </c>
      <c r="I1227" s="524" t="str">
        <f t="shared" si="80"/>
        <v>否</v>
      </c>
      <c r="J1227" s="312" t="str">
        <f t="shared" si="79"/>
        <v>项</v>
      </c>
    </row>
    <row r="1228" s="372" customFormat="1" ht="24" customHeight="1" spans="1:10">
      <c r="A1228" s="330">
        <v>2220115</v>
      </c>
      <c r="B1228" s="379" t="s">
        <v>1122</v>
      </c>
      <c r="C1228" s="602">
        <v>543</v>
      </c>
      <c r="D1228" s="709">
        <v>535</v>
      </c>
      <c r="E1228" s="710">
        <v>535</v>
      </c>
      <c r="F1228" s="710">
        <v>474</v>
      </c>
      <c r="G1228" s="526">
        <f t="shared" si="77"/>
        <v>-0.12707182320442</v>
      </c>
      <c r="H1228" s="470">
        <f t="shared" si="78"/>
        <v>0.885981308411215</v>
      </c>
      <c r="I1228" s="524" t="str">
        <f t="shared" si="80"/>
        <v>是</v>
      </c>
      <c r="J1228" s="312" t="str">
        <f t="shared" si="79"/>
        <v>项</v>
      </c>
    </row>
    <row r="1229" ht="24" hidden="1" customHeight="1" spans="1:10">
      <c r="A1229" s="330">
        <v>2220118</v>
      </c>
      <c r="B1229" s="379" t="s">
        <v>1123</v>
      </c>
      <c r="C1229" s="602">
        <v>0</v>
      </c>
      <c r="D1229" s="709">
        <v>0</v>
      </c>
      <c r="E1229" s="710">
        <v>0</v>
      </c>
      <c r="F1229" s="710">
        <v>0</v>
      </c>
      <c r="G1229" s="526" t="str">
        <f t="shared" si="77"/>
        <v/>
      </c>
      <c r="H1229" s="470" t="str">
        <f t="shared" si="78"/>
        <v/>
      </c>
      <c r="I1229" s="524" t="str">
        <f t="shared" si="80"/>
        <v>否</v>
      </c>
      <c r="J1229" s="312" t="str">
        <f t="shared" si="79"/>
        <v>项</v>
      </c>
    </row>
    <row r="1230" s="372" customFormat="1" ht="24" hidden="1" customHeight="1" spans="1:10">
      <c r="A1230" s="527">
        <v>2220119</v>
      </c>
      <c r="B1230" s="543" t="s">
        <v>1124</v>
      </c>
      <c r="C1230" s="602">
        <v>0</v>
      </c>
      <c r="D1230" s="709">
        <v>0</v>
      </c>
      <c r="E1230" s="710">
        <v>0</v>
      </c>
      <c r="F1230" s="710">
        <v>0</v>
      </c>
      <c r="G1230" s="526" t="str">
        <f t="shared" si="77"/>
        <v/>
      </c>
      <c r="H1230" s="470" t="str">
        <f t="shared" si="78"/>
        <v/>
      </c>
      <c r="I1230" s="524" t="str">
        <f t="shared" si="80"/>
        <v>否</v>
      </c>
      <c r="J1230" s="312" t="str">
        <f t="shared" si="79"/>
        <v>项</v>
      </c>
    </row>
    <row r="1231" ht="24" hidden="1" customHeight="1" spans="1:10">
      <c r="A1231" s="527">
        <v>2220120</v>
      </c>
      <c r="B1231" s="543" t="s">
        <v>1125</v>
      </c>
      <c r="C1231" s="602">
        <v>0</v>
      </c>
      <c r="D1231" s="709">
        <v>0</v>
      </c>
      <c r="E1231" s="710">
        <v>0</v>
      </c>
      <c r="F1231" s="710">
        <v>0</v>
      </c>
      <c r="G1231" s="526" t="str">
        <f t="shared" si="77"/>
        <v/>
      </c>
      <c r="H1231" s="470" t="str">
        <f t="shared" si="78"/>
        <v/>
      </c>
      <c r="I1231" s="524" t="str">
        <f t="shared" si="80"/>
        <v>否</v>
      </c>
      <c r="J1231" s="312" t="str">
        <f t="shared" si="79"/>
        <v>项</v>
      </c>
    </row>
    <row r="1232" ht="24" customHeight="1" spans="1:10">
      <c r="A1232" s="527">
        <v>2220121</v>
      </c>
      <c r="B1232" s="543" t="s">
        <v>1126</v>
      </c>
      <c r="C1232" s="602">
        <v>23</v>
      </c>
      <c r="D1232" s="709">
        <v>0</v>
      </c>
      <c r="E1232" s="710">
        <v>0</v>
      </c>
      <c r="F1232" s="710">
        <v>46</v>
      </c>
      <c r="G1232" s="526">
        <f t="shared" si="77"/>
        <v>1</v>
      </c>
      <c r="H1232" s="470" t="str">
        <f t="shared" si="78"/>
        <v/>
      </c>
      <c r="I1232" s="524" t="str">
        <f t="shared" si="80"/>
        <v>是</v>
      </c>
      <c r="J1232" s="312" t="str">
        <f t="shared" si="79"/>
        <v>项</v>
      </c>
    </row>
    <row r="1233" s="372" customFormat="1" ht="24" customHeight="1" spans="1:10">
      <c r="A1233" s="330">
        <v>2220150</v>
      </c>
      <c r="B1233" s="379" t="s">
        <v>221</v>
      </c>
      <c r="C1233" s="602">
        <v>100</v>
      </c>
      <c r="D1233" s="709">
        <v>108</v>
      </c>
      <c r="E1233" s="710">
        <v>108</v>
      </c>
      <c r="F1233" s="710">
        <v>117</v>
      </c>
      <c r="G1233" s="526">
        <f t="shared" si="77"/>
        <v>0.17</v>
      </c>
      <c r="H1233" s="470">
        <f t="shared" si="78"/>
        <v>1.08333333333333</v>
      </c>
      <c r="I1233" s="524" t="str">
        <f t="shared" si="80"/>
        <v>是</v>
      </c>
      <c r="J1233" s="312" t="str">
        <f t="shared" si="79"/>
        <v>项</v>
      </c>
    </row>
    <row r="1234" s="372" customFormat="1" ht="24" customHeight="1" spans="1:10">
      <c r="A1234" s="330">
        <v>2220199</v>
      </c>
      <c r="B1234" s="379" t="s">
        <v>1127</v>
      </c>
      <c r="C1234" s="602">
        <v>188</v>
      </c>
      <c r="D1234" s="709">
        <v>130</v>
      </c>
      <c r="E1234" s="710">
        <v>130</v>
      </c>
      <c r="F1234" s="710">
        <v>393</v>
      </c>
      <c r="G1234" s="526">
        <f t="shared" si="77"/>
        <v>1.09042553191489</v>
      </c>
      <c r="H1234" s="470">
        <f t="shared" si="78"/>
        <v>3.02307692307692</v>
      </c>
      <c r="I1234" s="524" t="str">
        <f t="shared" si="80"/>
        <v>是</v>
      </c>
      <c r="J1234" s="312" t="str">
        <f t="shared" si="79"/>
        <v>项</v>
      </c>
    </row>
    <row r="1235" s="372" customFormat="1" ht="24" hidden="1" customHeight="1" spans="1:10">
      <c r="A1235" s="330">
        <v>22203</v>
      </c>
      <c r="B1235" s="379" t="s">
        <v>1128</v>
      </c>
      <c r="C1235" s="601">
        <v>0</v>
      </c>
      <c r="D1235" s="708">
        <f>SUM(D1236:D1241)</f>
        <v>0</v>
      </c>
      <c r="E1235" s="708">
        <f>SUM(E1236:E1241)</f>
        <v>0</v>
      </c>
      <c r="F1235" s="708">
        <f>SUM(F1236:F1241)</f>
        <v>0</v>
      </c>
      <c r="G1235" s="523" t="str">
        <f t="shared" si="77"/>
        <v/>
      </c>
      <c r="H1235" s="467" t="str">
        <f t="shared" si="78"/>
        <v/>
      </c>
      <c r="I1235" s="524" t="str">
        <f t="shared" si="80"/>
        <v>否</v>
      </c>
      <c r="J1235" s="312" t="str">
        <f t="shared" si="79"/>
        <v>款</v>
      </c>
    </row>
    <row r="1236" s="372" customFormat="1" ht="24" hidden="1" customHeight="1" spans="1:10">
      <c r="A1236" s="330">
        <v>2220301</v>
      </c>
      <c r="B1236" s="379" t="s">
        <v>1129</v>
      </c>
      <c r="C1236" s="602">
        <v>0</v>
      </c>
      <c r="D1236" s="709"/>
      <c r="E1236" s="710">
        <v>0</v>
      </c>
      <c r="F1236" s="710">
        <v>0</v>
      </c>
      <c r="G1236" s="526" t="str">
        <f t="shared" si="77"/>
        <v/>
      </c>
      <c r="H1236" s="470" t="str">
        <f t="shared" si="78"/>
        <v/>
      </c>
      <c r="I1236" s="524" t="str">
        <f t="shared" si="80"/>
        <v>否</v>
      </c>
      <c r="J1236" s="312" t="str">
        <f t="shared" si="79"/>
        <v>项</v>
      </c>
    </row>
    <row r="1237" s="372" customFormat="1" ht="24" hidden="1" customHeight="1" spans="1:10">
      <c r="A1237" s="330">
        <v>2220303</v>
      </c>
      <c r="B1237" s="379" t="s">
        <v>1130</v>
      </c>
      <c r="C1237" s="602">
        <v>0</v>
      </c>
      <c r="D1237" s="709"/>
      <c r="E1237" s="710">
        <v>0</v>
      </c>
      <c r="F1237" s="710">
        <v>0</v>
      </c>
      <c r="G1237" s="526" t="str">
        <f t="shared" si="77"/>
        <v/>
      </c>
      <c r="H1237" s="470" t="str">
        <f t="shared" si="78"/>
        <v/>
      </c>
      <c r="I1237" s="524" t="str">
        <f t="shared" si="80"/>
        <v>否</v>
      </c>
      <c r="J1237" s="312" t="str">
        <f t="shared" si="79"/>
        <v>项</v>
      </c>
    </row>
    <row r="1238" s="372" customFormat="1" ht="24" hidden="1" customHeight="1" spans="1:10">
      <c r="A1238" s="330">
        <v>2220304</v>
      </c>
      <c r="B1238" s="379" t="s">
        <v>1131</v>
      </c>
      <c r="C1238" s="602">
        <v>0</v>
      </c>
      <c r="D1238" s="709"/>
      <c r="E1238" s="710">
        <v>0</v>
      </c>
      <c r="F1238" s="710">
        <v>0</v>
      </c>
      <c r="G1238" s="526" t="str">
        <f t="shared" si="77"/>
        <v/>
      </c>
      <c r="H1238" s="470" t="str">
        <f t="shared" si="78"/>
        <v/>
      </c>
      <c r="I1238" s="524" t="str">
        <f t="shared" si="80"/>
        <v>否</v>
      </c>
      <c r="J1238" s="312" t="str">
        <f t="shared" si="79"/>
        <v>项</v>
      </c>
    </row>
    <row r="1239" s="372" customFormat="1" ht="24" hidden="1" customHeight="1" spans="1:10">
      <c r="A1239" s="527">
        <v>2220305</v>
      </c>
      <c r="B1239" s="543" t="s">
        <v>1132</v>
      </c>
      <c r="C1239" s="602">
        <v>0</v>
      </c>
      <c r="D1239" s="709"/>
      <c r="E1239" s="710">
        <v>0</v>
      </c>
      <c r="F1239" s="710">
        <v>0</v>
      </c>
      <c r="G1239" s="526" t="str">
        <f t="shared" si="77"/>
        <v/>
      </c>
      <c r="H1239" s="470" t="str">
        <f t="shared" si="78"/>
        <v/>
      </c>
      <c r="I1239" s="524" t="str">
        <f t="shared" si="80"/>
        <v>否</v>
      </c>
      <c r="J1239" s="312" t="str">
        <f t="shared" si="79"/>
        <v>项</v>
      </c>
    </row>
    <row r="1240" s="372" customFormat="1" ht="24" hidden="1" customHeight="1" spans="1:10">
      <c r="A1240" s="547">
        <v>2220306</v>
      </c>
      <c r="B1240" s="543" t="s">
        <v>1133</v>
      </c>
      <c r="C1240" s="602">
        <v>0</v>
      </c>
      <c r="D1240" s="709"/>
      <c r="E1240" s="710">
        <v>0</v>
      </c>
      <c r="F1240" s="710">
        <v>0</v>
      </c>
      <c r="G1240" s="526" t="str">
        <f t="shared" si="77"/>
        <v/>
      </c>
      <c r="H1240" s="470" t="str">
        <f t="shared" si="78"/>
        <v/>
      </c>
      <c r="I1240" s="524" t="str">
        <f t="shared" si="80"/>
        <v>否</v>
      </c>
      <c r="J1240" s="312" t="str">
        <f t="shared" si="79"/>
        <v>项</v>
      </c>
    </row>
    <row r="1241" s="372" customFormat="1" ht="24" hidden="1" customHeight="1" spans="1:10">
      <c r="A1241" s="330">
        <v>2220399</v>
      </c>
      <c r="B1241" s="379" t="s">
        <v>1134</v>
      </c>
      <c r="C1241" s="602">
        <v>0</v>
      </c>
      <c r="D1241" s="709"/>
      <c r="E1241" s="710">
        <v>0</v>
      </c>
      <c r="F1241" s="710">
        <v>0</v>
      </c>
      <c r="G1241" s="526" t="str">
        <f t="shared" si="77"/>
        <v/>
      </c>
      <c r="H1241" s="470" t="str">
        <f t="shared" si="78"/>
        <v/>
      </c>
      <c r="I1241" s="524" t="str">
        <f t="shared" si="80"/>
        <v>否</v>
      </c>
      <c r="J1241" s="312" t="str">
        <f t="shared" si="79"/>
        <v>项</v>
      </c>
    </row>
    <row r="1242" s="372" customFormat="1" ht="24" customHeight="1" spans="1:10">
      <c r="A1242" s="330">
        <v>22204</v>
      </c>
      <c r="B1242" s="379" t="s">
        <v>1135</v>
      </c>
      <c r="C1242" s="601">
        <v>402</v>
      </c>
      <c r="D1242" s="708">
        <f>SUM(D1243:D1247)</f>
        <v>385</v>
      </c>
      <c r="E1242" s="708">
        <f>SUM(E1243:E1247)</f>
        <v>385</v>
      </c>
      <c r="F1242" s="708">
        <f>SUM(F1243:F1247)</f>
        <v>37</v>
      </c>
      <c r="G1242" s="523">
        <f t="shared" si="77"/>
        <v>-0.907960199004975</v>
      </c>
      <c r="H1242" s="467">
        <f t="shared" si="78"/>
        <v>0.0961038961038961</v>
      </c>
      <c r="I1242" s="524" t="str">
        <f t="shared" si="80"/>
        <v>是</v>
      </c>
      <c r="J1242" s="312" t="str">
        <f t="shared" si="79"/>
        <v>款</v>
      </c>
    </row>
    <row r="1243" s="372" customFormat="1" ht="24" hidden="1" customHeight="1" spans="1:10">
      <c r="A1243" s="330">
        <v>2220401</v>
      </c>
      <c r="B1243" s="379" t="s">
        <v>1136</v>
      </c>
      <c r="C1243" s="602">
        <v>0</v>
      </c>
      <c r="D1243" s="709"/>
      <c r="E1243" s="710">
        <v>0</v>
      </c>
      <c r="F1243" s="710">
        <v>0</v>
      </c>
      <c r="G1243" s="526" t="str">
        <f t="shared" si="77"/>
        <v/>
      </c>
      <c r="H1243" s="470" t="str">
        <f t="shared" si="78"/>
        <v/>
      </c>
      <c r="I1243" s="524" t="str">
        <f t="shared" si="80"/>
        <v>否</v>
      </c>
      <c r="J1243" s="312" t="str">
        <f t="shared" si="79"/>
        <v>项</v>
      </c>
    </row>
    <row r="1244" ht="24" hidden="1" customHeight="1" spans="1:10">
      <c r="A1244" s="330">
        <v>2220402</v>
      </c>
      <c r="B1244" s="379" t="s">
        <v>1137</v>
      </c>
      <c r="C1244" s="602">
        <v>0</v>
      </c>
      <c r="D1244" s="709"/>
      <c r="E1244" s="710">
        <v>0</v>
      </c>
      <c r="F1244" s="710">
        <v>0</v>
      </c>
      <c r="G1244" s="526" t="str">
        <f t="shared" si="77"/>
        <v/>
      </c>
      <c r="H1244" s="470" t="str">
        <f t="shared" si="78"/>
        <v/>
      </c>
      <c r="I1244" s="524" t="str">
        <f t="shared" si="80"/>
        <v>否</v>
      </c>
      <c r="J1244" s="312" t="str">
        <f t="shared" si="79"/>
        <v>项</v>
      </c>
    </row>
    <row r="1245" s="372" customFormat="1" ht="24" customHeight="1" spans="1:10">
      <c r="A1245" s="330">
        <v>2220403</v>
      </c>
      <c r="B1245" s="379" t="s">
        <v>1138</v>
      </c>
      <c r="C1245" s="602">
        <v>402</v>
      </c>
      <c r="D1245" s="709">
        <v>385</v>
      </c>
      <c r="E1245" s="710">
        <v>385</v>
      </c>
      <c r="F1245" s="710">
        <v>12</v>
      </c>
      <c r="G1245" s="526">
        <f t="shared" si="77"/>
        <v>-0.970149253731343</v>
      </c>
      <c r="H1245" s="470">
        <f t="shared" si="78"/>
        <v>0.0311688311688312</v>
      </c>
      <c r="I1245" s="524" t="str">
        <f t="shared" si="80"/>
        <v>是</v>
      </c>
      <c r="J1245" s="312" t="str">
        <f t="shared" si="79"/>
        <v>项</v>
      </c>
    </row>
    <row r="1246" s="372" customFormat="1" ht="24" hidden="1" customHeight="1" spans="1:10">
      <c r="A1246" s="330">
        <v>2220404</v>
      </c>
      <c r="B1246" s="379" t="s">
        <v>1139</v>
      </c>
      <c r="C1246" s="602">
        <v>0</v>
      </c>
      <c r="D1246" s="709"/>
      <c r="E1246" s="710">
        <v>0</v>
      </c>
      <c r="F1246" s="710">
        <v>0</v>
      </c>
      <c r="G1246" s="526" t="str">
        <f t="shared" si="77"/>
        <v/>
      </c>
      <c r="H1246" s="470" t="str">
        <f t="shared" si="78"/>
        <v/>
      </c>
      <c r="I1246" s="524" t="str">
        <f t="shared" si="80"/>
        <v>否</v>
      </c>
      <c r="J1246" s="312" t="str">
        <f t="shared" si="79"/>
        <v>项</v>
      </c>
    </row>
    <row r="1247" s="372" customFormat="1" ht="24" customHeight="1" spans="1:10">
      <c r="A1247" s="330">
        <v>2220499</v>
      </c>
      <c r="B1247" s="379" t="s">
        <v>1140</v>
      </c>
      <c r="C1247" s="602">
        <v>0</v>
      </c>
      <c r="D1247" s="709"/>
      <c r="E1247" s="710">
        <v>0</v>
      </c>
      <c r="F1247" s="710">
        <v>25</v>
      </c>
      <c r="G1247" s="526" t="str">
        <f t="shared" si="77"/>
        <v/>
      </c>
      <c r="H1247" s="470" t="str">
        <f t="shared" si="78"/>
        <v/>
      </c>
      <c r="I1247" s="524" t="str">
        <f t="shared" si="80"/>
        <v>是</v>
      </c>
      <c r="J1247" s="312" t="str">
        <f t="shared" si="79"/>
        <v>项</v>
      </c>
    </row>
    <row r="1248" ht="24" customHeight="1" spans="1:10">
      <c r="A1248" s="330">
        <v>22205</v>
      </c>
      <c r="B1248" s="379" t="s">
        <v>1141</v>
      </c>
      <c r="C1248" s="601">
        <v>0</v>
      </c>
      <c r="D1248" s="708">
        <f>SUM(D1249:D1260)</f>
        <v>0</v>
      </c>
      <c r="E1248" s="708">
        <f>SUM(E1249:E1260)</f>
        <v>0</v>
      </c>
      <c r="F1248" s="708">
        <f>SUM(F1249:F1260)</f>
        <v>1</v>
      </c>
      <c r="G1248" s="523" t="str">
        <f t="shared" si="77"/>
        <v/>
      </c>
      <c r="H1248" s="467" t="str">
        <f t="shared" si="78"/>
        <v/>
      </c>
      <c r="I1248" s="524" t="str">
        <f t="shared" si="80"/>
        <v>是</v>
      </c>
      <c r="J1248" s="312" t="str">
        <f t="shared" si="79"/>
        <v>款</v>
      </c>
    </row>
    <row r="1249" s="372" customFormat="1" ht="24" hidden="1" customHeight="1" spans="1:10">
      <c r="A1249" s="330">
        <v>2220501</v>
      </c>
      <c r="B1249" s="379" t="s">
        <v>1142</v>
      </c>
      <c r="C1249" s="602">
        <v>0</v>
      </c>
      <c r="D1249" s="709"/>
      <c r="E1249" s="710">
        <v>0</v>
      </c>
      <c r="F1249" s="710">
        <v>0</v>
      </c>
      <c r="G1249" s="526" t="str">
        <f t="shared" si="77"/>
        <v/>
      </c>
      <c r="H1249" s="470" t="str">
        <f t="shared" si="78"/>
        <v/>
      </c>
      <c r="I1249" s="524" t="str">
        <f t="shared" si="80"/>
        <v>否</v>
      </c>
      <c r="J1249" s="312" t="str">
        <f t="shared" si="79"/>
        <v>项</v>
      </c>
    </row>
    <row r="1250" s="372" customFormat="1" ht="24" hidden="1" customHeight="1" spans="1:10">
      <c r="A1250" s="330">
        <v>2220502</v>
      </c>
      <c r="B1250" s="379" t="s">
        <v>1143</v>
      </c>
      <c r="C1250" s="602">
        <v>0</v>
      </c>
      <c r="D1250" s="709"/>
      <c r="E1250" s="710">
        <v>0</v>
      </c>
      <c r="F1250" s="710">
        <v>0</v>
      </c>
      <c r="G1250" s="526" t="str">
        <f t="shared" si="77"/>
        <v/>
      </c>
      <c r="H1250" s="470" t="str">
        <f t="shared" si="78"/>
        <v/>
      </c>
      <c r="I1250" s="524" t="str">
        <f t="shared" si="80"/>
        <v>否</v>
      </c>
      <c r="J1250" s="312" t="str">
        <f t="shared" si="79"/>
        <v>项</v>
      </c>
    </row>
    <row r="1251" s="372" customFormat="1" ht="24" hidden="1" customHeight="1" spans="1:10">
      <c r="A1251" s="330">
        <v>2220503</v>
      </c>
      <c r="B1251" s="379" t="s">
        <v>1144</v>
      </c>
      <c r="C1251" s="602">
        <v>0</v>
      </c>
      <c r="D1251" s="709"/>
      <c r="E1251" s="710">
        <v>0</v>
      </c>
      <c r="F1251" s="710">
        <v>0</v>
      </c>
      <c r="G1251" s="526" t="str">
        <f t="shared" si="77"/>
        <v/>
      </c>
      <c r="H1251" s="470" t="str">
        <f t="shared" si="78"/>
        <v/>
      </c>
      <c r="I1251" s="524" t="str">
        <f t="shared" si="80"/>
        <v>否</v>
      </c>
      <c r="J1251" s="312" t="str">
        <f t="shared" si="79"/>
        <v>项</v>
      </c>
    </row>
    <row r="1252" ht="24" hidden="1" customHeight="1" spans="1:10">
      <c r="A1252" s="330">
        <v>2220504</v>
      </c>
      <c r="B1252" s="379" t="s">
        <v>1145</v>
      </c>
      <c r="C1252" s="602">
        <v>0</v>
      </c>
      <c r="D1252" s="709"/>
      <c r="E1252" s="710">
        <v>0</v>
      </c>
      <c r="F1252" s="710">
        <v>0</v>
      </c>
      <c r="G1252" s="526" t="str">
        <f t="shared" si="77"/>
        <v/>
      </c>
      <c r="H1252" s="470" t="str">
        <f t="shared" si="78"/>
        <v/>
      </c>
      <c r="I1252" s="524" t="str">
        <f t="shared" si="80"/>
        <v>否</v>
      </c>
      <c r="J1252" s="312" t="str">
        <f t="shared" si="79"/>
        <v>项</v>
      </c>
    </row>
    <row r="1253" ht="24" hidden="1" customHeight="1" spans="1:10">
      <c r="A1253" s="330">
        <v>2220505</v>
      </c>
      <c r="B1253" s="379" t="s">
        <v>1146</v>
      </c>
      <c r="C1253" s="602">
        <v>0</v>
      </c>
      <c r="D1253" s="709"/>
      <c r="E1253" s="710">
        <v>0</v>
      </c>
      <c r="F1253" s="710">
        <v>0</v>
      </c>
      <c r="G1253" s="526" t="str">
        <f t="shared" si="77"/>
        <v/>
      </c>
      <c r="H1253" s="470" t="str">
        <f t="shared" si="78"/>
        <v/>
      </c>
      <c r="I1253" s="524" t="str">
        <f t="shared" si="80"/>
        <v>否</v>
      </c>
      <c r="J1253" s="312" t="str">
        <f t="shared" si="79"/>
        <v>项</v>
      </c>
    </row>
    <row r="1254" s="372" customFormat="1" ht="24" hidden="1" customHeight="1" spans="1:10">
      <c r="A1254" s="330">
        <v>2220506</v>
      </c>
      <c r="B1254" s="379" t="s">
        <v>1147</v>
      </c>
      <c r="C1254" s="602">
        <v>0</v>
      </c>
      <c r="D1254" s="709"/>
      <c r="E1254" s="710">
        <v>0</v>
      </c>
      <c r="F1254" s="710">
        <v>0</v>
      </c>
      <c r="G1254" s="526" t="str">
        <f t="shared" si="77"/>
        <v/>
      </c>
      <c r="H1254" s="470" t="str">
        <f t="shared" si="78"/>
        <v/>
      </c>
      <c r="I1254" s="524" t="str">
        <f t="shared" si="80"/>
        <v>否</v>
      </c>
      <c r="J1254" s="312" t="str">
        <f t="shared" si="79"/>
        <v>项</v>
      </c>
    </row>
    <row r="1255" s="372" customFormat="1" ht="24" hidden="1" customHeight="1" spans="1:10">
      <c r="A1255" s="330">
        <v>2220507</v>
      </c>
      <c r="B1255" s="379" t="s">
        <v>1148</v>
      </c>
      <c r="C1255" s="602">
        <v>0</v>
      </c>
      <c r="D1255" s="709"/>
      <c r="E1255" s="710">
        <v>0</v>
      </c>
      <c r="F1255" s="710">
        <v>0</v>
      </c>
      <c r="G1255" s="526" t="str">
        <f t="shared" si="77"/>
        <v/>
      </c>
      <c r="H1255" s="470" t="str">
        <f t="shared" si="78"/>
        <v/>
      </c>
      <c r="I1255" s="524" t="str">
        <f t="shared" si="80"/>
        <v>否</v>
      </c>
      <c r="J1255" s="312" t="str">
        <f t="shared" si="79"/>
        <v>项</v>
      </c>
    </row>
    <row r="1256" s="372" customFormat="1" ht="24" hidden="1" customHeight="1" spans="1:10">
      <c r="A1256" s="330">
        <v>2220508</v>
      </c>
      <c r="B1256" s="379" t="s">
        <v>1149</v>
      </c>
      <c r="C1256" s="602">
        <v>0</v>
      </c>
      <c r="D1256" s="709"/>
      <c r="E1256" s="710">
        <v>0</v>
      </c>
      <c r="F1256" s="710">
        <v>0</v>
      </c>
      <c r="G1256" s="526" t="str">
        <f t="shared" si="77"/>
        <v/>
      </c>
      <c r="H1256" s="470" t="str">
        <f t="shared" si="78"/>
        <v/>
      </c>
      <c r="I1256" s="524" t="str">
        <f t="shared" si="80"/>
        <v>否</v>
      </c>
      <c r="J1256" s="312" t="str">
        <f t="shared" si="79"/>
        <v>项</v>
      </c>
    </row>
    <row r="1257" s="372" customFormat="1" ht="24" hidden="1" customHeight="1" spans="1:10">
      <c r="A1257" s="330">
        <v>2220509</v>
      </c>
      <c r="B1257" s="379" t="s">
        <v>1150</v>
      </c>
      <c r="C1257" s="602">
        <v>0</v>
      </c>
      <c r="D1257" s="709"/>
      <c r="E1257" s="710">
        <v>0</v>
      </c>
      <c r="F1257" s="710">
        <v>0</v>
      </c>
      <c r="G1257" s="526" t="str">
        <f t="shared" si="77"/>
        <v/>
      </c>
      <c r="H1257" s="470" t="str">
        <f t="shared" si="78"/>
        <v/>
      </c>
      <c r="I1257" s="524" t="str">
        <f t="shared" si="80"/>
        <v>否</v>
      </c>
      <c r="J1257" s="312" t="str">
        <f t="shared" si="79"/>
        <v>项</v>
      </c>
    </row>
    <row r="1258" s="372" customFormat="1" ht="24" hidden="1" customHeight="1" spans="1:10">
      <c r="A1258" s="330">
        <v>2220510</v>
      </c>
      <c r="B1258" s="379" t="s">
        <v>1151</v>
      </c>
      <c r="C1258" s="602">
        <v>0</v>
      </c>
      <c r="D1258" s="709"/>
      <c r="E1258" s="710">
        <v>0</v>
      </c>
      <c r="F1258" s="710">
        <v>0</v>
      </c>
      <c r="G1258" s="526" t="str">
        <f t="shared" si="77"/>
        <v/>
      </c>
      <c r="H1258" s="470" t="str">
        <f t="shared" si="78"/>
        <v/>
      </c>
      <c r="I1258" s="524" t="str">
        <f t="shared" si="80"/>
        <v>否</v>
      </c>
      <c r="J1258" s="312" t="str">
        <f t="shared" si="79"/>
        <v>项</v>
      </c>
    </row>
    <row r="1259" s="372" customFormat="1" ht="24" customHeight="1" spans="1:10">
      <c r="A1259" s="406">
        <v>2220511</v>
      </c>
      <c r="B1259" s="379" t="s">
        <v>1152</v>
      </c>
      <c r="C1259" s="602">
        <v>0</v>
      </c>
      <c r="D1259" s="709"/>
      <c r="E1259" s="710">
        <v>0</v>
      </c>
      <c r="F1259" s="710">
        <v>1</v>
      </c>
      <c r="G1259" s="526" t="str">
        <f t="shared" si="77"/>
        <v/>
      </c>
      <c r="H1259" s="470" t="str">
        <f t="shared" si="78"/>
        <v/>
      </c>
      <c r="I1259" s="524" t="str">
        <f t="shared" si="80"/>
        <v>是</v>
      </c>
      <c r="J1259" s="312" t="str">
        <f t="shared" si="79"/>
        <v>项</v>
      </c>
    </row>
    <row r="1260" s="372" customFormat="1" ht="24" hidden="1" customHeight="1" spans="1:10">
      <c r="A1260" s="330">
        <v>2220599</v>
      </c>
      <c r="B1260" s="379" t="s">
        <v>1153</v>
      </c>
      <c r="C1260" s="602">
        <v>0</v>
      </c>
      <c r="D1260" s="709"/>
      <c r="E1260" s="710">
        <v>0</v>
      </c>
      <c r="F1260" s="710">
        <v>0</v>
      </c>
      <c r="G1260" s="526" t="str">
        <f t="shared" si="77"/>
        <v/>
      </c>
      <c r="H1260" s="470" t="str">
        <f t="shared" si="78"/>
        <v/>
      </c>
      <c r="I1260" s="524" t="str">
        <f t="shared" si="80"/>
        <v>否</v>
      </c>
      <c r="J1260" s="312" t="str">
        <f t="shared" si="79"/>
        <v>项</v>
      </c>
    </row>
    <row r="1261" s="372" customFormat="1" ht="24" customHeight="1" spans="1:10">
      <c r="A1261" s="329">
        <v>224</v>
      </c>
      <c r="B1261" s="377" t="s">
        <v>195</v>
      </c>
      <c r="C1261" s="601">
        <v>11818</v>
      </c>
      <c r="D1261" s="708">
        <f>D1262+D1273+D1280+D1288+D1301+D1305+D1309</f>
        <v>11410</v>
      </c>
      <c r="E1261" s="708">
        <f>E1262+E1273+E1280+E1288+E1301+E1305+E1309</f>
        <v>11935</v>
      </c>
      <c r="F1261" s="708">
        <f>F1262+F1273+F1280+F1288+F1301+F1305+F1309</f>
        <v>4915</v>
      </c>
      <c r="G1261" s="523">
        <f t="shared" si="77"/>
        <v>-0.584108986292097</v>
      </c>
      <c r="H1261" s="467">
        <f t="shared" si="78"/>
        <v>0.430762489044698</v>
      </c>
      <c r="I1261" s="524" t="str">
        <f t="shared" si="80"/>
        <v>是</v>
      </c>
      <c r="J1261" s="312" t="str">
        <f t="shared" si="79"/>
        <v>类</v>
      </c>
    </row>
    <row r="1262" s="372" customFormat="1" ht="24" customHeight="1" spans="1:10">
      <c r="A1262" s="330">
        <v>22401</v>
      </c>
      <c r="B1262" s="379" t="s">
        <v>1154</v>
      </c>
      <c r="C1262" s="601">
        <v>5268</v>
      </c>
      <c r="D1262" s="708">
        <f>SUM(D1263:D1272)</f>
        <v>5451</v>
      </c>
      <c r="E1262" s="708">
        <f>SUM(E1263:E1272)</f>
        <v>5451</v>
      </c>
      <c r="F1262" s="708">
        <f>SUM(F1263:F1272)</f>
        <v>1072</v>
      </c>
      <c r="G1262" s="523">
        <f t="shared" si="77"/>
        <v>-0.796507213363705</v>
      </c>
      <c r="H1262" s="467">
        <f t="shared" si="78"/>
        <v>0.196661163089341</v>
      </c>
      <c r="I1262" s="524" t="str">
        <f t="shared" si="80"/>
        <v>是</v>
      </c>
      <c r="J1262" s="312" t="str">
        <f t="shared" si="79"/>
        <v>款</v>
      </c>
    </row>
    <row r="1263" s="372" customFormat="1" ht="24" customHeight="1" spans="1:10">
      <c r="A1263" s="330">
        <v>2240101</v>
      </c>
      <c r="B1263" s="379" t="s">
        <v>212</v>
      </c>
      <c r="C1263" s="602">
        <v>718</v>
      </c>
      <c r="D1263" s="709">
        <v>830</v>
      </c>
      <c r="E1263" s="710">
        <v>830</v>
      </c>
      <c r="F1263" s="710">
        <v>704</v>
      </c>
      <c r="G1263" s="526">
        <f t="shared" si="77"/>
        <v>-0.0194986072423398</v>
      </c>
      <c r="H1263" s="470">
        <f t="shared" si="78"/>
        <v>0.848192771084337</v>
      </c>
      <c r="I1263" s="524" t="str">
        <f t="shared" si="80"/>
        <v>是</v>
      </c>
      <c r="J1263" s="312" t="str">
        <f t="shared" si="79"/>
        <v>项</v>
      </c>
    </row>
    <row r="1264" s="372" customFormat="1" ht="24" hidden="1" customHeight="1" spans="1:10">
      <c r="A1264" s="330">
        <v>2240102</v>
      </c>
      <c r="B1264" s="379" t="s">
        <v>213</v>
      </c>
      <c r="C1264" s="602">
        <v>0</v>
      </c>
      <c r="D1264" s="709">
        <v>0</v>
      </c>
      <c r="E1264" s="710">
        <v>0</v>
      </c>
      <c r="F1264" s="710">
        <v>0</v>
      </c>
      <c r="G1264" s="526" t="str">
        <f t="shared" si="77"/>
        <v/>
      </c>
      <c r="H1264" s="470" t="str">
        <f t="shared" si="78"/>
        <v/>
      </c>
      <c r="I1264" s="524" t="str">
        <f t="shared" si="80"/>
        <v>否</v>
      </c>
      <c r="J1264" s="312" t="str">
        <f t="shared" si="79"/>
        <v>项</v>
      </c>
    </row>
    <row r="1265" s="372" customFormat="1" ht="24" hidden="1" customHeight="1" spans="1:10">
      <c r="A1265" s="330">
        <v>2240103</v>
      </c>
      <c r="B1265" s="379" t="s">
        <v>214</v>
      </c>
      <c r="C1265" s="602">
        <v>0</v>
      </c>
      <c r="D1265" s="709">
        <v>0</v>
      </c>
      <c r="E1265" s="710">
        <v>0</v>
      </c>
      <c r="F1265" s="710">
        <v>0</v>
      </c>
      <c r="G1265" s="526" t="str">
        <f t="shared" si="77"/>
        <v/>
      </c>
      <c r="H1265" s="470" t="str">
        <f t="shared" si="78"/>
        <v/>
      </c>
      <c r="I1265" s="524" t="str">
        <f t="shared" si="80"/>
        <v>否</v>
      </c>
      <c r="J1265" s="312" t="str">
        <f t="shared" si="79"/>
        <v>项</v>
      </c>
    </row>
    <row r="1266" s="372" customFormat="1" ht="24" customHeight="1" spans="1:10">
      <c r="A1266" s="330">
        <v>2240104</v>
      </c>
      <c r="B1266" s="379" t="s">
        <v>1155</v>
      </c>
      <c r="C1266" s="602">
        <v>0</v>
      </c>
      <c r="D1266" s="709">
        <v>0</v>
      </c>
      <c r="E1266" s="710">
        <v>0</v>
      </c>
      <c r="F1266" s="710">
        <v>20</v>
      </c>
      <c r="G1266" s="526" t="str">
        <f t="shared" si="77"/>
        <v/>
      </c>
      <c r="H1266" s="470" t="str">
        <f t="shared" si="78"/>
        <v/>
      </c>
      <c r="I1266" s="524" t="str">
        <f t="shared" si="80"/>
        <v>是</v>
      </c>
      <c r="J1266" s="312" t="str">
        <f t="shared" si="79"/>
        <v>项</v>
      </c>
    </row>
    <row r="1267" s="372" customFormat="1" ht="24" hidden="1" customHeight="1" spans="1:10">
      <c r="A1267" s="330">
        <v>2240105</v>
      </c>
      <c r="B1267" s="379" t="s">
        <v>1156</v>
      </c>
      <c r="C1267" s="602">
        <v>0</v>
      </c>
      <c r="D1267" s="709">
        <v>0</v>
      </c>
      <c r="E1267" s="710">
        <v>0</v>
      </c>
      <c r="F1267" s="710">
        <v>0</v>
      </c>
      <c r="G1267" s="526" t="str">
        <f t="shared" si="77"/>
        <v/>
      </c>
      <c r="H1267" s="470" t="str">
        <f t="shared" si="78"/>
        <v/>
      </c>
      <c r="I1267" s="524" t="str">
        <f t="shared" si="80"/>
        <v>否</v>
      </c>
      <c r="J1267" s="312" t="str">
        <f t="shared" si="79"/>
        <v>项</v>
      </c>
    </row>
    <row r="1268" s="372" customFormat="1" ht="24" customHeight="1" spans="1:10">
      <c r="A1268" s="330">
        <v>2240106</v>
      </c>
      <c r="B1268" s="379" t="s">
        <v>1157</v>
      </c>
      <c r="C1268" s="602">
        <v>28</v>
      </c>
      <c r="D1268" s="709">
        <v>75</v>
      </c>
      <c r="E1268" s="710">
        <v>75</v>
      </c>
      <c r="F1268" s="710">
        <v>73</v>
      </c>
      <c r="G1268" s="526">
        <f t="shared" si="77"/>
        <v>1.60714285714286</v>
      </c>
      <c r="H1268" s="470">
        <f t="shared" si="78"/>
        <v>0.973333333333333</v>
      </c>
      <c r="I1268" s="524" t="str">
        <f t="shared" si="80"/>
        <v>是</v>
      </c>
      <c r="J1268" s="312" t="str">
        <f t="shared" si="79"/>
        <v>项</v>
      </c>
    </row>
    <row r="1269" s="372" customFormat="1" ht="24" customHeight="1" spans="1:10">
      <c r="A1269" s="330">
        <v>2240108</v>
      </c>
      <c r="B1269" s="379" t="s">
        <v>1158</v>
      </c>
      <c r="C1269" s="602">
        <v>0</v>
      </c>
      <c r="D1269" s="709">
        <v>0</v>
      </c>
      <c r="E1269" s="710">
        <v>0</v>
      </c>
      <c r="F1269" s="710">
        <v>8</v>
      </c>
      <c r="G1269" s="526" t="str">
        <f t="shared" si="77"/>
        <v/>
      </c>
      <c r="H1269" s="470" t="str">
        <f t="shared" si="78"/>
        <v/>
      </c>
      <c r="I1269" s="524" t="str">
        <f t="shared" si="80"/>
        <v>是</v>
      </c>
      <c r="J1269" s="312" t="str">
        <f t="shared" si="79"/>
        <v>项</v>
      </c>
    </row>
    <row r="1270" s="372" customFormat="1" ht="24" customHeight="1" spans="1:10">
      <c r="A1270" s="330">
        <v>2240109</v>
      </c>
      <c r="B1270" s="379" t="s">
        <v>1159</v>
      </c>
      <c r="C1270" s="602">
        <v>4336</v>
      </c>
      <c r="D1270" s="709">
        <v>4356</v>
      </c>
      <c r="E1270" s="710">
        <v>4356</v>
      </c>
      <c r="F1270" s="710">
        <v>62</v>
      </c>
      <c r="G1270" s="526">
        <f t="shared" si="77"/>
        <v>-0.98570110701107</v>
      </c>
      <c r="H1270" s="470">
        <f t="shared" si="78"/>
        <v>0.0142332415059688</v>
      </c>
      <c r="I1270" s="524" t="str">
        <f t="shared" si="80"/>
        <v>是</v>
      </c>
      <c r="J1270" s="312" t="str">
        <f t="shared" si="79"/>
        <v>项</v>
      </c>
    </row>
    <row r="1271" ht="24" customHeight="1" spans="1:10">
      <c r="A1271" s="330">
        <v>2240150</v>
      </c>
      <c r="B1271" s="379" t="s">
        <v>221</v>
      </c>
      <c r="C1271" s="602">
        <v>186</v>
      </c>
      <c r="D1271" s="709">
        <v>190</v>
      </c>
      <c r="E1271" s="710">
        <v>190</v>
      </c>
      <c r="F1271" s="710">
        <v>205</v>
      </c>
      <c r="G1271" s="526">
        <f t="shared" si="77"/>
        <v>0.102150537634409</v>
      </c>
      <c r="H1271" s="470">
        <f t="shared" si="78"/>
        <v>1.07894736842105</v>
      </c>
      <c r="I1271" s="524" t="str">
        <f t="shared" si="80"/>
        <v>是</v>
      </c>
      <c r="J1271" s="312" t="str">
        <f t="shared" si="79"/>
        <v>项</v>
      </c>
    </row>
    <row r="1272" s="372" customFormat="1" ht="24" hidden="1" customHeight="1" spans="1:10">
      <c r="A1272" s="330">
        <v>2240199</v>
      </c>
      <c r="B1272" s="379" t="s">
        <v>1160</v>
      </c>
      <c r="C1272" s="602">
        <v>0</v>
      </c>
      <c r="D1272" s="709">
        <v>0</v>
      </c>
      <c r="E1272" s="710">
        <v>0</v>
      </c>
      <c r="F1272" s="710">
        <v>0</v>
      </c>
      <c r="G1272" s="526" t="str">
        <f t="shared" si="77"/>
        <v/>
      </c>
      <c r="H1272" s="470" t="str">
        <f t="shared" si="78"/>
        <v/>
      </c>
      <c r="I1272" s="524" t="str">
        <f t="shared" si="80"/>
        <v>否</v>
      </c>
      <c r="J1272" s="312" t="str">
        <f t="shared" si="79"/>
        <v>项</v>
      </c>
    </row>
    <row r="1273" s="372" customFormat="1" ht="24" customHeight="1" spans="1:10">
      <c r="A1273" s="330">
        <v>22402</v>
      </c>
      <c r="B1273" s="405" t="s">
        <v>1161</v>
      </c>
      <c r="C1273" s="601">
        <v>4295</v>
      </c>
      <c r="D1273" s="708">
        <f>SUM(D1274:D1279)</f>
        <v>3741</v>
      </c>
      <c r="E1273" s="708">
        <f>SUM(E1274:E1279)</f>
        <v>4266</v>
      </c>
      <c r="F1273" s="708">
        <f>SUM(F1274:F1279)</f>
        <v>2848</v>
      </c>
      <c r="G1273" s="523">
        <f t="shared" si="77"/>
        <v>-0.336903376018626</v>
      </c>
      <c r="H1273" s="467">
        <f t="shared" si="78"/>
        <v>0.761293771718792</v>
      </c>
      <c r="I1273" s="524" t="str">
        <f t="shared" si="80"/>
        <v>是</v>
      </c>
      <c r="J1273" s="312" t="str">
        <f t="shared" si="79"/>
        <v>款</v>
      </c>
    </row>
    <row r="1274" s="372" customFormat="1" ht="24" customHeight="1" spans="1:10">
      <c r="A1274" s="330">
        <v>2240201</v>
      </c>
      <c r="B1274" s="379" t="s">
        <v>212</v>
      </c>
      <c r="C1274" s="602">
        <v>1083</v>
      </c>
      <c r="D1274" s="709">
        <v>1105</v>
      </c>
      <c r="E1274" s="710">
        <v>1105</v>
      </c>
      <c r="F1274" s="710">
        <v>1461</v>
      </c>
      <c r="G1274" s="526">
        <f t="shared" si="77"/>
        <v>0.349030470914127</v>
      </c>
      <c r="H1274" s="470">
        <f t="shared" si="78"/>
        <v>1.32217194570136</v>
      </c>
      <c r="I1274" s="524" t="str">
        <f t="shared" si="80"/>
        <v>是</v>
      </c>
      <c r="J1274" s="312" t="str">
        <f t="shared" si="79"/>
        <v>项</v>
      </c>
    </row>
    <row r="1275" s="372" customFormat="1" ht="24" hidden="1" customHeight="1" spans="1:10">
      <c r="A1275" s="330">
        <v>2240202</v>
      </c>
      <c r="B1275" s="379" t="s">
        <v>213</v>
      </c>
      <c r="C1275" s="602">
        <v>0</v>
      </c>
      <c r="D1275" s="709">
        <v>0</v>
      </c>
      <c r="E1275" s="710">
        <v>0</v>
      </c>
      <c r="F1275" s="710">
        <v>0</v>
      </c>
      <c r="G1275" s="526" t="str">
        <f t="shared" si="77"/>
        <v/>
      </c>
      <c r="H1275" s="470" t="str">
        <f t="shared" si="78"/>
        <v/>
      </c>
      <c r="I1275" s="524" t="str">
        <f t="shared" si="80"/>
        <v>否</v>
      </c>
      <c r="J1275" s="312" t="str">
        <f t="shared" si="79"/>
        <v>项</v>
      </c>
    </row>
    <row r="1276" s="372" customFormat="1" ht="24" hidden="1" customHeight="1" spans="1:10">
      <c r="A1276" s="330">
        <v>2240203</v>
      </c>
      <c r="B1276" s="379" t="s">
        <v>214</v>
      </c>
      <c r="C1276" s="602">
        <v>0</v>
      </c>
      <c r="D1276" s="709">
        <v>0</v>
      </c>
      <c r="E1276" s="710">
        <v>0</v>
      </c>
      <c r="F1276" s="710">
        <v>0</v>
      </c>
      <c r="G1276" s="526" t="str">
        <f t="shared" si="77"/>
        <v/>
      </c>
      <c r="H1276" s="470" t="str">
        <f t="shared" si="78"/>
        <v/>
      </c>
      <c r="I1276" s="524" t="str">
        <f t="shared" si="80"/>
        <v>否</v>
      </c>
      <c r="J1276" s="312" t="str">
        <f t="shared" si="79"/>
        <v>项</v>
      </c>
    </row>
    <row r="1277" s="372" customFormat="1" ht="24" customHeight="1" spans="1:10">
      <c r="A1277" s="330">
        <v>2240204</v>
      </c>
      <c r="B1277" s="379" t="s">
        <v>1162</v>
      </c>
      <c r="C1277" s="602">
        <v>3184</v>
      </c>
      <c r="D1277" s="709">
        <v>2568</v>
      </c>
      <c r="E1277" s="710">
        <v>3093</v>
      </c>
      <c r="F1277" s="710">
        <v>1320</v>
      </c>
      <c r="G1277" s="526">
        <f t="shared" si="77"/>
        <v>-0.585427135678392</v>
      </c>
      <c r="H1277" s="470">
        <f t="shared" si="78"/>
        <v>0.514018691588785</v>
      </c>
      <c r="I1277" s="524" t="str">
        <f t="shared" si="80"/>
        <v>是</v>
      </c>
      <c r="J1277" s="312" t="str">
        <f t="shared" si="79"/>
        <v>项</v>
      </c>
    </row>
    <row r="1278" s="372" customFormat="1" ht="24" hidden="1" customHeight="1" spans="1:10">
      <c r="A1278" s="339">
        <v>2240250</v>
      </c>
      <c r="B1278" s="379" t="s">
        <v>221</v>
      </c>
      <c r="C1278" s="602">
        <v>0</v>
      </c>
      <c r="D1278" s="709">
        <v>0</v>
      </c>
      <c r="E1278" s="710">
        <v>0</v>
      </c>
      <c r="F1278" s="710">
        <v>0</v>
      </c>
      <c r="G1278" s="526" t="str">
        <f t="shared" si="77"/>
        <v/>
      </c>
      <c r="H1278" s="470" t="str">
        <f t="shared" si="78"/>
        <v/>
      </c>
      <c r="I1278" s="524" t="str">
        <f t="shared" si="80"/>
        <v>否</v>
      </c>
      <c r="J1278" s="312" t="str">
        <f t="shared" si="79"/>
        <v>项</v>
      </c>
    </row>
    <row r="1279" s="372" customFormat="1" ht="24" customHeight="1" spans="1:10">
      <c r="A1279" s="330">
        <v>2240299</v>
      </c>
      <c r="B1279" s="405" t="s">
        <v>1163</v>
      </c>
      <c r="C1279" s="602">
        <v>28</v>
      </c>
      <c r="D1279" s="709">
        <v>68</v>
      </c>
      <c r="E1279" s="710">
        <v>68</v>
      </c>
      <c r="F1279" s="710">
        <v>67</v>
      </c>
      <c r="G1279" s="526">
        <f t="shared" si="77"/>
        <v>1.39285714285714</v>
      </c>
      <c r="H1279" s="470">
        <f t="shared" si="78"/>
        <v>0.985294117647059</v>
      </c>
      <c r="I1279" s="524" t="str">
        <f t="shared" si="80"/>
        <v>是</v>
      </c>
      <c r="J1279" s="312" t="str">
        <f t="shared" si="79"/>
        <v>项</v>
      </c>
    </row>
    <row r="1280" s="372" customFormat="1" ht="24" hidden="1" customHeight="1" spans="1:10">
      <c r="A1280" s="330">
        <v>22404</v>
      </c>
      <c r="B1280" s="379" t="s">
        <v>1164</v>
      </c>
      <c r="C1280" s="601">
        <v>0</v>
      </c>
      <c r="D1280" s="708">
        <f>SUM(D1281:D1287)</f>
        <v>0</v>
      </c>
      <c r="E1280" s="708">
        <f>SUM(E1281:E1287)</f>
        <v>0</v>
      </c>
      <c r="F1280" s="708">
        <f>SUM(F1281:F1287)</f>
        <v>0</v>
      </c>
      <c r="G1280" s="523" t="str">
        <f t="shared" si="77"/>
        <v/>
      </c>
      <c r="H1280" s="467" t="str">
        <f t="shared" si="78"/>
        <v/>
      </c>
      <c r="I1280" s="524" t="str">
        <f t="shared" si="80"/>
        <v>否</v>
      </c>
      <c r="J1280" s="312" t="str">
        <f t="shared" si="79"/>
        <v>款</v>
      </c>
    </row>
    <row r="1281" s="372" customFormat="1" ht="24" hidden="1" customHeight="1" spans="1:10">
      <c r="A1281" s="330">
        <v>2240401</v>
      </c>
      <c r="B1281" s="379" t="s">
        <v>212</v>
      </c>
      <c r="C1281" s="602">
        <v>0</v>
      </c>
      <c r="D1281" s="709"/>
      <c r="E1281" s="710">
        <v>0</v>
      </c>
      <c r="F1281" s="710">
        <v>0</v>
      </c>
      <c r="G1281" s="526" t="str">
        <f t="shared" si="77"/>
        <v/>
      </c>
      <c r="H1281" s="470" t="str">
        <f t="shared" si="78"/>
        <v/>
      </c>
      <c r="I1281" s="524" t="str">
        <f t="shared" si="80"/>
        <v>否</v>
      </c>
      <c r="J1281" s="312" t="str">
        <f t="shared" si="79"/>
        <v>项</v>
      </c>
    </row>
    <row r="1282" s="372" customFormat="1" ht="24" hidden="1" customHeight="1" spans="1:10">
      <c r="A1282" s="330">
        <v>2240402</v>
      </c>
      <c r="B1282" s="379" t="s">
        <v>213</v>
      </c>
      <c r="C1282" s="602">
        <v>0</v>
      </c>
      <c r="D1282" s="709"/>
      <c r="E1282" s="710">
        <v>0</v>
      </c>
      <c r="F1282" s="710">
        <v>0</v>
      </c>
      <c r="G1282" s="526" t="str">
        <f t="shared" si="77"/>
        <v/>
      </c>
      <c r="H1282" s="470" t="str">
        <f t="shared" si="78"/>
        <v/>
      </c>
      <c r="I1282" s="524" t="str">
        <f t="shared" si="80"/>
        <v>否</v>
      </c>
      <c r="J1282" s="312" t="str">
        <f t="shared" si="79"/>
        <v>项</v>
      </c>
    </row>
    <row r="1283" s="372" customFormat="1" ht="24" hidden="1" customHeight="1" spans="1:10">
      <c r="A1283" s="330">
        <v>2240403</v>
      </c>
      <c r="B1283" s="379" t="s">
        <v>214</v>
      </c>
      <c r="C1283" s="602">
        <v>0</v>
      </c>
      <c r="D1283" s="709"/>
      <c r="E1283" s="710">
        <v>0</v>
      </c>
      <c r="F1283" s="710">
        <v>0</v>
      </c>
      <c r="G1283" s="526" t="str">
        <f t="shared" ref="G1283:G1324" si="81">IFERROR((F1283-C1283)/C1283,"")</f>
        <v/>
      </c>
      <c r="H1283" s="470" t="str">
        <f t="shared" ref="H1283:H1324" si="82">IFERROR(F1283/D1283,"")</f>
        <v/>
      </c>
      <c r="I1283" s="524" t="str">
        <f t="shared" si="80"/>
        <v>否</v>
      </c>
      <c r="J1283" s="312" t="str">
        <f t="shared" ref="J1283:J1320" si="83">IF(LEN(A1283)=3,"类",IF(LEN(A1283)=5,"款","项"))</f>
        <v>项</v>
      </c>
    </row>
    <row r="1284" s="372" customFormat="1" ht="24" hidden="1" customHeight="1" spans="1:10">
      <c r="A1284" s="330">
        <v>2240404</v>
      </c>
      <c r="B1284" s="405" t="s">
        <v>1165</v>
      </c>
      <c r="C1284" s="602">
        <v>0</v>
      </c>
      <c r="D1284" s="709"/>
      <c r="E1284" s="710">
        <v>0</v>
      </c>
      <c r="F1284" s="710">
        <v>0</v>
      </c>
      <c r="G1284" s="526" t="str">
        <f t="shared" si="81"/>
        <v/>
      </c>
      <c r="H1284" s="470" t="str">
        <f t="shared" si="82"/>
        <v/>
      </c>
      <c r="I1284" s="524" t="str">
        <f t="shared" ref="I1284:I1324" si="84">IF(LEN(A1284)=3,"是",IF(B1284&lt;&gt;"",IF(SUM(C1284:F1284)&lt;&gt;0,"是","否"),"是"))</f>
        <v>否</v>
      </c>
      <c r="J1284" s="312" t="str">
        <f t="shared" si="83"/>
        <v>项</v>
      </c>
    </row>
    <row r="1285" ht="24" hidden="1" customHeight="1" spans="1:10">
      <c r="A1285" s="330">
        <v>2240405</v>
      </c>
      <c r="B1285" s="405" t="s">
        <v>1166</v>
      </c>
      <c r="C1285" s="602">
        <v>0</v>
      </c>
      <c r="D1285" s="709"/>
      <c r="E1285" s="710">
        <v>0</v>
      </c>
      <c r="F1285" s="710">
        <v>0</v>
      </c>
      <c r="G1285" s="526" t="str">
        <f t="shared" si="81"/>
        <v/>
      </c>
      <c r="H1285" s="470" t="str">
        <f t="shared" si="82"/>
        <v/>
      </c>
      <c r="I1285" s="524" t="str">
        <f t="shared" si="84"/>
        <v>否</v>
      </c>
      <c r="J1285" s="312" t="str">
        <f t="shared" si="83"/>
        <v>项</v>
      </c>
    </row>
    <row r="1286" s="372" customFormat="1" ht="24" hidden="1" customHeight="1" spans="1:10">
      <c r="A1286" s="330">
        <v>2240450</v>
      </c>
      <c r="B1286" s="379" t="s">
        <v>221</v>
      </c>
      <c r="C1286" s="602">
        <v>0</v>
      </c>
      <c r="D1286" s="709"/>
      <c r="E1286" s="710">
        <v>0</v>
      </c>
      <c r="F1286" s="710">
        <v>0</v>
      </c>
      <c r="G1286" s="526" t="str">
        <f t="shared" si="81"/>
        <v/>
      </c>
      <c r="H1286" s="470" t="str">
        <f t="shared" si="82"/>
        <v/>
      </c>
      <c r="I1286" s="524" t="str">
        <f t="shared" si="84"/>
        <v>否</v>
      </c>
      <c r="J1286" s="312" t="str">
        <f t="shared" si="83"/>
        <v>项</v>
      </c>
    </row>
    <row r="1287" s="372" customFormat="1" ht="24" hidden="1" customHeight="1" spans="1:10">
      <c r="A1287" s="330">
        <v>2240499</v>
      </c>
      <c r="B1287" s="405" t="s">
        <v>1167</v>
      </c>
      <c r="C1287" s="602">
        <v>0</v>
      </c>
      <c r="D1287" s="709"/>
      <c r="E1287" s="710">
        <v>0</v>
      </c>
      <c r="F1287" s="710">
        <v>0</v>
      </c>
      <c r="G1287" s="526" t="str">
        <f t="shared" si="81"/>
        <v/>
      </c>
      <c r="H1287" s="470" t="str">
        <f t="shared" si="82"/>
        <v/>
      </c>
      <c r="I1287" s="524" t="str">
        <f t="shared" si="84"/>
        <v>否</v>
      </c>
      <c r="J1287" s="312" t="str">
        <f t="shared" si="83"/>
        <v>项</v>
      </c>
    </row>
    <row r="1288" s="372" customFormat="1" ht="24" customHeight="1" spans="1:10">
      <c r="A1288" s="330">
        <v>22405</v>
      </c>
      <c r="B1288" s="379" t="s">
        <v>1168</v>
      </c>
      <c r="C1288" s="601">
        <v>355</v>
      </c>
      <c r="D1288" s="708">
        <f>SUM(D1289:D1300)</f>
        <v>370</v>
      </c>
      <c r="E1288" s="708">
        <f>SUM(E1289:E1300)</f>
        <v>370</v>
      </c>
      <c r="F1288" s="708">
        <f>SUM(F1289:F1300)</f>
        <v>462</v>
      </c>
      <c r="G1288" s="523">
        <f t="shared" si="81"/>
        <v>0.301408450704225</v>
      </c>
      <c r="H1288" s="467">
        <f t="shared" si="82"/>
        <v>1.24864864864865</v>
      </c>
      <c r="I1288" s="524" t="str">
        <f t="shared" si="84"/>
        <v>是</v>
      </c>
      <c r="J1288" s="312" t="str">
        <f t="shared" si="83"/>
        <v>款</v>
      </c>
    </row>
    <row r="1289" s="372" customFormat="1" ht="24" customHeight="1" spans="1:10">
      <c r="A1289" s="330">
        <v>2240501</v>
      </c>
      <c r="B1289" s="379" t="s">
        <v>212</v>
      </c>
      <c r="C1289" s="602">
        <v>154</v>
      </c>
      <c r="D1289" s="709">
        <v>165</v>
      </c>
      <c r="E1289" s="710">
        <v>165</v>
      </c>
      <c r="F1289" s="710">
        <v>162</v>
      </c>
      <c r="G1289" s="526">
        <f t="shared" si="81"/>
        <v>0.051948051948052</v>
      </c>
      <c r="H1289" s="470">
        <f t="shared" si="82"/>
        <v>0.981818181818182</v>
      </c>
      <c r="I1289" s="524" t="str">
        <f t="shared" si="84"/>
        <v>是</v>
      </c>
      <c r="J1289" s="312" t="str">
        <f t="shared" si="83"/>
        <v>项</v>
      </c>
    </row>
    <row r="1290" s="372" customFormat="1" ht="24" hidden="1" customHeight="1" spans="1:10">
      <c r="A1290" s="330">
        <v>2240502</v>
      </c>
      <c r="B1290" s="379" t="s">
        <v>213</v>
      </c>
      <c r="C1290" s="602">
        <v>0</v>
      </c>
      <c r="D1290" s="709">
        <v>0</v>
      </c>
      <c r="E1290" s="710">
        <v>0</v>
      </c>
      <c r="F1290" s="710">
        <v>0</v>
      </c>
      <c r="G1290" s="526" t="str">
        <f t="shared" si="81"/>
        <v/>
      </c>
      <c r="H1290" s="470" t="str">
        <f t="shared" si="82"/>
        <v/>
      </c>
      <c r="I1290" s="524" t="str">
        <f t="shared" si="84"/>
        <v>否</v>
      </c>
      <c r="J1290" s="312" t="str">
        <f t="shared" si="83"/>
        <v>项</v>
      </c>
    </row>
    <row r="1291" ht="24" hidden="1" customHeight="1" spans="1:10">
      <c r="A1291" s="330">
        <v>2240503</v>
      </c>
      <c r="B1291" s="379" t="s">
        <v>214</v>
      </c>
      <c r="C1291" s="602">
        <v>0</v>
      </c>
      <c r="D1291" s="709">
        <v>0</v>
      </c>
      <c r="E1291" s="710">
        <v>0</v>
      </c>
      <c r="F1291" s="710">
        <v>0</v>
      </c>
      <c r="G1291" s="526" t="str">
        <f t="shared" si="81"/>
        <v/>
      </c>
      <c r="H1291" s="470" t="str">
        <f t="shared" si="82"/>
        <v/>
      </c>
      <c r="I1291" s="524" t="str">
        <f t="shared" si="84"/>
        <v>否</v>
      </c>
      <c r="J1291" s="312" t="str">
        <f t="shared" si="83"/>
        <v>项</v>
      </c>
    </row>
    <row r="1292" s="372" customFormat="1" ht="24" hidden="1" customHeight="1" spans="1:10">
      <c r="A1292" s="330">
        <v>2240504</v>
      </c>
      <c r="B1292" s="379" t="s">
        <v>1169</v>
      </c>
      <c r="C1292" s="602">
        <v>0</v>
      </c>
      <c r="D1292" s="709">
        <v>0</v>
      </c>
      <c r="E1292" s="710">
        <v>0</v>
      </c>
      <c r="F1292" s="710">
        <v>0</v>
      </c>
      <c r="G1292" s="526" t="str">
        <f t="shared" si="81"/>
        <v/>
      </c>
      <c r="H1292" s="470" t="str">
        <f t="shared" si="82"/>
        <v/>
      </c>
      <c r="I1292" s="524" t="str">
        <f t="shared" si="84"/>
        <v>否</v>
      </c>
      <c r="J1292" s="312" t="str">
        <f t="shared" si="83"/>
        <v>项</v>
      </c>
    </row>
    <row r="1293" s="372" customFormat="1" ht="24" customHeight="1" spans="1:10">
      <c r="A1293" s="330">
        <v>2240505</v>
      </c>
      <c r="B1293" s="379" t="s">
        <v>1170</v>
      </c>
      <c r="C1293" s="602">
        <v>5</v>
      </c>
      <c r="D1293" s="709">
        <v>5</v>
      </c>
      <c r="E1293" s="710">
        <v>5</v>
      </c>
      <c r="F1293" s="710">
        <v>4</v>
      </c>
      <c r="G1293" s="526">
        <f t="shared" si="81"/>
        <v>-0.2</v>
      </c>
      <c r="H1293" s="470">
        <f t="shared" si="82"/>
        <v>0.8</v>
      </c>
      <c r="I1293" s="524" t="str">
        <f t="shared" si="84"/>
        <v>是</v>
      </c>
      <c r="J1293" s="312" t="str">
        <f t="shared" si="83"/>
        <v>项</v>
      </c>
    </row>
    <row r="1294" s="372" customFormat="1" ht="24" customHeight="1" spans="1:10">
      <c r="A1294" s="330">
        <v>2240506</v>
      </c>
      <c r="B1294" s="379" t="s">
        <v>1171</v>
      </c>
      <c r="C1294" s="602">
        <v>0</v>
      </c>
      <c r="D1294" s="709">
        <v>0</v>
      </c>
      <c r="E1294" s="710">
        <v>0</v>
      </c>
      <c r="F1294" s="710">
        <v>76</v>
      </c>
      <c r="G1294" s="526" t="str">
        <f t="shared" si="81"/>
        <v/>
      </c>
      <c r="H1294" s="470" t="str">
        <f t="shared" si="82"/>
        <v/>
      </c>
      <c r="I1294" s="524" t="str">
        <f t="shared" si="84"/>
        <v>是</v>
      </c>
      <c r="J1294" s="312" t="str">
        <f t="shared" si="83"/>
        <v>项</v>
      </c>
    </row>
    <row r="1295" s="372" customFormat="1" ht="24" customHeight="1" spans="1:10">
      <c r="A1295" s="330">
        <v>2240507</v>
      </c>
      <c r="B1295" s="379" t="s">
        <v>1172</v>
      </c>
      <c r="C1295" s="602">
        <v>68</v>
      </c>
      <c r="D1295" s="709">
        <v>70</v>
      </c>
      <c r="E1295" s="710">
        <v>70</v>
      </c>
      <c r="F1295" s="710">
        <v>90</v>
      </c>
      <c r="G1295" s="526">
        <f t="shared" si="81"/>
        <v>0.323529411764706</v>
      </c>
      <c r="H1295" s="470">
        <f t="shared" si="82"/>
        <v>1.28571428571429</v>
      </c>
      <c r="I1295" s="524" t="str">
        <f t="shared" si="84"/>
        <v>是</v>
      </c>
      <c r="J1295" s="312" t="str">
        <f t="shared" si="83"/>
        <v>项</v>
      </c>
    </row>
    <row r="1296" s="372" customFormat="1" ht="24" hidden="1" customHeight="1" spans="1:10">
      <c r="A1296" s="330">
        <v>2240508</v>
      </c>
      <c r="B1296" s="379" t="s">
        <v>1173</v>
      </c>
      <c r="C1296" s="602">
        <v>0</v>
      </c>
      <c r="D1296" s="709">
        <v>0</v>
      </c>
      <c r="E1296" s="710">
        <v>0</v>
      </c>
      <c r="F1296" s="710">
        <v>0</v>
      </c>
      <c r="G1296" s="526" t="str">
        <f t="shared" si="81"/>
        <v/>
      </c>
      <c r="H1296" s="470" t="str">
        <f t="shared" si="82"/>
        <v/>
      </c>
      <c r="I1296" s="524" t="str">
        <f t="shared" si="84"/>
        <v>否</v>
      </c>
      <c r="J1296" s="312" t="str">
        <f t="shared" si="83"/>
        <v>项</v>
      </c>
    </row>
    <row r="1297" ht="24" hidden="1" customHeight="1" spans="1:10">
      <c r="A1297" s="330">
        <v>2240509</v>
      </c>
      <c r="B1297" s="379" t="s">
        <v>1174</v>
      </c>
      <c r="C1297" s="602">
        <v>0</v>
      </c>
      <c r="D1297" s="709">
        <v>0</v>
      </c>
      <c r="E1297" s="710">
        <v>0</v>
      </c>
      <c r="F1297" s="710">
        <v>0</v>
      </c>
      <c r="G1297" s="526" t="str">
        <f t="shared" si="81"/>
        <v/>
      </c>
      <c r="H1297" s="470" t="str">
        <f t="shared" si="82"/>
        <v/>
      </c>
      <c r="I1297" s="524" t="str">
        <f t="shared" si="84"/>
        <v>否</v>
      </c>
      <c r="J1297" s="312" t="str">
        <f t="shared" si="83"/>
        <v>项</v>
      </c>
    </row>
    <row r="1298" s="372" customFormat="1" ht="24" hidden="1" customHeight="1" spans="1:10">
      <c r="A1298" s="330">
        <v>2240510</v>
      </c>
      <c r="B1298" s="379" t="s">
        <v>1175</v>
      </c>
      <c r="C1298" s="602">
        <v>0</v>
      </c>
      <c r="D1298" s="709">
        <v>0</v>
      </c>
      <c r="E1298" s="710">
        <v>0</v>
      </c>
      <c r="F1298" s="710">
        <v>0</v>
      </c>
      <c r="G1298" s="526" t="str">
        <f t="shared" si="81"/>
        <v/>
      </c>
      <c r="H1298" s="470" t="str">
        <f t="shared" si="82"/>
        <v/>
      </c>
      <c r="I1298" s="524" t="str">
        <f t="shared" si="84"/>
        <v>否</v>
      </c>
      <c r="J1298" s="312" t="str">
        <f t="shared" si="83"/>
        <v>项</v>
      </c>
    </row>
    <row r="1299" s="372" customFormat="1" ht="24" customHeight="1" spans="1:10">
      <c r="A1299" s="330">
        <v>2240550</v>
      </c>
      <c r="B1299" s="379" t="s">
        <v>1176</v>
      </c>
      <c r="C1299" s="602">
        <v>128</v>
      </c>
      <c r="D1299" s="709">
        <v>130</v>
      </c>
      <c r="E1299" s="710">
        <v>130</v>
      </c>
      <c r="F1299" s="710">
        <v>130</v>
      </c>
      <c r="G1299" s="526">
        <f t="shared" si="81"/>
        <v>0.015625</v>
      </c>
      <c r="H1299" s="470">
        <f t="shared" si="82"/>
        <v>1</v>
      </c>
      <c r="I1299" s="524" t="str">
        <f t="shared" si="84"/>
        <v>是</v>
      </c>
      <c r="J1299" s="312" t="str">
        <f t="shared" si="83"/>
        <v>项</v>
      </c>
    </row>
    <row r="1300" s="372" customFormat="1" ht="24" hidden="1" customHeight="1" spans="1:10">
      <c r="A1300" s="330">
        <v>2240599</v>
      </c>
      <c r="B1300" s="379" t="s">
        <v>1177</v>
      </c>
      <c r="C1300" s="602">
        <v>0</v>
      </c>
      <c r="D1300" s="709">
        <v>0</v>
      </c>
      <c r="E1300" s="710">
        <v>0</v>
      </c>
      <c r="F1300" s="710">
        <v>0</v>
      </c>
      <c r="G1300" s="526" t="str">
        <f t="shared" si="81"/>
        <v/>
      </c>
      <c r="H1300" s="470" t="str">
        <f t="shared" si="82"/>
        <v/>
      </c>
      <c r="I1300" s="524" t="str">
        <f t="shared" si="84"/>
        <v>否</v>
      </c>
      <c r="J1300" s="312" t="str">
        <f t="shared" si="83"/>
        <v>项</v>
      </c>
    </row>
    <row r="1301" s="372" customFormat="1" ht="24" customHeight="1" spans="1:10">
      <c r="A1301" s="330">
        <v>22406</v>
      </c>
      <c r="B1301" s="379" t="s">
        <v>1178</v>
      </c>
      <c r="C1301" s="601">
        <v>1833</v>
      </c>
      <c r="D1301" s="708">
        <f>SUM(D1302:D1304)</f>
        <v>1848</v>
      </c>
      <c r="E1301" s="708">
        <f>SUM(E1302:E1304)</f>
        <v>1848</v>
      </c>
      <c r="F1301" s="708">
        <f>SUM(F1302:F1304)</f>
        <v>462</v>
      </c>
      <c r="G1301" s="523">
        <f t="shared" si="81"/>
        <v>-0.747954173486088</v>
      </c>
      <c r="H1301" s="467">
        <f t="shared" si="82"/>
        <v>0.25</v>
      </c>
      <c r="I1301" s="524" t="str">
        <f t="shared" si="84"/>
        <v>是</v>
      </c>
      <c r="J1301" s="312" t="str">
        <f t="shared" si="83"/>
        <v>款</v>
      </c>
    </row>
    <row r="1302" s="372" customFormat="1" ht="24" customHeight="1" spans="1:10">
      <c r="A1302" s="330">
        <v>2240601</v>
      </c>
      <c r="B1302" s="379" t="s">
        <v>1179</v>
      </c>
      <c r="C1302" s="602">
        <v>1682</v>
      </c>
      <c r="D1302" s="709">
        <v>1751</v>
      </c>
      <c r="E1302" s="710">
        <v>1751</v>
      </c>
      <c r="F1302" s="710">
        <v>366</v>
      </c>
      <c r="G1302" s="526">
        <f t="shared" si="81"/>
        <v>-0.782401902497027</v>
      </c>
      <c r="H1302" s="470">
        <f t="shared" si="82"/>
        <v>0.209023415191319</v>
      </c>
      <c r="I1302" s="524" t="str">
        <f t="shared" si="84"/>
        <v>是</v>
      </c>
      <c r="J1302" s="312" t="str">
        <f t="shared" si="83"/>
        <v>项</v>
      </c>
    </row>
    <row r="1303" s="372" customFormat="1" ht="24" customHeight="1" spans="1:10">
      <c r="A1303" s="330">
        <v>2240602</v>
      </c>
      <c r="B1303" s="379" t="s">
        <v>1180</v>
      </c>
      <c r="C1303" s="602">
        <v>96</v>
      </c>
      <c r="D1303" s="709">
        <v>97</v>
      </c>
      <c r="E1303" s="710">
        <v>97</v>
      </c>
      <c r="F1303" s="710">
        <v>81</v>
      </c>
      <c r="G1303" s="526">
        <f t="shared" si="81"/>
        <v>-0.15625</v>
      </c>
      <c r="H1303" s="470">
        <f t="shared" si="82"/>
        <v>0.835051546391753</v>
      </c>
      <c r="I1303" s="524" t="str">
        <f t="shared" si="84"/>
        <v>是</v>
      </c>
      <c r="J1303" s="312" t="str">
        <f t="shared" si="83"/>
        <v>项</v>
      </c>
    </row>
    <row r="1304" s="372" customFormat="1" ht="24" customHeight="1" spans="1:10">
      <c r="A1304" s="330">
        <v>2240699</v>
      </c>
      <c r="B1304" s="379" t="s">
        <v>1181</v>
      </c>
      <c r="C1304" s="602">
        <v>55</v>
      </c>
      <c r="D1304" s="709">
        <v>0</v>
      </c>
      <c r="E1304" s="710">
        <v>0</v>
      </c>
      <c r="F1304" s="710">
        <v>15</v>
      </c>
      <c r="G1304" s="526">
        <f t="shared" si="81"/>
        <v>-0.727272727272727</v>
      </c>
      <c r="H1304" s="470" t="str">
        <f t="shared" si="82"/>
        <v/>
      </c>
      <c r="I1304" s="524" t="str">
        <f t="shared" si="84"/>
        <v>是</v>
      </c>
      <c r="J1304" s="312" t="str">
        <f t="shared" si="83"/>
        <v>项</v>
      </c>
    </row>
    <row r="1305" s="372" customFormat="1" ht="24" customHeight="1" spans="1:10">
      <c r="A1305" s="330">
        <v>22407</v>
      </c>
      <c r="B1305" s="379" t="s">
        <v>1182</v>
      </c>
      <c r="C1305" s="601">
        <v>67</v>
      </c>
      <c r="D1305" s="708">
        <f>SUM(D1306:D1308)</f>
        <v>0</v>
      </c>
      <c r="E1305" s="708">
        <f>SUM(E1306:E1308)</f>
        <v>0</v>
      </c>
      <c r="F1305" s="708">
        <f>SUM(F1306:F1308)</f>
        <v>71</v>
      </c>
      <c r="G1305" s="523">
        <f t="shared" si="81"/>
        <v>0.0597014925373134</v>
      </c>
      <c r="H1305" s="467" t="str">
        <f t="shared" si="82"/>
        <v/>
      </c>
      <c r="I1305" s="524" t="str">
        <f t="shared" si="84"/>
        <v>是</v>
      </c>
      <c r="J1305" s="312" t="str">
        <f t="shared" si="83"/>
        <v>款</v>
      </c>
    </row>
    <row r="1306" s="372" customFormat="1" ht="24" customHeight="1" spans="1:10">
      <c r="A1306" s="330">
        <v>2240703</v>
      </c>
      <c r="B1306" s="379" t="s">
        <v>1183</v>
      </c>
      <c r="C1306" s="602">
        <v>40</v>
      </c>
      <c r="D1306" s="709">
        <v>0</v>
      </c>
      <c r="E1306" s="710">
        <v>0</v>
      </c>
      <c r="F1306" s="710">
        <v>45</v>
      </c>
      <c r="G1306" s="526">
        <f t="shared" si="81"/>
        <v>0.125</v>
      </c>
      <c r="H1306" s="470" t="str">
        <f t="shared" si="82"/>
        <v/>
      </c>
      <c r="I1306" s="524" t="str">
        <f t="shared" si="84"/>
        <v>是</v>
      </c>
      <c r="J1306" s="312" t="str">
        <f t="shared" si="83"/>
        <v>项</v>
      </c>
    </row>
    <row r="1307" s="372" customFormat="1" ht="24" hidden="1" customHeight="1" spans="1:10">
      <c r="A1307" s="330">
        <v>2240704</v>
      </c>
      <c r="B1307" s="379" t="s">
        <v>1184</v>
      </c>
      <c r="C1307" s="602">
        <v>0</v>
      </c>
      <c r="D1307" s="709">
        <v>0</v>
      </c>
      <c r="E1307" s="710">
        <v>0</v>
      </c>
      <c r="F1307" s="710">
        <v>0</v>
      </c>
      <c r="G1307" s="526" t="str">
        <f t="shared" si="81"/>
        <v/>
      </c>
      <c r="H1307" s="470" t="str">
        <f t="shared" si="82"/>
        <v/>
      </c>
      <c r="I1307" s="524" t="str">
        <f t="shared" si="84"/>
        <v>否</v>
      </c>
      <c r="J1307" s="312" t="str">
        <f t="shared" si="83"/>
        <v>项</v>
      </c>
    </row>
    <row r="1308" s="372" customFormat="1" ht="24" customHeight="1" spans="1:10">
      <c r="A1308" s="330">
        <v>2240799</v>
      </c>
      <c r="B1308" s="379" t="s">
        <v>1185</v>
      </c>
      <c r="C1308" s="602">
        <v>27</v>
      </c>
      <c r="D1308" s="709">
        <v>0</v>
      </c>
      <c r="E1308" s="710">
        <v>0</v>
      </c>
      <c r="F1308" s="710">
        <v>26</v>
      </c>
      <c r="G1308" s="526">
        <f t="shared" si="81"/>
        <v>-0.037037037037037</v>
      </c>
      <c r="H1308" s="470" t="str">
        <f t="shared" si="82"/>
        <v/>
      </c>
      <c r="I1308" s="524" t="str">
        <f t="shared" si="84"/>
        <v>是</v>
      </c>
      <c r="J1308" s="312" t="str">
        <f t="shared" si="83"/>
        <v>项</v>
      </c>
    </row>
    <row r="1309" s="372" customFormat="1" ht="24" hidden="1" customHeight="1" spans="1:10">
      <c r="A1309" s="330">
        <v>22499</v>
      </c>
      <c r="B1309" s="379" t="s">
        <v>1186</v>
      </c>
      <c r="C1309" s="601">
        <v>0</v>
      </c>
      <c r="D1309" s="708">
        <f>D1310</f>
        <v>0</v>
      </c>
      <c r="E1309" s="708">
        <f>E1310</f>
        <v>0</v>
      </c>
      <c r="F1309" s="708">
        <f>F1310</f>
        <v>0</v>
      </c>
      <c r="G1309" s="523" t="str">
        <f t="shared" si="81"/>
        <v/>
      </c>
      <c r="H1309" s="467" t="str">
        <f t="shared" si="82"/>
        <v/>
      </c>
      <c r="I1309" s="524" t="str">
        <f t="shared" si="84"/>
        <v>否</v>
      </c>
      <c r="J1309" s="312" t="str">
        <f t="shared" si="83"/>
        <v>款</v>
      </c>
    </row>
    <row r="1310" ht="24" hidden="1" customHeight="1" spans="1:10">
      <c r="A1310" s="356">
        <v>2249999</v>
      </c>
      <c r="B1310" s="379" t="s">
        <v>1187</v>
      </c>
      <c r="C1310" s="602">
        <v>0</v>
      </c>
      <c r="D1310" s="709"/>
      <c r="E1310" s="710">
        <v>0</v>
      </c>
      <c r="F1310" s="710">
        <v>0</v>
      </c>
      <c r="G1310" s="526" t="str">
        <f t="shared" si="81"/>
        <v/>
      </c>
      <c r="H1310" s="470" t="str">
        <f t="shared" si="82"/>
        <v/>
      </c>
      <c r="I1310" s="524" t="str">
        <f t="shared" si="84"/>
        <v>否</v>
      </c>
      <c r="J1310" s="312" t="str">
        <f t="shared" si="83"/>
        <v>项</v>
      </c>
    </row>
    <row r="1311" ht="24" customHeight="1" spans="1:10">
      <c r="A1311" s="329">
        <v>227</v>
      </c>
      <c r="B1311" s="377" t="s">
        <v>196</v>
      </c>
      <c r="C1311" s="601">
        <v>0</v>
      </c>
      <c r="D1311" s="711">
        <v>5800</v>
      </c>
      <c r="E1311" s="711">
        <v>5800</v>
      </c>
      <c r="F1311" s="708">
        <v>0</v>
      </c>
      <c r="G1311" s="523" t="str">
        <f t="shared" si="81"/>
        <v/>
      </c>
      <c r="H1311" s="467">
        <f t="shared" si="82"/>
        <v>0</v>
      </c>
      <c r="I1311" s="524" t="str">
        <f t="shared" si="84"/>
        <v>是</v>
      </c>
      <c r="J1311" s="312" t="str">
        <f t="shared" si="83"/>
        <v>类</v>
      </c>
    </row>
    <row r="1312" s="372" customFormat="1" ht="24" customHeight="1" spans="1:10">
      <c r="A1312" s="329">
        <v>232</v>
      </c>
      <c r="B1312" s="377" t="s">
        <v>197</v>
      </c>
      <c r="C1312" s="601">
        <v>20273</v>
      </c>
      <c r="D1312" s="708">
        <f>D1313</f>
        <v>19358</v>
      </c>
      <c r="E1312" s="708">
        <f>E1313</f>
        <v>19358</v>
      </c>
      <c r="F1312" s="708">
        <f>F1313</f>
        <v>19596</v>
      </c>
      <c r="G1312" s="523">
        <f t="shared" si="81"/>
        <v>-0.0333941695851625</v>
      </c>
      <c r="H1312" s="467">
        <f t="shared" si="82"/>
        <v>1.01229465853911</v>
      </c>
      <c r="I1312" s="524" t="str">
        <f t="shared" si="84"/>
        <v>是</v>
      </c>
      <c r="J1312" s="312" t="str">
        <f t="shared" si="83"/>
        <v>类</v>
      </c>
    </row>
    <row r="1313" s="372" customFormat="1" ht="24" customHeight="1" spans="1:10">
      <c r="A1313" s="330">
        <v>23203</v>
      </c>
      <c r="B1313" s="379" t="s">
        <v>1188</v>
      </c>
      <c r="C1313" s="601">
        <v>20273</v>
      </c>
      <c r="D1313" s="708">
        <f>SUM(D1314:D1317)</f>
        <v>19358</v>
      </c>
      <c r="E1313" s="708">
        <f>SUM(E1314:E1317)</f>
        <v>19358</v>
      </c>
      <c r="F1313" s="708">
        <f>SUM(F1314:F1317)</f>
        <v>19596</v>
      </c>
      <c r="G1313" s="523">
        <f t="shared" si="81"/>
        <v>-0.0333941695851625</v>
      </c>
      <c r="H1313" s="467">
        <f t="shared" si="82"/>
        <v>1.01229465853911</v>
      </c>
      <c r="I1313" s="524" t="str">
        <f t="shared" si="84"/>
        <v>是</v>
      </c>
      <c r="J1313" s="312" t="str">
        <f t="shared" si="83"/>
        <v>款</v>
      </c>
    </row>
    <row r="1314" s="372" customFormat="1" ht="24" customHeight="1" spans="1:10">
      <c r="A1314" s="330">
        <v>2320301</v>
      </c>
      <c r="B1314" s="379" t="s">
        <v>1189</v>
      </c>
      <c r="C1314" s="602">
        <v>20272</v>
      </c>
      <c r="D1314" s="709">
        <v>19358</v>
      </c>
      <c r="E1314" s="710">
        <v>19358</v>
      </c>
      <c r="F1314" s="710">
        <v>19595</v>
      </c>
      <c r="G1314" s="526">
        <f t="shared" si="81"/>
        <v>-0.033395816890292</v>
      </c>
      <c r="H1314" s="470">
        <f t="shared" si="82"/>
        <v>1.01224300030995</v>
      </c>
      <c r="I1314" s="524" t="str">
        <f t="shared" si="84"/>
        <v>是</v>
      </c>
      <c r="J1314" s="312" t="str">
        <f t="shared" si="83"/>
        <v>项</v>
      </c>
    </row>
    <row r="1315" s="372" customFormat="1" ht="24" customHeight="1" spans="1:10">
      <c r="A1315" s="330">
        <v>2320302</v>
      </c>
      <c r="B1315" s="379" t="s">
        <v>1190</v>
      </c>
      <c r="C1315" s="602">
        <v>1</v>
      </c>
      <c r="D1315" s="709"/>
      <c r="E1315" s="710">
        <v>0</v>
      </c>
      <c r="F1315" s="710">
        <v>1</v>
      </c>
      <c r="G1315" s="526">
        <f t="shared" si="81"/>
        <v>0</v>
      </c>
      <c r="H1315" s="470" t="str">
        <f t="shared" si="82"/>
        <v/>
      </c>
      <c r="I1315" s="524" t="str">
        <f t="shared" si="84"/>
        <v>是</v>
      </c>
      <c r="J1315" s="312" t="str">
        <f t="shared" si="83"/>
        <v>项</v>
      </c>
    </row>
    <row r="1316" s="372" customFormat="1" ht="24" hidden="1" customHeight="1" spans="1:10">
      <c r="A1316" s="330">
        <v>2320303</v>
      </c>
      <c r="B1316" s="379" t="s">
        <v>1191</v>
      </c>
      <c r="C1316" s="601">
        <v>0</v>
      </c>
      <c r="D1316" s="709"/>
      <c r="E1316" s="710">
        <v>0</v>
      </c>
      <c r="F1316" s="710">
        <v>0</v>
      </c>
      <c r="G1316" s="526" t="str">
        <f t="shared" si="81"/>
        <v/>
      </c>
      <c r="H1316" s="470" t="str">
        <f t="shared" si="82"/>
        <v/>
      </c>
      <c r="I1316" s="524" t="str">
        <f t="shared" si="84"/>
        <v>否</v>
      </c>
      <c r="J1316" s="312" t="str">
        <f t="shared" si="83"/>
        <v>项</v>
      </c>
    </row>
    <row r="1317" s="372" customFormat="1" ht="24" hidden="1" customHeight="1" spans="1:10">
      <c r="A1317" s="326">
        <v>2320399</v>
      </c>
      <c r="B1317" s="379" t="s">
        <v>1192</v>
      </c>
      <c r="C1317" s="601">
        <v>0</v>
      </c>
      <c r="D1317" s="709"/>
      <c r="E1317" s="710">
        <v>0</v>
      </c>
      <c r="F1317" s="710">
        <v>0</v>
      </c>
      <c r="G1317" s="526" t="str">
        <f t="shared" si="81"/>
        <v/>
      </c>
      <c r="H1317" s="470" t="str">
        <f t="shared" si="82"/>
        <v/>
      </c>
      <c r="I1317" s="524" t="str">
        <f t="shared" si="84"/>
        <v>否</v>
      </c>
      <c r="J1317" s="312" t="str">
        <f t="shared" si="83"/>
        <v>项</v>
      </c>
    </row>
    <row r="1318" s="372" customFormat="1" ht="24" customHeight="1" spans="1:10">
      <c r="A1318" s="411" t="s">
        <v>1224</v>
      </c>
      <c r="B1318" s="377" t="s">
        <v>198</v>
      </c>
      <c r="C1318" s="601">
        <v>90</v>
      </c>
      <c r="D1318" s="708">
        <f>D1319</f>
        <v>100</v>
      </c>
      <c r="E1318" s="708">
        <f>E1319</f>
        <v>100</v>
      </c>
      <c r="F1318" s="708">
        <f>F1319</f>
        <v>138</v>
      </c>
      <c r="G1318" s="523">
        <f t="shared" si="81"/>
        <v>0.533333333333333</v>
      </c>
      <c r="H1318" s="467">
        <f t="shared" si="82"/>
        <v>1.38</v>
      </c>
      <c r="I1318" s="524" t="str">
        <f t="shared" si="84"/>
        <v>是</v>
      </c>
      <c r="J1318" s="312" t="str">
        <f t="shared" si="83"/>
        <v>类</v>
      </c>
    </row>
    <row r="1319" s="372" customFormat="1" ht="24" customHeight="1" spans="1:10">
      <c r="A1319" s="330">
        <v>23303</v>
      </c>
      <c r="B1319" s="379" t="s">
        <v>1193</v>
      </c>
      <c r="C1319" s="602">
        <v>90</v>
      </c>
      <c r="D1319" s="709">
        <v>100</v>
      </c>
      <c r="E1319" s="709">
        <v>100</v>
      </c>
      <c r="F1319" s="710">
        <v>138</v>
      </c>
      <c r="G1319" s="526">
        <f t="shared" si="81"/>
        <v>0.533333333333333</v>
      </c>
      <c r="H1319" s="470">
        <f t="shared" si="82"/>
        <v>1.38</v>
      </c>
      <c r="I1319" s="524" t="str">
        <f t="shared" si="84"/>
        <v>是</v>
      </c>
      <c r="J1319" s="312" t="str">
        <f t="shared" si="83"/>
        <v>款</v>
      </c>
    </row>
    <row r="1320" s="372" customFormat="1" ht="24" customHeight="1" spans="1:10">
      <c r="A1320" s="411" t="s">
        <v>1225</v>
      </c>
      <c r="B1320" s="377" t="s">
        <v>199</v>
      </c>
      <c r="C1320" s="601">
        <v>0</v>
      </c>
      <c r="D1320" s="708">
        <f>D1321+D1322</f>
        <v>0</v>
      </c>
      <c r="E1320" s="708">
        <f>E1321+E1322</f>
        <v>0</v>
      </c>
      <c r="F1320" s="708">
        <f>F1321+F1322</f>
        <v>12</v>
      </c>
      <c r="G1320" s="523" t="str">
        <f t="shared" si="81"/>
        <v/>
      </c>
      <c r="H1320" s="467" t="str">
        <f t="shared" si="82"/>
        <v/>
      </c>
      <c r="I1320" s="524" t="str">
        <f t="shared" si="84"/>
        <v>是</v>
      </c>
      <c r="J1320" s="312" t="str">
        <f t="shared" si="83"/>
        <v>类</v>
      </c>
    </row>
    <row r="1321" s="372" customFormat="1" ht="24" hidden="1" customHeight="1" spans="1:10">
      <c r="A1321" s="339" t="s">
        <v>1235</v>
      </c>
      <c r="B1321" s="379" t="s">
        <v>1194</v>
      </c>
      <c r="C1321" s="601">
        <v>0</v>
      </c>
      <c r="D1321" s="711"/>
      <c r="E1321" s="710">
        <v>0</v>
      </c>
      <c r="F1321" s="710">
        <v>0</v>
      </c>
      <c r="G1321" s="526" t="str">
        <f t="shared" si="81"/>
        <v/>
      </c>
      <c r="H1321" s="470" t="str">
        <f t="shared" si="82"/>
        <v/>
      </c>
      <c r="I1321" s="524" t="str">
        <f t="shared" si="84"/>
        <v>否</v>
      </c>
      <c r="J1321" s="312"/>
    </row>
    <row r="1322" s="372" customFormat="1" ht="24" customHeight="1" spans="1:10">
      <c r="A1322" s="339" t="s">
        <v>1236</v>
      </c>
      <c r="B1322" s="379" t="s">
        <v>1055</v>
      </c>
      <c r="C1322" s="601">
        <v>0</v>
      </c>
      <c r="D1322" s="711"/>
      <c r="E1322" s="710">
        <v>0</v>
      </c>
      <c r="F1322" s="710">
        <v>12</v>
      </c>
      <c r="G1322" s="526" t="str">
        <f t="shared" si="81"/>
        <v/>
      </c>
      <c r="H1322" s="470" t="str">
        <f t="shared" si="82"/>
        <v/>
      </c>
      <c r="I1322" s="524" t="str">
        <f t="shared" si="84"/>
        <v>是</v>
      </c>
      <c r="J1322" s="312"/>
    </row>
    <row r="1323" ht="24" customHeight="1" spans="1:9">
      <c r="A1323" s="411"/>
      <c r="B1323" s="377"/>
      <c r="C1323" s="601"/>
      <c r="D1323" s="711"/>
      <c r="E1323" s="708"/>
      <c r="F1323" s="711"/>
      <c r="G1323" s="526" t="str">
        <f t="shared" si="81"/>
        <v/>
      </c>
      <c r="H1323" s="470" t="str">
        <f t="shared" si="82"/>
        <v/>
      </c>
      <c r="I1323" s="524" t="str">
        <f t="shared" si="84"/>
        <v>是</v>
      </c>
    </row>
    <row r="1324" s="372" customFormat="1" ht="24" customHeight="1" spans="1:10">
      <c r="A1324" s="548"/>
      <c r="B1324" s="549" t="s">
        <v>1195</v>
      </c>
      <c r="C1324" s="601">
        <f>C5+C253+C293+C312+C402+C454+C510+C566+C695+C778+C850+C873+C976+C1028+C1092+C1112+C1142+C1152+C1197+C1216+C1261+C1311+C1312+C1318+C1320</f>
        <v>564006</v>
      </c>
      <c r="D1324" s="708">
        <f>D5+D253+D293+D312+D402+D454+D510+D566+D695+D778+D850+D873+D976+D1028+D1092+D1112+D1142+D1152+D1197+D1216+D1261+D1311+D1312+D1318+D1320</f>
        <v>572466</v>
      </c>
      <c r="E1324" s="708">
        <f>E5+E253+E293+E312+E402+E454+E510+E566+E695+E778+E850+E873+E976+E1028+E1092+E1112+E1142+E1152+E1197+E1216+E1261+E1311+E1312+E1318+E1320</f>
        <v>573818</v>
      </c>
      <c r="F1324" s="708">
        <f>F5+F253+F293+F312+F402+F454+F510+F566+F695+F778+F850+F873+F976+F1028+F1092+F1112+F1142+F1152+F1197+F1216+F1261+F1311+F1312+F1318+F1320</f>
        <v>499910</v>
      </c>
      <c r="G1324" s="523">
        <f t="shared" si="81"/>
        <v>-0.113644181090272</v>
      </c>
      <c r="H1324" s="467">
        <f t="shared" si="82"/>
        <v>0.873257101731806</v>
      </c>
      <c r="I1324" s="524" t="str">
        <f t="shared" si="84"/>
        <v>是</v>
      </c>
      <c r="J1324" s="312"/>
    </row>
    <row r="1325" s="372" customFormat="1" ht="24" customHeight="1" spans="1:10">
      <c r="A1325" s="312"/>
      <c r="B1325" s="312"/>
      <c r="C1325" s="417"/>
      <c r="D1325" s="369"/>
      <c r="E1325" s="369"/>
      <c r="F1325" s="369"/>
      <c r="G1325" s="508"/>
      <c r="H1325" s="312"/>
      <c r="I1325" s="312"/>
      <c r="J1325" s="312"/>
    </row>
    <row r="1326" s="372" customFormat="1" ht="24" customHeight="1" spans="1:10">
      <c r="A1326" s="312"/>
      <c r="B1326" s="312"/>
      <c r="C1326" s="417"/>
      <c r="D1326" s="369"/>
      <c r="E1326" s="369"/>
      <c r="F1326" s="369"/>
      <c r="G1326" s="508"/>
      <c r="H1326" s="312"/>
      <c r="I1326" s="312"/>
      <c r="J1326" s="312"/>
    </row>
    <row r="1327" s="372" customFormat="1" ht="24" customHeight="1" spans="1:10">
      <c r="A1327" s="312"/>
      <c r="B1327" s="312"/>
      <c r="C1327" s="417"/>
      <c r="D1327" s="369"/>
      <c r="E1327" s="369"/>
      <c r="F1327" s="369"/>
      <c r="G1327" s="508"/>
      <c r="H1327" s="312"/>
      <c r="I1327" s="312"/>
      <c r="J1327" s="312"/>
    </row>
    <row r="1328" s="372" customFormat="1" ht="24" customHeight="1" spans="1:10">
      <c r="A1328" s="312"/>
      <c r="B1328" s="312"/>
      <c r="C1328" s="417"/>
      <c r="D1328" s="369"/>
      <c r="E1328" s="369"/>
      <c r="F1328" s="369"/>
      <c r="G1328" s="508"/>
      <c r="H1328" s="312"/>
      <c r="I1328" s="312"/>
      <c r="J1328" s="312"/>
    </row>
    <row r="1329" ht="24" customHeight="1"/>
    <row r="1330" s="372" customFormat="1" ht="24" customHeight="1" spans="1:10">
      <c r="A1330" s="312"/>
      <c r="B1330" s="312"/>
      <c r="C1330" s="417"/>
      <c r="D1330" s="369"/>
      <c r="E1330" s="369"/>
      <c r="F1330" s="369"/>
      <c r="G1330" s="508"/>
      <c r="H1330" s="312"/>
      <c r="I1330" s="312"/>
      <c r="J1330" s="312"/>
    </row>
    <row r="1331" s="372" customFormat="1" ht="24" customHeight="1" spans="1:10">
      <c r="A1331" s="312"/>
      <c r="B1331" s="312"/>
      <c r="C1331" s="417"/>
      <c r="D1331" s="369"/>
      <c r="E1331" s="369"/>
      <c r="F1331" s="369"/>
      <c r="G1331" s="508"/>
      <c r="H1331" s="312"/>
      <c r="I1331" s="312"/>
      <c r="J1331" s="312"/>
    </row>
    <row r="1332" s="372" customFormat="1" ht="24" customHeight="1" spans="1:10">
      <c r="A1332" s="312"/>
      <c r="B1332" s="312"/>
      <c r="C1332" s="417"/>
      <c r="D1332" s="369"/>
      <c r="E1332" s="369"/>
      <c r="F1332" s="369"/>
      <c r="G1332" s="508"/>
      <c r="H1332" s="312"/>
      <c r="I1332" s="312"/>
      <c r="J1332" s="312"/>
    </row>
    <row r="1333" s="372" customFormat="1" ht="24" customHeight="1" spans="1:10">
      <c r="A1333" s="312"/>
      <c r="B1333" s="312"/>
      <c r="C1333" s="417"/>
      <c r="D1333" s="369"/>
      <c r="E1333" s="369"/>
      <c r="F1333" s="369"/>
      <c r="G1333" s="508"/>
      <c r="H1333" s="312"/>
      <c r="I1333" s="312"/>
      <c r="J1333" s="312"/>
    </row>
    <row r="1334" s="372" customFormat="1" ht="24" customHeight="1" spans="1:10">
      <c r="A1334" s="312"/>
      <c r="B1334" s="312"/>
      <c r="C1334" s="417"/>
      <c r="D1334" s="369"/>
      <c r="E1334" s="369"/>
      <c r="F1334" s="369"/>
      <c r="G1334" s="508"/>
      <c r="H1334" s="312"/>
      <c r="I1334" s="312"/>
      <c r="J1334" s="312"/>
    </row>
    <row r="1335" ht="24" customHeight="1"/>
    <row r="1336" s="372" customFormat="1" ht="24" customHeight="1" spans="1:10">
      <c r="A1336" s="312"/>
      <c r="B1336" s="312"/>
      <c r="C1336" s="417"/>
      <c r="D1336" s="369"/>
      <c r="E1336" s="369"/>
      <c r="F1336" s="369"/>
      <c r="G1336" s="508"/>
      <c r="H1336" s="312"/>
      <c r="I1336" s="312"/>
      <c r="J1336" s="312"/>
    </row>
    <row r="1337" s="372" customFormat="1" ht="24" customHeight="1" spans="1:10">
      <c r="A1337" s="312"/>
      <c r="B1337" s="312"/>
      <c r="C1337" s="417"/>
      <c r="D1337" s="369"/>
      <c r="E1337" s="369"/>
      <c r="F1337" s="369"/>
      <c r="G1337" s="508"/>
      <c r="H1337" s="312"/>
      <c r="I1337" s="312"/>
      <c r="J1337" s="312"/>
    </row>
    <row r="1338" s="372" customFormat="1" ht="24" customHeight="1" spans="1:10">
      <c r="A1338" s="312"/>
      <c r="B1338" s="312"/>
      <c r="C1338" s="417"/>
      <c r="D1338" s="369"/>
      <c r="E1338" s="369"/>
      <c r="F1338" s="369"/>
      <c r="G1338" s="508"/>
      <c r="H1338" s="312"/>
      <c r="I1338" s="312"/>
      <c r="J1338" s="312"/>
    </row>
    <row r="1339" s="372" customFormat="1" ht="24" customHeight="1" spans="1:10">
      <c r="A1339" s="312"/>
      <c r="B1339" s="312"/>
      <c r="C1339" s="417"/>
      <c r="D1339" s="369"/>
      <c r="E1339" s="369"/>
      <c r="F1339" s="369"/>
      <c r="G1339" s="508"/>
      <c r="H1339" s="312"/>
      <c r="I1339" s="312"/>
      <c r="J1339" s="312"/>
    </row>
    <row r="1340" s="372" customFormat="1" ht="24" customHeight="1" spans="1:10">
      <c r="A1340" s="312"/>
      <c r="B1340" s="312"/>
      <c r="C1340" s="417"/>
      <c r="D1340" s="369"/>
      <c r="E1340" s="369"/>
      <c r="F1340" s="369"/>
      <c r="G1340" s="508"/>
      <c r="H1340" s="312"/>
      <c r="I1340" s="312"/>
      <c r="J1340" s="312"/>
    </row>
    <row r="1341" s="372" customFormat="1" ht="24" customHeight="1" spans="1:10">
      <c r="A1341" s="312"/>
      <c r="B1341" s="312"/>
      <c r="C1341" s="417"/>
      <c r="D1341" s="369"/>
      <c r="E1341" s="369"/>
      <c r="F1341" s="369"/>
      <c r="G1341" s="508"/>
      <c r="H1341" s="312"/>
      <c r="I1341" s="312"/>
      <c r="J1341" s="312"/>
    </row>
    <row r="1342" s="372" customFormat="1" ht="24" customHeight="1" spans="1:10">
      <c r="A1342" s="312"/>
      <c r="B1342" s="312"/>
      <c r="C1342" s="417"/>
      <c r="D1342" s="369"/>
      <c r="E1342" s="369"/>
      <c r="F1342" s="369"/>
      <c r="G1342" s="508"/>
      <c r="H1342" s="312"/>
      <c r="I1342" s="312"/>
      <c r="J1342" s="312"/>
    </row>
    <row r="1343" ht="24" customHeight="1"/>
    <row r="1344" s="372" customFormat="1" ht="24" customHeight="1" spans="1:10">
      <c r="A1344" s="312"/>
      <c r="B1344" s="312"/>
      <c r="C1344" s="417"/>
      <c r="D1344" s="369"/>
      <c r="E1344" s="369"/>
      <c r="F1344" s="369"/>
      <c r="G1344" s="508"/>
      <c r="H1344" s="312"/>
      <c r="I1344" s="312"/>
      <c r="J1344" s="312"/>
    </row>
    <row r="1345" s="372" customFormat="1" ht="24" customHeight="1" spans="1:10">
      <c r="A1345" s="312"/>
      <c r="B1345" s="312"/>
      <c r="C1345" s="417"/>
      <c r="D1345" s="369"/>
      <c r="E1345" s="369"/>
      <c r="F1345" s="369"/>
      <c r="G1345" s="508"/>
      <c r="H1345" s="312"/>
      <c r="I1345" s="312"/>
      <c r="J1345" s="312"/>
    </row>
    <row r="1346" s="372" customFormat="1" ht="24" customHeight="1" spans="1:10">
      <c r="A1346" s="312"/>
      <c r="B1346" s="312"/>
      <c r="C1346" s="417"/>
      <c r="D1346" s="369"/>
      <c r="E1346" s="369"/>
      <c r="F1346" s="369"/>
      <c r="G1346" s="508"/>
      <c r="H1346" s="312"/>
      <c r="I1346" s="312"/>
      <c r="J1346" s="312"/>
    </row>
    <row r="1347" s="372" customFormat="1" ht="24" customHeight="1" spans="1:10">
      <c r="A1347" s="312"/>
      <c r="B1347" s="312"/>
      <c r="C1347" s="417"/>
      <c r="D1347" s="369"/>
      <c r="E1347" s="369"/>
      <c r="F1347" s="369"/>
      <c r="G1347" s="508"/>
      <c r="H1347" s="312"/>
      <c r="I1347" s="312"/>
      <c r="J1347" s="312"/>
    </row>
    <row r="1348" s="372" customFormat="1" ht="24" customHeight="1" spans="1:10">
      <c r="A1348" s="312"/>
      <c r="B1348" s="312"/>
      <c r="C1348" s="417"/>
      <c r="D1348" s="369"/>
      <c r="E1348" s="369"/>
      <c r="F1348" s="369"/>
      <c r="G1348" s="508"/>
      <c r="H1348" s="312"/>
      <c r="I1348" s="312"/>
      <c r="J1348" s="312"/>
    </row>
    <row r="1349" s="372" customFormat="1" ht="24" customHeight="1" spans="1:10">
      <c r="A1349" s="312"/>
      <c r="B1349" s="312"/>
      <c r="C1349" s="417"/>
      <c r="D1349" s="369"/>
      <c r="E1349" s="369"/>
      <c r="F1349" s="369"/>
      <c r="G1349" s="508"/>
      <c r="H1349" s="312"/>
      <c r="I1349" s="312"/>
      <c r="J1349" s="312"/>
    </row>
    <row r="1350" s="372" customFormat="1" ht="24" customHeight="1" spans="1:10">
      <c r="A1350" s="312"/>
      <c r="B1350" s="312"/>
      <c r="C1350" s="417"/>
      <c r="D1350" s="369"/>
      <c r="E1350" s="369"/>
      <c r="F1350" s="369"/>
      <c r="G1350" s="508"/>
      <c r="H1350" s="312"/>
      <c r="I1350" s="312"/>
      <c r="J1350" s="312"/>
    </row>
    <row r="1351" s="372" customFormat="1" ht="24" customHeight="1" spans="1:10">
      <c r="A1351" s="312"/>
      <c r="B1351" s="312"/>
      <c r="C1351" s="417"/>
      <c r="D1351" s="369"/>
      <c r="E1351" s="369"/>
      <c r="F1351" s="369"/>
      <c r="G1351" s="508"/>
      <c r="H1351" s="312"/>
      <c r="I1351" s="312"/>
      <c r="J1351" s="312"/>
    </row>
    <row r="1352" s="372" customFormat="1" ht="24" customHeight="1" spans="1:10">
      <c r="A1352" s="312"/>
      <c r="B1352" s="312"/>
      <c r="C1352" s="417"/>
      <c r="D1352" s="369"/>
      <c r="E1352" s="369"/>
      <c r="F1352" s="369"/>
      <c r="G1352" s="508"/>
      <c r="H1352" s="312"/>
      <c r="I1352" s="312"/>
      <c r="J1352" s="312"/>
    </row>
    <row r="1353" s="372" customFormat="1" ht="24" customHeight="1" spans="1:10">
      <c r="A1353" s="312"/>
      <c r="B1353" s="312"/>
      <c r="C1353" s="417"/>
      <c r="D1353" s="369"/>
      <c r="E1353" s="369"/>
      <c r="F1353" s="369"/>
      <c r="G1353" s="508"/>
      <c r="H1353" s="312"/>
      <c r="I1353" s="312"/>
      <c r="J1353" s="312"/>
    </row>
    <row r="1354" s="372" customFormat="1" ht="24" customHeight="1" spans="1:10">
      <c r="A1354" s="312"/>
      <c r="B1354" s="312"/>
      <c r="C1354" s="417"/>
      <c r="D1354" s="369"/>
      <c r="E1354" s="369"/>
      <c r="F1354" s="369"/>
      <c r="G1354" s="508"/>
      <c r="H1354" s="312"/>
      <c r="I1354" s="312"/>
      <c r="J1354" s="312"/>
    </row>
    <row r="1355" s="372" customFormat="1" ht="24" customHeight="1" spans="1:10">
      <c r="A1355" s="312"/>
      <c r="B1355" s="312"/>
      <c r="C1355" s="417"/>
      <c r="D1355" s="369"/>
      <c r="E1355" s="369"/>
      <c r="F1355" s="369"/>
      <c r="G1355" s="508"/>
      <c r="H1355" s="312"/>
      <c r="I1355" s="312"/>
      <c r="J1355" s="312"/>
    </row>
    <row r="1356" ht="24" customHeight="1"/>
    <row r="1357" s="372" customFormat="1" ht="24" customHeight="1" spans="1:10">
      <c r="A1357" s="312"/>
      <c r="B1357" s="312"/>
      <c r="C1357" s="417"/>
      <c r="D1357" s="369"/>
      <c r="E1357" s="369"/>
      <c r="F1357" s="369"/>
      <c r="G1357" s="508"/>
      <c r="H1357" s="312"/>
      <c r="I1357" s="312"/>
      <c r="J1357" s="312"/>
    </row>
    <row r="1358" s="372" customFormat="1" ht="24" customHeight="1" spans="1:10">
      <c r="A1358" s="312"/>
      <c r="B1358" s="312"/>
      <c r="C1358" s="417"/>
      <c r="D1358" s="369"/>
      <c r="E1358" s="369"/>
      <c r="F1358" s="369"/>
      <c r="G1358" s="508"/>
      <c r="H1358" s="312"/>
      <c r="I1358" s="312"/>
      <c r="J1358" s="312"/>
    </row>
    <row r="1359" s="372" customFormat="1" ht="24" customHeight="1" spans="1:10">
      <c r="A1359" s="312"/>
      <c r="B1359" s="312"/>
      <c r="C1359" s="417"/>
      <c r="D1359" s="369"/>
      <c r="E1359" s="369"/>
      <c r="F1359" s="369"/>
      <c r="G1359" s="508"/>
      <c r="H1359" s="312"/>
      <c r="I1359" s="312"/>
      <c r="J1359" s="312"/>
    </row>
    <row r="1360" ht="24" customHeight="1"/>
    <row r="1361" s="372" customFormat="1" ht="24" customHeight="1" spans="1:10">
      <c r="A1361" s="312"/>
      <c r="B1361" s="312"/>
      <c r="C1361" s="417"/>
      <c r="D1361" s="369"/>
      <c r="E1361" s="369"/>
      <c r="F1361" s="369"/>
      <c r="G1361" s="508"/>
      <c r="H1361" s="312"/>
      <c r="I1361" s="312"/>
      <c r="J1361" s="312"/>
    </row>
    <row r="1362" s="372" customFormat="1" ht="24" customHeight="1" spans="1:10">
      <c r="A1362" s="312"/>
      <c r="B1362" s="312"/>
      <c r="C1362" s="417"/>
      <c r="D1362" s="369"/>
      <c r="E1362" s="369"/>
      <c r="F1362" s="369"/>
      <c r="G1362" s="508"/>
      <c r="H1362" s="312"/>
      <c r="I1362" s="312"/>
      <c r="J1362" s="312"/>
    </row>
    <row r="1363" s="372" customFormat="1" ht="24" customHeight="1" spans="1:10">
      <c r="A1363" s="312"/>
      <c r="B1363" s="312"/>
      <c r="C1363" s="417"/>
      <c r="D1363" s="369"/>
      <c r="E1363" s="369"/>
      <c r="F1363" s="369"/>
      <c r="G1363" s="508"/>
      <c r="H1363" s="312"/>
      <c r="I1363" s="312"/>
      <c r="J1363" s="312"/>
    </row>
    <row r="1364" s="372" customFormat="1" ht="24" customHeight="1" spans="1:10">
      <c r="A1364" s="312"/>
      <c r="B1364" s="312"/>
      <c r="C1364" s="417"/>
      <c r="D1364" s="369"/>
      <c r="E1364" s="369"/>
      <c r="F1364" s="369"/>
      <c r="G1364" s="508"/>
      <c r="H1364" s="312"/>
      <c r="I1364" s="312"/>
      <c r="J1364" s="312"/>
    </row>
    <row r="1365" s="372" customFormat="1" ht="24" customHeight="1" spans="1:10">
      <c r="A1365" s="312"/>
      <c r="B1365" s="312"/>
      <c r="C1365" s="417"/>
      <c r="D1365" s="369"/>
      <c r="E1365" s="369"/>
      <c r="F1365" s="369"/>
      <c r="G1365" s="508"/>
      <c r="H1365" s="312"/>
      <c r="I1365" s="312"/>
      <c r="J1365" s="312"/>
    </row>
    <row r="1366" ht="24" customHeight="1"/>
    <row r="1367" s="372" customFormat="1" ht="24" customHeight="1" spans="1:10">
      <c r="A1367" s="312"/>
      <c r="B1367" s="312"/>
      <c r="C1367" s="417"/>
      <c r="D1367" s="369"/>
      <c r="E1367" s="369"/>
      <c r="F1367" s="369"/>
      <c r="G1367" s="508"/>
      <c r="H1367" s="312"/>
      <c r="I1367" s="312"/>
      <c r="J1367" s="312"/>
    </row>
    <row r="1368" ht="24" customHeight="1"/>
    <row r="1369" ht="24" customHeight="1"/>
    <row r="1370" ht="24" customHeight="1"/>
    <row r="1371" s="372" customFormat="1" ht="24" customHeight="1" spans="1:10">
      <c r="A1371" s="312"/>
      <c r="B1371" s="312"/>
      <c r="C1371" s="417"/>
      <c r="D1371" s="369"/>
      <c r="E1371" s="369"/>
      <c r="F1371" s="369"/>
      <c r="G1371" s="508"/>
      <c r="H1371" s="312"/>
      <c r="I1371" s="312"/>
      <c r="J1371" s="312"/>
    </row>
    <row r="1372" s="372" customFormat="1" ht="24" customHeight="1" spans="1:10">
      <c r="A1372" s="312"/>
      <c r="B1372" s="312"/>
      <c r="C1372" s="417"/>
      <c r="D1372" s="369"/>
      <c r="E1372" s="369"/>
      <c r="F1372" s="369"/>
      <c r="G1372" s="508"/>
      <c r="H1372" s="312"/>
      <c r="I1372" s="312"/>
      <c r="J1372" s="312"/>
    </row>
    <row r="1373" s="372" customFormat="1" ht="24" customHeight="1" spans="1:10">
      <c r="A1373" s="312"/>
      <c r="B1373" s="312"/>
      <c r="C1373" s="417"/>
      <c r="D1373" s="369"/>
      <c r="E1373" s="369"/>
      <c r="F1373" s="369"/>
      <c r="G1373" s="508"/>
      <c r="H1373" s="312"/>
      <c r="I1373" s="312"/>
      <c r="J1373" s="312"/>
    </row>
    <row r="1374" s="372" customFormat="1" ht="24" customHeight="1" spans="1:10">
      <c r="A1374" s="312"/>
      <c r="B1374" s="312"/>
      <c r="C1374" s="417"/>
      <c r="D1374" s="369"/>
      <c r="E1374" s="369"/>
      <c r="F1374" s="369"/>
      <c r="G1374" s="508"/>
      <c r="H1374" s="312"/>
      <c r="I1374" s="312"/>
      <c r="J1374" s="312"/>
    </row>
    <row r="1375" ht="24" customHeight="1"/>
    <row r="1376" ht="24" customHeight="1"/>
    <row r="1377" ht="24" customHeight="1"/>
    <row r="1378" ht="24" customHeight="1"/>
    <row r="1379" ht="24" customHeight="1"/>
    <row r="1380" ht="24" customHeight="1"/>
    <row r="1381" ht="24" customHeight="1"/>
    <row r="1382" ht="24" customHeight="1"/>
    <row r="1383" ht="24" customHeight="1"/>
    <row r="1384" ht="24" customHeight="1"/>
    <row r="1385" ht="24" customHeight="1"/>
    <row r="1386" ht="24" customHeight="1"/>
    <row r="1387" ht="24" customHeight="1"/>
    <row r="1388" ht="24" customHeight="1"/>
  </sheetData>
  <autoFilter ref="B4:J1324">
    <filterColumn colId="7">
      <customFilters>
        <customFilter operator="equal" val="是"/>
      </customFilters>
    </filterColumn>
    <extLst/>
  </autoFilter>
  <mergeCells count="6">
    <mergeCell ref="B1:H1"/>
    <mergeCell ref="D3:F3"/>
    <mergeCell ref="G3:H3"/>
    <mergeCell ref="A3:A4"/>
    <mergeCell ref="B3:B4"/>
    <mergeCell ref="C3:C4"/>
  </mergeCells>
  <conditionalFormatting sqref="I5:I1324">
    <cfRule type="cellIs" dxfId="1" priority="1308" stopIfTrue="1" operator="lessThan">
      <formula>0</formula>
    </cfRule>
  </conditionalFormatting>
  <printOptions horizontalCentered="1"/>
  <pageMargins left="0.472222222222222" right="0.393055555555556" top="0.354166666666667" bottom="0.354166666666667" header="0.118055555555556" footer="0.118055555555556"/>
  <pageSetup paperSize="9" scale="56" fitToHeight="0" orientation="portrait" horizontalDpi="600"/>
  <headerFooter alignWithMargins="0">
    <oddFooter>&amp;C&amp;16- &amp;P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F0"/>
  </sheetPr>
  <dimension ref="A1:D11"/>
  <sheetViews>
    <sheetView showGridLines="0" showZeros="0" view="pageBreakPreview" zoomScale="70" zoomScaleNormal="100" workbookViewId="0">
      <selection activeCell="C13" sqref="C13"/>
    </sheetView>
  </sheetViews>
  <sheetFormatPr defaultColWidth="9" defaultRowHeight="13.5" outlineLevelCol="3"/>
  <cols>
    <col min="1" max="1" width="9.75" style="202" customWidth="1"/>
    <col min="2" max="2" width="69.6333333333333" style="202" customWidth="1"/>
    <col min="3" max="3" width="36.9583333333333" style="202" customWidth="1"/>
    <col min="4" max="16384" width="9" style="202"/>
  </cols>
  <sheetData>
    <row r="1" s="290" customFormat="1" ht="45" customHeight="1" spans="1:3">
      <c r="A1" s="701" t="s">
        <v>16</v>
      </c>
      <c r="B1" s="701"/>
      <c r="C1" s="701"/>
    </row>
    <row r="2" ht="20.1" customHeight="1" spans="1:3">
      <c r="A2" s="292" t="s">
        <v>15</v>
      </c>
      <c r="B2" s="292"/>
      <c r="C2" s="480" t="s">
        <v>103</v>
      </c>
    </row>
    <row r="3" ht="45" customHeight="1" spans="1:4">
      <c r="A3" s="295" t="s">
        <v>1237</v>
      </c>
      <c r="B3" s="295" t="s">
        <v>1238</v>
      </c>
      <c r="C3" s="104" t="s">
        <v>1239</v>
      </c>
      <c r="D3" s="475" t="s">
        <v>113</v>
      </c>
    </row>
    <row r="4" ht="36" customHeight="1" spans="1:4">
      <c r="A4" s="702" t="s">
        <v>1240</v>
      </c>
      <c r="B4" s="703"/>
      <c r="C4" s="704">
        <f>SUM(C5:C10)</f>
        <v>5800</v>
      </c>
      <c r="D4" s="304" t="str">
        <f t="shared" ref="D4:D19" si="0">IF(C4&lt;&gt;0,"是","否")</f>
        <v>是</v>
      </c>
    </row>
    <row r="5" ht="36" customHeight="1" spans="1:4">
      <c r="A5" s="705">
        <v>1</v>
      </c>
      <c r="B5" s="706" t="s">
        <v>1241</v>
      </c>
      <c r="C5" s="707">
        <v>2086.74</v>
      </c>
      <c r="D5" s="304" t="str">
        <f t="shared" si="0"/>
        <v>是</v>
      </c>
    </row>
    <row r="6" ht="36" customHeight="1" spans="1:4">
      <c r="A6" s="705">
        <v>2</v>
      </c>
      <c r="B6" s="706" t="s">
        <v>1242</v>
      </c>
      <c r="C6" s="707">
        <v>1184.15</v>
      </c>
      <c r="D6" s="304" t="str">
        <f t="shared" si="0"/>
        <v>是</v>
      </c>
    </row>
    <row r="7" ht="36" customHeight="1" spans="1:4">
      <c r="A7" s="705">
        <v>3</v>
      </c>
      <c r="B7" s="706" t="s">
        <v>1243</v>
      </c>
      <c r="C7" s="707">
        <v>849.86</v>
      </c>
      <c r="D7" s="304" t="str">
        <f t="shared" si="0"/>
        <v>是</v>
      </c>
    </row>
    <row r="8" ht="36" customHeight="1" spans="1:4">
      <c r="A8" s="705">
        <v>4</v>
      </c>
      <c r="B8" s="706" t="s">
        <v>1244</v>
      </c>
      <c r="C8" s="707">
        <v>120.53</v>
      </c>
      <c r="D8" s="304" t="str">
        <f t="shared" si="0"/>
        <v>是</v>
      </c>
    </row>
    <row r="9" ht="36" customHeight="1" spans="1:4">
      <c r="A9" s="705">
        <v>5</v>
      </c>
      <c r="B9" s="706" t="s">
        <v>1245</v>
      </c>
      <c r="C9" s="707">
        <v>63.47</v>
      </c>
      <c r="D9" s="304" t="str">
        <f t="shared" si="0"/>
        <v>是</v>
      </c>
    </row>
    <row r="10" ht="36" customHeight="1" spans="1:4">
      <c r="A10" s="705">
        <v>6</v>
      </c>
      <c r="B10" s="706" t="s">
        <v>1246</v>
      </c>
      <c r="C10" s="707">
        <v>1495.25</v>
      </c>
      <c r="D10" s="304" t="str">
        <f t="shared" si="0"/>
        <v>是</v>
      </c>
    </row>
    <row r="11" ht="36" customHeight="1"/>
  </sheetData>
  <autoFilter ref="A3:D10">
    <extLst/>
  </autoFilter>
  <mergeCells count="2">
    <mergeCell ref="A1:C1"/>
    <mergeCell ref="A4:B4"/>
  </mergeCells>
  <conditionalFormatting sqref="D4:D10">
    <cfRule type="cellIs" dxfId="1" priority="1" stopIfTrue="1" operator="lessThan">
      <formula>0</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tabColor rgb="FFFFFF00"/>
    <pageSetUpPr fitToPage="1"/>
  </sheetPr>
  <dimension ref="A1:I35"/>
  <sheetViews>
    <sheetView showGridLines="0" showZeros="0" view="pageBreakPreview" zoomScale="80" zoomScaleNormal="100" workbookViewId="0">
      <pane xSplit="1" ySplit="4" topLeftCell="B13" activePane="bottomRight" state="frozen"/>
      <selection/>
      <selection pane="topRight"/>
      <selection pane="bottomLeft"/>
      <selection pane="bottomRight" activeCell="C27" sqref="C27"/>
    </sheetView>
  </sheetViews>
  <sheetFormatPr defaultColWidth="9" defaultRowHeight="14.25"/>
  <cols>
    <col min="1" max="1" width="18.8833333333333" style="312" hidden="1" customWidth="1"/>
    <col min="2" max="2" width="59.6333333333333" style="312" customWidth="1"/>
    <col min="3" max="3" width="17.85" style="312" customWidth="1"/>
    <col min="4" max="4" width="17.4916666666667" style="417" customWidth="1"/>
    <col min="5" max="5" width="17.4916666666667" style="417" hidden="1" customWidth="1"/>
    <col min="6" max="6" width="17.4916666666667" style="417" customWidth="1"/>
    <col min="7" max="8" width="14.6916666666667" style="417" customWidth="1"/>
    <col min="9" max="9" width="3.75" style="312" customWidth="1"/>
    <col min="10" max="16342" width="9" style="312" customWidth="1"/>
    <col min="16343" max="16384" width="9" style="312"/>
  </cols>
  <sheetData>
    <row r="1" ht="45" customHeight="1" spans="2:9">
      <c r="B1" s="316" t="s">
        <v>18</v>
      </c>
      <c r="C1" s="316"/>
      <c r="D1" s="316"/>
      <c r="E1" s="316"/>
      <c r="F1" s="316"/>
      <c r="G1" s="316"/>
      <c r="H1" s="316"/>
      <c r="I1" s="444"/>
    </row>
    <row r="2" ht="20.1" customHeight="1" spans="1:9">
      <c r="A2" s="418"/>
      <c r="B2" s="419" t="s">
        <v>17</v>
      </c>
      <c r="C2" s="689"/>
      <c r="H2" s="445" t="s">
        <v>103</v>
      </c>
      <c r="I2" s="444"/>
    </row>
    <row r="3" customFormat="1" ht="20.1" customHeight="1" spans="1:9">
      <c r="A3" s="687" t="s">
        <v>104</v>
      </c>
      <c r="B3" s="398" t="s">
        <v>105</v>
      </c>
      <c r="C3" s="321" t="s">
        <v>106</v>
      </c>
      <c r="D3" s="321" t="s">
        <v>107</v>
      </c>
      <c r="E3" s="321"/>
      <c r="F3" s="321"/>
      <c r="G3" s="521" t="s">
        <v>108</v>
      </c>
      <c r="H3" s="521"/>
      <c r="I3" s="444"/>
    </row>
    <row r="4" s="306" customFormat="1" ht="37.5" spans="1:9">
      <c r="A4" s="397"/>
      <c r="B4" s="420"/>
      <c r="C4" s="321"/>
      <c r="D4" s="321" t="s">
        <v>109</v>
      </c>
      <c r="E4" s="321" t="s">
        <v>1196</v>
      </c>
      <c r="F4" s="321" t="s">
        <v>110</v>
      </c>
      <c r="G4" s="321" t="s">
        <v>111</v>
      </c>
      <c r="H4" s="321" t="s">
        <v>112</v>
      </c>
      <c r="I4" s="447" t="s">
        <v>113</v>
      </c>
    </row>
    <row r="5" s="306" customFormat="1" ht="24" customHeight="1" spans="1:9">
      <c r="A5" s="422" t="s">
        <v>1247</v>
      </c>
      <c r="B5" s="423" t="s">
        <v>1248</v>
      </c>
      <c r="C5" s="690">
        <v>0</v>
      </c>
      <c r="D5" s="691"/>
      <c r="E5" s="691"/>
      <c r="F5" s="691"/>
      <c r="G5" s="435" t="str">
        <f>IFERROR((F5-C5)/C5,"")</f>
        <v/>
      </c>
      <c r="H5" s="582" t="str">
        <f>IFERROR(F5/D5,"")</f>
        <v/>
      </c>
      <c r="I5" s="448" t="str">
        <f>IF(LEN(A5)=7,"是",IF(B5&lt;&gt;"",IF(SUM(C5:F5)&lt;&gt;0,"是","否"),"是"))</f>
        <v>是</v>
      </c>
    </row>
    <row r="6" ht="24" customHeight="1" spans="1:9">
      <c r="A6" s="422" t="s">
        <v>1249</v>
      </c>
      <c r="B6" s="423" t="s">
        <v>1250</v>
      </c>
      <c r="C6" s="690">
        <v>0</v>
      </c>
      <c r="D6" s="691"/>
      <c r="E6" s="691"/>
      <c r="F6" s="691"/>
      <c r="G6" s="435" t="str">
        <f t="shared" ref="G6:G35" si="0">IFERROR((F6-C6)/C6,"")</f>
        <v/>
      </c>
      <c r="H6" s="582" t="str">
        <f t="shared" ref="H6:H35" si="1">IFERROR(F6/D6,"")</f>
        <v/>
      </c>
      <c r="I6" s="448" t="str">
        <f t="shared" ref="I6:I35" si="2">IF(LEN(A6)=7,"是",IF(B6&lt;&gt;"",IF(SUM(C6:F6)&lt;&gt;0,"是","否"),"是"))</f>
        <v>是</v>
      </c>
    </row>
    <row r="7" ht="24" customHeight="1" spans="1:9">
      <c r="A7" s="422" t="s">
        <v>1251</v>
      </c>
      <c r="B7" s="423" t="s">
        <v>1252</v>
      </c>
      <c r="C7" s="690">
        <v>0</v>
      </c>
      <c r="D7" s="691"/>
      <c r="E7" s="691"/>
      <c r="F7" s="691"/>
      <c r="G7" s="435" t="str">
        <f t="shared" si="0"/>
        <v/>
      </c>
      <c r="H7" s="582" t="str">
        <f t="shared" si="1"/>
        <v/>
      </c>
      <c r="I7" s="448" t="str">
        <f t="shared" si="2"/>
        <v>是</v>
      </c>
    </row>
    <row r="8" ht="24" customHeight="1" spans="1:9">
      <c r="A8" s="422" t="s">
        <v>1253</v>
      </c>
      <c r="B8" s="423" t="s">
        <v>1254</v>
      </c>
      <c r="C8" s="690">
        <v>0</v>
      </c>
      <c r="D8" s="691"/>
      <c r="E8" s="691"/>
      <c r="F8" s="691"/>
      <c r="G8" s="435" t="str">
        <f t="shared" si="0"/>
        <v/>
      </c>
      <c r="H8" s="582" t="str">
        <f t="shared" si="1"/>
        <v/>
      </c>
      <c r="I8" s="448" t="str">
        <f t="shared" si="2"/>
        <v>是</v>
      </c>
    </row>
    <row r="9" ht="24" customHeight="1" spans="1:9">
      <c r="A9" s="422" t="s">
        <v>1255</v>
      </c>
      <c r="B9" s="423" t="s">
        <v>1256</v>
      </c>
      <c r="C9" s="690">
        <v>52985</v>
      </c>
      <c r="D9" s="690">
        <f>SUM(D10:D14)</f>
        <v>108037</v>
      </c>
      <c r="E9" s="690">
        <f>SUM(E10:E14)</f>
        <v>108037</v>
      </c>
      <c r="F9" s="691">
        <f>SUM(F10:F14)</f>
        <v>42707</v>
      </c>
      <c r="G9" s="435">
        <f t="shared" si="0"/>
        <v>-0.19397942814004</v>
      </c>
      <c r="H9" s="582">
        <f t="shared" si="1"/>
        <v>0.395299758416098</v>
      </c>
      <c r="I9" s="448" t="str">
        <f t="shared" si="2"/>
        <v>是</v>
      </c>
    </row>
    <row r="10" ht="24" customHeight="1" spans="1:9">
      <c r="A10" s="422" t="s">
        <v>1257</v>
      </c>
      <c r="B10" s="426" t="s">
        <v>1258</v>
      </c>
      <c r="C10" s="692">
        <v>49891</v>
      </c>
      <c r="D10" s="693">
        <v>105052</v>
      </c>
      <c r="E10" s="693">
        <v>105052</v>
      </c>
      <c r="F10" s="699">
        <v>39565</v>
      </c>
      <c r="G10" s="449">
        <f t="shared" si="0"/>
        <v>-0.206971197209918</v>
      </c>
      <c r="H10" s="581">
        <f t="shared" si="1"/>
        <v>0.376623005749534</v>
      </c>
      <c r="I10" s="448" t="str">
        <f t="shared" si="2"/>
        <v>是</v>
      </c>
    </row>
    <row r="11" ht="24" customHeight="1" spans="1:9">
      <c r="A11" s="422" t="s">
        <v>1259</v>
      </c>
      <c r="B11" s="426" t="s">
        <v>1260</v>
      </c>
      <c r="C11" s="692">
        <v>4296</v>
      </c>
      <c r="D11" s="693">
        <v>2985</v>
      </c>
      <c r="E11" s="693">
        <v>2985</v>
      </c>
      <c r="F11" s="699">
        <v>2914</v>
      </c>
      <c r="G11" s="449">
        <f t="shared" si="0"/>
        <v>-0.321694599627561</v>
      </c>
      <c r="H11" s="581">
        <f t="shared" si="1"/>
        <v>0.976214405360134</v>
      </c>
      <c r="I11" s="448" t="str">
        <f t="shared" si="2"/>
        <v>是</v>
      </c>
    </row>
    <row r="12" ht="24" customHeight="1" spans="1:9">
      <c r="A12" s="422" t="s">
        <v>1261</v>
      </c>
      <c r="B12" s="429" t="s">
        <v>1262</v>
      </c>
      <c r="C12" s="692">
        <v>173</v>
      </c>
      <c r="D12" s="694"/>
      <c r="E12" s="694"/>
      <c r="F12" s="694">
        <v>1644</v>
      </c>
      <c r="G12" s="449">
        <f t="shared" si="0"/>
        <v>8.5028901734104</v>
      </c>
      <c r="H12" s="581" t="str">
        <f t="shared" si="1"/>
        <v/>
      </c>
      <c r="I12" s="448" t="str">
        <f t="shared" si="2"/>
        <v>是</v>
      </c>
    </row>
    <row r="13" ht="24" customHeight="1" spans="1:9">
      <c r="A13" s="422" t="s">
        <v>1263</v>
      </c>
      <c r="B13" s="429" t="s">
        <v>1264</v>
      </c>
      <c r="C13" s="692">
        <v>-1375</v>
      </c>
      <c r="D13" s="694"/>
      <c r="E13" s="694"/>
      <c r="F13" s="694">
        <v>-1416</v>
      </c>
      <c r="G13" s="449">
        <f>-IFERROR((F13-C13)/C13,"")</f>
        <v>-0.0298181818181818</v>
      </c>
      <c r="H13" s="581" t="str">
        <f t="shared" si="1"/>
        <v/>
      </c>
      <c r="I13" s="448" t="str">
        <f t="shared" si="2"/>
        <v>是</v>
      </c>
    </row>
    <row r="14" ht="24" hidden="1" customHeight="1" spans="1:9">
      <c r="A14" s="422" t="s">
        <v>1265</v>
      </c>
      <c r="B14" s="429" t="s">
        <v>1266</v>
      </c>
      <c r="C14" s="692">
        <v>0</v>
      </c>
      <c r="D14" s="694"/>
      <c r="E14" s="694"/>
      <c r="F14" s="694"/>
      <c r="G14" s="449" t="str">
        <f t="shared" si="0"/>
        <v/>
      </c>
      <c r="H14" s="581" t="str">
        <f t="shared" si="1"/>
        <v/>
      </c>
      <c r="I14" s="448" t="str">
        <f t="shared" si="2"/>
        <v>否</v>
      </c>
    </row>
    <row r="15" ht="24" customHeight="1" spans="1:9">
      <c r="A15" s="422" t="s">
        <v>1267</v>
      </c>
      <c r="B15" s="423" t="s">
        <v>1268</v>
      </c>
      <c r="C15" s="690">
        <v>0</v>
      </c>
      <c r="D15" s="691"/>
      <c r="E15" s="691"/>
      <c r="F15" s="691"/>
      <c r="G15" s="449" t="str">
        <f t="shared" si="0"/>
        <v/>
      </c>
      <c r="H15" s="581" t="str">
        <f t="shared" si="1"/>
        <v/>
      </c>
      <c r="I15" s="448" t="str">
        <f t="shared" si="2"/>
        <v>是</v>
      </c>
    </row>
    <row r="16" ht="24" customHeight="1" spans="1:9">
      <c r="A16" s="422" t="s">
        <v>1269</v>
      </c>
      <c r="B16" s="423" t="s">
        <v>1270</v>
      </c>
      <c r="C16" s="690">
        <v>7407</v>
      </c>
      <c r="D16" s="690">
        <f>SUM(D17:D18)</f>
        <v>7500</v>
      </c>
      <c r="E16" s="690">
        <f>SUM(E17:E18)</f>
        <v>7500</v>
      </c>
      <c r="F16" s="691">
        <f>SUM(F17:F18)</f>
        <v>7703</v>
      </c>
      <c r="G16" s="435">
        <f t="shared" si="0"/>
        <v>0.0399621979208857</v>
      </c>
      <c r="H16" s="582">
        <f t="shared" si="1"/>
        <v>1.02706666666667</v>
      </c>
      <c r="I16" s="448" t="str">
        <f t="shared" si="2"/>
        <v>是</v>
      </c>
    </row>
    <row r="17" ht="24" customHeight="1" spans="1:9">
      <c r="A17" s="422" t="s">
        <v>1271</v>
      </c>
      <c r="B17" s="429" t="s">
        <v>1272</v>
      </c>
      <c r="C17" s="692">
        <v>3972</v>
      </c>
      <c r="D17" s="693">
        <v>4050</v>
      </c>
      <c r="E17" s="693">
        <v>4050</v>
      </c>
      <c r="F17" s="699">
        <v>4021</v>
      </c>
      <c r="G17" s="449">
        <f t="shared" si="0"/>
        <v>0.0123363544813696</v>
      </c>
      <c r="H17" s="581">
        <f t="shared" si="1"/>
        <v>0.99283950617284</v>
      </c>
      <c r="I17" s="448" t="str">
        <f t="shared" si="2"/>
        <v>是</v>
      </c>
    </row>
    <row r="18" ht="24" customHeight="1" spans="1:9">
      <c r="A18" s="422" t="s">
        <v>1273</v>
      </c>
      <c r="B18" s="429" t="s">
        <v>1274</v>
      </c>
      <c r="C18" s="692">
        <v>3435</v>
      </c>
      <c r="D18" s="693">
        <v>3450</v>
      </c>
      <c r="E18" s="693">
        <v>3450</v>
      </c>
      <c r="F18" s="699">
        <v>3682</v>
      </c>
      <c r="G18" s="449">
        <f t="shared" si="0"/>
        <v>0.0719068413391557</v>
      </c>
      <c r="H18" s="581">
        <f t="shared" si="1"/>
        <v>1.06724637681159</v>
      </c>
      <c r="I18" s="448" t="str">
        <f t="shared" si="2"/>
        <v>是</v>
      </c>
    </row>
    <row r="19" ht="24" customHeight="1" spans="1:9">
      <c r="A19" s="422" t="s">
        <v>1275</v>
      </c>
      <c r="B19" s="423" t="s">
        <v>1276</v>
      </c>
      <c r="C19" s="690">
        <v>816</v>
      </c>
      <c r="D19" s="695">
        <v>750</v>
      </c>
      <c r="E19" s="695">
        <v>750</v>
      </c>
      <c r="F19" s="700">
        <v>629</v>
      </c>
      <c r="G19" s="435">
        <f t="shared" si="0"/>
        <v>-0.229166666666667</v>
      </c>
      <c r="H19" s="582">
        <f t="shared" si="1"/>
        <v>0.838666666666667</v>
      </c>
      <c r="I19" s="448" t="str">
        <f t="shared" si="2"/>
        <v>是</v>
      </c>
    </row>
    <row r="20" ht="24" customHeight="1" spans="1:9">
      <c r="A20" s="422" t="s">
        <v>1277</v>
      </c>
      <c r="B20" s="423" t="s">
        <v>1278</v>
      </c>
      <c r="C20" s="690">
        <v>0</v>
      </c>
      <c r="D20" s="691"/>
      <c r="E20" s="691"/>
      <c r="F20" s="691"/>
      <c r="G20" s="435" t="str">
        <f t="shared" si="0"/>
        <v/>
      </c>
      <c r="H20" s="582" t="str">
        <f t="shared" si="1"/>
        <v/>
      </c>
      <c r="I20" s="448" t="str">
        <f t="shared" si="2"/>
        <v>是</v>
      </c>
    </row>
    <row r="21" ht="24" customHeight="1" spans="1:9">
      <c r="A21" s="422" t="s">
        <v>1279</v>
      </c>
      <c r="B21" s="423" t="s">
        <v>1280</v>
      </c>
      <c r="C21" s="690">
        <v>0</v>
      </c>
      <c r="D21" s="691"/>
      <c r="E21" s="691"/>
      <c r="F21" s="691"/>
      <c r="G21" s="435" t="str">
        <f t="shared" si="0"/>
        <v/>
      </c>
      <c r="H21" s="582" t="str">
        <f t="shared" si="1"/>
        <v/>
      </c>
      <c r="I21" s="448" t="str">
        <f t="shared" si="2"/>
        <v>是</v>
      </c>
    </row>
    <row r="22" ht="24" customHeight="1" spans="1:9">
      <c r="A22" s="422" t="s">
        <v>1281</v>
      </c>
      <c r="B22" s="423" t="s">
        <v>1282</v>
      </c>
      <c r="C22" s="690">
        <v>0</v>
      </c>
      <c r="D22" s="691"/>
      <c r="E22" s="691"/>
      <c r="F22" s="691"/>
      <c r="G22" s="435" t="str">
        <f t="shared" si="0"/>
        <v/>
      </c>
      <c r="H22" s="582" t="str">
        <f t="shared" si="1"/>
        <v/>
      </c>
      <c r="I22" s="448" t="str">
        <f t="shared" si="2"/>
        <v>是</v>
      </c>
    </row>
    <row r="23" ht="24" customHeight="1" spans="1:9">
      <c r="A23" s="422" t="s">
        <v>1283</v>
      </c>
      <c r="B23" s="420" t="s">
        <v>1284</v>
      </c>
      <c r="C23" s="690">
        <v>0</v>
      </c>
      <c r="D23" s="691"/>
      <c r="E23" s="691"/>
      <c r="F23" s="691"/>
      <c r="G23" s="435" t="str">
        <f t="shared" si="0"/>
        <v/>
      </c>
      <c r="H23" s="582" t="str">
        <f t="shared" si="1"/>
        <v/>
      </c>
      <c r="I23" s="448" t="str">
        <f t="shared" si="2"/>
        <v>是</v>
      </c>
    </row>
    <row r="24" ht="24" customHeight="1" spans="1:9">
      <c r="A24" s="422" t="s">
        <v>1285</v>
      </c>
      <c r="B24" s="433" t="s">
        <v>1286</v>
      </c>
      <c r="C24" s="690">
        <v>0</v>
      </c>
      <c r="D24" s="691"/>
      <c r="E24" s="691"/>
      <c r="F24" s="691"/>
      <c r="G24" s="435" t="str">
        <f t="shared" si="0"/>
        <v/>
      </c>
      <c r="H24" s="582" t="str">
        <f t="shared" si="1"/>
        <v/>
      </c>
      <c r="I24" s="448" t="str">
        <f t="shared" si="2"/>
        <v>是</v>
      </c>
    </row>
    <row r="25" ht="24" customHeight="1" spans="1:9">
      <c r="A25" s="422" t="s">
        <v>1287</v>
      </c>
      <c r="B25" s="433" t="s">
        <v>1288</v>
      </c>
      <c r="C25" s="690">
        <v>0</v>
      </c>
      <c r="D25" s="691"/>
      <c r="E25" s="691"/>
      <c r="F25" s="691"/>
      <c r="G25" s="435" t="str">
        <f t="shared" si="0"/>
        <v/>
      </c>
      <c r="H25" s="582" t="str">
        <f t="shared" si="1"/>
        <v/>
      </c>
      <c r="I25" s="448" t="str">
        <f t="shared" si="2"/>
        <v>是</v>
      </c>
    </row>
    <row r="26" ht="24" customHeight="1" spans="1:9">
      <c r="A26" s="422" t="s">
        <v>1289</v>
      </c>
      <c r="B26" s="420" t="s">
        <v>1290</v>
      </c>
      <c r="C26" s="690">
        <v>90125</v>
      </c>
      <c r="D26" s="690">
        <v>118385</v>
      </c>
      <c r="E26" s="691">
        <v>118385</v>
      </c>
      <c r="F26" s="691">
        <v>119674</v>
      </c>
      <c r="G26" s="435">
        <f t="shared" si="0"/>
        <v>0.327866851595007</v>
      </c>
      <c r="H26" s="582">
        <f t="shared" si="1"/>
        <v>1.01088820374203</v>
      </c>
      <c r="I26" s="448" t="str">
        <f t="shared" si="2"/>
        <v>是</v>
      </c>
    </row>
    <row r="27" ht="24" customHeight="1" spans="1:9">
      <c r="A27" s="422"/>
      <c r="B27" s="434"/>
      <c r="C27" s="696"/>
      <c r="D27" s="641"/>
      <c r="E27" s="641"/>
      <c r="F27" s="641"/>
      <c r="G27" s="435" t="str">
        <f t="shared" si="0"/>
        <v/>
      </c>
      <c r="H27" s="582" t="str">
        <f t="shared" si="1"/>
        <v/>
      </c>
      <c r="I27" s="448" t="str">
        <f t="shared" si="2"/>
        <v>是</v>
      </c>
    </row>
    <row r="28" ht="24" customHeight="1" spans="1:9">
      <c r="A28" s="422"/>
      <c r="B28" s="436" t="s">
        <v>1291</v>
      </c>
      <c r="C28" s="690">
        <f>C5+C6+C7+C8+C9+C15+C16+C19+C20+C21+C22+C23+C24+C25+C26</f>
        <v>151333</v>
      </c>
      <c r="D28" s="690">
        <f>D5+D6+D7+D8+D9+D15+D16+D19+D20+D21+D22+D23+D24+D25+D26</f>
        <v>234672</v>
      </c>
      <c r="E28" s="690">
        <f>E5+E6+E7+E8+E9+E15+E16+E19+E20+E21+E22+E23+E24+E25+E26</f>
        <v>234672</v>
      </c>
      <c r="F28" s="690">
        <f>F5+F6+F7+F8+F9+F15+F16+F19+F20+F21+F22+F23+F24+F25+F26</f>
        <v>170713</v>
      </c>
      <c r="G28" s="435">
        <f t="shared" si="0"/>
        <v>0.128061956083604</v>
      </c>
      <c r="H28" s="582">
        <f t="shared" si="1"/>
        <v>0.727453637417331</v>
      </c>
      <c r="I28" s="448" t="str">
        <f t="shared" si="2"/>
        <v>是</v>
      </c>
    </row>
    <row r="29" ht="24" customHeight="1" spans="1:9">
      <c r="A29" s="437">
        <v>105</v>
      </c>
      <c r="B29" s="438" t="s">
        <v>1292</v>
      </c>
      <c r="C29" s="690">
        <v>419670</v>
      </c>
      <c r="D29" s="697">
        <v>234030</v>
      </c>
      <c r="E29" s="697">
        <v>234030</v>
      </c>
      <c r="F29" s="697">
        <v>487330</v>
      </c>
      <c r="G29" s="435">
        <f t="shared" si="0"/>
        <v>0.161221912455024</v>
      </c>
      <c r="H29" s="582">
        <f t="shared" si="1"/>
        <v>2.08233987095671</v>
      </c>
      <c r="I29" s="448" t="str">
        <f t="shared" si="2"/>
        <v>是</v>
      </c>
    </row>
    <row r="30" ht="24" customHeight="1" spans="1:9">
      <c r="A30" s="437">
        <v>110</v>
      </c>
      <c r="B30" s="438" t="s">
        <v>166</v>
      </c>
      <c r="C30" s="690">
        <f>C31+C33+C34</f>
        <v>115750</v>
      </c>
      <c r="D30" s="697">
        <f>D31+D33+D34</f>
        <v>146484</v>
      </c>
      <c r="E30" s="697">
        <f>E31+E33+E34</f>
        <v>146484</v>
      </c>
      <c r="F30" s="697">
        <f>F31+F33+F34</f>
        <v>114053</v>
      </c>
      <c r="G30" s="435">
        <f t="shared" si="0"/>
        <v>-0.0146609071274298</v>
      </c>
      <c r="H30" s="582">
        <f t="shared" si="1"/>
        <v>0.778603806559078</v>
      </c>
      <c r="I30" s="448" t="str">
        <f t="shared" si="2"/>
        <v>是</v>
      </c>
    </row>
    <row r="31" ht="24" customHeight="1" spans="1:9">
      <c r="A31" s="437">
        <v>11004</v>
      </c>
      <c r="B31" s="438" t="s">
        <v>1293</v>
      </c>
      <c r="C31" s="690">
        <f>C32</f>
        <v>71831</v>
      </c>
      <c r="D31" s="697">
        <f>D32</f>
        <v>73006</v>
      </c>
      <c r="E31" s="697">
        <f>E32</f>
        <v>73006</v>
      </c>
      <c r="F31" s="697">
        <f>F32</f>
        <v>40064</v>
      </c>
      <c r="G31" s="435">
        <f t="shared" si="0"/>
        <v>-0.442246383873258</v>
      </c>
      <c r="H31" s="582">
        <f t="shared" si="1"/>
        <v>0.548776812864696</v>
      </c>
      <c r="I31" s="448" t="str">
        <f t="shared" si="2"/>
        <v>是</v>
      </c>
    </row>
    <row r="32" ht="24" customHeight="1" spans="1:9">
      <c r="A32" s="422">
        <v>1100402</v>
      </c>
      <c r="B32" s="440" t="s">
        <v>1294</v>
      </c>
      <c r="C32" s="692">
        <v>71831</v>
      </c>
      <c r="D32" s="698">
        <v>73006</v>
      </c>
      <c r="E32" s="698">
        <v>73006</v>
      </c>
      <c r="F32" s="698">
        <v>40064</v>
      </c>
      <c r="G32" s="449">
        <f t="shared" si="0"/>
        <v>-0.442246383873258</v>
      </c>
      <c r="H32" s="581">
        <f t="shared" si="1"/>
        <v>0.548776812864696</v>
      </c>
      <c r="I32" s="448" t="str">
        <f t="shared" si="2"/>
        <v>是</v>
      </c>
    </row>
    <row r="33" ht="24" customHeight="1" spans="1:9">
      <c r="A33" s="422">
        <v>11008</v>
      </c>
      <c r="B33" s="442" t="s">
        <v>170</v>
      </c>
      <c r="C33" s="690">
        <v>39971</v>
      </c>
      <c r="D33" s="697">
        <v>73478</v>
      </c>
      <c r="E33" s="697">
        <v>73478</v>
      </c>
      <c r="F33" s="697">
        <v>73989</v>
      </c>
      <c r="G33" s="435">
        <f t="shared" si="0"/>
        <v>0.851067023592104</v>
      </c>
      <c r="H33" s="582">
        <f t="shared" si="1"/>
        <v>1.00695446256022</v>
      </c>
      <c r="I33" s="448" t="str">
        <f t="shared" si="2"/>
        <v>是</v>
      </c>
    </row>
    <row r="34" ht="24" customHeight="1" spans="1:9">
      <c r="A34" s="422">
        <v>11009</v>
      </c>
      <c r="B34" s="442" t="s">
        <v>171</v>
      </c>
      <c r="C34" s="690">
        <v>3948</v>
      </c>
      <c r="D34" s="698"/>
      <c r="E34" s="698"/>
      <c r="F34" s="698"/>
      <c r="G34" s="435">
        <f t="shared" si="0"/>
        <v>-1</v>
      </c>
      <c r="H34" s="582" t="str">
        <f t="shared" si="1"/>
        <v/>
      </c>
      <c r="I34" s="448" t="str">
        <f t="shared" si="2"/>
        <v>是</v>
      </c>
    </row>
    <row r="35" ht="24" customHeight="1" spans="1:9">
      <c r="A35" s="443"/>
      <c r="B35" s="436" t="s">
        <v>174</v>
      </c>
      <c r="C35" s="690">
        <f>SUM(C28:C30)</f>
        <v>686753</v>
      </c>
      <c r="D35" s="697">
        <f>SUM(D28:D30)</f>
        <v>615186</v>
      </c>
      <c r="E35" s="697">
        <f>SUM(E28:E30)</f>
        <v>615186</v>
      </c>
      <c r="F35" s="697">
        <f>SUM(F28:F30)</f>
        <v>772096</v>
      </c>
      <c r="G35" s="435">
        <f t="shared" si="0"/>
        <v>0.124270298054759</v>
      </c>
      <c r="H35" s="582">
        <f t="shared" si="1"/>
        <v>1.25506107096065</v>
      </c>
      <c r="I35" s="448" t="str">
        <f t="shared" si="2"/>
        <v>是</v>
      </c>
    </row>
  </sheetData>
  <autoFilter ref="A4:I35">
    <filterColumn colId="8">
      <customFilters>
        <customFilter operator="equal" val="是"/>
      </customFilters>
    </filterColumn>
    <extLst/>
  </autoFilter>
  <mergeCells count="6">
    <mergeCell ref="B1:H1"/>
    <mergeCell ref="D3:F3"/>
    <mergeCell ref="G3:H3"/>
    <mergeCell ref="A3:A4"/>
    <mergeCell ref="B3:B4"/>
    <mergeCell ref="C3:C4"/>
  </mergeCells>
  <conditionalFormatting sqref="B29:B32 B6:B22">
    <cfRule type="expression" dxfId="0" priority="1" stopIfTrue="1">
      <formula>"len($A:$A)=3"</formula>
    </cfRule>
  </conditionalFormatting>
  <printOptions horizontalCentered="1"/>
  <pageMargins left="0.471527777777778" right="0.393055555555556" top="0.747916666666667" bottom="0.747916666666667" header="0.313888888888889" footer="0.313888888888889"/>
  <pageSetup paperSize="9" scale="62" fitToHeight="0" orientation="portrait"/>
  <headerFooter alignWithMargins="0">
    <oddFooter>&amp;C&amp;16- &amp;P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1">
    <tabColor rgb="FFFFFF00"/>
    <pageSetUpPr fitToPage="1"/>
  </sheetPr>
  <dimension ref="A1:J346"/>
  <sheetViews>
    <sheetView showGridLines="0" showZeros="0" view="pageBreakPreview" zoomScale="80" zoomScaleNormal="115" workbookViewId="0">
      <pane ySplit="4" topLeftCell="A36" activePane="bottomLeft" state="frozen"/>
      <selection/>
      <selection pane="bottomLeft" activeCell="P239" sqref="P239"/>
    </sheetView>
  </sheetViews>
  <sheetFormatPr defaultColWidth="9" defaultRowHeight="14.25"/>
  <cols>
    <col min="1" max="1" width="21.5" style="313" hidden="1" customWidth="1"/>
    <col min="2" max="2" width="50.75" style="313" customWidth="1"/>
    <col min="3" max="3" width="18.0333333333333" style="313" customWidth="1"/>
    <col min="4" max="4" width="16.7833333333333" style="313" customWidth="1"/>
    <col min="5" max="5" width="16.7833333333333" style="313" hidden="1" customWidth="1"/>
    <col min="6" max="6" width="16.7833333333333" style="313" customWidth="1"/>
    <col min="7" max="7" width="15" style="313" customWidth="1"/>
    <col min="8" max="8" width="15.1583333333333" style="314" customWidth="1"/>
    <col min="9" max="9" width="3.75" style="345" customWidth="1"/>
    <col min="10" max="16384" width="9" style="313"/>
  </cols>
  <sheetData>
    <row r="1" ht="35.25" spans="2:8">
      <c r="B1" s="316" t="s">
        <v>20</v>
      </c>
      <c r="C1" s="316"/>
      <c r="D1" s="316"/>
      <c r="E1" s="316"/>
      <c r="F1" s="316"/>
      <c r="G1" s="316"/>
      <c r="H1" s="316"/>
    </row>
    <row r="2" s="317" customFormat="1" ht="18.75" spans="2:9">
      <c r="B2" s="318" t="s">
        <v>19</v>
      </c>
      <c r="C2" s="318"/>
      <c r="D2" s="318"/>
      <c r="E2" s="318"/>
      <c r="F2" s="318"/>
      <c r="G2" s="318"/>
      <c r="H2" s="340" t="s">
        <v>103</v>
      </c>
      <c r="I2" s="346"/>
    </row>
    <row r="3" s="317" customFormat="1" ht="18.75" spans="1:9">
      <c r="A3" s="687" t="s">
        <v>104</v>
      </c>
      <c r="B3" s="398" t="s">
        <v>105</v>
      </c>
      <c r="C3" s="321" t="s">
        <v>106</v>
      </c>
      <c r="D3" s="321" t="s">
        <v>107</v>
      </c>
      <c r="E3" s="321"/>
      <c r="F3" s="321"/>
      <c r="G3" s="521" t="s">
        <v>108</v>
      </c>
      <c r="H3" s="521"/>
      <c r="I3" s="346"/>
    </row>
    <row r="4" s="348" customFormat="1" ht="41" customHeight="1" spans="1:10">
      <c r="A4" s="397"/>
      <c r="B4" s="420"/>
      <c r="C4" s="321"/>
      <c r="D4" s="321" t="s">
        <v>109</v>
      </c>
      <c r="E4" s="321" t="s">
        <v>1196</v>
      </c>
      <c r="F4" s="321" t="s">
        <v>110</v>
      </c>
      <c r="G4" s="321" t="s">
        <v>111</v>
      </c>
      <c r="H4" s="321" t="s">
        <v>112</v>
      </c>
      <c r="I4" s="347" t="s">
        <v>113</v>
      </c>
      <c r="J4" s="348" t="s">
        <v>210</v>
      </c>
    </row>
    <row r="5" s="307" customFormat="1" ht="18.75" spans="1:10">
      <c r="A5" s="323">
        <v>205</v>
      </c>
      <c r="B5" s="324" t="s">
        <v>1295</v>
      </c>
      <c r="C5" s="325">
        <v>0</v>
      </c>
      <c r="D5" s="403"/>
      <c r="E5" s="403"/>
      <c r="F5" s="399">
        <v>0</v>
      </c>
      <c r="G5" s="403" t="str">
        <f>IFERROR((F5-C5)/C5,"")</f>
        <v/>
      </c>
      <c r="H5" s="403" t="str">
        <f>IFERROR(F5/D5,"")</f>
        <v/>
      </c>
      <c r="I5" s="349" t="str">
        <f>IF(LEN(A5)=3,"是",IF(B5&lt;&gt;"",IF(SUM(C5:F5)&lt;&gt;0,"是","否"),"是"))</f>
        <v>是</v>
      </c>
      <c r="J5" s="313" t="str">
        <f>IF(LEN(A5)=3,"类",IF(LEN(A5)=5,"款","项"))</f>
        <v>类</v>
      </c>
    </row>
    <row r="6" s="307" customFormat="1" ht="18.75" hidden="1" spans="1:10">
      <c r="A6" s="326">
        <v>20598</v>
      </c>
      <c r="B6" s="327" t="s">
        <v>1296</v>
      </c>
      <c r="C6" s="328">
        <v>0</v>
      </c>
      <c r="D6" s="404"/>
      <c r="E6" s="404"/>
      <c r="F6" s="399">
        <f>VLOOKUP(A6,'[5]2基金部分支出'!$A$5:$D$333,4,FALSE)</f>
        <v>0</v>
      </c>
      <c r="G6" s="403" t="str">
        <f t="shared" ref="G6:G69" si="0">IFERROR((F6-C6)/C6,"")</f>
        <v/>
      </c>
      <c r="H6" s="403" t="str">
        <f t="shared" ref="H6:H69" si="1">IFERROR(F6/D6,"")</f>
        <v/>
      </c>
      <c r="I6" s="349" t="str">
        <f t="shared" ref="I6:I69" si="2">IF(LEN(A6)=3,"是",IF(B6&lt;&gt;"",IF(SUM(C6:F6)&lt;&gt;0,"是","否"),"是"))</f>
        <v>否</v>
      </c>
      <c r="J6" s="313" t="str">
        <f t="shared" ref="J5:J68" si="3">IF(LEN(A6)=3,"类",IF(LEN(A6)=5,"款","项"))</f>
        <v>款</v>
      </c>
    </row>
    <row r="7" s="307" customFormat="1" ht="18.75" hidden="1" spans="1:10">
      <c r="A7" s="326">
        <v>2059801</v>
      </c>
      <c r="B7" s="327" t="s">
        <v>1297</v>
      </c>
      <c r="C7" s="328">
        <v>0</v>
      </c>
      <c r="D7" s="404"/>
      <c r="E7" s="404"/>
      <c r="F7" s="400">
        <f>VLOOKUP(A7,'[5]2基金部分支出'!$A$5:$D$333,4,FALSE)</f>
        <v>0</v>
      </c>
      <c r="G7" s="404" t="str">
        <f t="shared" si="0"/>
        <v/>
      </c>
      <c r="H7" s="404" t="str">
        <f t="shared" si="1"/>
        <v/>
      </c>
      <c r="I7" s="349" t="str">
        <f t="shared" si="2"/>
        <v>否</v>
      </c>
      <c r="J7" s="313" t="str">
        <f t="shared" si="3"/>
        <v>项</v>
      </c>
    </row>
    <row r="8" s="307" customFormat="1" ht="18.75" hidden="1" spans="1:10">
      <c r="A8" s="326">
        <v>2059802</v>
      </c>
      <c r="B8" s="327" t="s">
        <v>1298</v>
      </c>
      <c r="C8" s="328">
        <v>0</v>
      </c>
      <c r="D8" s="404"/>
      <c r="E8" s="404"/>
      <c r="F8" s="400">
        <f>VLOOKUP(A8,'[5]2基金部分支出'!$A$5:$D$333,4,FALSE)</f>
        <v>0</v>
      </c>
      <c r="G8" s="404" t="str">
        <f t="shared" si="0"/>
        <v/>
      </c>
      <c r="H8" s="404" t="str">
        <f t="shared" si="1"/>
        <v/>
      </c>
      <c r="I8" s="349" t="str">
        <f t="shared" si="2"/>
        <v>否</v>
      </c>
      <c r="J8" s="313" t="str">
        <f t="shared" si="3"/>
        <v>项</v>
      </c>
    </row>
    <row r="9" s="307" customFormat="1" ht="18.75" hidden="1" spans="1:10">
      <c r="A9" s="326">
        <v>2059803</v>
      </c>
      <c r="B9" s="327" t="s">
        <v>1299</v>
      </c>
      <c r="C9" s="328">
        <v>0</v>
      </c>
      <c r="D9" s="404"/>
      <c r="E9" s="404"/>
      <c r="F9" s="400">
        <f>VLOOKUP(A9,'[5]2基金部分支出'!$A$5:$D$333,4,FALSE)</f>
        <v>0</v>
      </c>
      <c r="G9" s="404" t="str">
        <f t="shared" si="0"/>
        <v/>
      </c>
      <c r="H9" s="404" t="str">
        <f t="shared" si="1"/>
        <v/>
      </c>
      <c r="I9" s="349" t="str">
        <f t="shared" si="2"/>
        <v>否</v>
      </c>
      <c r="J9" s="313" t="str">
        <f t="shared" si="3"/>
        <v>项</v>
      </c>
    </row>
    <row r="10" s="307" customFormat="1" ht="18.75" hidden="1" spans="1:10">
      <c r="A10" s="326">
        <v>2059804</v>
      </c>
      <c r="B10" s="327" t="s">
        <v>1300</v>
      </c>
      <c r="C10" s="328">
        <v>0</v>
      </c>
      <c r="D10" s="404"/>
      <c r="E10" s="404"/>
      <c r="F10" s="400">
        <f>VLOOKUP(A10,'[5]2基金部分支出'!$A$5:$D$333,4,FALSE)</f>
        <v>0</v>
      </c>
      <c r="G10" s="404" t="str">
        <f t="shared" si="0"/>
        <v/>
      </c>
      <c r="H10" s="404" t="str">
        <f t="shared" si="1"/>
        <v/>
      </c>
      <c r="I10" s="349" t="str">
        <f t="shared" si="2"/>
        <v>否</v>
      </c>
      <c r="J10" s="313" t="str">
        <f t="shared" si="3"/>
        <v>项</v>
      </c>
    </row>
    <row r="11" s="307" customFormat="1" ht="18.75" hidden="1" spans="1:10">
      <c r="A11" s="326">
        <v>2059899</v>
      </c>
      <c r="B11" s="327" t="s">
        <v>1301</v>
      </c>
      <c r="C11" s="328">
        <v>0</v>
      </c>
      <c r="D11" s="404"/>
      <c r="E11" s="404"/>
      <c r="F11" s="400">
        <f>VLOOKUP(A11,'[5]2基金部分支出'!$A$5:$D$333,4,FALSE)</f>
        <v>0</v>
      </c>
      <c r="G11" s="404" t="str">
        <f t="shared" si="0"/>
        <v/>
      </c>
      <c r="H11" s="404" t="str">
        <f t="shared" si="1"/>
        <v/>
      </c>
      <c r="I11" s="349" t="str">
        <f t="shared" si="2"/>
        <v>否</v>
      </c>
      <c r="J11" s="313" t="str">
        <f t="shared" si="3"/>
        <v>项</v>
      </c>
    </row>
    <row r="12" s="307" customFormat="1" ht="18.75" spans="1:10">
      <c r="A12" s="323">
        <v>206</v>
      </c>
      <c r="B12" s="324" t="s">
        <v>1302</v>
      </c>
      <c r="C12" s="325">
        <v>0</v>
      </c>
      <c r="D12" s="403"/>
      <c r="E12" s="403"/>
      <c r="F12" s="399">
        <v>0</v>
      </c>
      <c r="G12" s="403" t="str">
        <f t="shared" si="0"/>
        <v/>
      </c>
      <c r="H12" s="403" t="str">
        <f t="shared" si="1"/>
        <v/>
      </c>
      <c r="I12" s="349" t="str">
        <f t="shared" si="2"/>
        <v>是</v>
      </c>
      <c r="J12" s="313" t="str">
        <f t="shared" si="3"/>
        <v>类</v>
      </c>
    </row>
    <row r="13" s="307" customFormat="1" ht="18.75" hidden="1" spans="1:10">
      <c r="A13" s="326">
        <v>20698</v>
      </c>
      <c r="B13" s="327" t="s">
        <v>1296</v>
      </c>
      <c r="C13" s="328">
        <v>0</v>
      </c>
      <c r="D13" s="404"/>
      <c r="E13" s="404"/>
      <c r="F13" s="399">
        <f>VLOOKUP(A13,'[5]2基金部分支出'!$A$5:$D$333,4,FALSE)</f>
        <v>0</v>
      </c>
      <c r="G13" s="403" t="str">
        <f t="shared" si="0"/>
        <v/>
      </c>
      <c r="H13" s="403" t="str">
        <f t="shared" si="1"/>
        <v/>
      </c>
      <c r="I13" s="349" t="str">
        <f t="shared" si="2"/>
        <v>否</v>
      </c>
      <c r="J13" s="313" t="str">
        <f t="shared" si="3"/>
        <v>款</v>
      </c>
    </row>
    <row r="14" s="307" customFormat="1" ht="18.75" hidden="1" spans="1:10">
      <c r="A14" s="326">
        <v>2069801</v>
      </c>
      <c r="B14" s="327" t="s">
        <v>1303</v>
      </c>
      <c r="C14" s="328">
        <v>0</v>
      </c>
      <c r="D14" s="404"/>
      <c r="E14" s="404"/>
      <c r="F14" s="400">
        <f>VLOOKUP(A14,'[5]2基金部分支出'!$A$5:$D$333,4,FALSE)</f>
        <v>0</v>
      </c>
      <c r="G14" s="404" t="str">
        <f t="shared" si="0"/>
        <v/>
      </c>
      <c r="H14" s="404" t="str">
        <f t="shared" si="1"/>
        <v/>
      </c>
      <c r="I14" s="349" t="str">
        <f t="shared" si="2"/>
        <v>否</v>
      </c>
      <c r="J14" s="313" t="str">
        <f t="shared" si="3"/>
        <v>项</v>
      </c>
    </row>
    <row r="15" s="307" customFormat="1" ht="18.75" hidden="1" spans="1:10">
      <c r="A15" s="326">
        <v>2069802</v>
      </c>
      <c r="B15" s="327" t="s">
        <v>1304</v>
      </c>
      <c r="C15" s="328">
        <v>0</v>
      </c>
      <c r="D15" s="404"/>
      <c r="E15" s="404"/>
      <c r="F15" s="400">
        <f>VLOOKUP(A15,'[5]2基金部分支出'!$A$5:$D$333,4,FALSE)</f>
        <v>0</v>
      </c>
      <c r="G15" s="404" t="str">
        <f t="shared" si="0"/>
        <v/>
      </c>
      <c r="H15" s="404" t="str">
        <f t="shared" si="1"/>
        <v/>
      </c>
      <c r="I15" s="349" t="str">
        <f t="shared" si="2"/>
        <v>否</v>
      </c>
      <c r="J15" s="313" t="str">
        <f t="shared" si="3"/>
        <v>项</v>
      </c>
    </row>
    <row r="16" s="307" customFormat="1" ht="18.75" hidden="1" spans="1:10">
      <c r="A16" s="326">
        <v>2069803</v>
      </c>
      <c r="B16" s="327" t="s">
        <v>1305</v>
      </c>
      <c r="C16" s="328">
        <v>0</v>
      </c>
      <c r="D16" s="404"/>
      <c r="E16" s="404"/>
      <c r="F16" s="400">
        <f>VLOOKUP(A16,'[5]2基金部分支出'!$A$5:$D$333,4,FALSE)</f>
        <v>0</v>
      </c>
      <c r="G16" s="404" t="str">
        <f t="shared" si="0"/>
        <v/>
      </c>
      <c r="H16" s="404" t="str">
        <f t="shared" si="1"/>
        <v/>
      </c>
      <c r="I16" s="349" t="str">
        <f t="shared" si="2"/>
        <v>否</v>
      </c>
      <c r="J16" s="313" t="str">
        <f t="shared" si="3"/>
        <v>项</v>
      </c>
    </row>
    <row r="17" s="307" customFormat="1" ht="18.75" hidden="1" spans="1:10">
      <c r="A17" s="326">
        <v>2069804</v>
      </c>
      <c r="B17" s="327" t="s">
        <v>1306</v>
      </c>
      <c r="C17" s="328">
        <v>0</v>
      </c>
      <c r="D17" s="404"/>
      <c r="E17" s="404"/>
      <c r="F17" s="400">
        <f>VLOOKUP(A17,'[5]2基金部分支出'!$A$5:$D$333,4,FALSE)</f>
        <v>0</v>
      </c>
      <c r="G17" s="404" t="str">
        <f t="shared" si="0"/>
        <v/>
      </c>
      <c r="H17" s="404" t="str">
        <f t="shared" si="1"/>
        <v/>
      </c>
      <c r="I17" s="349" t="str">
        <f t="shared" si="2"/>
        <v>否</v>
      </c>
      <c r="J17" s="313" t="str">
        <f t="shared" si="3"/>
        <v>项</v>
      </c>
    </row>
    <row r="18" s="307" customFormat="1" ht="18.75" hidden="1" spans="1:10">
      <c r="A18" s="326">
        <v>2069805</v>
      </c>
      <c r="B18" s="327" t="s">
        <v>1307</v>
      </c>
      <c r="C18" s="328">
        <v>0</v>
      </c>
      <c r="D18" s="404"/>
      <c r="E18" s="404"/>
      <c r="F18" s="400">
        <f>VLOOKUP(A18,'[5]2基金部分支出'!$A$5:$D$333,4,FALSE)</f>
        <v>0</v>
      </c>
      <c r="G18" s="404" t="str">
        <f t="shared" si="0"/>
        <v/>
      </c>
      <c r="H18" s="404" t="str">
        <f t="shared" si="1"/>
        <v/>
      </c>
      <c r="I18" s="349" t="str">
        <f t="shared" si="2"/>
        <v>否</v>
      </c>
      <c r="J18" s="313" t="str">
        <f t="shared" si="3"/>
        <v>项</v>
      </c>
    </row>
    <row r="19" s="307" customFormat="1" ht="18.75" hidden="1" spans="1:10">
      <c r="A19" s="326">
        <v>2069899</v>
      </c>
      <c r="B19" s="327" t="s">
        <v>1308</v>
      </c>
      <c r="C19" s="328">
        <v>0</v>
      </c>
      <c r="D19" s="404"/>
      <c r="E19" s="404"/>
      <c r="F19" s="400">
        <f>VLOOKUP(A19,'[5]2基金部分支出'!$A$5:$D$333,4,FALSE)</f>
        <v>0</v>
      </c>
      <c r="G19" s="404" t="str">
        <f t="shared" si="0"/>
        <v/>
      </c>
      <c r="H19" s="404" t="str">
        <f t="shared" si="1"/>
        <v/>
      </c>
      <c r="I19" s="349" t="str">
        <f t="shared" si="2"/>
        <v>否</v>
      </c>
      <c r="J19" s="313" t="str">
        <f t="shared" si="3"/>
        <v>项</v>
      </c>
    </row>
    <row r="20" ht="18.75" spans="1:10">
      <c r="A20" s="329">
        <v>207</v>
      </c>
      <c r="B20" s="377" t="s">
        <v>1309</v>
      </c>
      <c r="C20" s="325">
        <f>C21+C27+C33+C36</f>
        <v>19</v>
      </c>
      <c r="D20" s="325">
        <f>D21+D27+D33+D36</f>
        <v>0</v>
      </c>
      <c r="E20" s="325">
        <f>E21+E27+E33+E36</f>
        <v>0</v>
      </c>
      <c r="F20" s="325">
        <f>F21+F27+F33+F36</f>
        <v>1375</v>
      </c>
      <c r="G20" s="403">
        <f t="shared" si="0"/>
        <v>71.3684210526316</v>
      </c>
      <c r="H20" s="403" t="str">
        <f t="shared" si="1"/>
        <v/>
      </c>
      <c r="I20" s="349" t="str">
        <f t="shared" si="2"/>
        <v>是</v>
      </c>
      <c r="J20" s="313" t="str">
        <f t="shared" si="3"/>
        <v>类</v>
      </c>
    </row>
    <row r="21" ht="18.75" spans="1:10">
      <c r="A21" s="330">
        <v>20707</v>
      </c>
      <c r="B21" s="379" t="s">
        <v>1310</v>
      </c>
      <c r="C21" s="328">
        <f>SUM(C22:C26)</f>
        <v>19</v>
      </c>
      <c r="D21" s="328">
        <f>SUM(D22:D26)</f>
        <v>0</v>
      </c>
      <c r="E21" s="328">
        <f>SUM(E22:E26)</f>
        <v>0</v>
      </c>
      <c r="F21" s="328">
        <f>SUM(F22:F26)</f>
        <v>2</v>
      </c>
      <c r="G21" s="404">
        <f t="shared" si="0"/>
        <v>-0.894736842105263</v>
      </c>
      <c r="H21" s="404" t="str">
        <f t="shared" si="1"/>
        <v/>
      </c>
      <c r="I21" s="349" t="str">
        <f t="shared" si="2"/>
        <v>是</v>
      </c>
      <c r="J21" s="313" t="str">
        <f t="shared" si="3"/>
        <v>款</v>
      </c>
    </row>
    <row r="22" ht="18.75" hidden="1" spans="1:10">
      <c r="A22" s="330">
        <v>2070701</v>
      </c>
      <c r="B22" s="379" t="s">
        <v>1311</v>
      </c>
      <c r="C22" s="328">
        <v>19</v>
      </c>
      <c r="D22" s="404"/>
      <c r="E22" s="404"/>
      <c r="F22" s="400">
        <v>1</v>
      </c>
      <c r="G22" s="404">
        <f t="shared" si="0"/>
        <v>-0.947368421052632</v>
      </c>
      <c r="H22" s="404" t="str">
        <f t="shared" si="1"/>
        <v/>
      </c>
      <c r="I22" s="349" t="str">
        <f t="shared" si="2"/>
        <v>是</v>
      </c>
      <c r="J22" s="313" t="str">
        <f t="shared" si="3"/>
        <v>项</v>
      </c>
    </row>
    <row r="23" ht="18.75" hidden="1" spans="1:10">
      <c r="A23" s="330">
        <v>2070702</v>
      </c>
      <c r="B23" s="379" t="s">
        <v>1312</v>
      </c>
      <c r="C23" s="328">
        <v>0</v>
      </c>
      <c r="D23" s="404"/>
      <c r="E23" s="404"/>
      <c r="F23" s="400">
        <v>0</v>
      </c>
      <c r="G23" s="404" t="str">
        <f t="shared" si="0"/>
        <v/>
      </c>
      <c r="H23" s="404" t="str">
        <f t="shared" si="1"/>
        <v/>
      </c>
      <c r="I23" s="349" t="str">
        <f t="shared" si="2"/>
        <v>否</v>
      </c>
      <c r="J23" s="313" t="str">
        <f t="shared" si="3"/>
        <v>项</v>
      </c>
    </row>
    <row r="24" ht="18.75" hidden="1" spans="1:10">
      <c r="A24" s="330">
        <v>2070703</v>
      </c>
      <c r="B24" s="379" t="s">
        <v>1313</v>
      </c>
      <c r="C24" s="328">
        <v>0</v>
      </c>
      <c r="D24" s="404"/>
      <c r="E24" s="404"/>
      <c r="F24" s="400">
        <v>0</v>
      </c>
      <c r="G24" s="404" t="str">
        <f t="shared" si="0"/>
        <v/>
      </c>
      <c r="H24" s="404" t="str">
        <f t="shared" si="1"/>
        <v/>
      </c>
      <c r="I24" s="349" t="str">
        <f t="shared" si="2"/>
        <v>否</v>
      </c>
      <c r="J24" s="313" t="str">
        <f t="shared" si="3"/>
        <v>项</v>
      </c>
    </row>
    <row r="25" s="312" customFormat="1" ht="18.75" hidden="1" spans="1:10">
      <c r="A25" s="330">
        <v>2070704</v>
      </c>
      <c r="B25" s="379" t="s">
        <v>1314</v>
      </c>
      <c r="C25" s="328">
        <v>0</v>
      </c>
      <c r="D25" s="404"/>
      <c r="E25" s="404"/>
      <c r="F25" s="400">
        <v>0</v>
      </c>
      <c r="G25" s="404" t="str">
        <f t="shared" si="0"/>
        <v/>
      </c>
      <c r="H25" s="404" t="str">
        <f t="shared" si="1"/>
        <v/>
      </c>
      <c r="I25" s="349" t="str">
        <f t="shared" si="2"/>
        <v>否</v>
      </c>
      <c r="J25" s="313" t="str">
        <f t="shared" si="3"/>
        <v>项</v>
      </c>
    </row>
    <row r="26" ht="18.75" hidden="1" spans="1:10">
      <c r="A26" s="330">
        <v>2070799</v>
      </c>
      <c r="B26" s="379" t="s">
        <v>1315</v>
      </c>
      <c r="C26" s="328">
        <v>0</v>
      </c>
      <c r="D26" s="404"/>
      <c r="E26" s="404"/>
      <c r="F26" s="400">
        <v>1</v>
      </c>
      <c r="G26" s="404" t="str">
        <f t="shared" si="0"/>
        <v/>
      </c>
      <c r="H26" s="404" t="str">
        <f t="shared" si="1"/>
        <v/>
      </c>
      <c r="I26" s="349" t="str">
        <f t="shared" si="2"/>
        <v>是</v>
      </c>
      <c r="J26" s="313" t="str">
        <f t="shared" si="3"/>
        <v>项</v>
      </c>
    </row>
    <row r="27" ht="18.75" spans="1:10">
      <c r="A27" s="330">
        <v>20709</v>
      </c>
      <c r="B27" s="379" t="s">
        <v>1316</v>
      </c>
      <c r="C27" s="328">
        <f>SUM(C28:C32)</f>
        <v>0</v>
      </c>
      <c r="D27" s="328">
        <f>SUM(D28:D32)</f>
        <v>0</v>
      </c>
      <c r="E27" s="328">
        <f>SUM(E28:E32)</f>
        <v>0</v>
      </c>
      <c r="F27" s="328">
        <f>SUM(F28:F32)</f>
        <v>133</v>
      </c>
      <c r="G27" s="403" t="str">
        <f t="shared" si="0"/>
        <v/>
      </c>
      <c r="H27" s="403" t="str">
        <f t="shared" si="1"/>
        <v/>
      </c>
      <c r="I27" s="349" t="str">
        <f t="shared" si="2"/>
        <v>是</v>
      </c>
      <c r="J27" s="313" t="str">
        <f t="shared" si="3"/>
        <v>款</v>
      </c>
    </row>
    <row r="28" s="312" customFormat="1" ht="18.75" hidden="1" spans="1:10">
      <c r="A28" s="330">
        <v>2070901</v>
      </c>
      <c r="B28" s="379" t="s">
        <v>1317</v>
      </c>
      <c r="C28" s="328">
        <v>0</v>
      </c>
      <c r="D28" s="404"/>
      <c r="E28" s="404"/>
      <c r="F28" s="400">
        <v>60</v>
      </c>
      <c r="G28" s="404" t="str">
        <f t="shared" si="0"/>
        <v/>
      </c>
      <c r="H28" s="404" t="str">
        <f t="shared" si="1"/>
        <v/>
      </c>
      <c r="I28" s="349" t="str">
        <f t="shared" si="2"/>
        <v>是</v>
      </c>
      <c r="J28" s="313" t="str">
        <f t="shared" si="3"/>
        <v>项</v>
      </c>
    </row>
    <row r="29" ht="18.75" hidden="1" spans="1:10">
      <c r="A29" s="330">
        <v>2070902</v>
      </c>
      <c r="B29" s="379" t="s">
        <v>1318</v>
      </c>
      <c r="C29" s="328">
        <v>0</v>
      </c>
      <c r="D29" s="404"/>
      <c r="E29" s="404"/>
      <c r="F29" s="400">
        <v>0</v>
      </c>
      <c r="G29" s="404" t="str">
        <f t="shared" si="0"/>
        <v/>
      </c>
      <c r="H29" s="404" t="str">
        <f t="shared" si="1"/>
        <v/>
      </c>
      <c r="I29" s="349" t="str">
        <f t="shared" si="2"/>
        <v>否</v>
      </c>
      <c r="J29" s="313" t="str">
        <f t="shared" si="3"/>
        <v>项</v>
      </c>
    </row>
    <row r="30" s="312" customFormat="1" ht="18.75" hidden="1" spans="1:10">
      <c r="A30" s="330">
        <v>2070903</v>
      </c>
      <c r="B30" s="379" t="s">
        <v>1319</v>
      </c>
      <c r="C30" s="328">
        <v>0</v>
      </c>
      <c r="D30" s="404"/>
      <c r="E30" s="404"/>
      <c r="F30" s="400">
        <v>16</v>
      </c>
      <c r="G30" s="404" t="str">
        <f t="shared" si="0"/>
        <v/>
      </c>
      <c r="H30" s="404" t="str">
        <f t="shared" si="1"/>
        <v/>
      </c>
      <c r="I30" s="349" t="str">
        <f t="shared" si="2"/>
        <v>是</v>
      </c>
      <c r="J30" s="313" t="str">
        <f t="shared" si="3"/>
        <v>项</v>
      </c>
    </row>
    <row r="31" ht="18.75" hidden="1" spans="1:10">
      <c r="A31" s="330">
        <v>2070904</v>
      </c>
      <c r="B31" s="379" t="s">
        <v>1320</v>
      </c>
      <c r="C31" s="328">
        <v>0</v>
      </c>
      <c r="D31" s="404"/>
      <c r="E31" s="404"/>
      <c r="F31" s="400">
        <v>57</v>
      </c>
      <c r="G31" s="404" t="str">
        <f t="shared" si="0"/>
        <v/>
      </c>
      <c r="H31" s="404" t="str">
        <f t="shared" si="1"/>
        <v/>
      </c>
      <c r="I31" s="349" t="str">
        <f t="shared" si="2"/>
        <v>是</v>
      </c>
      <c r="J31" s="313" t="str">
        <f t="shared" si="3"/>
        <v>项</v>
      </c>
    </row>
    <row r="32" ht="18.75" hidden="1" spans="1:10">
      <c r="A32" s="330">
        <v>2070999</v>
      </c>
      <c r="B32" s="379" t="s">
        <v>1321</v>
      </c>
      <c r="C32" s="328"/>
      <c r="D32" s="404"/>
      <c r="E32" s="404"/>
      <c r="F32" s="400">
        <v>0</v>
      </c>
      <c r="G32" s="404" t="str">
        <f t="shared" si="0"/>
        <v/>
      </c>
      <c r="H32" s="404" t="str">
        <f t="shared" si="1"/>
        <v/>
      </c>
      <c r="I32" s="349" t="str">
        <f t="shared" si="2"/>
        <v>否</v>
      </c>
      <c r="J32" s="313" t="str">
        <f t="shared" si="3"/>
        <v>项</v>
      </c>
    </row>
    <row r="33" s="312" customFormat="1" ht="37.5" hidden="1" spans="1:10">
      <c r="A33" s="330">
        <v>20710</v>
      </c>
      <c r="B33" s="379" t="s">
        <v>1322</v>
      </c>
      <c r="C33" s="328">
        <v>0</v>
      </c>
      <c r="D33" s="404"/>
      <c r="E33" s="404"/>
      <c r="F33" s="399">
        <v>0</v>
      </c>
      <c r="G33" s="403" t="str">
        <f t="shared" si="0"/>
        <v/>
      </c>
      <c r="H33" s="403" t="str">
        <f t="shared" si="1"/>
        <v/>
      </c>
      <c r="I33" s="349" t="str">
        <f t="shared" si="2"/>
        <v>否</v>
      </c>
      <c r="J33" s="313" t="str">
        <f t="shared" si="3"/>
        <v>款</v>
      </c>
    </row>
    <row r="34" s="312" customFormat="1" ht="18.75" hidden="1" spans="1:10">
      <c r="A34" s="330">
        <v>2071001</v>
      </c>
      <c r="B34" s="379" t="s">
        <v>1323</v>
      </c>
      <c r="C34" s="328">
        <v>0</v>
      </c>
      <c r="D34" s="404"/>
      <c r="E34" s="404"/>
      <c r="F34" s="400">
        <v>0</v>
      </c>
      <c r="G34" s="404" t="str">
        <f t="shared" si="0"/>
        <v/>
      </c>
      <c r="H34" s="404" t="str">
        <f t="shared" si="1"/>
        <v/>
      </c>
      <c r="I34" s="349" t="str">
        <f t="shared" si="2"/>
        <v>否</v>
      </c>
      <c r="J34" s="313" t="str">
        <f t="shared" si="3"/>
        <v>项</v>
      </c>
    </row>
    <row r="35" s="312" customFormat="1" ht="37.5" hidden="1" spans="1:10">
      <c r="A35" s="330">
        <v>2071099</v>
      </c>
      <c r="B35" s="379" t="s">
        <v>1324</v>
      </c>
      <c r="C35" s="328">
        <v>0</v>
      </c>
      <c r="D35" s="404"/>
      <c r="E35" s="404"/>
      <c r="F35" s="400">
        <v>0</v>
      </c>
      <c r="G35" s="404" t="str">
        <f t="shared" si="0"/>
        <v/>
      </c>
      <c r="H35" s="404" t="str">
        <f t="shared" si="1"/>
        <v/>
      </c>
      <c r="I35" s="349" t="str">
        <f t="shared" si="2"/>
        <v>否</v>
      </c>
      <c r="J35" s="313" t="str">
        <f t="shared" si="3"/>
        <v>项</v>
      </c>
    </row>
    <row r="36" s="313" customFormat="1" ht="18.75" spans="1:10">
      <c r="A36" s="331">
        <v>20798</v>
      </c>
      <c r="B36" s="327" t="s">
        <v>1296</v>
      </c>
      <c r="C36" s="328">
        <f>SUM(C37:C42)</f>
        <v>0</v>
      </c>
      <c r="D36" s="328">
        <f>SUM(D37:D42)</f>
        <v>0</v>
      </c>
      <c r="E36" s="328">
        <f>SUM(E37:E42)</f>
        <v>0</v>
      </c>
      <c r="F36" s="328">
        <f>SUM(F37:F42)</f>
        <v>1240</v>
      </c>
      <c r="G36" s="403" t="str">
        <f t="shared" si="0"/>
        <v/>
      </c>
      <c r="H36" s="403" t="str">
        <f t="shared" si="1"/>
        <v/>
      </c>
      <c r="I36" s="349" t="str">
        <f t="shared" si="2"/>
        <v>是</v>
      </c>
      <c r="J36" s="313" t="str">
        <f t="shared" si="3"/>
        <v>款</v>
      </c>
    </row>
    <row r="37" s="313" customFormat="1" ht="18.75" hidden="1" spans="1:10">
      <c r="A37" s="331">
        <v>2079801</v>
      </c>
      <c r="B37" s="327" t="s">
        <v>1325</v>
      </c>
      <c r="C37" s="328"/>
      <c r="D37" s="404"/>
      <c r="E37" s="404"/>
      <c r="F37" s="400">
        <v>1240</v>
      </c>
      <c r="G37" s="404" t="str">
        <f t="shared" si="0"/>
        <v/>
      </c>
      <c r="H37" s="404" t="str">
        <f t="shared" si="1"/>
        <v/>
      </c>
      <c r="I37" s="349" t="str">
        <f t="shared" si="2"/>
        <v>是</v>
      </c>
      <c r="J37" s="313" t="str">
        <f t="shared" si="3"/>
        <v>项</v>
      </c>
    </row>
    <row r="38" s="313" customFormat="1" ht="18.75" hidden="1" spans="1:10">
      <c r="A38" s="331">
        <v>2079802</v>
      </c>
      <c r="B38" s="327" t="s">
        <v>1326</v>
      </c>
      <c r="C38" s="328"/>
      <c r="D38" s="404"/>
      <c r="E38" s="404"/>
      <c r="F38" s="400">
        <v>0</v>
      </c>
      <c r="G38" s="404" t="str">
        <f t="shared" si="0"/>
        <v/>
      </c>
      <c r="H38" s="404" t="str">
        <f t="shared" si="1"/>
        <v/>
      </c>
      <c r="I38" s="349" t="str">
        <f t="shared" si="2"/>
        <v>否</v>
      </c>
      <c r="J38" s="313" t="str">
        <f t="shared" si="3"/>
        <v>项</v>
      </c>
    </row>
    <row r="39" s="313" customFormat="1" ht="18.75" hidden="1" spans="1:10">
      <c r="A39" s="331">
        <v>2079803</v>
      </c>
      <c r="B39" s="327" t="s">
        <v>1327</v>
      </c>
      <c r="C39" s="328"/>
      <c r="D39" s="404"/>
      <c r="E39" s="404"/>
      <c r="F39" s="400">
        <v>0</v>
      </c>
      <c r="G39" s="404" t="str">
        <f t="shared" si="0"/>
        <v/>
      </c>
      <c r="H39" s="404" t="str">
        <f t="shared" si="1"/>
        <v/>
      </c>
      <c r="I39" s="349" t="str">
        <f t="shared" si="2"/>
        <v>否</v>
      </c>
      <c r="J39" s="313" t="str">
        <f t="shared" si="3"/>
        <v>项</v>
      </c>
    </row>
    <row r="40" s="313" customFormat="1" ht="18.75" hidden="1" spans="1:10">
      <c r="A40" s="331">
        <v>2079804</v>
      </c>
      <c r="B40" s="327" t="s">
        <v>1328</v>
      </c>
      <c r="C40" s="328"/>
      <c r="D40" s="404"/>
      <c r="E40" s="404"/>
      <c r="F40" s="400">
        <v>0</v>
      </c>
      <c r="G40" s="404" t="str">
        <f t="shared" si="0"/>
        <v/>
      </c>
      <c r="H40" s="404" t="str">
        <f t="shared" si="1"/>
        <v/>
      </c>
      <c r="I40" s="349" t="str">
        <f t="shared" si="2"/>
        <v>否</v>
      </c>
      <c r="J40" s="313" t="str">
        <f t="shared" si="3"/>
        <v>项</v>
      </c>
    </row>
    <row r="41" s="313" customFormat="1" ht="18.75" hidden="1" spans="1:10">
      <c r="A41" s="331">
        <v>2079805</v>
      </c>
      <c r="B41" s="327" t="s">
        <v>1329</v>
      </c>
      <c r="C41" s="328"/>
      <c r="D41" s="404"/>
      <c r="E41" s="404"/>
      <c r="F41" s="400">
        <v>0</v>
      </c>
      <c r="G41" s="404" t="str">
        <f t="shared" si="0"/>
        <v/>
      </c>
      <c r="H41" s="404" t="str">
        <f t="shared" si="1"/>
        <v/>
      </c>
      <c r="I41" s="349" t="str">
        <f t="shared" si="2"/>
        <v>否</v>
      </c>
      <c r="J41" s="313" t="str">
        <f t="shared" si="3"/>
        <v>项</v>
      </c>
    </row>
    <row r="42" s="313" customFormat="1" ht="18.75" hidden="1" spans="1:10">
      <c r="A42" s="331">
        <v>2079899</v>
      </c>
      <c r="B42" s="327" t="s">
        <v>579</v>
      </c>
      <c r="C42" s="328"/>
      <c r="D42" s="404"/>
      <c r="E42" s="404"/>
      <c r="F42" s="400">
        <v>0</v>
      </c>
      <c r="G42" s="404" t="str">
        <f t="shared" si="0"/>
        <v/>
      </c>
      <c r="H42" s="404" t="str">
        <f t="shared" si="1"/>
        <v/>
      </c>
      <c r="I42" s="349" t="str">
        <f t="shared" si="2"/>
        <v>否</v>
      </c>
      <c r="J42" s="313" t="str">
        <f t="shared" si="3"/>
        <v>项</v>
      </c>
    </row>
    <row r="43" s="309" customFormat="1" ht="18.75" spans="1:10">
      <c r="A43" s="332">
        <v>208</v>
      </c>
      <c r="B43" s="333" t="s">
        <v>1330</v>
      </c>
      <c r="C43" s="325">
        <v>0</v>
      </c>
      <c r="D43" s="403"/>
      <c r="E43" s="403"/>
      <c r="F43" s="399">
        <v>0</v>
      </c>
      <c r="G43" s="403" t="str">
        <f t="shared" si="0"/>
        <v/>
      </c>
      <c r="H43" s="403" t="str">
        <f t="shared" si="1"/>
        <v/>
      </c>
      <c r="I43" s="349" t="str">
        <f t="shared" si="2"/>
        <v>是</v>
      </c>
      <c r="J43" s="309" t="str">
        <f t="shared" si="3"/>
        <v>类</v>
      </c>
    </row>
    <row r="44" s="309" customFormat="1" ht="18.75" hidden="1" spans="1:10">
      <c r="A44" s="334">
        <v>20898</v>
      </c>
      <c r="B44" s="335" t="s">
        <v>1331</v>
      </c>
      <c r="C44" s="328">
        <v>0</v>
      </c>
      <c r="D44" s="404"/>
      <c r="E44" s="404"/>
      <c r="F44" s="399">
        <v>0</v>
      </c>
      <c r="G44" s="403" t="str">
        <f t="shared" si="0"/>
        <v/>
      </c>
      <c r="H44" s="403" t="str">
        <f t="shared" si="1"/>
        <v/>
      </c>
      <c r="I44" s="349" t="str">
        <f t="shared" si="2"/>
        <v>否</v>
      </c>
      <c r="J44" s="309" t="str">
        <f t="shared" si="3"/>
        <v>款</v>
      </c>
    </row>
    <row r="45" s="309" customFormat="1" ht="18.75" hidden="1" spans="1:10">
      <c r="A45" s="334">
        <v>2089801</v>
      </c>
      <c r="B45" s="335" t="s">
        <v>1332</v>
      </c>
      <c r="C45" s="328">
        <v>0</v>
      </c>
      <c r="D45" s="404"/>
      <c r="E45" s="404"/>
      <c r="F45" s="400">
        <v>0</v>
      </c>
      <c r="G45" s="404" t="str">
        <f t="shared" si="0"/>
        <v/>
      </c>
      <c r="H45" s="404" t="str">
        <f t="shared" si="1"/>
        <v/>
      </c>
      <c r="I45" s="349" t="str">
        <f t="shared" si="2"/>
        <v>否</v>
      </c>
      <c r="J45" s="309" t="str">
        <f t="shared" si="3"/>
        <v>项</v>
      </c>
    </row>
    <row r="46" s="309" customFormat="1" ht="18.75" hidden="1" spans="1:10">
      <c r="A46" s="334">
        <v>2089802</v>
      </c>
      <c r="B46" s="335" t="s">
        <v>1333</v>
      </c>
      <c r="C46" s="328">
        <v>0</v>
      </c>
      <c r="D46" s="404"/>
      <c r="E46" s="404"/>
      <c r="F46" s="400">
        <v>0</v>
      </c>
      <c r="G46" s="404" t="str">
        <f t="shared" si="0"/>
        <v/>
      </c>
      <c r="H46" s="404" t="str">
        <f t="shared" si="1"/>
        <v/>
      </c>
      <c r="I46" s="349" t="str">
        <f t="shared" si="2"/>
        <v>否</v>
      </c>
      <c r="J46" s="309" t="str">
        <f t="shared" si="3"/>
        <v>项</v>
      </c>
    </row>
    <row r="47" s="309" customFormat="1" ht="18.75" hidden="1" spans="1:10">
      <c r="A47" s="334">
        <v>2089899</v>
      </c>
      <c r="B47" s="335" t="s">
        <v>1334</v>
      </c>
      <c r="C47" s="328">
        <v>0</v>
      </c>
      <c r="D47" s="404"/>
      <c r="E47" s="404"/>
      <c r="F47" s="400">
        <v>0</v>
      </c>
      <c r="G47" s="404" t="str">
        <f t="shared" si="0"/>
        <v/>
      </c>
      <c r="H47" s="404" t="str">
        <f t="shared" si="1"/>
        <v/>
      </c>
      <c r="I47" s="349" t="str">
        <f t="shared" si="2"/>
        <v>否</v>
      </c>
      <c r="J47" s="309" t="str">
        <f t="shared" si="3"/>
        <v>项</v>
      </c>
    </row>
    <row r="48" s="309" customFormat="1" ht="18.75" spans="1:10">
      <c r="A48" s="332">
        <v>210</v>
      </c>
      <c r="B48" s="333" t="s">
        <v>1335</v>
      </c>
      <c r="C48" s="325">
        <v>0</v>
      </c>
      <c r="D48" s="403"/>
      <c r="E48" s="403"/>
      <c r="F48" s="399">
        <v>0</v>
      </c>
      <c r="G48" s="403" t="str">
        <f t="shared" si="0"/>
        <v/>
      </c>
      <c r="H48" s="403" t="str">
        <f t="shared" si="1"/>
        <v/>
      </c>
      <c r="I48" s="349" t="str">
        <f t="shared" si="2"/>
        <v>是</v>
      </c>
      <c r="J48" s="309" t="str">
        <f t="shared" si="3"/>
        <v>类</v>
      </c>
    </row>
    <row r="49" s="309" customFormat="1" ht="18.75" hidden="1" spans="1:10">
      <c r="A49" s="334">
        <v>21098</v>
      </c>
      <c r="B49" s="335" t="s">
        <v>1331</v>
      </c>
      <c r="C49" s="328">
        <v>0</v>
      </c>
      <c r="D49" s="404"/>
      <c r="E49" s="404"/>
      <c r="F49" s="399">
        <v>0</v>
      </c>
      <c r="G49" s="403" t="str">
        <f t="shared" si="0"/>
        <v/>
      </c>
      <c r="H49" s="403" t="str">
        <f t="shared" si="1"/>
        <v/>
      </c>
      <c r="I49" s="349" t="str">
        <f t="shared" si="2"/>
        <v>否</v>
      </c>
      <c r="J49" s="309" t="str">
        <f t="shared" si="3"/>
        <v>款</v>
      </c>
    </row>
    <row r="50" s="309" customFormat="1" ht="18.75" hidden="1" spans="1:10">
      <c r="A50" s="334">
        <v>2109801</v>
      </c>
      <c r="B50" s="335" t="s">
        <v>1336</v>
      </c>
      <c r="C50" s="328">
        <v>0</v>
      </c>
      <c r="D50" s="404"/>
      <c r="E50" s="404"/>
      <c r="F50" s="400">
        <v>0</v>
      </c>
      <c r="G50" s="404" t="str">
        <f t="shared" si="0"/>
        <v/>
      </c>
      <c r="H50" s="404" t="str">
        <f t="shared" si="1"/>
        <v/>
      </c>
      <c r="I50" s="349" t="str">
        <f t="shared" si="2"/>
        <v>否</v>
      </c>
      <c r="J50" s="309" t="str">
        <f t="shared" si="3"/>
        <v>项</v>
      </c>
    </row>
    <row r="51" s="309" customFormat="1" ht="18.75" hidden="1" spans="1:10">
      <c r="A51" s="334">
        <v>2109802</v>
      </c>
      <c r="B51" s="335" t="s">
        <v>1337</v>
      </c>
      <c r="C51" s="328">
        <v>0</v>
      </c>
      <c r="D51" s="404"/>
      <c r="E51" s="404"/>
      <c r="F51" s="400">
        <v>0</v>
      </c>
      <c r="G51" s="404" t="str">
        <f t="shared" si="0"/>
        <v/>
      </c>
      <c r="H51" s="404" t="str">
        <f t="shared" si="1"/>
        <v/>
      </c>
      <c r="I51" s="349" t="str">
        <f t="shared" si="2"/>
        <v>否</v>
      </c>
      <c r="J51" s="309" t="str">
        <f t="shared" si="3"/>
        <v>项</v>
      </c>
    </row>
    <row r="52" s="309" customFormat="1" ht="18.75" hidden="1" spans="1:10">
      <c r="A52" s="334">
        <v>2109803</v>
      </c>
      <c r="B52" s="335" t="s">
        <v>1338</v>
      </c>
      <c r="C52" s="328">
        <v>0</v>
      </c>
      <c r="D52" s="404"/>
      <c r="E52" s="404"/>
      <c r="F52" s="400">
        <v>0</v>
      </c>
      <c r="G52" s="404" t="str">
        <f t="shared" si="0"/>
        <v/>
      </c>
      <c r="H52" s="404" t="str">
        <f t="shared" si="1"/>
        <v/>
      </c>
      <c r="I52" s="349" t="str">
        <f t="shared" si="2"/>
        <v>否</v>
      </c>
      <c r="J52" s="309" t="str">
        <f t="shared" si="3"/>
        <v>项</v>
      </c>
    </row>
    <row r="53" s="309" customFormat="1" ht="18.75" hidden="1" spans="1:10">
      <c r="A53" s="336">
        <v>2109804</v>
      </c>
      <c r="B53" s="337" t="s">
        <v>1339</v>
      </c>
      <c r="C53" s="328">
        <v>0</v>
      </c>
      <c r="D53" s="404"/>
      <c r="E53" s="404"/>
      <c r="F53" s="400">
        <v>0</v>
      </c>
      <c r="G53" s="404" t="str">
        <f t="shared" si="0"/>
        <v/>
      </c>
      <c r="H53" s="404" t="str">
        <f t="shared" si="1"/>
        <v/>
      </c>
      <c r="I53" s="349" t="str">
        <f t="shared" si="2"/>
        <v>否</v>
      </c>
      <c r="J53" s="309" t="str">
        <f t="shared" si="3"/>
        <v>项</v>
      </c>
    </row>
    <row r="54" s="309" customFormat="1" ht="18.75" hidden="1" spans="1:10">
      <c r="A54" s="334">
        <v>2109899</v>
      </c>
      <c r="B54" s="338" t="s">
        <v>1340</v>
      </c>
      <c r="C54" s="328">
        <v>0</v>
      </c>
      <c r="D54" s="404"/>
      <c r="E54" s="404"/>
      <c r="F54" s="400">
        <v>0</v>
      </c>
      <c r="G54" s="404" t="str">
        <f t="shared" si="0"/>
        <v/>
      </c>
      <c r="H54" s="404" t="str">
        <f t="shared" si="1"/>
        <v/>
      </c>
      <c r="I54" s="349" t="str">
        <f t="shared" si="2"/>
        <v>否</v>
      </c>
      <c r="J54" s="309" t="str">
        <f t="shared" si="3"/>
        <v>项</v>
      </c>
    </row>
    <row r="55" ht="18.75" spans="1:10">
      <c r="A55" s="329">
        <v>211</v>
      </c>
      <c r="B55" s="377" t="s">
        <v>1341</v>
      </c>
      <c r="C55" s="325">
        <v>0</v>
      </c>
      <c r="D55" s="403"/>
      <c r="E55" s="403"/>
      <c r="F55" s="399">
        <v>0</v>
      </c>
      <c r="G55" s="403" t="str">
        <f t="shared" si="0"/>
        <v/>
      </c>
      <c r="H55" s="403" t="str">
        <f t="shared" si="1"/>
        <v/>
      </c>
      <c r="I55" s="349" t="str">
        <f t="shared" si="2"/>
        <v>是</v>
      </c>
      <c r="J55" s="313" t="str">
        <f t="shared" si="3"/>
        <v>类</v>
      </c>
    </row>
    <row r="56" ht="18.75" hidden="1" spans="1:10">
      <c r="A56" s="330">
        <v>21160</v>
      </c>
      <c r="B56" s="379" t="s">
        <v>1342</v>
      </c>
      <c r="C56" s="328">
        <v>0</v>
      </c>
      <c r="D56" s="404"/>
      <c r="E56" s="404"/>
      <c r="F56" s="399">
        <v>0</v>
      </c>
      <c r="G56" s="403" t="str">
        <f t="shared" si="0"/>
        <v/>
      </c>
      <c r="H56" s="403" t="str">
        <f t="shared" si="1"/>
        <v/>
      </c>
      <c r="I56" s="349" t="str">
        <f t="shared" si="2"/>
        <v>否</v>
      </c>
      <c r="J56" s="313" t="str">
        <f t="shared" si="3"/>
        <v>款</v>
      </c>
    </row>
    <row r="57" s="312" customFormat="1" ht="18.75" hidden="1" spans="1:10">
      <c r="A57" s="326">
        <v>2116001</v>
      </c>
      <c r="B57" s="379" t="s">
        <v>1343</v>
      </c>
      <c r="C57" s="328">
        <v>0</v>
      </c>
      <c r="D57" s="404"/>
      <c r="E57" s="404"/>
      <c r="F57" s="400">
        <v>0</v>
      </c>
      <c r="G57" s="404" t="str">
        <f t="shared" si="0"/>
        <v/>
      </c>
      <c r="H57" s="404" t="str">
        <f t="shared" si="1"/>
        <v/>
      </c>
      <c r="I57" s="349" t="str">
        <f t="shared" si="2"/>
        <v>否</v>
      </c>
      <c r="J57" s="313" t="str">
        <f t="shared" si="3"/>
        <v>项</v>
      </c>
    </row>
    <row r="58" s="312" customFormat="1" ht="18.75" hidden="1" spans="1:10">
      <c r="A58" s="326">
        <v>2116002</v>
      </c>
      <c r="B58" s="379" t="s">
        <v>1344</v>
      </c>
      <c r="C58" s="328">
        <v>0</v>
      </c>
      <c r="D58" s="404"/>
      <c r="E58" s="404"/>
      <c r="F58" s="400">
        <v>0</v>
      </c>
      <c r="G58" s="404" t="str">
        <f t="shared" si="0"/>
        <v/>
      </c>
      <c r="H58" s="404" t="str">
        <f t="shared" si="1"/>
        <v/>
      </c>
      <c r="I58" s="349" t="str">
        <f t="shared" si="2"/>
        <v>否</v>
      </c>
      <c r="J58" s="313" t="str">
        <f t="shared" si="3"/>
        <v>项</v>
      </c>
    </row>
    <row r="59" s="312" customFormat="1" ht="18.75" hidden="1" spans="1:10">
      <c r="A59" s="326">
        <v>2116003</v>
      </c>
      <c r="B59" s="379" t="s">
        <v>1345</v>
      </c>
      <c r="C59" s="328">
        <v>0</v>
      </c>
      <c r="D59" s="404"/>
      <c r="E59" s="404"/>
      <c r="F59" s="400">
        <v>0</v>
      </c>
      <c r="G59" s="404" t="str">
        <f t="shared" si="0"/>
        <v/>
      </c>
      <c r="H59" s="404" t="str">
        <f t="shared" si="1"/>
        <v/>
      </c>
      <c r="I59" s="349" t="str">
        <f t="shared" si="2"/>
        <v>否</v>
      </c>
      <c r="J59" s="313" t="str">
        <f t="shared" si="3"/>
        <v>项</v>
      </c>
    </row>
    <row r="60" s="310" customFormat="1" ht="37.5" hidden="1" spans="1:10">
      <c r="A60" s="326">
        <v>2116099</v>
      </c>
      <c r="B60" s="379" t="s">
        <v>1346</v>
      </c>
      <c r="C60" s="328">
        <v>0</v>
      </c>
      <c r="D60" s="404"/>
      <c r="E60" s="404"/>
      <c r="F60" s="400">
        <v>0</v>
      </c>
      <c r="G60" s="404" t="str">
        <f t="shared" si="0"/>
        <v/>
      </c>
      <c r="H60" s="404" t="str">
        <f t="shared" si="1"/>
        <v/>
      </c>
      <c r="I60" s="349" t="str">
        <f t="shared" si="2"/>
        <v>否</v>
      </c>
      <c r="J60" s="313" t="str">
        <f t="shared" si="3"/>
        <v>项</v>
      </c>
    </row>
    <row r="61" s="312" customFormat="1" ht="18.75" hidden="1" spans="1:10">
      <c r="A61" s="326">
        <v>21161</v>
      </c>
      <c r="B61" s="379" t="s">
        <v>1347</v>
      </c>
      <c r="C61" s="328">
        <v>0</v>
      </c>
      <c r="D61" s="404"/>
      <c r="E61" s="404"/>
      <c r="F61" s="399">
        <v>0</v>
      </c>
      <c r="G61" s="403" t="str">
        <f t="shared" si="0"/>
        <v/>
      </c>
      <c r="H61" s="403" t="str">
        <f t="shared" si="1"/>
        <v/>
      </c>
      <c r="I61" s="349" t="str">
        <f t="shared" si="2"/>
        <v>否</v>
      </c>
      <c r="J61" s="313" t="str">
        <f t="shared" si="3"/>
        <v>款</v>
      </c>
    </row>
    <row r="62" ht="18.75" hidden="1" spans="1:10">
      <c r="A62" s="326">
        <v>2116101</v>
      </c>
      <c r="B62" s="379" t="s">
        <v>1348</v>
      </c>
      <c r="C62" s="328">
        <v>0</v>
      </c>
      <c r="D62" s="404"/>
      <c r="E62" s="404"/>
      <c r="F62" s="400">
        <v>0</v>
      </c>
      <c r="G62" s="404" t="str">
        <f t="shared" si="0"/>
        <v/>
      </c>
      <c r="H62" s="404" t="str">
        <f t="shared" si="1"/>
        <v/>
      </c>
      <c r="I62" s="349" t="str">
        <f t="shared" si="2"/>
        <v>否</v>
      </c>
      <c r="J62" s="313" t="str">
        <f t="shared" si="3"/>
        <v>项</v>
      </c>
    </row>
    <row r="63" ht="18.75" hidden="1" spans="1:10">
      <c r="A63" s="326">
        <v>2116102</v>
      </c>
      <c r="B63" s="379" t="s">
        <v>1349</v>
      </c>
      <c r="C63" s="328">
        <v>0</v>
      </c>
      <c r="D63" s="404"/>
      <c r="E63" s="404"/>
      <c r="F63" s="400">
        <v>0</v>
      </c>
      <c r="G63" s="404" t="str">
        <f t="shared" si="0"/>
        <v/>
      </c>
      <c r="H63" s="404" t="str">
        <f t="shared" si="1"/>
        <v/>
      </c>
      <c r="I63" s="349" t="str">
        <f t="shared" si="2"/>
        <v>否</v>
      </c>
      <c r="J63" s="313" t="str">
        <f t="shared" si="3"/>
        <v>项</v>
      </c>
    </row>
    <row r="64" ht="18.75" hidden="1" spans="1:10">
      <c r="A64" s="326">
        <v>2116103</v>
      </c>
      <c r="B64" s="379" t="s">
        <v>1350</v>
      </c>
      <c r="C64" s="328">
        <v>0</v>
      </c>
      <c r="D64" s="404"/>
      <c r="E64" s="404"/>
      <c r="F64" s="400">
        <v>0</v>
      </c>
      <c r="G64" s="404" t="str">
        <f t="shared" si="0"/>
        <v/>
      </c>
      <c r="H64" s="404" t="str">
        <f t="shared" si="1"/>
        <v/>
      </c>
      <c r="I64" s="349" t="str">
        <f t="shared" si="2"/>
        <v>否</v>
      </c>
      <c r="J64" s="313" t="str">
        <f t="shared" si="3"/>
        <v>项</v>
      </c>
    </row>
    <row r="65" ht="18.75" hidden="1" spans="1:10">
      <c r="A65" s="326">
        <v>2116104</v>
      </c>
      <c r="B65" s="379" t="s">
        <v>1351</v>
      </c>
      <c r="C65" s="328">
        <v>0</v>
      </c>
      <c r="D65" s="404"/>
      <c r="E65" s="404"/>
      <c r="F65" s="400">
        <v>0</v>
      </c>
      <c r="G65" s="404" t="str">
        <f t="shared" si="0"/>
        <v/>
      </c>
      <c r="H65" s="404" t="str">
        <f t="shared" si="1"/>
        <v/>
      </c>
      <c r="I65" s="349" t="str">
        <f t="shared" si="2"/>
        <v>否</v>
      </c>
      <c r="J65" s="313" t="str">
        <f t="shared" si="3"/>
        <v>项</v>
      </c>
    </row>
    <row r="66" s="309" customFormat="1" ht="18.75" hidden="1" spans="1:10">
      <c r="A66" s="334">
        <v>21198</v>
      </c>
      <c r="B66" s="338" t="s">
        <v>1331</v>
      </c>
      <c r="C66" s="328">
        <v>0</v>
      </c>
      <c r="D66" s="404"/>
      <c r="E66" s="404"/>
      <c r="F66" s="399">
        <v>0</v>
      </c>
      <c r="G66" s="403" t="str">
        <f t="shared" si="0"/>
        <v/>
      </c>
      <c r="H66" s="403" t="str">
        <f t="shared" si="1"/>
        <v/>
      </c>
      <c r="I66" s="349" t="str">
        <f t="shared" si="2"/>
        <v>否</v>
      </c>
      <c r="J66" s="309" t="str">
        <f t="shared" si="3"/>
        <v>款</v>
      </c>
    </row>
    <row r="67" s="309" customFormat="1" ht="18.75" hidden="1" spans="1:10">
      <c r="A67" s="334">
        <v>2119801</v>
      </c>
      <c r="B67" s="338" t="s">
        <v>1352</v>
      </c>
      <c r="C67" s="328">
        <v>0</v>
      </c>
      <c r="D67" s="404"/>
      <c r="E67" s="404"/>
      <c r="F67" s="400">
        <v>0</v>
      </c>
      <c r="G67" s="404" t="str">
        <f t="shared" si="0"/>
        <v/>
      </c>
      <c r="H67" s="404" t="str">
        <f t="shared" si="1"/>
        <v/>
      </c>
      <c r="I67" s="349" t="str">
        <f t="shared" si="2"/>
        <v>否</v>
      </c>
      <c r="J67" s="309" t="str">
        <f t="shared" si="3"/>
        <v>项</v>
      </c>
    </row>
    <row r="68" s="309" customFormat="1" ht="18.75" hidden="1" spans="1:10">
      <c r="A68" s="334">
        <v>2119802</v>
      </c>
      <c r="B68" s="338" t="s">
        <v>1353</v>
      </c>
      <c r="C68" s="328">
        <v>0</v>
      </c>
      <c r="D68" s="404"/>
      <c r="E68" s="404"/>
      <c r="F68" s="400">
        <v>0</v>
      </c>
      <c r="G68" s="404" t="str">
        <f t="shared" si="0"/>
        <v/>
      </c>
      <c r="H68" s="404" t="str">
        <f t="shared" si="1"/>
        <v/>
      </c>
      <c r="I68" s="349" t="str">
        <f t="shared" si="2"/>
        <v>否</v>
      </c>
      <c r="J68" s="309" t="str">
        <f t="shared" si="3"/>
        <v>项</v>
      </c>
    </row>
    <row r="69" s="309" customFormat="1" ht="18.75" hidden="1" spans="1:10">
      <c r="A69" s="334">
        <v>2119803</v>
      </c>
      <c r="B69" s="338" t="s">
        <v>1354</v>
      </c>
      <c r="C69" s="328">
        <v>0</v>
      </c>
      <c r="D69" s="404"/>
      <c r="E69" s="404"/>
      <c r="F69" s="400">
        <v>0</v>
      </c>
      <c r="G69" s="404" t="str">
        <f t="shared" si="0"/>
        <v/>
      </c>
      <c r="H69" s="404" t="str">
        <f t="shared" si="1"/>
        <v/>
      </c>
      <c r="I69" s="349" t="str">
        <f t="shared" si="2"/>
        <v>否</v>
      </c>
      <c r="J69" s="309" t="str">
        <f t="shared" ref="J69:J132" si="4">IF(LEN(A69)=3,"类",IF(LEN(A69)=5,"款","项"))</f>
        <v>项</v>
      </c>
    </row>
    <row r="70" s="309" customFormat="1" ht="18.75" hidden="1" spans="1:10">
      <c r="A70" s="334">
        <v>2119899</v>
      </c>
      <c r="B70" s="338" t="s">
        <v>1355</v>
      </c>
      <c r="C70" s="328">
        <v>0</v>
      </c>
      <c r="D70" s="404"/>
      <c r="E70" s="404"/>
      <c r="F70" s="400">
        <v>0</v>
      </c>
      <c r="G70" s="404" t="str">
        <f t="shared" ref="G70:G133" si="5">IFERROR((F70-C70)/C70,"")</f>
        <v/>
      </c>
      <c r="H70" s="404" t="str">
        <f t="shared" ref="H70:H133" si="6">IFERROR(F70/D70,"")</f>
        <v/>
      </c>
      <c r="I70" s="349" t="str">
        <f t="shared" ref="I70:I133" si="7">IF(LEN(A70)=3,"是",IF(B70&lt;&gt;"",IF(SUM(C70:F70)&lt;&gt;0,"是","否"),"是"))</f>
        <v>否</v>
      </c>
      <c r="J70" s="309" t="str">
        <f t="shared" si="4"/>
        <v>项</v>
      </c>
    </row>
    <row r="71" ht="18.75" spans="1:10">
      <c r="A71" s="329">
        <v>212</v>
      </c>
      <c r="B71" s="377" t="s">
        <v>1356</v>
      </c>
      <c r="C71" s="325">
        <v>38675</v>
      </c>
      <c r="D71" s="325">
        <f>D72+D88+D92+D93+D99+D103+D107+D111+D117+D120+D129</f>
        <v>61457</v>
      </c>
      <c r="E71" s="325">
        <f>E72+E88+E92+E93+E99+E103+E107+E111+E117+E120+E129</f>
        <v>61457</v>
      </c>
      <c r="F71" s="325">
        <f>F72+F88+F92+F93+F99+F103+F107+F111+F117+F120+F129</f>
        <v>84906</v>
      </c>
      <c r="G71" s="403">
        <f t="shared" si="5"/>
        <v>1.19537168713639</v>
      </c>
      <c r="H71" s="403">
        <f t="shared" si="6"/>
        <v>1.3815513285712</v>
      </c>
      <c r="I71" s="349" t="str">
        <f t="shared" si="7"/>
        <v>是</v>
      </c>
      <c r="J71" s="313" t="str">
        <f t="shared" si="4"/>
        <v>类</v>
      </c>
    </row>
    <row r="72" ht="18.75" spans="1:10">
      <c r="A72" s="330">
        <v>21208</v>
      </c>
      <c r="B72" s="379" t="s">
        <v>1357</v>
      </c>
      <c r="C72" s="328">
        <v>26463</v>
      </c>
      <c r="D72" s="328">
        <f>SUM(D73:D87)</f>
        <v>32929</v>
      </c>
      <c r="E72" s="328">
        <f>SUM(E73:E87)</f>
        <v>32929</v>
      </c>
      <c r="F72" s="328">
        <f>SUM(F73:F87)</f>
        <v>33021</v>
      </c>
      <c r="G72" s="404">
        <f t="shared" si="5"/>
        <v>0.247817707742886</v>
      </c>
      <c r="H72" s="404">
        <f t="shared" si="6"/>
        <v>1.0027938898843</v>
      </c>
      <c r="I72" s="349" t="str">
        <f t="shared" si="7"/>
        <v>是</v>
      </c>
      <c r="J72" s="313" t="str">
        <f t="shared" si="4"/>
        <v>款</v>
      </c>
    </row>
    <row r="73" ht="18.75" hidden="1" spans="1:10">
      <c r="A73" s="330">
        <v>2120801</v>
      </c>
      <c r="B73" s="379" t="s">
        <v>1358</v>
      </c>
      <c r="C73" s="328">
        <v>6073</v>
      </c>
      <c r="D73" s="328">
        <v>5614</v>
      </c>
      <c r="E73" s="328">
        <v>5614</v>
      </c>
      <c r="F73" s="400">
        <v>5018</v>
      </c>
      <c r="G73" s="404">
        <f t="shared" si="5"/>
        <v>-0.173719743125309</v>
      </c>
      <c r="H73" s="404">
        <f t="shared" si="6"/>
        <v>0.893836836480228</v>
      </c>
      <c r="I73" s="349" t="str">
        <f t="shared" si="7"/>
        <v>是</v>
      </c>
      <c r="J73" s="313" t="str">
        <f t="shared" si="4"/>
        <v>项</v>
      </c>
    </row>
    <row r="74" ht="18.75" hidden="1" spans="1:10">
      <c r="A74" s="330">
        <v>2120802</v>
      </c>
      <c r="B74" s="379" t="s">
        <v>1359</v>
      </c>
      <c r="C74" s="328">
        <v>1335</v>
      </c>
      <c r="D74" s="328">
        <v>1325</v>
      </c>
      <c r="E74" s="328">
        <v>1325</v>
      </c>
      <c r="F74" s="400">
        <v>6984</v>
      </c>
      <c r="G74" s="404">
        <f t="shared" si="5"/>
        <v>4.2314606741573</v>
      </c>
      <c r="H74" s="404">
        <f t="shared" si="6"/>
        <v>5.27094339622642</v>
      </c>
      <c r="I74" s="349" t="str">
        <f t="shared" si="7"/>
        <v>是</v>
      </c>
      <c r="J74" s="313" t="str">
        <f t="shared" si="4"/>
        <v>项</v>
      </c>
    </row>
    <row r="75" ht="18.75" hidden="1" spans="1:10">
      <c r="A75" s="330">
        <v>2120803</v>
      </c>
      <c r="B75" s="379" t="s">
        <v>1360</v>
      </c>
      <c r="C75" s="328">
        <v>114</v>
      </c>
      <c r="D75" s="328">
        <v>220</v>
      </c>
      <c r="E75" s="328">
        <v>220</v>
      </c>
      <c r="F75" s="400">
        <v>0</v>
      </c>
      <c r="G75" s="404">
        <f t="shared" si="5"/>
        <v>-1</v>
      </c>
      <c r="H75" s="404">
        <f t="shared" si="6"/>
        <v>0</v>
      </c>
      <c r="I75" s="349" t="str">
        <f t="shared" si="7"/>
        <v>是</v>
      </c>
      <c r="J75" s="313" t="str">
        <f t="shared" si="4"/>
        <v>项</v>
      </c>
    </row>
    <row r="76" ht="18.75" hidden="1" spans="1:10">
      <c r="A76" s="330">
        <v>2120804</v>
      </c>
      <c r="B76" s="379" t="s">
        <v>1361</v>
      </c>
      <c r="C76" s="328">
        <v>1377</v>
      </c>
      <c r="D76" s="328">
        <v>1325</v>
      </c>
      <c r="E76" s="328">
        <v>1325</v>
      </c>
      <c r="F76" s="400">
        <v>828</v>
      </c>
      <c r="G76" s="404">
        <f t="shared" si="5"/>
        <v>-0.398692810457516</v>
      </c>
      <c r="H76" s="404">
        <f t="shared" si="6"/>
        <v>0.624905660377359</v>
      </c>
      <c r="I76" s="349" t="str">
        <f t="shared" si="7"/>
        <v>是</v>
      </c>
      <c r="J76" s="313" t="str">
        <f t="shared" si="4"/>
        <v>项</v>
      </c>
    </row>
    <row r="77" ht="18.75" hidden="1" spans="1:10">
      <c r="A77" s="330">
        <v>2120805</v>
      </c>
      <c r="B77" s="379" t="s">
        <v>1362</v>
      </c>
      <c r="C77" s="328">
        <v>632</v>
      </c>
      <c r="D77" s="328">
        <v>412</v>
      </c>
      <c r="E77" s="328">
        <v>412</v>
      </c>
      <c r="F77" s="400">
        <v>8</v>
      </c>
      <c r="G77" s="404">
        <f t="shared" si="5"/>
        <v>-0.987341772151899</v>
      </c>
      <c r="H77" s="404">
        <f t="shared" si="6"/>
        <v>0.0194174757281553</v>
      </c>
      <c r="I77" s="349" t="str">
        <f t="shared" si="7"/>
        <v>是</v>
      </c>
      <c r="J77" s="313" t="str">
        <f t="shared" si="4"/>
        <v>项</v>
      </c>
    </row>
    <row r="78" ht="18.75" hidden="1" spans="1:10">
      <c r="A78" s="330">
        <v>2120806</v>
      </c>
      <c r="B78" s="379" t="s">
        <v>1363</v>
      </c>
      <c r="C78" s="328">
        <v>252</v>
      </c>
      <c r="D78" s="328">
        <v>180</v>
      </c>
      <c r="E78" s="328">
        <v>180</v>
      </c>
      <c r="F78" s="400">
        <v>220</v>
      </c>
      <c r="G78" s="404">
        <f t="shared" si="5"/>
        <v>-0.126984126984127</v>
      </c>
      <c r="H78" s="404">
        <f t="shared" si="6"/>
        <v>1.22222222222222</v>
      </c>
      <c r="I78" s="349" t="str">
        <f t="shared" si="7"/>
        <v>是</v>
      </c>
      <c r="J78" s="313" t="str">
        <f t="shared" si="4"/>
        <v>项</v>
      </c>
    </row>
    <row r="79" ht="18.75" hidden="1" spans="1:10">
      <c r="A79" s="330">
        <v>2120807</v>
      </c>
      <c r="B79" s="379" t="s">
        <v>1364</v>
      </c>
      <c r="C79" s="328">
        <v>0</v>
      </c>
      <c r="D79" s="328"/>
      <c r="E79" s="328"/>
      <c r="F79" s="400">
        <v>0</v>
      </c>
      <c r="G79" s="404" t="str">
        <f t="shared" si="5"/>
        <v/>
      </c>
      <c r="H79" s="404" t="str">
        <f t="shared" si="6"/>
        <v/>
      </c>
      <c r="I79" s="349" t="str">
        <f t="shared" si="7"/>
        <v>否</v>
      </c>
      <c r="J79" s="313" t="str">
        <f t="shared" si="4"/>
        <v>项</v>
      </c>
    </row>
    <row r="80" ht="18.75" hidden="1" spans="1:10">
      <c r="A80" s="330">
        <v>2120809</v>
      </c>
      <c r="B80" s="379" t="s">
        <v>1365</v>
      </c>
      <c r="C80" s="328">
        <v>0</v>
      </c>
      <c r="D80" s="328"/>
      <c r="E80" s="328"/>
      <c r="F80" s="400">
        <v>0</v>
      </c>
      <c r="G80" s="404" t="str">
        <f t="shared" si="5"/>
        <v/>
      </c>
      <c r="H80" s="404" t="str">
        <f t="shared" si="6"/>
        <v/>
      </c>
      <c r="I80" s="349" t="str">
        <f t="shared" si="7"/>
        <v>否</v>
      </c>
      <c r="J80" s="313" t="str">
        <f t="shared" si="4"/>
        <v>项</v>
      </c>
    </row>
    <row r="81" ht="18.75" hidden="1" spans="1:10">
      <c r="A81" s="330">
        <v>2120810</v>
      </c>
      <c r="B81" s="379" t="s">
        <v>1366</v>
      </c>
      <c r="C81" s="328">
        <v>0</v>
      </c>
      <c r="D81" s="328"/>
      <c r="E81" s="328"/>
      <c r="F81" s="400">
        <v>0</v>
      </c>
      <c r="G81" s="404" t="str">
        <f t="shared" si="5"/>
        <v/>
      </c>
      <c r="H81" s="404" t="str">
        <f t="shared" si="6"/>
        <v/>
      </c>
      <c r="I81" s="349" t="str">
        <f t="shared" si="7"/>
        <v>否</v>
      </c>
      <c r="J81" s="313" t="str">
        <f t="shared" si="4"/>
        <v>项</v>
      </c>
    </row>
    <row r="82" ht="18.75" hidden="1" spans="1:10">
      <c r="A82" s="330">
        <v>2120811</v>
      </c>
      <c r="B82" s="379" t="s">
        <v>1367</v>
      </c>
      <c r="C82" s="328">
        <v>0</v>
      </c>
      <c r="D82" s="328"/>
      <c r="E82" s="328"/>
      <c r="F82" s="400">
        <v>0</v>
      </c>
      <c r="G82" s="404" t="str">
        <f t="shared" si="5"/>
        <v/>
      </c>
      <c r="H82" s="404" t="str">
        <f t="shared" si="6"/>
        <v/>
      </c>
      <c r="I82" s="349" t="str">
        <f t="shared" si="7"/>
        <v>否</v>
      </c>
      <c r="J82" s="313" t="str">
        <f t="shared" si="4"/>
        <v>项</v>
      </c>
    </row>
    <row r="83" ht="18.75" hidden="1" spans="1:10">
      <c r="A83" s="330">
        <v>2120813</v>
      </c>
      <c r="B83" s="379" t="s">
        <v>1368</v>
      </c>
      <c r="C83" s="328">
        <v>0</v>
      </c>
      <c r="D83" s="328"/>
      <c r="E83" s="328"/>
      <c r="F83" s="400">
        <v>0</v>
      </c>
      <c r="G83" s="404" t="str">
        <f t="shared" si="5"/>
        <v/>
      </c>
      <c r="H83" s="404" t="str">
        <f t="shared" si="6"/>
        <v/>
      </c>
      <c r="I83" s="349" t="str">
        <f t="shared" si="7"/>
        <v>否</v>
      </c>
      <c r="J83" s="313" t="str">
        <f t="shared" si="4"/>
        <v>项</v>
      </c>
    </row>
    <row r="84" ht="18.75" hidden="1" spans="1:10">
      <c r="A84" s="330">
        <v>2120814</v>
      </c>
      <c r="B84" s="405" t="s">
        <v>1369</v>
      </c>
      <c r="C84" s="328">
        <v>2066</v>
      </c>
      <c r="D84" s="328">
        <v>5320</v>
      </c>
      <c r="E84" s="328">
        <v>5320</v>
      </c>
      <c r="F84" s="400">
        <v>3383</v>
      </c>
      <c r="G84" s="404">
        <f t="shared" si="5"/>
        <v>0.637463697967086</v>
      </c>
      <c r="H84" s="404">
        <f t="shared" si="6"/>
        <v>0.635902255639098</v>
      </c>
      <c r="I84" s="349" t="str">
        <f t="shared" si="7"/>
        <v>是</v>
      </c>
      <c r="J84" s="313" t="str">
        <f t="shared" si="4"/>
        <v>项</v>
      </c>
    </row>
    <row r="85" ht="18.75" hidden="1" spans="1:10">
      <c r="A85" s="330">
        <v>2120815</v>
      </c>
      <c r="B85" s="405" t="s">
        <v>1370</v>
      </c>
      <c r="C85" s="328">
        <v>1060</v>
      </c>
      <c r="D85" s="328">
        <v>2390</v>
      </c>
      <c r="E85" s="328">
        <v>2390</v>
      </c>
      <c r="F85" s="400">
        <v>1426</v>
      </c>
      <c r="G85" s="404">
        <f t="shared" si="5"/>
        <v>0.345283018867925</v>
      </c>
      <c r="H85" s="404">
        <f t="shared" si="6"/>
        <v>0.596652719665272</v>
      </c>
      <c r="I85" s="349" t="str">
        <f t="shared" si="7"/>
        <v>是</v>
      </c>
      <c r="J85" s="313" t="str">
        <f t="shared" si="4"/>
        <v>项</v>
      </c>
    </row>
    <row r="86" ht="18.75" hidden="1" spans="1:10">
      <c r="A86" s="330">
        <v>2120816</v>
      </c>
      <c r="B86" s="405" t="s">
        <v>1371</v>
      </c>
      <c r="C86" s="328">
        <v>500</v>
      </c>
      <c r="D86" s="328">
        <v>62</v>
      </c>
      <c r="E86" s="328">
        <v>62</v>
      </c>
      <c r="F86" s="400">
        <v>92</v>
      </c>
      <c r="G86" s="404">
        <f t="shared" si="5"/>
        <v>-0.816</v>
      </c>
      <c r="H86" s="404">
        <f t="shared" si="6"/>
        <v>1.48387096774194</v>
      </c>
      <c r="I86" s="349" t="str">
        <f t="shared" si="7"/>
        <v>是</v>
      </c>
      <c r="J86" s="313" t="str">
        <f t="shared" si="4"/>
        <v>项</v>
      </c>
    </row>
    <row r="87" ht="37.5" hidden="1" spans="1:10">
      <c r="A87" s="330">
        <v>2120899</v>
      </c>
      <c r="B87" s="379" t="s">
        <v>1372</v>
      </c>
      <c r="C87" s="328">
        <v>13054</v>
      </c>
      <c r="D87" s="328">
        <v>16081</v>
      </c>
      <c r="E87" s="328">
        <v>16081</v>
      </c>
      <c r="F87" s="400">
        <v>15062</v>
      </c>
      <c r="G87" s="404">
        <f t="shared" si="5"/>
        <v>0.153822583116286</v>
      </c>
      <c r="H87" s="404">
        <f t="shared" si="6"/>
        <v>0.936633293949381</v>
      </c>
      <c r="I87" s="349" t="str">
        <f t="shared" si="7"/>
        <v>是</v>
      </c>
      <c r="J87" s="313" t="str">
        <f t="shared" si="4"/>
        <v>项</v>
      </c>
    </row>
    <row r="88" ht="18.75" hidden="1" spans="1:10">
      <c r="A88" s="330">
        <v>21210</v>
      </c>
      <c r="B88" s="379" t="s">
        <v>1373</v>
      </c>
      <c r="C88" s="328">
        <v>0</v>
      </c>
      <c r="D88" s="404"/>
      <c r="E88" s="404"/>
      <c r="F88" s="399">
        <v>0</v>
      </c>
      <c r="G88" s="403" t="str">
        <f t="shared" si="5"/>
        <v/>
      </c>
      <c r="H88" s="403" t="str">
        <f t="shared" si="6"/>
        <v/>
      </c>
      <c r="I88" s="349" t="str">
        <f t="shared" si="7"/>
        <v>否</v>
      </c>
      <c r="J88" s="313" t="str">
        <f t="shared" si="4"/>
        <v>款</v>
      </c>
    </row>
    <row r="89" ht="18.75" hidden="1" spans="1:10">
      <c r="A89" s="330">
        <v>2121001</v>
      </c>
      <c r="B89" s="379" t="s">
        <v>1358</v>
      </c>
      <c r="C89" s="328">
        <v>0</v>
      </c>
      <c r="D89" s="404"/>
      <c r="E89" s="404"/>
      <c r="F89" s="400">
        <v>0</v>
      </c>
      <c r="G89" s="404" t="str">
        <f t="shared" si="5"/>
        <v/>
      </c>
      <c r="H89" s="404" t="str">
        <f t="shared" si="6"/>
        <v/>
      </c>
      <c r="I89" s="349" t="str">
        <f t="shared" si="7"/>
        <v>否</v>
      </c>
      <c r="J89" s="313" t="str">
        <f t="shared" si="4"/>
        <v>项</v>
      </c>
    </row>
    <row r="90" ht="18.75" hidden="1" spans="1:10">
      <c r="A90" s="330">
        <v>2121002</v>
      </c>
      <c r="B90" s="379" t="s">
        <v>1359</v>
      </c>
      <c r="C90" s="328">
        <v>0</v>
      </c>
      <c r="D90" s="404"/>
      <c r="E90" s="404"/>
      <c r="F90" s="400">
        <v>0</v>
      </c>
      <c r="G90" s="404" t="str">
        <f t="shared" si="5"/>
        <v/>
      </c>
      <c r="H90" s="404" t="str">
        <f t="shared" si="6"/>
        <v/>
      </c>
      <c r="I90" s="349" t="str">
        <f t="shared" si="7"/>
        <v>否</v>
      </c>
      <c r="J90" s="313" t="str">
        <f t="shared" si="4"/>
        <v>项</v>
      </c>
    </row>
    <row r="91" ht="18.75" hidden="1" spans="1:10">
      <c r="A91" s="330">
        <v>2121099</v>
      </c>
      <c r="B91" s="379" t="s">
        <v>1374</v>
      </c>
      <c r="C91" s="328">
        <v>0</v>
      </c>
      <c r="D91" s="404"/>
      <c r="E91" s="404"/>
      <c r="F91" s="400">
        <v>0</v>
      </c>
      <c r="G91" s="404" t="str">
        <f t="shared" si="5"/>
        <v/>
      </c>
      <c r="H91" s="404" t="str">
        <f t="shared" si="6"/>
        <v/>
      </c>
      <c r="I91" s="349" t="str">
        <f t="shared" si="7"/>
        <v>否</v>
      </c>
      <c r="J91" s="313" t="str">
        <f t="shared" si="4"/>
        <v>项</v>
      </c>
    </row>
    <row r="92" ht="18.75" hidden="1" spans="1:10">
      <c r="A92" s="330">
        <v>21211</v>
      </c>
      <c r="B92" s="379" t="s">
        <v>1375</v>
      </c>
      <c r="C92" s="328">
        <v>0</v>
      </c>
      <c r="D92" s="404"/>
      <c r="E92" s="404"/>
      <c r="F92" s="399">
        <v>0</v>
      </c>
      <c r="G92" s="403" t="str">
        <f t="shared" si="5"/>
        <v/>
      </c>
      <c r="H92" s="403" t="str">
        <f t="shared" si="6"/>
        <v/>
      </c>
      <c r="I92" s="349" t="str">
        <f t="shared" si="7"/>
        <v>否</v>
      </c>
      <c r="J92" s="313" t="str">
        <f t="shared" si="4"/>
        <v>款</v>
      </c>
    </row>
    <row r="93" ht="18.75" spans="1:10">
      <c r="A93" s="330">
        <v>21213</v>
      </c>
      <c r="B93" s="379" t="s">
        <v>1376</v>
      </c>
      <c r="C93" s="328">
        <v>310</v>
      </c>
      <c r="D93" s="328">
        <f>SUM(D94:D98)</f>
        <v>100</v>
      </c>
      <c r="E93" s="328">
        <f>SUM(E94:E98)</f>
        <v>100</v>
      </c>
      <c r="F93" s="328">
        <f>SUM(F94:F98)</f>
        <v>55</v>
      </c>
      <c r="G93" s="404">
        <f t="shared" si="5"/>
        <v>-0.82258064516129</v>
      </c>
      <c r="H93" s="404">
        <f t="shared" si="6"/>
        <v>0.55</v>
      </c>
      <c r="I93" s="349" t="str">
        <f t="shared" si="7"/>
        <v>是</v>
      </c>
      <c r="J93" s="313" t="str">
        <f t="shared" si="4"/>
        <v>款</v>
      </c>
    </row>
    <row r="94" ht="18.75" hidden="1" spans="1:10">
      <c r="A94" s="330">
        <v>2121301</v>
      </c>
      <c r="B94" s="379" t="s">
        <v>1377</v>
      </c>
      <c r="C94" s="328">
        <v>0</v>
      </c>
      <c r="D94" s="404"/>
      <c r="E94" s="404"/>
      <c r="F94" s="400">
        <v>0</v>
      </c>
      <c r="G94" s="404" t="str">
        <f t="shared" si="5"/>
        <v/>
      </c>
      <c r="H94" s="404" t="str">
        <f t="shared" si="6"/>
        <v/>
      </c>
      <c r="I94" s="349" t="str">
        <f t="shared" si="7"/>
        <v>否</v>
      </c>
      <c r="J94" s="313" t="str">
        <f t="shared" si="4"/>
        <v>项</v>
      </c>
    </row>
    <row r="95" ht="18.75" hidden="1" spans="1:10">
      <c r="A95" s="330">
        <v>2121302</v>
      </c>
      <c r="B95" s="379" t="s">
        <v>1378</v>
      </c>
      <c r="C95" s="328">
        <v>0</v>
      </c>
      <c r="D95" s="404"/>
      <c r="E95" s="404"/>
      <c r="F95" s="400">
        <v>0</v>
      </c>
      <c r="G95" s="404" t="str">
        <f t="shared" si="5"/>
        <v/>
      </c>
      <c r="H95" s="404" t="str">
        <f t="shared" si="6"/>
        <v/>
      </c>
      <c r="I95" s="349" t="str">
        <f t="shared" si="7"/>
        <v>否</v>
      </c>
      <c r="J95" s="313" t="str">
        <f t="shared" si="4"/>
        <v>项</v>
      </c>
    </row>
    <row r="96" ht="18.75" hidden="1" spans="1:10">
      <c r="A96" s="330">
        <v>2121303</v>
      </c>
      <c r="B96" s="379" t="s">
        <v>1379</v>
      </c>
      <c r="C96" s="328">
        <v>0</v>
      </c>
      <c r="D96" s="404"/>
      <c r="E96" s="404"/>
      <c r="F96" s="400">
        <v>0</v>
      </c>
      <c r="G96" s="404" t="str">
        <f t="shared" si="5"/>
        <v/>
      </c>
      <c r="H96" s="404" t="str">
        <f t="shared" si="6"/>
        <v/>
      </c>
      <c r="I96" s="349" t="str">
        <f t="shared" si="7"/>
        <v>否</v>
      </c>
      <c r="J96" s="313" t="str">
        <f t="shared" si="4"/>
        <v>项</v>
      </c>
    </row>
    <row r="97" ht="18.75" hidden="1" spans="1:10">
      <c r="A97" s="330">
        <v>2121304</v>
      </c>
      <c r="B97" s="379" t="s">
        <v>1380</v>
      </c>
      <c r="C97" s="328">
        <v>0</v>
      </c>
      <c r="D97" s="404"/>
      <c r="E97" s="404"/>
      <c r="F97" s="400">
        <v>0</v>
      </c>
      <c r="G97" s="404" t="str">
        <f t="shared" si="5"/>
        <v/>
      </c>
      <c r="H97" s="404" t="str">
        <f t="shared" si="6"/>
        <v/>
      </c>
      <c r="I97" s="349" t="str">
        <f t="shared" si="7"/>
        <v>否</v>
      </c>
      <c r="J97" s="313" t="str">
        <f t="shared" si="4"/>
        <v>项</v>
      </c>
    </row>
    <row r="98" ht="18.75" hidden="1" spans="1:10">
      <c r="A98" s="330">
        <v>2121399</v>
      </c>
      <c r="B98" s="379" t="s">
        <v>1381</v>
      </c>
      <c r="C98" s="328">
        <v>310</v>
      </c>
      <c r="D98" s="328">
        <v>100</v>
      </c>
      <c r="E98" s="328">
        <v>100</v>
      </c>
      <c r="F98" s="400">
        <v>55</v>
      </c>
      <c r="G98" s="404">
        <f t="shared" si="5"/>
        <v>-0.82258064516129</v>
      </c>
      <c r="H98" s="404">
        <f t="shared" si="6"/>
        <v>0.55</v>
      </c>
      <c r="I98" s="349" t="str">
        <f t="shared" si="7"/>
        <v>是</v>
      </c>
      <c r="J98" s="313" t="str">
        <f t="shared" si="4"/>
        <v>项</v>
      </c>
    </row>
    <row r="99" ht="18.75" hidden="1" spans="1:10">
      <c r="A99" s="330">
        <v>21214</v>
      </c>
      <c r="B99" s="379" t="s">
        <v>1382</v>
      </c>
      <c r="C99" s="328">
        <v>0</v>
      </c>
      <c r="D99" s="404"/>
      <c r="E99" s="404"/>
      <c r="F99" s="399">
        <v>0</v>
      </c>
      <c r="G99" s="403" t="str">
        <f t="shared" si="5"/>
        <v/>
      </c>
      <c r="H99" s="403" t="str">
        <f t="shared" si="6"/>
        <v/>
      </c>
      <c r="I99" s="349" t="str">
        <f t="shared" si="7"/>
        <v>否</v>
      </c>
      <c r="J99" s="313" t="str">
        <f t="shared" si="4"/>
        <v>款</v>
      </c>
    </row>
    <row r="100" ht="18.75" hidden="1" spans="1:10">
      <c r="A100" s="330">
        <v>2121401</v>
      </c>
      <c r="B100" s="379" t="s">
        <v>1383</v>
      </c>
      <c r="C100" s="328">
        <v>0</v>
      </c>
      <c r="D100" s="404"/>
      <c r="E100" s="404"/>
      <c r="F100" s="400">
        <v>0</v>
      </c>
      <c r="G100" s="404" t="str">
        <f t="shared" si="5"/>
        <v/>
      </c>
      <c r="H100" s="404" t="str">
        <f t="shared" si="6"/>
        <v/>
      </c>
      <c r="I100" s="349" t="str">
        <f t="shared" si="7"/>
        <v>否</v>
      </c>
      <c r="J100" s="313" t="str">
        <f t="shared" si="4"/>
        <v>项</v>
      </c>
    </row>
    <row r="101" ht="18.75" hidden="1" spans="1:10">
      <c r="A101" s="330">
        <v>2121402</v>
      </c>
      <c r="B101" s="379" t="s">
        <v>1384</v>
      </c>
      <c r="C101" s="328">
        <v>0</v>
      </c>
      <c r="D101" s="404"/>
      <c r="E101" s="404"/>
      <c r="F101" s="400">
        <v>0</v>
      </c>
      <c r="G101" s="404" t="str">
        <f t="shared" si="5"/>
        <v/>
      </c>
      <c r="H101" s="404" t="str">
        <f t="shared" si="6"/>
        <v/>
      </c>
      <c r="I101" s="349" t="str">
        <f t="shared" si="7"/>
        <v>否</v>
      </c>
      <c r="J101" s="313" t="str">
        <f t="shared" si="4"/>
        <v>项</v>
      </c>
    </row>
    <row r="102" ht="18.75" hidden="1" spans="1:10">
      <c r="A102" s="330">
        <v>2121499</v>
      </c>
      <c r="B102" s="379" t="s">
        <v>1385</v>
      </c>
      <c r="C102" s="328">
        <v>0</v>
      </c>
      <c r="D102" s="404"/>
      <c r="E102" s="404"/>
      <c r="F102" s="400">
        <v>0</v>
      </c>
      <c r="G102" s="404" t="str">
        <f t="shared" si="5"/>
        <v/>
      </c>
      <c r="H102" s="404" t="str">
        <f t="shared" si="6"/>
        <v/>
      </c>
      <c r="I102" s="349" t="str">
        <f t="shared" si="7"/>
        <v>否</v>
      </c>
      <c r="J102" s="313" t="str">
        <f t="shared" si="4"/>
        <v>项</v>
      </c>
    </row>
    <row r="103" ht="18.75" spans="1:10">
      <c r="A103" s="330">
        <v>21215</v>
      </c>
      <c r="B103" s="379" t="s">
        <v>1386</v>
      </c>
      <c r="C103" s="328">
        <v>0</v>
      </c>
      <c r="D103" s="404"/>
      <c r="E103" s="404"/>
      <c r="F103" s="400">
        <v>17600</v>
      </c>
      <c r="G103" s="404" t="str">
        <f t="shared" si="5"/>
        <v/>
      </c>
      <c r="H103" s="404" t="str">
        <f t="shared" si="6"/>
        <v/>
      </c>
      <c r="I103" s="349" t="str">
        <f t="shared" si="7"/>
        <v>是</v>
      </c>
      <c r="J103" s="313" t="str">
        <f t="shared" si="4"/>
        <v>款</v>
      </c>
    </row>
    <row r="104" ht="18.75" hidden="1" spans="1:10">
      <c r="A104" s="330">
        <v>2121501</v>
      </c>
      <c r="B104" s="379" t="s">
        <v>1358</v>
      </c>
      <c r="C104" s="328">
        <v>0</v>
      </c>
      <c r="D104" s="404"/>
      <c r="E104" s="404"/>
      <c r="F104" s="400">
        <v>17600</v>
      </c>
      <c r="G104" s="404" t="str">
        <f t="shared" si="5"/>
        <v/>
      </c>
      <c r="H104" s="404" t="str">
        <f t="shared" si="6"/>
        <v/>
      </c>
      <c r="I104" s="349" t="str">
        <f t="shared" si="7"/>
        <v>是</v>
      </c>
      <c r="J104" s="313" t="str">
        <f t="shared" si="4"/>
        <v>项</v>
      </c>
    </row>
    <row r="105" ht="18.75" hidden="1" spans="1:10">
      <c r="A105" s="330">
        <v>2121502</v>
      </c>
      <c r="B105" s="379" t="s">
        <v>1359</v>
      </c>
      <c r="C105" s="328">
        <v>0</v>
      </c>
      <c r="D105" s="404"/>
      <c r="E105" s="404"/>
      <c r="F105" s="400">
        <v>0</v>
      </c>
      <c r="G105" s="404" t="str">
        <f t="shared" si="5"/>
        <v/>
      </c>
      <c r="H105" s="404" t="str">
        <f t="shared" si="6"/>
        <v/>
      </c>
      <c r="I105" s="349" t="str">
        <f t="shared" si="7"/>
        <v>否</v>
      </c>
      <c r="J105" s="313" t="str">
        <f t="shared" si="4"/>
        <v>项</v>
      </c>
    </row>
    <row r="106" ht="18.75" hidden="1" spans="1:10">
      <c r="A106" s="330">
        <v>2121599</v>
      </c>
      <c r="B106" s="379" t="s">
        <v>1387</v>
      </c>
      <c r="C106" s="328">
        <v>0</v>
      </c>
      <c r="D106" s="404"/>
      <c r="E106" s="404"/>
      <c r="F106" s="400">
        <v>0</v>
      </c>
      <c r="G106" s="404" t="str">
        <f t="shared" si="5"/>
        <v/>
      </c>
      <c r="H106" s="404" t="str">
        <f t="shared" si="6"/>
        <v/>
      </c>
      <c r="I106" s="349" t="str">
        <f t="shared" si="7"/>
        <v>否</v>
      </c>
      <c r="J106" s="313" t="str">
        <f t="shared" si="4"/>
        <v>项</v>
      </c>
    </row>
    <row r="107" ht="18.75" hidden="1" spans="1:10">
      <c r="A107" s="330">
        <v>21216</v>
      </c>
      <c r="B107" s="379" t="s">
        <v>1388</v>
      </c>
      <c r="C107" s="328">
        <v>0</v>
      </c>
      <c r="D107" s="404"/>
      <c r="E107" s="404"/>
      <c r="F107" s="399">
        <v>0</v>
      </c>
      <c r="G107" s="403" t="str">
        <f t="shared" si="5"/>
        <v/>
      </c>
      <c r="H107" s="403" t="str">
        <f t="shared" si="6"/>
        <v/>
      </c>
      <c r="I107" s="349" t="str">
        <f t="shared" si="7"/>
        <v>否</v>
      </c>
      <c r="J107" s="313" t="str">
        <f t="shared" si="4"/>
        <v>款</v>
      </c>
    </row>
    <row r="108" ht="18.75" hidden="1" spans="1:10">
      <c r="A108" s="330">
        <v>2121601</v>
      </c>
      <c r="B108" s="379" t="s">
        <v>1358</v>
      </c>
      <c r="C108" s="328">
        <v>0</v>
      </c>
      <c r="D108" s="404"/>
      <c r="E108" s="404"/>
      <c r="F108" s="400">
        <v>0</v>
      </c>
      <c r="G108" s="404" t="str">
        <f t="shared" si="5"/>
        <v/>
      </c>
      <c r="H108" s="404" t="str">
        <f t="shared" si="6"/>
        <v/>
      </c>
      <c r="I108" s="349" t="str">
        <f t="shared" si="7"/>
        <v>否</v>
      </c>
      <c r="J108" s="313" t="str">
        <f t="shared" si="4"/>
        <v>项</v>
      </c>
    </row>
    <row r="109" ht="18.75" hidden="1" spans="1:10">
      <c r="A109" s="330">
        <v>2121602</v>
      </c>
      <c r="B109" s="379" t="s">
        <v>1359</v>
      </c>
      <c r="C109" s="328">
        <v>0</v>
      </c>
      <c r="D109" s="404"/>
      <c r="E109" s="404"/>
      <c r="F109" s="400">
        <v>0</v>
      </c>
      <c r="G109" s="404" t="str">
        <f t="shared" si="5"/>
        <v/>
      </c>
      <c r="H109" s="404" t="str">
        <f t="shared" si="6"/>
        <v/>
      </c>
      <c r="I109" s="349" t="str">
        <f t="shared" si="7"/>
        <v>否</v>
      </c>
      <c r="J109" s="313" t="str">
        <f t="shared" si="4"/>
        <v>项</v>
      </c>
    </row>
    <row r="110" s="312" customFormat="1" ht="37.5" hidden="1" spans="1:10">
      <c r="A110" s="330">
        <v>2121699</v>
      </c>
      <c r="B110" s="379" t="s">
        <v>1389</v>
      </c>
      <c r="C110" s="328">
        <v>0</v>
      </c>
      <c r="D110" s="404"/>
      <c r="E110" s="404"/>
      <c r="F110" s="400">
        <v>0</v>
      </c>
      <c r="G110" s="404" t="str">
        <f t="shared" si="5"/>
        <v/>
      </c>
      <c r="H110" s="404" t="str">
        <f t="shared" si="6"/>
        <v/>
      </c>
      <c r="I110" s="349" t="str">
        <f t="shared" si="7"/>
        <v>否</v>
      </c>
      <c r="J110" s="313" t="str">
        <f t="shared" si="4"/>
        <v>项</v>
      </c>
    </row>
    <row r="111" s="312" customFormat="1" ht="37.5" hidden="1" spans="1:10">
      <c r="A111" s="330">
        <v>21217</v>
      </c>
      <c r="B111" s="379" t="s">
        <v>1390</v>
      </c>
      <c r="C111" s="328">
        <v>0</v>
      </c>
      <c r="D111" s="404"/>
      <c r="E111" s="404"/>
      <c r="F111" s="399">
        <v>0</v>
      </c>
      <c r="G111" s="403" t="str">
        <f t="shared" si="5"/>
        <v/>
      </c>
      <c r="H111" s="403" t="str">
        <f t="shared" si="6"/>
        <v/>
      </c>
      <c r="I111" s="349" t="str">
        <f t="shared" si="7"/>
        <v>否</v>
      </c>
      <c r="J111" s="313" t="str">
        <f t="shared" si="4"/>
        <v>款</v>
      </c>
    </row>
    <row r="112" s="312" customFormat="1" ht="18.75" hidden="1" spans="1:10">
      <c r="A112" s="330">
        <v>2121701</v>
      </c>
      <c r="B112" s="379" t="s">
        <v>1377</v>
      </c>
      <c r="C112" s="328">
        <v>0</v>
      </c>
      <c r="D112" s="404"/>
      <c r="E112" s="404"/>
      <c r="F112" s="400">
        <v>0</v>
      </c>
      <c r="G112" s="404" t="str">
        <f t="shared" si="5"/>
        <v/>
      </c>
      <c r="H112" s="404" t="str">
        <f t="shared" si="6"/>
        <v/>
      </c>
      <c r="I112" s="349" t="str">
        <f t="shared" si="7"/>
        <v>否</v>
      </c>
      <c r="J112" s="313" t="str">
        <f t="shared" si="4"/>
        <v>项</v>
      </c>
    </row>
    <row r="113" s="312" customFormat="1" ht="18.75" hidden="1" spans="1:10">
      <c r="A113" s="330">
        <v>2121702</v>
      </c>
      <c r="B113" s="379" t="s">
        <v>1378</v>
      </c>
      <c r="C113" s="328">
        <v>0</v>
      </c>
      <c r="D113" s="404"/>
      <c r="E113" s="404"/>
      <c r="F113" s="400">
        <v>0</v>
      </c>
      <c r="G113" s="404" t="str">
        <f t="shared" si="5"/>
        <v/>
      </c>
      <c r="H113" s="404" t="str">
        <f t="shared" si="6"/>
        <v/>
      </c>
      <c r="I113" s="349" t="str">
        <f t="shared" si="7"/>
        <v>否</v>
      </c>
      <c r="J113" s="313" t="str">
        <f t="shared" si="4"/>
        <v>项</v>
      </c>
    </row>
    <row r="114" s="312" customFormat="1" ht="18.75" hidden="1" spans="1:10">
      <c r="A114" s="330">
        <v>2121703</v>
      </c>
      <c r="B114" s="379" t="s">
        <v>1379</v>
      </c>
      <c r="C114" s="328">
        <v>0</v>
      </c>
      <c r="D114" s="404"/>
      <c r="E114" s="404"/>
      <c r="F114" s="400">
        <v>0</v>
      </c>
      <c r="G114" s="404" t="str">
        <f t="shared" si="5"/>
        <v/>
      </c>
      <c r="H114" s="404" t="str">
        <f t="shared" si="6"/>
        <v/>
      </c>
      <c r="I114" s="349" t="str">
        <f t="shared" si="7"/>
        <v>否</v>
      </c>
      <c r="J114" s="313" t="str">
        <f t="shared" si="4"/>
        <v>项</v>
      </c>
    </row>
    <row r="115" s="312" customFormat="1" ht="18.75" hidden="1" spans="1:10">
      <c r="A115" s="330">
        <v>2121704</v>
      </c>
      <c r="B115" s="379" t="s">
        <v>1380</v>
      </c>
      <c r="C115" s="328">
        <v>0</v>
      </c>
      <c r="D115" s="404"/>
      <c r="E115" s="404"/>
      <c r="F115" s="400">
        <v>0</v>
      </c>
      <c r="G115" s="404" t="str">
        <f t="shared" si="5"/>
        <v/>
      </c>
      <c r="H115" s="404" t="str">
        <f t="shared" si="6"/>
        <v/>
      </c>
      <c r="I115" s="349" t="str">
        <f t="shared" si="7"/>
        <v>否</v>
      </c>
      <c r="J115" s="313" t="str">
        <f t="shared" si="4"/>
        <v>项</v>
      </c>
    </row>
    <row r="116" s="312" customFormat="1" ht="37.5" hidden="1" spans="1:10">
      <c r="A116" s="330">
        <v>2121799</v>
      </c>
      <c r="B116" s="379" t="s">
        <v>1391</v>
      </c>
      <c r="C116" s="328">
        <v>0</v>
      </c>
      <c r="D116" s="404"/>
      <c r="E116" s="404"/>
      <c r="F116" s="400">
        <v>0</v>
      </c>
      <c r="G116" s="404" t="str">
        <f t="shared" si="5"/>
        <v/>
      </c>
      <c r="H116" s="404" t="str">
        <f t="shared" si="6"/>
        <v/>
      </c>
      <c r="I116" s="349" t="str">
        <f t="shared" si="7"/>
        <v>否</v>
      </c>
      <c r="J116" s="313" t="str">
        <f t="shared" si="4"/>
        <v>项</v>
      </c>
    </row>
    <row r="117" s="312" customFormat="1" ht="18.75" hidden="1" spans="1:10">
      <c r="A117" s="330">
        <v>21218</v>
      </c>
      <c r="B117" s="379" t="s">
        <v>1392</v>
      </c>
      <c r="C117" s="328">
        <v>0</v>
      </c>
      <c r="D117" s="404"/>
      <c r="E117" s="404"/>
      <c r="F117" s="399">
        <v>0</v>
      </c>
      <c r="G117" s="403" t="str">
        <f t="shared" si="5"/>
        <v/>
      </c>
      <c r="H117" s="403" t="str">
        <f t="shared" si="6"/>
        <v/>
      </c>
      <c r="I117" s="349" t="str">
        <f t="shared" si="7"/>
        <v>否</v>
      </c>
      <c r="J117" s="313" t="str">
        <f t="shared" si="4"/>
        <v>款</v>
      </c>
    </row>
    <row r="118" s="312" customFormat="1" ht="18.75" hidden="1" spans="1:10">
      <c r="A118" s="330">
        <v>2121801</v>
      </c>
      <c r="B118" s="379" t="s">
        <v>1383</v>
      </c>
      <c r="C118" s="328">
        <v>0</v>
      </c>
      <c r="D118" s="404"/>
      <c r="E118" s="404"/>
      <c r="F118" s="400">
        <v>0</v>
      </c>
      <c r="G118" s="404" t="str">
        <f t="shared" si="5"/>
        <v/>
      </c>
      <c r="H118" s="404" t="str">
        <f t="shared" si="6"/>
        <v/>
      </c>
      <c r="I118" s="349" t="str">
        <f t="shared" si="7"/>
        <v>否</v>
      </c>
      <c r="J118" s="313" t="str">
        <f t="shared" si="4"/>
        <v>项</v>
      </c>
    </row>
    <row r="119" s="312" customFormat="1" ht="37.5" hidden="1" spans="1:10">
      <c r="A119" s="330">
        <v>2121899</v>
      </c>
      <c r="B119" s="379" t="s">
        <v>1393</v>
      </c>
      <c r="C119" s="328">
        <v>0</v>
      </c>
      <c r="D119" s="404"/>
      <c r="E119" s="404"/>
      <c r="F119" s="400">
        <v>0</v>
      </c>
      <c r="G119" s="404" t="str">
        <f t="shared" si="5"/>
        <v/>
      </c>
      <c r="H119" s="404" t="str">
        <f t="shared" si="6"/>
        <v/>
      </c>
      <c r="I119" s="349" t="str">
        <f t="shared" si="7"/>
        <v>否</v>
      </c>
      <c r="J119" s="313" t="str">
        <f t="shared" si="4"/>
        <v>项</v>
      </c>
    </row>
    <row r="120" s="312" customFormat="1" ht="37.5" hidden="1" spans="1:10">
      <c r="A120" s="330">
        <v>21219</v>
      </c>
      <c r="B120" s="379" t="s">
        <v>1394</v>
      </c>
      <c r="C120" s="328">
        <v>0</v>
      </c>
      <c r="D120" s="404"/>
      <c r="E120" s="404"/>
      <c r="F120" s="399">
        <v>0</v>
      </c>
      <c r="G120" s="403" t="str">
        <f t="shared" si="5"/>
        <v/>
      </c>
      <c r="H120" s="403" t="str">
        <f t="shared" si="6"/>
        <v/>
      </c>
      <c r="I120" s="349" t="str">
        <f t="shared" si="7"/>
        <v>否</v>
      </c>
      <c r="J120" s="313" t="str">
        <f t="shared" si="4"/>
        <v>款</v>
      </c>
    </row>
    <row r="121" s="312" customFormat="1" ht="18.75" hidden="1" spans="1:10">
      <c r="A121" s="330">
        <v>2121901</v>
      </c>
      <c r="B121" s="379" t="s">
        <v>1358</v>
      </c>
      <c r="C121" s="328">
        <v>0</v>
      </c>
      <c r="D121" s="404"/>
      <c r="E121" s="404"/>
      <c r="F121" s="400">
        <v>0</v>
      </c>
      <c r="G121" s="404" t="str">
        <f t="shared" si="5"/>
        <v/>
      </c>
      <c r="H121" s="404" t="str">
        <f t="shared" si="6"/>
        <v/>
      </c>
      <c r="I121" s="349" t="str">
        <f t="shared" si="7"/>
        <v>否</v>
      </c>
      <c r="J121" s="313" t="str">
        <f t="shared" si="4"/>
        <v>项</v>
      </c>
    </row>
    <row r="122" s="312" customFormat="1" ht="18.75" hidden="1" spans="1:10">
      <c r="A122" s="330">
        <v>2121902</v>
      </c>
      <c r="B122" s="379" t="s">
        <v>1359</v>
      </c>
      <c r="C122" s="328">
        <v>0</v>
      </c>
      <c r="D122" s="404"/>
      <c r="E122" s="404"/>
      <c r="F122" s="400">
        <v>0</v>
      </c>
      <c r="G122" s="404" t="str">
        <f t="shared" si="5"/>
        <v/>
      </c>
      <c r="H122" s="404" t="str">
        <f t="shared" si="6"/>
        <v/>
      </c>
      <c r="I122" s="349" t="str">
        <f t="shared" si="7"/>
        <v>否</v>
      </c>
      <c r="J122" s="313" t="str">
        <f t="shared" si="4"/>
        <v>项</v>
      </c>
    </row>
    <row r="123" s="312" customFormat="1" ht="18.75" hidden="1" spans="1:10">
      <c r="A123" s="330">
        <v>2121903</v>
      </c>
      <c r="B123" s="379" t="s">
        <v>1360</v>
      </c>
      <c r="C123" s="328">
        <v>0</v>
      </c>
      <c r="D123" s="404"/>
      <c r="E123" s="404"/>
      <c r="F123" s="400">
        <v>0</v>
      </c>
      <c r="G123" s="404" t="str">
        <f t="shared" si="5"/>
        <v/>
      </c>
      <c r="H123" s="404" t="str">
        <f t="shared" si="6"/>
        <v/>
      </c>
      <c r="I123" s="349" t="str">
        <f t="shared" si="7"/>
        <v>否</v>
      </c>
      <c r="J123" s="313" t="str">
        <f t="shared" si="4"/>
        <v>项</v>
      </c>
    </row>
    <row r="124" s="312" customFormat="1" ht="18.75" hidden="1" spans="1:10">
      <c r="A124" s="330">
        <v>2121904</v>
      </c>
      <c r="B124" s="379" t="s">
        <v>1361</v>
      </c>
      <c r="C124" s="328">
        <v>0</v>
      </c>
      <c r="D124" s="404"/>
      <c r="E124" s="404"/>
      <c r="F124" s="400">
        <v>0</v>
      </c>
      <c r="G124" s="404" t="str">
        <f t="shared" si="5"/>
        <v/>
      </c>
      <c r="H124" s="404" t="str">
        <f t="shared" si="6"/>
        <v/>
      </c>
      <c r="I124" s="349" t="str">
        <f t="shared" si="7"/>
        <v>否</v>
      </c>
      <c r="J124" s="313" t="str">
        <f t="shared" si="4"/>
        <v>项</v>
      </c>
    </row>
    <row r="125" ht="18.75" hidden="1" spans="1:10">
      <c r="A125" s="330">
        <v>2121905</v>
      </c>
      <c r="B125" s="379" t="s">
        <v>1364</v>
      </c>
      <c r="C125" s="328">
        <v>0</v>
      </c>
      <c r="D125" s="404"/>
      <c r="E125" s="404"/>
      <c r="F125" s="400">
        <v>0</v>
      </c>
      <c r="G125" s="404" t="str">
        <f t="shared" si="5"/>
        <v/>
      </c>
      <c r="H125" s="404" t="str">
        <f t="shared" si="6"/>
        <v/>
      </c>
      <c r="I125" s="349" t="str">
        <f t="shared" si="7"/>
        <v>否</v>
      </c>
      <c r="J125" s="313" t="str">
        <f t="shared" si="4"/>
        <v>项</v>
      </c>
    </row>
    <row r="126" ht="18.75" hidden="1" spans="1:10">
      <c r="A126" s="330">
        <v>2121906</v>
      </c>
      <c r="B126" s="379" t="s">
        <v>1366</v>
      </c>
      <c r="C126" s="328">
        <v>0</v>
      </c>
      <c r="D126" s="404"/>
      <c r="E126" s="404"/>
      <c r="F126" s="400">
        <v>0</v>
      </c>
      <c r="G126" s="404" t="str">
        <f t="shared" si="5"/>
        <v/>
      </c>
      <c r="H126" s="404" t="str">
        <f t="shared" si="6"/>
        <v/>
      </c>
      <c r="I126" s="349" t="str">
        <f t="shared" si="7"/>
        <v>否</v>
      </c>
      <c r="J126" s="313" t="str">
        <f t="shared" si="4"/>
        <v>项</v>
      </c>
    </row>
    <row r="127" ht="18.75" hidden="1" spans="1:10">
      <c r="A127" s="330">
        <v>2121907</v>
      </c>
      <c r="B127" s="379" t="s">
        <v>1367</v>
      </c>
      <c r="C127" s="328">
        <v>0</v>
      </c>
      <c r="D127" s="404"/>
      <c r="E127" s="404"/>
      <c r="F127" s="400">
        <v>0</v>
      </c>
      <c r="G127" s="404" t="str">
        <f t="shared" si="5"/>
        <v/>
      </c>
      <c r="H127" s="404" t="str">
        <f t="shared" si="6"/>
        <v/>
      </c>
      <c r="I127" s="349" t="str">
        <f t="shared" si="7"/>
        <v>否</v>
      </c>
      <c r="J127" s="313" t="str">
        <f t="shared" si="4"/>
        <v>项</v>
      </c>
    </row>
    <row r="128" s="312" customFormat="1" ht="37.5" hidden="1" spans="1:10">
      <c r="A128" s="330">
        <v>2121999</v>
      </c>
      <c r="B128" s="379" t="s">
        <v>1395</v>
      </c>
      <c r="C128" s="328">
        <v>0</v>
      </c>
      <c r="D128" s="404"/>
      <c r="E128" s="404"/>
      <c r="F128" s="400">
        <v>0</v>
      </c>
      <c r="G128" s="404" t="str">
        <f t="shared" si="5"/>
        <v/>
      </c>
      <c r="H128" s="404" t="str">
        <f t="shared" si="6"/>
        <v/>
      </c>
      <c r="I128" s="349" t="str">
        <f t="shared" si="7"/>
        <v>否</v>
      </c>
      <c r="J128" s="313" t="str">
        <f t="shared" si="4"/>
        <v>项</v>
      </c>
    </row>
    <row r="129" s="309" customFormat="1" ht="18.75" spans="1:10">
      <c r="A129" s="334">
        <v>21298</v>
      </c>
      <c r="B129" s="338" t="s">
        <v>1331</v>
      </c>
      <c r="C129" s="328">
        <v>11902</v>
      </c>
      <c r="D129" s="328">
        <f>SUM(D130:D131)</f>
        <v>28428</v>
      </c>
      <c r="E129" s="328">
        <f>SUM(E130:E131)</f>
        <v>28428</v>
      </c>
      <c r="F129" s="328">
        <f>SUM(F130:F131)</f>
        <v>34230</v>
      </c>
      <c r="G129" s="404">
        <f t="shared" si="5"/>
        <v>1.87598722903714</v>
      </c>
      <c r="H129" s="404">
        <f t="shared" si="6"/>
        <v>1.20409455466442</v>
      </c>
      <c r="I129" s="349" t="str">
        <f t="shared" si="7"/>
        <v>是</v>
      </c>
      <c r="J129" s="309" t="str">
        <f t="shared" si="4"/>
        <v>款</v>
      </c>
    </row>
    <row r="130" s="309" customFormat="1" ht="18.75" hidden="1" spans="1:10">
      <c r="A130" s="334">
        <v>2129801</v>
      </c>
      <c r="B130" s="338" t="s">
        <v>1396</v>
      </c>
      <c r="C130" s="328">
        <v>7372</v>
      </c>
      <c r="D130" s="328">
        <v>28428</v>
      </c>
      <c r="E130" s="328">
        <v>28428</v>
      </c>
      <c r="F130" s="400">
        <v>32799</v>
      </c>
      <c r="G130" s="404">
        <f t="shared" si="5"/>
        <v>3.44913185024417</v>
      </c>
      <c r="H130" s="404">
        <f t="shared" si="6"/>
        <v>1.15375685943436</v>
      </c>
      <c r="I130" s="349" t="str">
        <f t="shared" si="7"/>
        <v>是</v>
      </c>
      <c r="J130" s="309" t="str">
        <f t="shared" si="4"/>
        <v>项</v>
      </c>
    </row>
    <row r="131" s="309" customFormat="1" ht="18.75" hidden="1" spans="1:10">
      <c r="A131" s="334">
        <v>2129899</v>
      </c>
      <c r="B131" s="338" t="s">
        <v>1397</v>
      </c>
      <c r="C131" s="328">
        <v>4530</v>
      </c>
      <c r="D131" s="404"/>
      <c r="E131" s="404"/>
      <c r="F131" s="400">
        <v>1431</v>
      </c>
      <c r="G131" s="404">
        <f t="shared" si="5"/>
        <v>-0.684105960264901</v>
      </c>
      <c r="H131" s="404" t="str">
        <f t="shared" si="6"/>
        <v/>
      </c>
      <c r="I131" s="349" t="str">
        <f t="shared" si="7"/>
        <v>是</v>
      </c>
      <c r="J131" s="309" t="str">
        <f t="shared" si="4"/>
        <v>项</v>
      </c>
    </row>
    <row r="132" s="312" customFormat="1" ht="18.75" spans="1:10">
      <c r="A132" s="329">
        <v>213</v>
      </c>
      <c r="B132" s="377" t="s">
        <v>1398</v>
      </c>
      <c r="C132" s="325">
        <v>7534</v>
      </c>
      <c r="D132" s="325">
        <f>D133+D138+D143+D148+D151+D156+D160+D164+D167</f>
        <v>5462</v>
      </c>
      <c r="E132" s="325">
        <f>E133+E138+E143+E148+E151+E156+E160+E164+E167</f>
        <v>5462</v>
      </c>
      <c r="F132" s="325">
        <f>F133+F138+F143+F148+F151+F156+F160+F164+F167</f>
        <v>12025</v>
      </c>
      <c r="G132" s="403">
        <f t="shared" si="5"/>
        <v>0.59609769046987</v>
      </c>
      <c r="H132" s="403">
        <f t="shared" si="6"/>
        <v>2.20157451482973</v>
      </c>
      <c r="I132" s="349" t="str">
        <f t="shared" si="7"/>
        <v>是</v>
      </c>
      <c r="J132" s="313" t="str">
        <f t="shared" si="4"/>
        <v>类</v>
      </c>
    </row>
    <row r="133" ht="18.75" spans="1:10">
      <c r="A133" s="330">
        <v>21366</v>
      </c>
      <c r="B133" s="379" t="s">
        <v>1399</v>
      </c>
      <c r="C133" s="328">
        <v>3241</v>
      </c>
      <c r="D133" s="328">
        <f>SUM(D134:D137)</f>
        <v>1859</v>
      </c>
      <c r="E133" s="328">
        <f>SUM(E134:E137)</f>
        <v>1859</v>
      </c>
      <c r="F133" s="328">
        <f>SUM(F134:F137)</f>
        <v>4095</v>
      </c>
      <c r="G133" s="404">
        <f t="shared" si="5"/>
        <v>0.263498920086393</v>
      </c>
      <c r="H133" s="404">
        <f t="shared" si="6"/>
        <v>2.2027972027972</v>
      </c>
      <c r="I133" s="349" t="str">
        <f t="shared" si="7"/>
        <v>是</v>
      </c>
      <c r="J133" s="313" t="str">
        <f t="shared" ref="J133:J196" si="8">IF(LEN(A133)=3,"类",IF(LEN(A133)=5,"款","项"))</f>
        <v>款</v>
      </c>
    </row>
    <row r="134" s="312" customFormat="1" ht="18.75" hidden="1" spans="1:10">
      <c r="A134" s="330">
        <v>2136601</v>
      </c>
      <c r="B134" s="379" t="s">
        <v>1400</v>
      </c>
      <c r="C134" s="328">
        <v>1127</v>
      </c>
      <c r="D134" s="328">
        <v>408</v>
      </c>
      <c r="E134" s="328">
        <v>408</v>
      </c>
      <c r="F134" s="400">
        <v>3353</v>
      </c>
      <c r="G134" s="404">
        <f t="shared" ref="G134:G197" si="9">IFERROR((F134-C134)/C134,"")</f>
        <v>1.97515527950311</v>
      </c>
      <c r="H134" s="404">
        <f t="shared" ref="H134:H197" si="10">IFERROR(F134/D134,"")</f>
        <v>8.21813725490196</v>
      </c>
      <c r="I134" s="349" t="str">
        <f t="shared" ref="I134:I197" si="11">IF(LEN(A134)=3,"是",IF(B134&lt;&gt;"",IF(SUM(C134:F134)&lt;&gt;0,"是","否"),"是"))</f>
        <v>是</v>
      </c>
      <c r="J134" s="313" t="str">
        <f t="shared" si="8"/>
        <v>项</v>
      </c>
    </row>
    <row r="135" s="312" customFormat="1" ht="18.75" hidden="1" spans="1:10">
      <c r="A135" s="330">
        <v>2136602</v>
      </c>
      <c r="B135" s="379" t="s">
        <v>1401</v>
      </c>
      <c r="C135" s="328">
        <v>0</v>
      </c>
      <c r="D135" s="328"/>
      <c r="E135" s="328"/>
      <c r="F135" s="400">
        <v>0</v>
      </c>
      <c r="G135" s="404" t="str">
        <f t="shared" si="9"/>
        <v/>
      </c>
      <c r="H135" s="404" t="str">
        <f t="shared" si="10"/>
        <v/>
      </c>
      <c r="I135" s="349" t="str">
        <f t="shared" si="11"/>
        <v>否</v>
      </c>
      <c r="J135" s="313" t="str">
        <f t="shared" si="8"/>
        <v>项</v>
      </c>
    </row>
    <row r="136" s="312" customFormat="1" ht="18.75" hidden="1" spans="1:10">
      <c r="A136" s="330">
        <v>2136603</v>
      </c>
      <c r="B136" s="379" t="s">
        <v>1402</v>
      </c>
      <c r="C136" s="328">
        <v>0</v>
      </c>
      <c r="D136" s="328"/>
      <c r="E136" s="328"/>
      <c r="F136" s="400">
        <v>0</v>
      </c>
      <c r="G136" s="404" t="str">
        <f t="shared" si="9"/>
        <v/>
      </c>
      <c r="H136" s="404" t="str">
        <f t="shared" si="10"/>
        <v/>
      </c>
      <c r="I136" s="349" t="str">
        <f t="shared" si="11"/>
        <v>否</v>
      </c>
      <c r="J136" s="313" t="str">
        <f t="shared" si="8"/>
        <v>项</v>
      </c>
    </row>
    <row r="137" s="312" customFormat="1" ht="18.75" hidden="1" spans="1:10">
      <c r="A137" s="330">
        <v>2136699</v>
      </c>
      <c r="B137" s="379" t="s">
        <v>1403</v>
      </c>
      <c r="C137" s="328">
        <v>2114</v>
      </c>
      <c r="D137" s="328">
        <v>1451</v>
      </c>
      <c r="E137" s="328">
        <v>1451</v>
      </c>
      <c r="F137" s="400">
        <v>742</v>
      </c>
      <c r="G137" s="404">
        <f t="shared" si="9"/>
        <v>-0.649006622516556</v>
      </c>
      <c r="H137" s="404">
        <f t="shared" si="10"/>
        <v>0.511371467953136</v>
      </c>
      <c r="I137" s="349" t="str">
        <f t="shared" si="11"/>
        <v>是</v>
      </c>
      <c r="J137" s="313" t="str">
        <f t="shared" si="8"/>
        <v>项</v>
      </c>
    </row>
    <row r="138" s="312" customFormat="1" ht="18.75" hidden="1" spans="1:10">
      <c r="A138" s="330">
        <v>21367</v>
      </c>
      <c r="B138" s="379" t="s">
        <v>1404</v>
      </c>
      <c r="C138" s="328">
        <v>0</v>
      </c>
      <c r="D138" s="404"/>
      <c r="E138" s="404"/>
      <c r="F138" s="399">
        <v>0</v>
      </c>
      <c r="G138" s="403" t="str">
        <f t="shared" si="9"/>
        <v/>
      </c>
      <c r="H138" s="403" t="str">
        <f t="shared" si="10"/>
        <v/>
      </c>
      <c r="I138" s="349" t="str">
        <f t="shared" si="11"/>
        <v>否</v>
      </c>
      <c r="J138" s="313" t="str">
        <f t="shared" si="8"/>
        <v>款</v>
      </c>
    </row>
    <row r="139" ht="18.75" hidden="1" spans="1:10">
      <c r="A139" s="330">
        <v>2136701</v>
      </c>
      <c r="B139" s="379" t="s">
        <v>1400</v>
      </c>
      <c r="C139" s="328">
        <v>0</v>
      </c>
      <c r="D139" s="404"/>
      <c r="E139" s="404"/>
      <c r="F139" s="400">
        <v>0</v>
      </c>
      <c r="G139" s="404" t="str">
        <f t="shared" si="9"/>
        <v/>
      </c>
      <c r="H139" s="404" t="str">
        <f t="shared" si="10"/>
        <v/>
      </c>
      <c r="I139" s="349" t="str">
        <f t="shared" si="11"/>
        <v>否</v>
      </c>
      <c r="J139" s="313" t="str">
        <f t="shared" si="8"/>
        <v>项</v>
      </c>
    </row>
    <row r="140" s="312" customFormat="1" ht="18.75" hidden="1" spans="1:10">
      <c r="A140" s="330">
        <v>2136702</v>
      </c>
      <c r="B140" s="379" t="s">
        <v>1401</v>
      </c>
      <c r="C140" s="328">
        <v>0</v>
      </c>
      <c r="D140" s="404"/>
      <c r="E140" s="404"/>
      <c r="F140" s="400">
        <v>0</v>
      </c>
      <c r="G140" s="404" t="str">
        <f t="shared" si="9"/>
        <v/>
      </c>
      <c r="H140" s="404" t="str">
        <f t="shared" si="10"/>
        <v/>
      </c>
      <c r="I140" s="349" t="str">
        <f t="shared" si="11"/>
        <v>否</v>
      </c>
      <c r="J140" s="313" t="str">
        <f t="shared" si="8"/>
        <v>项</v>
      </c>
    </row>
    <row r="141" s="312" customFormat="1" ht="18.75" hidden="1" spans="1:10">
      <c r="A141" s="330">
        <v>2136703</v>
      </c>
      <c r="B141" s="379" t="s">
        <v>1405</v>
      </c>
      <c r="C141" s="328">
        <v>0</v>
      </c>
      <c r="D141" s="404"/>
      <c r="E141" s="404"/>
      <c r="F141" s="400">
        <v>0</v>
      </c>
      <c r="G141" s="404" t="str">
        <f t="shared" si="9"/>
        <v/>
      </c>
      <c r="H141" s="404" t="str">
        <f t="shared" si="10"/>
        <v/>
      </c>
      <c r="I141" s="349" t="str">
        <f t="shared" si="11"/>
        <v>否</v>
      </c>
      <c r="J141" s="313" t="str">
        <f t="shared" si="8"/>
        <v>项</v>
      </c>
    </row>
    <row r="142" s="312" customFormat="1" ht="18.75" hidden="1" spans="1:10">
      <c r="A142" s="330">
        <v>2136799</v>
      </c>
      <c r="B142" s="379" t="s">
        <v>1406</v>
      </c>
      <c r="C142" s="328">
        <v>0</v>
      </c>
      <c r="D142" s="404"/>
      <c r="E142" s="404"/>
      <c r="F142" s="400">
        <v>0</v>
      </c>
      <c r="G142" s="404" t="str">
        <f t="shared" si="9"/>
        <v/>
      </c>
      <c r="H142" s="404" t="str">
        <f t="shared" si="10"/>
        <v/>
      </c>
      <c r="I142" s="349" t="str">
        <f t="shared" si="11"/>
        <v>否</v>
      </c>
      <c r="J142" s="313" t="str">
        <f t="shared" si="8"/>
        <v>项</v>
      </c>
    </row>
    <row r="143" ht="18.75" hidden="1" spans="1:10">
      <c r="A143" s="330">
        <v>21369</v>
      </c>
      <c r="B143" s="379" t="s">
        <v>1407</v>
      </c>
      <c r="C143" s="328">
        <v>0</v>
      </c>
      <c r="D143" s="404"/>
      <c r="E143" s="404"/>
      <c r="F143" s="399">
        <v>0</v>
      </c>
      <c r="G143" s="403" t="str">
        <f t="shared" si="9"/>
        <v/>
      </c>
      <c r="H143" s="403" t="str">
        <f t="shared" si="10"/>
        <v/>
      </c>
      <c r="I143" s="349" t="str">
        <f t="shared" si="11"/>
        <v>否</v>
      </c>
      <c r="J143" s="313" t="str">
        <f t="shared" si="8"/>
        <v>款</v>
      </c>
    </row>
    <row r="144" s="312" customFormat="1" ht="18.75" hidden="1" spans="1:10">
      <c r="A144" s="330">
        <v>2136901</v>
      </c>
      <c r="B144" s="379" t="s">
        <v>1408</v>
      </c>
      <c r="C144" s="328">
        <v>0</v>
      </c>
      <c r="D144" s="404"/>
      <c r="E144" s="404"/>
      <c r="F144" s="400">
        <v>0</v>
      </c>
      <c r="G144" s="404" t="str">
        <f t="shared" si="9"/>
        <v/>
      </c>
      <c r="H144" s="404" t="str">
        <f t="shared" si="10"/>
        <v/>
      </c>
      <c r="I144" s="349" t="str">
        <f t="shared" si="11"/>
        <v>否</v>
      </c>
      <c r="J144" s="313" t="str">
        <f t="shared" si="8"/>
        <v>项</v>
      </c>
    </row>
    <row r="145" s="312" customFormat="1" ht="18.75" hidden="1" spans="1:10">
      <c r="A145" s="330">
        <v>2136902</v>
      </c>
      <c r="B145" s="379" t="s">
        <v>1409</v>
      </c>
      <c r="C145" s="328">
        <v>0</v>
      </c>
      <c r="D145" s="404"/>
      <c r="E145" s="404"/>
      <c r="F145" s="400">
        <v>0</v>
      </c>
      <c r="G145" s="404" t="str">
        <f t="shared" si="9"/>
        <v/>
      </c>
      <c r="H145" s="404" t="str">
        <f t="shared" si="10"/>
        <v/>
      </c>
      <c r="I145" s="349" t="str">
        <f t="shared" si="11"/>
        <v>否</v>
      </c>
      <c r="J145" s="313" t="str">
        <f t="shared" si="8"/>
        <v>项</v>
      </c>
    </row>
    <row r="146" s="312" customFormat="1" ht="18.75" hidden="1" spans="1:10">
      <c r="A146" s="330">
        <v>2136903</v>
      </c>
      <c r="B146" s="379" t="s">
        <v>1410</v>
      </c>
      <c r="C146" s="328">
        <v>0</v>
      </c>
      <c r="D146" s="404"/>
      <c r="E146" s="404"/>
      <c r="F146" s="400">
        <v>0</v>
      </c>
      <c r="G146" s="404" t="str">
        <f t="shared" si="9"/>
        <v/>
      </c>
      <c r="H146" s="404" t="str">
        <f t="shared" si="10"/>
        <v/>
      </c>
      <c r="I146" s="349" t="str">
        <f t="shared" si="11"/>
        <v>否</v>
      </c>
      <c r="J146" s="313" t="str">
        <f t="shared" si="8"/>
        <v>项</v>
      </c>
    </row>
    <row r="147" ht="18.75" hidden="1" spans="1:10">
      <c r="A147" s="330">
        <v>2136999</v>
      </c>
      <c r="B147" s="379" t="s">
        <v>1411</v>
      </c>
      <c r="C147" s="328">
        <v>0</v>
      </c>
      <c r="D147" s="404"/>
      <c r="E147" s="404"/>
      <c r="F147" s="400">
        <v>0</v>
      </c>
      <c r="G147" s="404" t="str">
        <f t="shared" si="9"/>
        <v/>
      </c>
      <c r="H147" s="404" t="str">
        <f t="shared" si="10"/>
        <v/>
      </c>
      <c r="I147" s="349" t="str">
        <f t="shared" si="11"/>
        <v>否</v>
      </c>
      <c r="J147" s="313" t="str">
        <f t="shared" si="8"/>
        <v>项</v>
      </c>
    </row>
    <row r="148" s="312" customFormat="1" ht="37.5" spans="1:10">
      <c r="A148" s="406">
        <v>21370</v>
      </c>
      <c r="B148" s="379" t="s">
        <v>1412</v>
      </c>
      <c r="C148" s="328">
        <v>63</v>
      </c>
      <c r="D148" s="328">
        <f>SUM(D149:D150)</f>
        <v>60</v>
      </c>
      <c r="E148" s="328">
        <f>SUM(E149:E150)</f>
        <v>60</v>
      </c>
      <c r="F148" s="328">
        <f>SUM(F149:F150)</f>
        <v>0</v>
      </c>
      <c r="G148" s="404">
        <f t="shared" si="9"/>
        <v>-1</v>
      </c>
      <c r="H148" s="404">
        <f t="shared" si="10"/>
        <v>0</v>
      </c>
      <c r="I148" s="349" t="str">
        <f t="shared" si="11"/>
        <v>是</v>
      </c>
      <c r="J148" s="313" t="str">
        <f t="shared" si="8"/>
        <v>款</v>
      </c>
    </row>
    <row r="149" s="312" customFormat="1" ht="18.75" hidden="1" spans="1:10">
      <c r="A149" s="406">
        <v>2137001</v>
      </c>
      <c r="B149" s="379" t="s">
        <v>1400</v>
      </c>
      <c r="C149" s="328">
        <v>63</v>
      </c>
      <c r="D149" s="328">
        <v>60</v>
      </c>
      <c r="E149" s="328">
        <v>60</v>
      </c>
      <c r="F149" s="400">
        <v>0</v>
      </c>
      <c r="G149" s="404">
        <f t="shared" si="9"/>
        <v>-1</v>
      </c>
      <c r="H149" s="404">
        <f t="shared" si="10"/>
        <v>0</v>
      </c>
      <c r="I149" s="349" t="str">
        <f t="shared" si="11"/>
        <v>是</v>
      </c>
      <c r="J149" s="313" t="str">
        <f t="shared" si="8"/>
        <v>项</v>
      </c>
    </row>
    <row r="150" ht="37.5" hidden="1" spans="1:10">
      <c r="A150" s="406">
        <v>2137099</v>
      </c>
      <c r="B150" s="379" t="s">
        <v>1413</v>
      </c>
      <c r="C150" s="328">
        <v>0</v>
      </c>
      <c r="D150" s="404"/>
      <c r="E150" s="404"/>
      <c r="F150" s="400">
        <v>0</v>
      </c>
      <c r="G150" s="404" t="str">
        <f t="shared" si="9"/>
        <v/>
      </c>
      <c r="H150" s="404" t="str">
        <f t="shared" si="10"/>
        <v/>
      </c>
      <c r="I150" s="349" t="str">
        <f t="shared" si="11"/>
        <v>否</v>
      </c>
      <c r="J150" s="313" t="str">
        <f t="shared" si="8"/>
        <v>项</v>
      </c>
    </row>
    <row r="151" s="312" customFormat="1" ht="37.5" hidden="1" spans="1:10">
      <c r="A151" s="406">
        <v>21371</v>
      </c>
      <c r="B151" s="379" t="s">
        <v>1414</v>
      </c>
      <c r="C151" s="328">
        <v>0</v>
      </c>
      <c r="D151" s="404"/>
      <c r="E151" s="404"/>
      <c r="F151" s="399">
        <v>0</v>
      </c>
      <c r="G151" s="403" t="str">
        <f t="shared" si="9"/>
        <v/>
      </c>
      <c r="H151" s="403" t="str">
        <f t="shared" si="10"/>
        <v/>
      </c>
      <c r="I151" s="349" t="str">
        <f t="shared" si="11"/>
        <v>否</v>
      </c>
      <c r="J151" s="313" t="str">
        <f t="shared" si="8"/>
        <v>款</v>
      </c>
    </row>
    <row r="152" ht="18.75" hidden="1" spans="1:10">
      <c r="A152" s="406">
        <v>2137101</v>
      </c>
      <c r="B152" s="379" t="s">
        <v>1408</v>
      </c>
      <c r="C152" s="328">
        <v>0</v>
      </c>
      <c r="D152" s="404"/>
      <c r="E152" s="404"/>
      <c r="F152" s="400">
        <v>0</v>
      </c>
      <c r="G152" s="404" t="str">
        <f t="shared" si="9"/>
        <v/>
      </c>
      <c r="H152" s="404" t="str">
        <f t="shared" si="10"/>
        <v/>
      </c>
      <c r="I152" s="349" t="str">
        <f t="shared" si="11"/>
        <v>否</v>
      </c>
      <c r="J152" s="313" t="str">
        <f t="shared" si="8"/>
        <v>项</v>
      </c>
    </row>
    <row r="153" s="312" customFormat="1" ht="18.75" hidden="1" spans="1:10">
      <c r="A153" s="406">
        <v>2137102</v>
      </c>
      <c r="B153" s="379" t="s">
        <v>1415</v>
      </c>
      <c r="C153" s="328">
        <v>0</v>
      </c>
      <c r="D153" s="404"/>
      <c r="E153" s="404"/>
      <c r="F153" s="400">
        <v>0</v>
      </c>
      <c r="G153" s="404" t="str">
        <f t="shared" si="9"/>
        <v/>
      </c>
      <c r="H153" s="404" t="str">
        <f t="shared" si="10"/>
        <v/>
      </c>
      <c r="I153" s="349" t="str">
        <f t="shared" si="11"/>
        <v>否</v>
      </c>
      <c r="J153" s="313" t="str">
        <f t="shared" si="8"/>
        <v>项</v>
      </c>
    </row>
    <row r="154" s="312" customFormat="1" ht="18.75" hidden="1" spans="1:10">
      <c r="A154" s="406">
        <v>2137103</v>
      </c>
      <c r="B154" s="379" t="s">
        <v>1410</v>
      </c>
      <c r="C154" s="328">
        <v>0</v>
      </c>
      <c r="D154" s="404"/>
      <c r="E154" s="404"/>
      <c r="F154" s="400">
        <v>0</v>
      </c>
      <c r="G154" s="404" t="str">
        <f t="shared" si="9"/>
        <v/>
      </c>
      <c r="H154" s="404" t="str">
        <f t="shared" si="10"/>
        <v/>
      </c>
      <c r="I154" s="349" t="str">
        <f t="shared" si="11"/>
        <v>否</v>
      </c>
      <c r="J154" s="313" t="str">
        <f t="shared" si="8"/>
        <v>项</v>
      </c>
    </row>
    <row r="155" s="312" customFormat="1" ht="37.5" hidden="1" spans="1:10">
      <c r="A155" s="406">
        <v>2137199</v>
      </c>
      <c r="B155" s="379" t="s">
        <v>1416</v>
      </c>
      <c r="C155" s="328">
        <v>0</v>
      </c>
      <c r="D155" s="404"/>
      <c r="E155" s="404"/>
      <c r="F155" s="400">
        <v>0</v>
      </c>
      <c r="G155" s="404" t="str">
        <f t="shared" si="9"/>
        <v/>
      </c>
      <c r="H155" s="404" t="str">
        <f t="shared" si="10"/>
        <v/>
      </c>
      <c r="I155" s="349" t="str">
        <f t="shared" si="11"/>
        <v>否</v>
      </c>
      <c r="J155" s="313" t="str">
        <f t="shared" si="8"/>
        <v>项</v>
      </c>
    </row>
    <row r="156" s="312" customFormat="1" ht="18.75" spans="1:10">
      <c r="A156" s="407">
        <v>21372</v>
      </c>
      <c r="B156" s="379" t="s">
        <v>1417</v>
      </c>
      <c r="C156" s="328">
        <v>4230</v>
      </c>
      <c r="D156" s="328">
        <f>SUM(D157:D159)</f>
        <v>3543</v>
      </c>
      <c r="E156" s="328">
        <f>SUM(E157:E159)</f>
        <v>3543</v>
      </c>
      <c r="F156" s="328">
        <f>SUM(F157:F159)</f>
        <v>7930</v>
      </c>
      <c r="G156" s="404">
        <f t="shared" si="9"/>
        <v>0.874704491725768</v>
      </c>
      <c r="H156" s="404">
        <f t="shared" si="10"/>
        <v>2.23821620095964</v>
      </c>
      <c r="I156" s="349" t="str">
        <f t="shared" si="11"/>
        <v>是</v>
      </c>
      <c r="J156" s="313" t="str">
        <f t="shared" si="8"/>
        <v>款</v>
      </c>
    </row>
    <row r="157" s="312" customFormat="1" ht="18.75" hidden="1" spans="1:10">
      <c r="A157" s="407">
        <v>2137201</v>
      </c>
      <c r="B157" s="379" t="s">
        <v>1418</v>
      </c>
      <c r="C157" s="328">
        <v>2410</v>
      </c>
      <c r="D157" s="328">
        <v>2218</v>
      </c>
      <c r="E157" s="328">
        <v>2218</v>
      </c>
      <c r="F157" s="400">
        <v>2464</v>
      </c>
      <c r="G157" s="404">
        <f t="shared" si="9"/>
        <v>0.0224066390041494</v>
      </c>
      <c r="H157" s="404">
        <f t="shared" si="10"/>
        <v>1.11091073038774</v>
      </c>
      <c r="I157" s="349" t="str">
        <f t="shared" si="11"/>
        <v>是</v>
      </c>
      <c r="J157" s="313" t="str">
        <f t="shared" si="8"/>
        <v>项</v>
      </c>
    </row>
    <row r="158" ht="18.75" hidden="1" spans="1:10">
      <c r="A158" s="407">
        <v>2137202</v>
      </c>
      <c r="B158" s="379" t="s">
        <v>1400</v>
      </c>
      <c r="C158" s="328">
        <v>1820</v>
      </c>
      <c r="D158" s="328">
        <v>1325</v>
      </c>
      <c r="E158" s="328">
        <v>1325</v>
      </c>
      <c r="F158" s="400">
        <v>5466</v>
      </c>
      <c r="G158" s="404">
        <f t="shared" si="9"/>
        <v>2.0032967032967</v>
      </c>
      <c r="H158" s="404">
        <f t="shared" si="10"/>
        <v>4.12528301886792</v>
      </c>
      <c r="I158" s="349" t="str">
        <f t="shared" si="11"/>
        <v>是</v>
      </c>
      <c r="J158" s="313" t="str">
        <f t="shared" si="8"/>
        <v>项</v>
      </c>
    </row>
    <row r="159" s="312" customFormat="1" ht="18.75" hidden="1" spans="1:10">
      <c r="A159" s="407">
        <v>2137299</v>
      </c>
      <c r="B159" s="379" t="s">
        <v>1419</v>
      </c>
      <c r="C159" s="328">
        <v>0</v>
      </c>
      <c r="D159" s="404"/>
      <c r="E159" s="404"/>
      <c r="F159" s="400">
        <v>0</v>
      </c>
      <c r="G159" s="404" t="str">
        <f t="shared" si="9"/>
        <v/>
      </c>
      <c r="H159" s="404" t="str">
        <f t="shared" si="10"/>
        <v/>
      </c>
      <c r="I159" s="349" t="str">
        <f t="shared" si="11"/>
        <v>否</v>
      </c>
      <c r="J159" s="313" t="str">
        <f t="shared" si="8"/>
        <v>项</v>
      </c>
    </row>
    <row r="160" s="312" customFormat="1" ht="18.75" hidden="1" spans="1:10">
      <c r="A160" s="407">
        <v>21373</v>
      </c>
      <c r="B160" s="379" t="s">
        <v>1420</v>
      </c>
      <c r="C160" s="328">
        <v>0</v>
      </c>
      <c r="D160" s="404"/>
      <c r="E160" s="404"/>
      <c r="F160" s="399">
        <v>0</v>
      </c>
      <c r="G160" s="403" t="str">
        <f t="shared" si="9"/>
        <v/>
      </c>
      <c r="H160" s="403" t="str">
        <f t="shared" si="10"/>
        <v/>
      </c>
      <c r="I160" s="349" t="str">
        <f t="shared" si="11"/>
        <v>否</v>
      </c>
      <c r="J160" s="313" t="str">
        <f t="shared" si="8"/>
        <v>款</v>
      </c>
    </row>
    <row r="161" s="312" customFormat="1" ht="18.75" hidden="1" spans="1:10">
      <c r="A161" s="407">
        <v>2137301</v>
      </c>
      <c r="B161" s="379" t="s">
        <v>1418</v>
      </c>
      <c r="C161" s="328">
        <v>0</v>
      </c>
      <c r="D161" s="404"/>
      <c r="E161" s="404"/>
      <c r="F161" s="400">
        <v>0</v>
      </c>
      <c r="G161" s="404" t="str">
        <f t="shared" si="9"/>
        <v/>
      </c>
      <c r="H161" s="404" t="str">
        <f t="shared" si="10"/>
        <v/>
      </c>
      <c r="I161" s="349" t="str">
        <f t="shared" si="11"/>
        <v>否</v>
      </c>
      <c r="J161" s="313" t="str">
        <f t="shared" si="8"/>
        <v>项</v>
      </c>
    </row>
    <row r="162" ht="18.75" hidden="1" spans="1:10">
      <c r="A162" s="407">
        <v>2137302</v>
      </c>
      <c r="B162" s="379" t="s">
        <v>1400</v>
      </c>
      <c r="C162" s="328">
        <v>0</v>
      </c>
      <c r="D162" s="404"/>
      <c r="E162" s="404"/>
      <c r="F162" s="400">
        <v>0</v>
      </c>
      <c r="G162" s="404" t="str">
        <f t="shared" si="9"/>
        <v/>
      </c>
      <c r="H162" s="404" t="str">
        <f t="shared" si="10"/>
        <v/>
      </c>
      <c r="I162" s="349" t="str">
        <f t="shared" si="11"/>
        <v>否</v>
      </c>
      <c r="J162" s="313" t="str">
        <f t="shared" si="8"/>
        <v>项</v>
      </c>
    </row>
    <row r="163" ht="18.75" hidden="1" spans="1:10">
      <c r="A163" s="407">
        <v>2137399</v>
      </c>
      <c r="B163" s="379" t="s">
        <v>1421</v>
      </c>
      <c r="C163" s="328">
        <v>0</v>
      </c>
      <c r="D163" s="404"/>
      <c r="E163" s="404"/>
      <c r="F163" s="400">
        <v>0</v>
      </c>
      <c r="G163" s="404" t="str">
        <f t="shared" si="9"/>
        <v/>
      </c>
      <c r="H163" s="404" t="str">
        <f t="shared" si="10"/>
        <v/>
      </c>
      <c r="I163" s="349" t="str">
        <f t="shared" si="11"/>
        <v>否</v>
      </c>
      <c r="J163" s="313" t="str">
        <f t="shared" si="8"/>
        <v>项</v>
      </c>
    </row>
    <row r="164" s="312" customFormat="1" ht="37.5" hidden="1" spans="1:10">
      <c r="A164" s="407">
        <v>21374</v>
      </c>
      <c r="B164" s="379" t="s">
        <v>1422</v>
      </c>
      <c r="C164" s="328">
        <v>0</v>
      </c>
      <c r="D164" s="404"/>
      <c r="E164" s="404"/>
      <c r="F164" s="399">
        <v>0</v>
      </c>
      <c r="G164" s="403" t="str">
        <f t="shared" si="9"/>
        <v/>
      </c>
      <c r="H164" s="403" t="str">
        <f t="shared" si="10"/>
        <v/>
      </c>
      <c r="I164" s="349" t="str">
        <f t="shared" si="11"/>
        <v>否</v>
      </c>
      <c r="J164" s="313" t="str">
        <f t="shared" si="8"/>
        <v>款</v>
      </c>
    </row>
    <row r="165" ht="18.75" hidden="1" spans="1:10">
      <c r="A165" s="407">
        <v>2137401</v>
      </c>
      <c r="B165" s="379" t="s">
        <v>1400</v>
      </c>
      <c r="C165" s="328">
        <v>0</v>
      </c>
      <c r="D165" s="404"/>
      <c r="E165" s="404"/>
      <c r="F165" s="400">
        <v>0</v>
      </c>
      <c r="G165" s="404" t="str">
        <f t="shared" si="9"/>
        <v/>
      </c>
      <c r="H165" s="404" t="str">
        <f t="shared" si="10"/>
        <v/>
      </c>
      <c r="I165" s="349" t="str">
        <f t="shared" si="11"/>
        <v>否</v>
      </c>
      <c r="J165" s="313" t="str">
        <f t="shared" si="8"/>
        <v>项</v>
      </c>
    </row>
    <row r="166" ht="37.5" hidden="1" spans="1:10">
      <c r="A166" s="407">
        <v>2137499</v>
      </c>
      <c r="B166" s="379" t="s">
        <v>1423</v>
      </c>
      <c r="C166" s="328">
        <v>0</v>
      </c>
      <c r="D166" s="404"/>
      <c r="E166" s="404"/>
      <c r="F166" s="400">
        <v>0</v>
      </c>
      <c r="G166" s="404" t="str">
        <f t="shared" si="9"/>
        <v/>
      </c>
      <c r="H166" s="404" t="str">
        <f t="shared" si="10"/>
        <v/>
      </c>
      <c r="I166" s="349" t="str">
        <f t="shared" si="11"/>
        <v>否</v>
      </c>
      <c r="J166" s="313" t="str">
        <f t="shared" si="8"/>
        <v>项</v>
      </c>
    </row>
    <row r="167" s="311" customFormat="1" ht="18.75" hidden="1" spans="1:10">
      <c r="A167" s="334">
        <v>21398</v>
      </c>
      <c r="B167" s="338" t="s">
        <v>1331</v>
      </c>
      <c r="C167" s="328">
        <v>0</v>
      </c>
      <c r="D167" s="404"/>
      <c r="E167" s="404"/>
      <c r="F167" s="399">
        <v>0</v>
      </c>
      <c r="G167" s="403" t="str">
        <f t="shared" si="9"/>
        <v/>
      </c>
      <c r="H167" s="403" t="str">
        <f t="shared" si="10"/>
        <v/>
      </c>
      <c r="I167" s="349" t="str">
        <f t="shared" si="11"/>
        <v>否</v>
      </c>
      <c r="J167" s="309" t="str">
        <f t="shared" si="8"/>
        <v>款</v>
      </c>
    </row>
    <row r="168" s="311" customFormat="1" ht="18.75" hidden="1" spans="1:10">
      <c r="A168" s="334">
        <v>2139801</v>
      </c>
      <c r="B168" s="338" t="s">
        <v>1424</v>
      </c>
      <c r="C168" s="328">
        <v>0</v>
      </c>
      <c r="D168" s="404"/>
      <c r="E168" s="404"/>
      <c r="F168" s="400">
        <v>0</v>
      </c>
      <c r="G168" s="404" t="str">
        <f t="shared" si="9"/>
        <v/>
      </c>
      <c r="H168" s="404" t="str">
        <f t="shared" si="10"/>
        <v/>
      </c>
      <c r="I168" s="349" t="str">
        <f t="shared" si="11"/>
        <v>否</v>
      </c>
      <c r="J168" s="309" t="str">
        <f t="shared" si="8"/>
        <v>项</v>
      </c>
    </row>
    <row r="169" s="311" customFormat="1" ht="18.75" hidden="1" spans="1:10">
      <c r="A169" s="334">
        <v>2139802</v>
      </c>
      <c r="B169" s="338" t="s">
        <v>1425</v>
      </c>
      <c r="C169" s="328">
        <v>0</v>
      </c>
      <c r="D169" s="404"/>
      <c r="E169" s="404"/>
      <c r="F169" s="400">
        <v>0</v>
      </c>
      <c r="G169" s="404" t="str">
        <f t="shared" si="9"/>
        <v/>
      </c>
      <c r="H169" s="404" t="str">
        <f t="shared" si="10"/>
        <v/>
      </c>
      <c r="I169" s="349" t="str">
        <f t="shared" si="11"/>
        <v>否</v>
      </c>
      <c r="J169" s="309" t="str">
        <f t="shared" si="8"/>
        <v>项</v>
      </c>
    </row>
    <row r="170" s="311" customFormat="1" ht="18.75" hidden="1" spans="1:10">
      <c r="A170" s="334">
        <v>2139899</v>
      </c>
      <c r="B170" s="338" t="s">
        <v>1426</v>
      </c>
      <c r="C170" s="328">
        <v>0</v>
      </c>
      <c r="D170" s="404"/>
      <c r="E170" s="404"/>
      <c r="F170" s="400">
        <v>0</v>
      </c>
      <c r="G170" s="404" t="str">
        <f t="shared" si="9"/>
        <v/>
      </c>
      <c r="H170" s="404" t="str">
        <f t="shared" si="10"/>
        <v/>
      </c>
      <c r="I170" s="349" t="str">
        <f t="shared" si="11"/>
        <v>否</v>
      </c>
      <c r="J170" s="309" t="str">
        <f t="shared" si="8"/>
        <v>项</v>
      </c>
    </row>
    <row r="171" s="312" customFormat="1" ht="18.75" spans="1:10">
      <c r="A171" s="329">
        <v>214</v>
      </c>
      <c r="B171" s="377" t="s">
        <v>1427</v>
      </c>
      <c r="C171" s="325"/>
      <c r="D171" s="403">
        <f>D172+D177+D182+D191+D198+D208+D211+D214+D215</f>
        <v>0</v>
      </c>
      <c r="E171" s="403">
        <f>E172+E177+E182+E191+E198+E208+E211+E214+E215</f>
        <v>0</v>
      </c>
      <c r="F171" s="399">
        <v>0</v>
      </c>
      <c r="G171" s="403" t="str">
        <f t="shared" si="9"/>
        <v/>
      </c>
      <c r="H171" s="403" t="str">
        <f t="shared" si="10"/>
        <v/>
      </c>
      <c r="I171" s="349" t="str">
        <f t="shared" si="11"/>
        <v>是</v>
      </c>
      <c r="J171" s="313" t="str">
        <f t="shared" si="8"/>
        <v>类</v>
      </c>
    </row>
    <row r="172" s="312" customFormat="1" ht="37.5" hidden="1" spans="1:10">
      <c r="A172" s="330">
        <v>21460</v>
      </c>
      <c r="B172" s="379" t="s">
        <v>1428</v>
      </c>
      <c r="C172" s="328">
        <v>0</v>
      </c>
      <c r="D172" s="404"/>
      <c r="E172" s="404"/>
      <c r="F172" s="399">
        <v>0</v>
      </c>
      <c r="G172" s="403" t="str">
        <f t="shared" si="9"/>
        <v/>
      </c>
      <c r="H172" s="403" t="str">
        <f t="shared" si="10"/>
        <v/>
      </c>
      <c r="I172" s="349" t="str">
        <f t="shared" si="11"/>
        <v>否</v>
      </c>
      <c r="J172" s="313" t="str">
        <f t="shared" si="8"/>
        <v>款</v>
      </c>
    </row>
    <row r="173" s="312" customFormat="1" ht="18.75" hidden="1" spans="1:10">
      <c r="A173" s="330">
        <v>2146001</v>
      </c>
      <c r="B173" s="379" t="s">
        <v>1429</v>
      </c>
      <c r="C173" s="328">
        <v>0</v>
      </c>
      <c r="D173" s="404"/>
      <c r="E173" s="404"/>
      <c r="F173" s="400">
        <v>0</v>
      </c>
      <c r="G173" s="404" t="str">
        <f t="shared" si="9"/>
        <v/>
      </c>
      <c r="H173" s="404" t="str">
        <f t="shared" si="10"/>
        <v/>
      </c>
      <c r="I173" s="349" t="str">
        <f t="shared" si="11"/>
        <v>否</v>
      </c>
      <c r="J173" s="313" t="str">
        <f t="shared" si="8"/>
        <v>项</v>
      </c>
    </row>
    <row r="174" s="312" customFormat="1" ht="18.75" hidden="1" spans="1:10">
      <c r="A174" s="330">
        <v>2146002</v>
      </c>
      <c r="B174" s="379" t="s">
        <v>1430</v>
      </c>
      <c r="C174" s="328">
        <v>0</v>
      </c>
      <c r="D174" s="404"/>
      <c r="E174" s="404"/>
      <c r="F174" s="400">
        <v>0</v>
      </c>
      <c r="G174" s="404" t="str">
        <f t="shared" si="9"/>
        <v/>
      </c>
      <c r="H174" s="404" t="str">
        <f t="shared" si="10"/>
        <v/>
      </c>
      <c r="I174" s="349" t="str">
        <f t="shared" si="11"/>
        <v>否</v>
      </c>
      <c r="J174" s="313" t="str">
        <f t="shared" si="8"/>
        <v>项</v>
      </c>
    </row>
    <row r="175" s="312" customFormat="1" ht="18.75" hidden="1" spans="1:10">
      <c r="A175" s="330">
        <v>2146003</v>
      </c>
      <c r="B175" s="379" t="s">
        <v>1431</v>
      </c>
      <c r="C175" s="328">
        <v>0</v>
      </c>
      <c r="D175" s="404"/>
      <c r="E175" s="404"/>
      <c r="F175" s="400">
        <v>0</v>
      </c>
      <c r="G175" s="404" t="str">
        <f t="shared" si="9"/>
        <v/>
      </c>
      <c r="H175" s="404" t="str">
        <f t="shared" si="10"/>
        <v/>
      </c>
      <c r="I175" s="349" t="str">
        <f t="shared" si="11"/>
        <v>否</v>
      </c>
      <c r="J175" s="313" t="str">
        <f t="shared" si="8"/>
        <v>项</v>
      </c>
    </row>
    <row r="176" s="312" customFormat="1" ht="37.5" hidden="1" spans="1:10">
      <c r="A176" s="330">
        <v>2146099</v>
      </c>
      <c r="B176" s="379" t="s">
        <v>1432</v>
      </c>
      <c r="C176" s="328">
        <v>0</v>
      </c>
      <c r="D176" s="404"/>
      <c r="E176" s="404"/>
      <c r="F176" s="400">
        <v>0</v>
      </c>
      <c r="G176" s="404" t="str">
        <f t="shared" si="9"/>
        <v/>
      </c>
      <c r="H176" s="404" t="str">
        <f t="shared" si="10"/>
        <v/>
      </c>
      <c r="I176" s="349" t="str">
        <f t="shared" si="11"/>
        <v>否</v>
      </c>
      <c r="J176" s="313" t="str">
        <f t="shared" si="8"/>
        <v>项</v>
      </c>
    </row>
    <row r="177" s="312" customFormat="1" ht="18.75" hidden="1" spans="1:10">
      <c r="A177" s="330">
        <v>21462</v>
      </c>
      <c r="B177" s="379" t="s">
        <v>1433</v>
      </c>
      <c r="C177" s="328">
        <v>0</v>
      </c>
      <c r="D177" s="404"/>
      <c r="E177" s="404"/>
      <c r="F177" s="399">
        <v>0</v>
      </c>
      <c r="G177" s="403" t="str">
        <f t="shared" si="9"/>
        <v/>
      </c>
      <c r="H177" s="403" t="str">
        <f t="shared" si="10"/>
        <v/>
      </c>
      <c r="I177" s="349" t="str">
        <f t="shared" si="11"/>
        <v>否</v>
      </c>
      <c r="J177" s="313" t="str">
        <f t="shared" si="8"/>
        <v>款</v>
      </c>
    </row>
    <row r="178" s="312" customFormat="1" ht="18.75" hidden="1" spans="1:10">
      <c r="A178" s="330">
        <v>2146201</v>
      </c>
      <c r="B178" s="379" t="s">
        <v>1431</v>
      </c>
      <c r="C178" s="328">
        <v>0</v>
      </c>
      <c r="D178" s="404"/>
      <c r="E178" s="404"/>
      <c r="F178" s="400">
        <v>0</v>
      </c>
      <c r="G178" s="404" t="str">
        <f t="shared" si="9"/>
        <v/>
      </c>
      <c r="H178" s="404" t="str">
        <f t="shared" si="10"/>
        <v/>
      </c>
      <c r="I178" s="349" t="str">
        <f t="shared" si="11"/>
        <v>否</v>
      </c>
      <c r="J178" s="313" t="str">
        <f t="shared" si="8"/>
        <v>项</v>
      </c>
    </row>
    <row r="179" s="312" customFormat="1" ht="18.75" hidden="1" spans="1:10">
      <c r="A179" s="330">
        <v>2146202</v>
      </c>
      <c r="B179" s="379" t="s">
        <v>1434</v>
      </c>
      <c r="C179" s="328">
        <v>0</v>
      </c>
      <c r="D179" s="404"/>
      <c r="E179" s="404"/>
      <c r="F179" s="400">
        <v>0</v>
      </c>
      <c r="G179" s="404" t="str">
        <f t="shared" si="9"/>
        <v/>
      </c>
      <c r="H179" s="404" t="str">
        <f t="shared" si="10"/>
        <v/>
      </c>
      <c r="I179" s="349" t="str">
        <f t="shared" si="11"/>
        <v>否</v>
      </c>
      <c r="J179" s="313" t="str">
        <f t="shared" si="8"/>
        <v>项</v>
      </c>
    </row>
    <row r="180" s="312" customFormat="1" ht="18.75" hidden="1" spans="1:10">
      <c r="A180" s="330">
        <v>2146203</v>
      </c>
      <c r="B180" s="379" t="s">
        <v>1435</v>
      </c>
      <c r="C180" s="328">
        <v>0</v>
      </c>
      <c r="D180" s="404"/>
      <c r="E180" s="404"/>
      <c r="F180" s="400">
        <v>0</v>
      </c>
      <c r="G180" s="404" t="str">
        <f t="shared" si="9"/>
        <v/>
      </c>
      <c r="H180" s="404" t="str">
        <f t="shared" si="10"/>
        <v/>
      </c>
      <c r="I180" s="349" t="str">
        <f t="shared" si="11"/>
        <v>否</v>
      </c>
      <c r="J180" s="313" t="str">
        <f t="shared" si="8"/>
        <v>项</v>
      </c>
    </row>
    <row r="181" s="312" customFormat="1" ht="18.75" hidden="1" spans="1:10">
      <c r="A181" s="330">
        <v>2146299</v>
      </c>
      <c r="B181" s="379" t="s">
        <v>1436</v>
      </c>
      <c r="C181" s="328">
        <v>0</v>
      </c>
      <c r="D181" s="404"/>
      <c r="E181" s="404"/>
      <c r="F181" s="400">
        <v>0</v>
      </c>
      <c r="G181" s="404" t="str">
        <f t="shared" si="9"/>
        <v/>
      </c>
      <c r="H181" s="404" t="str">
        <f t="shared" si="10"/>
        <v/>
      </c>
      <c r="I181" s="349" t="str">
        <f t="shared" si="11"/>
        <v>否</v>
      </c>
      <c r="J181" s="313" t="str">
        <f t="shared" si="8"/>
        <v>项</v>
      </c>
    </row>
    <row r="182" s="312" customFormat="1" ht="18.75" hidden="1" spans="1:10">
      <c r="A182" s="330">
        <v>21464</v>
      </c>
      <c r="B182" s="379" t="s">
        <v>1437</v>
      </c>
      <c r="C182" s="328">
        <v>0</v>
      </c>
      <c r="D182" s="404"/>
      <c r="E182" s="404"/>
      <c r="F182" s="399">
        <v>0</v>
      </c>
      <c r="G182" s="403" t="str">
        <f t="shared" si="9"/>
        <v/>
      </c>
      <c r="H182" s="403" t="str">
        <f t="shared" si="10"/>
        <v/>
      </c>
      <c r="I182" s="349" t="str">
        <f t="shared" si="11"/>
        <v>否</v>
      </c>
      <c r="J182" s="313" t="str">
        <f t="shared" si="8"/>
        <v>款</v>
      </c>
    </row>
    <row r="183" s="312" customFormat="1" ht="18.75" hidden="1" spans="1:10">
      <c r="A183" s="330">
        <v>2146401</v>
      </c>
      <c r="B183" s="379" t="s">
        <v>1438</v>
      </c>
      <c r="C183" s="328">
        <v>0</v>
      </c>
      <c r="D183" s="404"/>
      <c r="E183" s="404"/>
      <c r="F183" s="400">
        <v>0</v>
      </c>
      <c r="G183" s="404" t="str">
        <f t="shared" si="9"/>
        <v/>
      </c>
      <c r="H183" s="404" t="str">
        <f t="shared" si="10"/>
        <v/>
      </c>
      <c r="I183" s="349" t="str">
        <f t="shared" si="11"/>
        <v>否</v>
      </c>
      <c r="J183" s="313" t="str">
        <f t="shared" si="8"/>
        <v>项</v>
      </c>
    </row>
    <row r="184" s="312" customFormat="1" ht="18.75" hidden="1" spans="1:10">
      <c r="A184" s="330">
        <v>2146402</v>
      </c>
      <c r="B184" s="379" t="s">
        <v>1439</v>
      </c>
      <c r="C184" s="328">
        <v>0</v>
      </c>
      <c r="D184" s="404"/>
      <c r="E184" s="404"/>
      <c r="F184" s="400">
        <v>0</v>
      </c>
      <c r="G184" s="404" t="str">
        <f t="shared" si="9"/>
        <v/>
      </c>
      <c r="H184" s="404" t="str">
        <f t="shared" si="10"/>
        <v/>
      </c>
      <c r="I184" s="349" t="str">
        <f t="shared" si="11"/>
        <v>否</v>
      </c>
      <c r="J184" s="313" t="str">
        <f t="shared" si="8"/>
        <v>项</v>
      </c>
    </row>
    <row r="185" s="312" customFormat="1" ht="18.75" hidden="1" spans="1:10">
      <c r="A185" s="330">
        <v>2146403</v>
      </c>
      <c r="B185" s="379" t="s">
        <v>1440</v>
      </c>
      <c r="C185" s="328">
        <v>0</v>
      </c>
      <c r="D185" s="404"/>
      <c r="E185" s="404"/>
      <c r="F185" s="400">
        <v>0</v>
      </c>
      <c r="G185" s="404" t="str">
        <f t="shared" si="9"/>
        <v/>
      </c>
      <c r="H185" s="404" t="str">
        <f t="shared" si="10"/>
        <v/>
      </c>
      <c r="I185" s="349" t="str">
        <f t="shared" si="11"/>
        <v>否</v>
      </c>
      <c r="J185" s="313" t="str">
        <f t="shared" si="8"/>
        <v>项</v>
      </c>
    </row>
    <row r="186" s="312" customFormat="1" ht="18.75" hidden="1" spans="1:10">
      <c r="A186" s="330">
        <v>2146404</v>
      </c>
      <c r="B186" s="379" t="s">
        <v>1441</v>
      </c>
      <c r="C186" s="328">
        <v>0</v>
      </c>
      <c r="D186" s="404"/>
      <c r="E186" s="404"/>
      <c r="F186" s="400">
        <v>0</v>
      </c>
      <c r="G186" s="404" t="str">
        <f t="shared" si="9"/>
        <v/>
      </c>
      <c r="H186" s="404" t="str">
        <f t="shared" si="10"/>
        <v/>
      </c>
      <c r="I186" s="349" t="str">
        <f t="shared" si="11"/>
        <v>否</v>
      </c>
      <c r="J186" s="313" t="str">
        <f t="shared" si="8"/>
        <v>项</v>
      </c>
    </row>
    <row r="187" s="312" customFormat="1" ht="18.75" hidden="1" spans="1:10">
      <c r="A187" s="330">
        <v>2146405</v>
      </c>
      <c r="B187" s="379" t="s">
        <v>1442</v>
      </c>
      <c r="C187" s="328">
        <v>0</v>
      </c>
      <c r="D187" s="404"/>
      <c r="E187" s="404"/>
      <c r="F187" s="400">
        <v>0</v>
      </c>
      <c r="G187" s="404" t="str">
        <f t="shared" si="9"/>
        <v/>
      </c>
      <c r="H187" s="404" t="str">
        <f t="shared" si="10"/>
        <v/>
      </c>
      <c r="I187" s="349" t="str">
        <f t="shared" si="11"/>
        <v>否</v>
      </c>
      <c r="J187" s="313" t="str">
        <f t="shared" si="8"/>
        <v>项</v>
      </c>
    </row>
    <row r="188" ht="18.75" hidden="1" spans="1:10">
      <c r="A188" s="330">
        <v>2146406</v>
      </c>
      <c r="B188" s="379" t="s">
        <v>1443</v>
      </c>
      <c r="C188" s="328">
        <v>0</v>
      </c>
      <c r="D188" s="404"/>
      <c r="E188" s="404"/>
      <c r="F188" s="400">
        <v>0</v>
      </c>
      <c r="G188" s="404" t="str">
        <f t="shared" si="9"/>
        <v/>
      </c>
      <c r="H188" s="404" t="str">
        <f t="shared" si="10"/>
        <v/>
      </c>
      <c r="I188" s="349" t="str">
        <f t="shared" si="11"/>
        <v>否</v>
      </c>
      <c r="J188" s="313" t="str">
        <f t="shared" si="8"/>
        <v>项</v>
      </c>
    </row>
    <row r="189" ht="18.75" hidden="1" spans="1:10">
      <c r="A189" s="330">
        <v>2146407</v>
      </c>
      <c r="B189" s="379" t="s">
        <v>1444</v>
      </c>
      <c r="C189" s="328">
        <v>0</v>
      </c>
      <c r="D189" s="404"/>
      <c r="E189" s="404"/>
      <c r="F189" s="400">
        <v>0</v>
      </c>
      <c r="G189" s="404" t="str">
        <f t="shared" si="9"/>
        <v/>
      </c>
      <c r="H189" s="404" t="str">
        <f t="shared" si="10"/>
        <v/>
      </c>
      <c r="I189" s="349" t="str">
        <f t="shared" si="11"/>
        <v>否</v>
      </c>
      <c r="J189" s="313" t="str">
        <f t="shared" si="8"/>
        <v>项</v>
      </c>
    </row>
    <row r="190" s="312" customFormat="1" ht="18.75" hidden="1" spans="1:10">
      <c r="A190" s="330">
        <v>2146499</v>
      </c>
      <c r="B190" s="379" t="s">
        <v>1445</v>
      </c>
      <c r="C190" s="328">
        <v>0</v>
      </c>
      <c r="D190" s="404"/>
      <c r="E190" s="404"/>
      <c r="F190" s="400">
        <v>0</v>
      </c>
      <c r="G190" s="404" t="str">
        <f t="shared" si="9"/>
        <v/>
      </c>
      <c r="H190" s="404" t="str">
        <f t="shared" si="10"/>
        <v/>
      </c>
      <c r="I190" s="349" t="str">
        <f t="shared" si="11"/>
        <v>否</v>
      </c>
      <c r="J190" s="313" t="str">
        <f t="shared" si="8"/>
        <v>项</v>
      </c>
    </row>
    <row r="191" ht="18.75" hidden="1" spans="1:10">
      <c r="A191" s="330">
        <v>21468</v>
      </c>
      <c r="B191" s="379" t="s">
        <v>1446</v>
      </c>
      <c r="C191" s="328">
        <v>0</v>
      </c>
      <c r="D191" s="404"/>
      <c r="E191" s="404"/>
      <c r="F191" s="399">
        <v>0</v>
      </c>
      <c r="G191" s="403" t="str">
        <f t="shared" si="9"/>
        <v/>
      </c>
      <c r="H191" s="403" t="str">
        <f t="shared" si="10"/>
        <v/>
      </c>
      <c r="I191" s="349" t="str">
        <f t="shared" si="11"/>
        <v>否</v>
      </c>
      <c r="J191" s="313" t="str">
        <f t="shared" si="8"/>
        <v>款</v>
      </c>
    </row>
    <row r="192" ht="18.75" hidden="1" spans="1:10">
      <c r="A192" s="330">
        <v>2146801</v>
      </c>
      <c r="B192" s="379" t="s">
        <v>1447</v>
      </c>
      <c r="C192" s="328">
        <v>0</v>
      </c>
      <c r="D192" s="404"/>
      <c r="E192" s="404"/>
      <c r="F192" s="400">
        <v>0</v>
      </c>
      <c r="G192" s="404" t="str">
        <f t="shared" si="9"/>
        <v/>
      </c>
      <c r="H192" s="404" t="str">
        <f t="shared" si="10"/>
        <v/>
      </c>
      <c r="I192" s="349" t="str">
        <f t="shared" si="11"/>
        <v>否</v>
      </c>
      <c r="J192" s="313" t="str">
        <f t="shared" si="8"/>
        <v>项</v>
      </c>
    </row>
    <row r="193" s="312" customFormat="1" ht="18.75" hidden="1" spans="1:10">
      <c r="A193" s="330">
        <v>2146802</v>
      </c>
      <c r="B193" s="379" t="s">
        <v>1448</v>
      </c>
      <c r="C193" s="328">
        <v>0</v>
      </c>
      <c r="D193" s="404"/>
      <c r="E193" s="404"/>
      <c r="F193" s="400">
        <v>0</v>
      </c>
      <c r="G193" s="404" t="str">
        <f t="shared" si="9"/>
        <v/>
      </c>
      <c r="H193" s="404" t="str">
        <f t="shared" si="10"/>
        <v/>
      </c>
      <c r="I193" s="349" t="str">
        <f t="shared" si="11"/>
        <v>否</v>
      </c>
      <c r="J193" s="313" t="str">
        <f t="shared" si="8"/>
        <v>项</v>
      </c>
    </row>
    <row r="194" s="312" customFormat="1" ht="18.75" hidden="1" spans="1:10">
      <c r="A194" s="330">
        <v>2146803</v>
      </c>
      <c r="B194" s="379" t="s">
        <v>1449</v>
      </c>
      <c r="C194" s="328">
        <v>0</v>
      </c>
      <c r="D194" s="404"/>
      <c r="E194" s="404"/>
      <c r="F194" s="400">
        <v>0</v>
      </c>
      <c r="G194" s="404" t="str">
        <f t="shared" si="9"/>
        <v/>
      </c>
      <c r="H194" s="404" t="str">
        <f t="shared" si="10"/>
        <v/>
      </c>
      <c r="I194" s="349" t="str">
        <f t="shared" si="11"/>
        <v>否</v>
      </c>
      <c r="J194" s="313" t="str">
        <f t="shared" si="8"/>
        <v>项</v>
      </c>
    </row>
    <row r="195" s="312" customFormat="1" ht="18.75" hidden="1" spans="1:10">
      <c r="A195" s="330">
        <v>2146804</v>
      </c>
      <c r="B195" s="379" t="s">
        <v>1450</v>
      </c>
      <c r="C195" s="328">
        <v>0</v>
      </c>
      <c r="D195" s="404"/>
      <c r="E195" s="404"/>
      <c r="F195" s="400">
        <v>0</v>
      </c>
      <c r="G195" s="404" t="str">
        <f t="shared" si="9"/>
        <v/>
      </c>
      <c r="H195" s="404" t="str">
        <f t="shared" si="10"/>
        <v/>
      </c>
      <c r="I195" s="349" t="str">
        <f t="shared" si="11"/>
        <v>否</v>
      </c>
      <c r="J195" s="313" t="str">
        <f t="shared" si="8"/>
        <v>项</v>
      </c>
    </row>
    <row r="196" s="312" customFormat="1" ht="18.75" hidden="1" spans="1:10">
      <c r="A196" s="330">
        <v>2146805</v>
      </c>
      <c r="B196" s="379" t="s">
        <v>1451</v>
      </c>
      <c r="C196" s="328">
        <v>0</v>
      </c>
      <c r="D196" s="404"/>
      <c r="E196" s="404"/>
      <c r="F196" s="400">
        <v>0</v>
      </c>
      <c r="G196" s="404" t="str">
        <f t="shared" si="9"/>
        <v/>
      </c>
      <c r="H196" s="404" t="str">
        <f t="shared" si="10"/>
        <v/>
      </c>
      <c r="I196" s="349" t="str">
        <f t="shared" si="11"/>
        <v>否</v>
      </c>
      <c r="J196" s="313" t="str">
        <f t="shared" si="8"/>
        <v>项</v>
      </c>
    </row>
    <row r="197" s="312" customFormat="1" ht="18.75" hidden="1" spans="1:10">
      <c r="A197" s="330">
        <v>2146899</v>
      </c>
      <c r="B197" s="379" t="s">
        <v>1452</v>
      </c>
      <c r="C197" s="328">
        <v>0</v>
      </c>
      <c r="D197" s="404"/>
      <c r="E197" s="404"/>
      <c r="F197" s="400">
        <v>0</v>
      </c>
      <c r="G197" s="404" t="str">
        <f t="shared" si="9"/>
        <v/>
      </c>
      <c r="H197" s="404" t="str">
        <f t="shared" si="10"/>
        <v/>
      </c>
      <c r="I197" s="349" t="str">
        <f t="shared" si="11"/>
        <v>否</v>
      </c>
      <c r="J197" s="313" t="str">
        <f t="shared" ref="J197:J260" si="12">IF(LEN(A197)=3,"类",IF(LEN(A197)=5,"款","项"))</f>
        <v>项</v>
      </c>
    </row>
    <row r="198" s="312" customFormat="1" ht="18.75" hidden="1" spans="1:10">
      <c r="A198" s="330">
        <v>21469</v>
      </c>
      <c r="B198" s="379" t="s">
        <v>1453</v>
      </c>
      <c r="C198" s="328">
        <v>0</v>
      </c>
      <c r="D198" s="404"/>
      <c r="E198" s="404"/>
      <c r="F198" s="399">
        <v>0</v>
      </c>
      <c r="G198" s="403" t="str">
        <f t="shared" ref="G198:G261" si="13">IFERROR((F198-C198)/C198,"")</f>
        <v/>
      </c>
      <c r="H198" s="403" t="str">
        <f t="shared" ref="H198:H261" si="14">IFERROR(F198/D198,"")</f>
        <v/>
      </c>
      <c r="I198" s="349" t="str">
        <f t="shared" ref="I198:I261" si="15">IF(LEN(A198)=3,"是",IF(B198&lt;&gt;"",IF(SUM(C198:F198)&lt;&gt;0,"是","否"),"是"))</f>
        <v>否</v>
      </c>
      <c r="J198" s="313" t="str">
        <f t="shared" si="12"/>
        <v>款</v>
      </c>
    </row>
    <row r="199" s="312" customFormat="1" ht="18.75" hidden="1" spans="1:10">
      <c r="A199" s="330">
        <v>2146901</v>
      </c>
      <c r="B199" s="379" t="s">
        <v>1454</v>
      </c>
      <c r="C199" s="328">
        <v>0</v>
      </c>
      <c r="D199" s="404"/>
      <c r="E199" s="404"/>
      <c r="F199" s="400">
        <v>0</v>
      </c>
      <c r="G199" s="404" t="str">
        <f t="shared" si="13"/>
        <v/>
      </c>
      <c r="H199" s="404" t="str">
        <f t="shared" si="14"/>
        <v/>
      </c>
      <c r="I199" s="349" t="str">
        <f t="shared" si="15"/>
        <v>否</v>
      </c>
      <c r="J199" s="313" t="str">
        <f t="shared" si="12"/>
        <v>项</v>
      </c>
    </row>
    <row r="200" ht="18.75" hidden="1" spans="1:10">
      <c r="A200" s="330">
        <v>2146902</v>
      </c>
      <c r="B200" s="379" t="s">
        <v>1455</v>
      </c>
      <c r="C200" s="328">
        <v>0</v>
      </c>
      <c r="D200" s="404"/>
      <c r="E200" s="404"/>
      <c r="F200" s="400">
        <v>0</v>
      </c>
      <c r="G200" s="404" t="str">
        <f t="shared" si="13"/>
        <v/>
      </c>
      <c r="H200" s="404" t="str">
        <f t="shared" si="14"/>
        <v/>
      </c>
      <c r="I200" s="349" t="str">
        <f t="shared" si="15"/>
        <v>否</v>
      </c>
      <c r="J200" s="313" t="str">
        <f t="shared" si="12"/>
        <v>项</v>
      </c>
    </row>
    <row r="201" ht="18.75" hidden="1" spans="1:10">
      <c r="A201" s="330">
        <v>2146903</v>
      </c>
      <c r="B201" s="379" t="s">
        <v>1456</v>
      </c>
      <c r="C201" s="328">
        <v>0</v>
      </c>
      <c r="D201" s="404"/>
      <c r="E201" s="404"/>
      <c r="F201" s="400">
        <v>0</v>
      </c>
      <c r="G201" s="404" t="str">
        <f t="shared" si="13"/>
        <v/>
      </c>
      <c r="H201" s="404" t="str">
        <f t="shared" si="14"/>
        <v/>
      </c>
      <c r="I201" s="349" t="str">
        <f t="shared" si="15"/>
        <v>否</v>
      </c>
      <c r="J201" s="313" t="str">
        <f t="shared" si="12"/>
        <v>项</v>
      </c>
    </row>
    <row r="202" s="312" customFormat="1" ht="18.75" hidden="1" spans="1:10">
      <c r="A202" s="330">
        <v>2146904</v>
      </c>
      <c r="B202" s="379" t="s">
        <v>1457</v>
      </c>
      <c r="C202" s="328">
        <v>0</v>
      </c>
      <c r="D202" s="404"/>
      <c r="E202" s="404"/>
      <c r="F202" s="400">
        <v>0</v>
      </c>
      <c r="G202" s="404" t="str">
        <f t="shared" si="13"/>
        <v/>
      </c>
      <c r="H202" s="404" t="str">
        <f t="shared" si="14"/>
        <v/>
      </c>
      <c r="I202" s="349" t="str">
        <f t="shared" si="15"/>
        <v>否</v>
      </c>
      <c r="J202" s="313" t="str">
        <f t="shared" si="12"/>
        <v>项</v>
      </c>
    </row>
    <row r="203" s="312" customFormat="1" ht="18.75" hidden="1" spans="1:10">
      <c r="A203" s="330">
        <v>2146906</v>
      </c>
      <c r="B203" s="379" t="s">
        <v>1458</v>
      </c>
      <c r="C203" s="328">
        <v>0</v>
      </c>
      <c r="D203" s="404"/>
      <c r="E203" s="404"/>
      <c r="F203" s="400">
        <v>0</v>
      </c>
      <c r="G203" s="404" t="str">
        <f t="shared" si="13"/>
        <v/>
      </c>
      <c r="H203" s="404" t="str">
        <f t="shared" si="14"/>
        <v/>
      </c>
      <c r="I203" s="349" t="str">
        <f t="shared" si="15"/>
        <v>否</v>
      </c>
      <c r="J203" s="313" t="str">
        <f t="shared" si="12"/>
        <v>项</v>
      </c>
    </row>
    <row r="204" s="312" customFormat="1" ht="18.75" hidden="1" spans="1:10">
      <c r="A204" s="330">
        <v>2146907</v>
      </c>
      <c r="B204" s="379" t="s">
        <v>1459</v>
      </c>
      <c r="C204" s="328">
        <v>0</v>
      </c>
      <c r="D204" s="404"/>
      <c r="E204" s="404"/>
      <c r="F204" s="400">
        <v>0</v>
      </c>
      <c r="G204" s="404" t="str">
        <f t="shared" si="13"/>
        <v/>
      </c>
      <c r="H204" s="404" t="str">
        <f t="shared" si="14"/>
        <v/>
      </c>
      <c r="I204" s="349" t="str">
        <f t="shared" si="15"/>
        <v>否</v>
      </c>
      <c r="J204" s="313" t="str">
        <f t="shared" si="12"/>
        <v>项</v>
      </c>
    </row>
    <row r="205" s="312" customFormat="1" ht="18.75" hidden="1" spans="1:10">
      <c r="A205" s="330">
        <v>2146908</v>
      </c>
      <c r="B205" s="379" t="s">
        <v>1460</v>
      </c>
      <c r="C205" s="328">
        <v>0</v>
      </c>
      <c r="D205" s="404"/>
      <c r="E205" s="404"/>
      <c r="F205" s="400">
        <v>0</v>
      </c>
      <c r="G205" s="404" t="str">
        <f t="shared" si="13"/>
        <v/>
      </c>
      <c r="H205" s="404" t="str">
        <f t="shared" si="14"/>
        <v/>
      </c>
      <c r="I205" s="349" t="str">
        <f t="shared" si="15"/>
        <v>否</v>
      </c>
      <c r="J205" s="313" t="str">
        <f t="shared" si="12"/>
        <v>项</v>
      </c>
    </row>
    <row r="206" s="312" customFormat="1" ht="18.75" hidden="1" spans="1:10">
      <c r="A206" s="339">
        <v>2146909</v>
      </c>
      <c r="B206" s="379" t="s">
        <v>1461</v>
      </c>
      <c r="C206" s="328">
        <v>0</v>
      </c>
      <c r="D206" s="404"/>
      <c r="E206" s="404"/>
      <c r="F206" s="400">
        <v>0</v>
      </c>
      <c r="G206" s="404" t="str">
        <f t="shared" si="13"/>
        <v/>
      </c>
      <c r="H206" s="404" t="str">
        <f t="shared" si="14"/>
        <v/>
      </c>
      <c r="I206" s="349" t="str">
        <f t="shared" si="15"/>
        <v>否</v>
      </c>
      <c r="J206" s="313" t="str">
        <f t="shared" si="12"/>
        <v>项</v>
      </c>
    </row>
    <row r="207" s="312" customFormat="1" ht="18.75" hidden="1" spans="1:10">
      <c r="A207" s="330">
        <v>2146999</v>
      </c>
      <c r="B207" s="379" t="s">
        <v>1462</v>
      </c>
      <c r="C207" s="328">
        <v>0</v>
      </c>
      <c r="D207" s="404"/>
      <c r="E207" s="404"/>
      <c r="F207" s="400">
        <v>0</v>
      </c>
      <c r="G207" s="404" t="str">
        <f t="shared" si="13"/>
        <v/>
      </c>
      <c r="H207" s="404" t="str">
        <f t="shared" si="14"/>
        <v/>
      </c>
      <c r="I207" s="349" t="str">
        <f t="shared" si="15"/>
        <v>否</v>
      </c>
      <c r="J207" s="313" t="str">
        <f t="shared" si="12"/>
        <v>项</v>
      </c>
    </row>
    <row r="208" ht="37.5" hidden="1" spans="1:10">
      <c r="A208" s="330">
        <v>21470</v>
      </c>
      <c r="B208" s="379" t="s">
        <v>1463</v>
      </c>
      <c r="C208" s="328">
        <v>0</v>
      </c>
      <c r="D208" s="404"/>
      <c r="E208" s="404"/>
      <c r="F208" s="399">
        <v>0</v>
      </c>
      <c r="G208" s="403" t="str">
        <f t="shared" si="13"/>
        <v/>
      </c>
      <c r="H208" s="403" t="str">
        <f t="shared" si="14"/>
        <v/>
      </c>
      <c r="I208" s="349" t="str">
        <f t="shared" si="15"/>
        <v>否</v>
      </c>
      <c r="J208" s="313" t="str">
        <f t="shared" si="12"/>
        <v>款</v>
      </c>
    </row>
    <row r="209" ht="18.75" hidden="1" spans="1:10">
      <c r="A209" s="330">
        <v>2147001</v>
      </c>
      <c r="B209" s="379" t="s">
        <v>1429</v>
      </c>
      <c r="C209" s="328">
        <v>0</v>
      </c>
      <c r="D209" s="404"/>
      <c r="E209" s="404"/>
      <c r="F209" s="400">
        <v>0</v>
      </c>
      <c r="G209" s="404" t="str">
        <f t="shared" si="13"/>
        <v/>
      </c>
      <c r="H209" s="404" t="str">
        <f t="shared" si="14"/>
        <v/>
      </c>
      <c r="I209" s="349" t="str">
        <f t="shared" si="15"/>
        <v>否</v>
      </c>
      <c r="J209" s="313" t="str">
        <f t="shared" si="12"/>
        <v>项</v>
      </c>
    </row>
    <row r="210" ht="37.5" hidden="1" spans="1:10">
      <c r="A210" s="330">
        <v>2147099</v>
      </c>
      <c r="B210" s="379" t="s">
        <v>1464</v>
      </c>
      <c r="C210" s="328">
        <v>0</v>
      </c>
      <c r="D210" s="404"/>
      <c r="E210" s="404"/>
      <c r="F210" s="400">
        <v>0</v>
      </c>
      <c r="G210" s="404" t="str">
        <f t="shared" si="13"/>
        <v/>
      </c>
      <c r="H210" s="404" t="str">
        <f t="shared" si="14"/>
        <v/>
      </c>
      <c r="I210" s="349" t="str">
        <f t="shared" si="15"/>
        <v>否</v>
      </c>
      <c r="J210" s="313" t="str">
        <f t="shared" si="12"/>
        <v>项</v>
      </c>
    </row>
    <row r="211" s="312" customFormat="1" ht="18.75" hidden="1" spans="1:10">
      <c r="A211" s="330">
        <v>21471</v>
      </c>
      <c r="B211" s="379" t="s">
        <v>1465</v>
      </c>
      <c r="C211" s="328"/>
      <c r="D211" s="404"/>
      <c r="E211" s="404"/>
      <c r="F211" s="399">
        <v>0</v>
      </c>
      <c r="G211" s="403" t="str">
        <f t="shared" si="13"/>
        <v/>
      </c>
      <c r="H211" s="403" t="str">
        <f t="shared" si="14"/>
        <v/>
      </c>
      <c r="I211" s="349" t="str">
        <f t="shared" si="15"/>
        <v>否</v>
      </c>
      <c r="J211" s="313" t="str">
        <f t="shared" si="12"/>
        <v>款</v>
      </c>
    </row>
    <row r="212" ht="18.75" hidden="1" spans="1:10">
      <c r="A212" s="330">
        <v>2147101</v>
      </c>
      <c r="B212" s="379" t="s">
        <v>1429</v>
      </c>
      <c r="C212" s="328"/>
      <c r="D212" s="404"/>
      <c r="E212" s="404"/>
      <c r="F212" s="400">
        <v>0</v>
      </c>
      <c r="G212" s="404" t="str">
        <f t="shared" si="13"/>
        <v/>
      </c>
      <c r="H212" s="404" t="str">
        <f t="shared" si="14"/>
        <v/>
      </c>
      <c r="I212" s="349" t="str">
        <f t="shared" si="15"/>
        <v>否</v>
      </c>
      <c r="J212" s="313" t="str">
        <f t="shared" si="12"/>
        <v>项</v>
      </c>
    </row>
    <row r="213" ht="37.5" hidden="1" spans="1:10">
      <c r="A213" s="330">
        <v>2147199</v>
      </c>
      <c r="B213" s="379" t="s">
        <v>1466</v>
      </c>
      <c r="C213" s="328">
        <v>0</v>
      </c>
      <c r="D213" s="404"/>
      <c r="E213" s="404"/>
      <c r="F213" s="400">
        <v>0</v>
      </c>
      <c r="G213" s="404" t="str">
        <f t="shared" si="13"/>
        <v/>
      </c>
      <c r="H213" s="404" t="str">
        <f t="shared" si="14"/>
        <v/>
      </c>
      <c r="I213" s="349" t="str">
        <f t="shared" si="15"/>
        <v>否</v>
      </c>
      <c r="J213" s="313" t="str">
        <f t="shared" si="12"/>
        <v>项</v>
      </c>
    </row>
    <row r="214" ht="18.75" hidden="1" spans="1:10">
      <c r="A214" s="330">
        <v>21472</v>
      </c>
      <c r="B214" s="379" t="s">
        <v>1467</v>
      </c>
      <c r="C214" s="328">
        <v>0</v>
      </c>
      <c r="D214" s="404"/>
      <c r="E214" s="404"/>
      <c r="F214" s="399">
        <v>0</v>
      </c>
      <c r="G214" s="403" t="str">
        <f t="shared" si="13"/>
        <v/>
      </c>
      <c r="H214" s="403" t="str">
        <f t="shared" si="14"/>
        <v/>
      </c>
      <c r="I214" s="349" t="str">
        <f t="shared" si="15"/>
        <v>否</v>
      </c>
      <c r="J214" s="313" t="str">
        <f t="shared" si="12"/>
        <v>款</v>
      </c>
    </row>
    <row r="215" s="311" customFormat="1" ht="18.75" hidden="1" spans="1:10">
      <c r="A215" s="334">
        <v>21498</v>
      </c>
      <c r="B215" s="338" t="s">
        <v>1331</v>
      </c>
      <c r="C215" s="328">
        <v>0</v>
      </c>
      <c r="D215" s="404"/>
      <c r="E215" s="404"/>
      <c r="F215" s="399">
        <v>0</v>
      </c>
      <c r="G215" s="403" t="str">
        <f t="shared" si="13"/>
        <v/>
      </c>
      <c r="H215" s="403" t="str">
        <f t="shared" si="14"/>
        <v/>
      </c>
      <c r="I215" s="349" t="str">
        <f t="shared" si="15"/>
        <v>否</v>
      </c>
      <c r="J215" s="309" t="str">
        <f t="shared" si="12"/>
        <v>款</v>
      </c>
    </row>
    <row r="216" s="311" customFormat="1" ht="18.75" hidden="1" spans="1:10">
      <c r="A216" s="334">
        <v>2149801</v>
      </c>
      <c r="B216" s="338" t="s">
        <v>1468</v>
      </c>
      <c r="C216" s="328">
        <v>0</v>
      </c>
      <c r="D216" s="404"/>
      <c r="E216" s="404"/>
      <c r="F216" s="400">
        <v>0</v>
      </c>
      <c r="G216" s="404" t="str">
        <f t="shared" si="13"/>
        <v/>
      </c>
      <c r="H216" s="404" t="str">
        <f t="shared" si="14"/>
        <v/>
      </c>
      <c r="I216" s="349" t="str">
        <f t="shared" si="15"/>
        <v>否</v>
      </c>
      <c r="J216" s="309" t="str">
        <f t="shared" si="12"/>
        <v>项</v>
      </c>
    </row>
    <row r="217" s="311" customFormat="1" ht="18.75" hidden="1" spans="1:10">
      <c r="A217" s="334">
        <v>2149802</v>
      </c>
      <c r="B217" s="338" t="s">
        <v>1469</v>
      </c>
      <c r="C217" s="328">
        <v>0</v>
      </c>
      <c r="D217" s="404"/>
      <c r="E217" s="404"/>
      <c r="F217" s="400">
        <v>0</v>
      </c>
      <c r="G217" s="404" t="str">
        <f t="shared" si="13"/>
        <v/>
      </c>
      <c r="H217" s="404" t="str">
        <f t="shared" si="14"/>
        <v/>
      </c>
      <c r="I217" s="349" t="str">
        <f t="shared" si="15"/>
        <v>否</v>
      </c>
      <c r="J217" s="309" t="str">
        <f t="shared" si="12"/>
        <v>项</v>
      </c>
    </row>
    <row r="218" s="311" customFormat="1" ht="18.75" hidden="1" spans="1:10">
      <c r="A218" s="334">
        <v>2149803</v>
      </c>
      <c r="B218" s="338" t="s">
        <v>1470</v>
      </c>
      <c r="C218" s="328">
        <v>0</v>
      </c>
      <c r="D218" s="404"/>
      <c r="E218" s="404"/>
      <c r="F218" s="400">
        <v>0</v>
      </c>
      <c r="G218" s="404" t="str">
        <f t="shared" si="13"/>
        <v/>
      </c>
      <c r="H218" s="404" t="str">
        <f t="shared" si="14"/>
        <v/>
      </c>
      <c r="I218" s="349" t="str">
        <f t="shared" si="15"/>
        <v>否</v>
      </c>
      <c r="J218" s="309" t="str">
        <f t="shared" si="12"/>
        <v>项</v>
      </c>
    </row>
    <row r="219" s="311" customFormat="1" ht="18.75" hidden="1" spans="1:10">
      <c r="A219" s="334">
        <v>2149804</v>
      </c>
      <c r="B219" s="338" t="s">
        <v>1471</v>
      </c>
      <c r="C219" s="328">
        <v>0</v>
      </c>
      <c r="D219" s="404"/>
      <c r="E219" s="404"/>
      <c r="F219" s="400">
        <v>0</v>
      </c>
      <c r="G219" s="404" t="str">
        <f t="shared" si="13"/>
        <v/>
      </c>
      <c r="H219" s="404" t="str">
        <f t="shared" si="14"/>
        <v/>
      </c>
      <c r="I219" s="349" t="str">
        <f t="shared" si="15"/>
        <v>否</v>
      </c>
      <c r="J219" s="309" t="str">
        <f t="shared" si="12"/>
        <v>项</v>
      </c>
    </row>
    <row r="220" s="311" customFormat="1" ht="18.75" hidden="1" spans="1:10">
      <c r="A220" s="334">
        <v>2149899</v>
      </c>
      <c r="B220" s="338" t="s">
        <v>1472</v>
      </c>
      <c r="C220" s="328">
        <v>0</v>
      </c>
      <c r="D220" s="404"/>
      <c r="E220" s="404"/>
      <c r="F220" s="400">
        <v>0</v>
      </c>
      <c r="G220" s="404" t="str">
        <f t="shared" si="13"/>
        <v/>
      </c>
      <c r="H220" s="404" t="str">
        <f t="shared" si="14"/>
        <v/>
      </c>
      <c r="I220" s="349" t="str">
        <f t="shared" si="15"/>
        <v>否</v>
      </c>
      <c r="J220" s="309" t="str">
        <f t="shared" si="12"/>
        <v>项</v>
      </c>
    </row>
    <row r="221" s="312" customFormat="1" ht="18.75" spans="1:10">
      <c r="A221" s="329">
        <v>215</v>
      </c>
      <c r="B221" s="377" t="s">
        <v>1473</v>
      </c>
      <c r="C221" s="325">
        <v>153</v>
      </c>
      <c r="D221" s="325">
        <f>D222+D225</f>
        <v>24</v>
      </c>
      <c r="E221" s="325">
        <f>E222+E225</f>
        <v>24</v>
      </c>
      <c r="F221" s="325">
        <f>F222+F225</f>
        <v>44</v>
      </c>
      <c r="G221" s="403">
        <f t="shared" si="13"/>
        <v>-0.712418300653595</v>
      </c>
      <c r="H221" s="403">
        <f t="shared" si="14"/>
        <v>1.83333333333333</v>
      </c>
      <c r="I221" s="349" t="str">
        <f t="shared" si="15"/>
        <v>是</v>
      </c>
      <c r="J221" s="313" t="str">
        <f t="shared" si="12"/>
        <v>类</v>
      </c>
    </row>
    <row r="222" s="312" customFormat="1" ht="18.75" hidden="1" spans="1:10">
      <c r="A222" s="330">
        <v>21562</v>
      </c>
      <c r="B222" s="379" t="s">
        <v>1474</v>
      </c>
      <c r="C222" s="328">
        <v>0</v>
      </c>
      <c r="D222" s="404"/>
      <c r="E222" s="404"/>
      <c r="F222" s="399">
        <v>0</v>
      </c>
      <c r="G222" s="403" t="str">
        <f t="shared" si="13"/>
        <v/>
      </c>
      <c r="H222" s="403" t="str">
        <f t="shared" si="14"/>
        <v/>
      </c>
      <c r="I222" s="349" t="str">
        <f t="shared" si="15"/>
        <v>否</v>
      </c>
      <c r="J222" s="313" t="str">
        <f t="shared" si="12"/>
        <v>款</v>
      </c>
    </row>
    <row r="223" ht="18.75" hidden="1" spans="1:10">
      <c r="A223" s="330">
        <v>2156202</v>
      </c>
      <c r="B223" s="379" t="s">
        <v>1475</v>
      </c>
      <c r="C223" s="328">
        <v>0</v>
      </c>
      <c r="D223" s="404"/>
      <c r="E223" s="404"/>
      <c r="F223" s="400">
        <v>0</v>
      </c>
      <c r="G223" s="404" t="str">
        <f t="shared" si="13"/>
        <v/>
      </c>
      <c r="H223" s="404" t="str">
        <f t="shared" si="14"/>
        <v/>
      </c>
      <c r="I223" s="349" t="str">
        <f t="shared" si="15"/>
        <v>否</v>
      </c>
      <c r="J223" s="313" t="str">
        <f t="shared" si="12"/>
        <v>项</v>
      </c>
    </row>
    <row r="224" ht="18.75" hidden="1" spans="1:10">
      <c r="A224" s="330">
        <v>2156299</v>
      </c>
      <c r="B224" s="379" t="s">
        <v>1476</v>
      </c>
      <c r="C224" s="328">
        <v>0</v>
      </c>
      <c r="D224" s="404"/>
      <c r="E224" s="404"/>
      <c r="F224" s="400">
        <v>0</v>
      </c>
      <c r="G224" s="404" t="str">
        <f t="shared" si="13"/>
        <v/>
      </c>
      <c r="H224" s="404" t="str">
        <f t="shared" si="14"/>
        <v/>
      </c>
      <c r="I224" s="349" t="str">
        <f t="shared" si="15"/>
        <v>否</v>
      </c>
      <c r="J224" s="313" t="str">
        <f t="shared" si="12"/>
        <v>项</v>
      </c>
    </row>
    <row r="225" s="311" customFormat="1" ht="18.75" spans="1:10">
      <c r="A225" s="334">
        <v>21598</v>
      </c>
      <c r="B225" s="338" t="s">
        <v>1331</v>
      </c>
      <c r="C225" s="328">
        <v>153</v>
      </c>
      <c r="D225" s="328">
        <f>SUM(D226:D229)</f>
        <v>24</v>
      </c>
      <c r="E225" s="328">
        <f>SUM(E226:E229)</f>
        <v>24</v>
      </c>
      <c r="F225" s="328">
        <f>SUM(F226:F229)</f>
        <v>44</v>
      </c>
      <c r="G225" s="404">
        <f t="shared" si="13"/>
        <v>-0.712418300653595</v>
      </c>
      <c r="H225" s="404">
        <f t="shared" si="14"/>
        <v>1.83333333333333</v>
      </c>
      <c r="I225" s="349" t="str">
        <f t="shared" si="15"/>
        <v>是</v>
      </c>
      <c r="J225" s="313" t="str">
        <f t="shared" si="12"/>
        <v>款</v>
      </c>
    </row>
    <row r="226" s="311" customFormat="1" ht="18.75" hidden="1" spans="1:10">
      <c r="A226" s="334">
        <v>2159801</v>
      </c>
      <c r="B226" s="338" t="s">
        <v>1477</v>
      </c>
      <c r="C226" s="328">
        <v>0</v>
      </c>
      <c r="D226" s="404"/>
      <c r="E226" s="404"/>
      <c r="F226" s="400">
        <v>0</v>
      </c>
      <c r="G226" s="404" t="str">
        <f t="shared" si="13"/>
        <v/>
      </c>
      <c r="H226" s="404" t="str">
        <f t="shared" si="14"/>
        <v/>
      </c>
      <c r="I226" s="349" t="str">
        <f t="shared" si="15"/>
        <v>否</v>
      </c>
      <c r="J226" s="313" t="str">
        <f t="shared" si="12"/>
        <v>项</v>
      </c>
    </row>
    <row r="227" s="311" customFormat="1" ht="18.75" hidden="1" spans="1:10">
      <c r="A227" s="334">
        <v>2159802</v>
      </c>
      <c r="B227" s="338" t="s">
        <v>1478</v>
      </c>
      <c r="C227" s="328">
        <v>153</v>
      </c>
      <c r="D227" s="328">
        <v>24</v>
      </c>
      <c r="E227" s="328">
        <v>24</v>
      </c>
      <c r="F227" s="400">
        <v>44</v>
      </c>
      <c r="G227" s="404">
        <f t="shared" si="13"/>
        <v>-0.712418300653595</v>
      </c>
      <c r="H227" s="404">
        <f t="shared" si="14"/>
        <v>1.83333333333333</v>
      </c>
      <c r="I227" s="349" t="str">
        <f t="shared" si="15"/>
        <v>是</v>
      </c>
      <c r="J227" s="313" t="str">
        <f t="shared" si="12"/>
        <v>项</v>
      </c>
    </row>
    <row r="228" s="311" customFormat="1" ht="18.75" hidden="1" spans="1:10">
      <c r="A228" s="334">
        <v>2159803</v>
      </c>
      <c r="B228" s="338" t="s">
        <v>1479</v>
      </c>
      <c r="C228" s="328">
        <v>0</v>
      </c>
      <c r="D228" s="404"/>
      <c r="E228" s="404"/>
      <c r="F228" s="400">
        <v>0</v>
      </c>
      <c r="G228" s="404" t="str">
        <f t="shared" si="13"/>
        <v/>
      </c>
      <c r="H228" s="404" t="str">
        <f t="shared" si="14"/>
        <v/>
      </c>
      <c r="I228" s="349" t="str">
        <f t="shared" si="15"/>
        <v>否</v>
      </c>
      <c r="J228" s="313" t="str">
        <f t="shared" si="12"/>
        <v>项</v>
      </c>
    </row>
    <row r="229" s="311" customFormat="1" ht="18.75" hidden="1" spans="1:10">
      <c r="A229" s="334">
        <v>2159899</v>
      </c>
      <c r="B229" s="338" t="s">
        <v>1480</v>
      </c>
      <c r="C229" s="328">
        <v>0</v>
      </c>
      <c r="D229" s="404"/>
      <c r="E229" s="404"/>
      <c r="F229" s="400">
        <v>0</v>
      </c>
      <c r="G229" s="404" t="str">
        <f t="shared" si="13"/>
        <v/>
      </c>
      <c r="H229" s="404" t="str">
        <f t="shared" si="14"/>
        <v/>
      </c>
      <c r="I229" s="349" t="str">
        <f t="shared" si="15"/>
        <v>否</v>
      </c>
      <c r="J229" s="313" t="str">
        <f t="shared" si="12"/>
        <v>项</v>
      </c>
    </row>
    <row r="230" s="311" customFormat="1" ht="18.75" spans="1:10">
      <c r="A230" s="332">
        <v>217</v>
      </c>
      <c r="B230" s="324" t="s">
        <v>1481</v>
      </c>
      <c r="C230" s="325">
        <v>0</v>
      </c>
      <c r="D230" s="403"/>
      <c r="E230" s="403"/>
      <c r="F230" s="399"/>
      <c r="G230" s="403" t="str">
        <f t="shared" si="13"/>
        <v/>
      </c>
      <c r="H230" s="403" t="str">
        <f t="shared" si="14"/>
        <v/>
      </c>
      <c r="I230" s="349" t="str">
        <f t="shared" si="15"/>
        <v>是</v>
      </c>
      <c r="J230" s="313" t="str">
        <f t="shared" si="12"/>
        <v>类</v>
      </c>
    </row>
    <row r="231" s="311" customFormat="1" ht="18.75" hidden="1" spans="1:10">
      <c r="A231" s="352">
        <v>21704</v>
      </c>
      <c r="B231" s="338" t="s">
        <v>1482</v>
      </c>
      <c r="C231" s="328">
        <v>0</v>
      </c>
      <c r="D231" s="404"/>
      <c r="E231" s="404"/>
      <c r="F231" s="399"/>
      <c r="G231" s="403" t="str">
        <f t="shared" si="13"/>
        <v/>
      </c>
      <c r="H231" s="403" t="str">
        <f t="shared" si="14"/>
        <v/>
      </c>
      <c r="I231" s="349" t="str">
        <f t="shared" si="15"/>
        <v>否</v>
      </c>
      <c r="J231" s="313" t="str">
        <f t="shared" si="12"/>
        <v>款</v>
      </c>
    </row>
    <row r="232" s="311" customFormat="1" ht="18.75" hidden="1" spans="1:10">
      <c r="A232" s="326">
        <v>2170402</v>
      </c>
      <c r="B232" s="327" t="s">
        <v>1483</v>
      </c>
      <c r="C232" s="328">
        <v>0</v>
      </c>
      <c r="D232" s="404"/>
      <c r="E232" s="404"/>
      <c r="F232" s="400"/>
      <c r="G232" s="404" t="str">
        <f t="shared" si="13"/>
        <v/>
      </c>
      <c r="H232" s="404" t="str">
        <f t="shared" si="14"/>
        <v/>
      </c>
      <c r="I232" s="349" t="str">
        <f t="shared" si="15"/>
        <v>否</v>
      </c>
      <c r="J232" s="313" t="str">
        <f t="shared" si="12"/>
        <v>项</v>
      </c>
    </row>
    <row r="233" s="311" customFormat="1" ht="18.75" hidden="1" spans="1:10">
      <c r="A233" s="326">
        <v>2170403</v>
      </c>
      <c r="B233" s="327" t="s">
        <v>1484</v>
      </c>
      <c r="C233" s="328">
        <v>0</v>
      </c>
      <c r="D233" s="404"/>
      <c r="E233" s="404"/>
      <c r="F233" s="400"/>
      <c r="G233" s="404" t="str">
        <f t="shared" si="13"/>
        <v/>
      </c>
      <c r="H233" s="404" t="str">
        <f t="shared" si="14"/>
        <v/>
      </c>
      <c r="I233" s="349" t="str">
        <f t="shared" si="15"/>
        <v>否</v>
      </c>
      <c r="J233" s="313" t="str">
        <f t="shared" si="12"/>
        <v>项</v>
      </c>
    </row>
    <row r="234" s="311" customFormat="1" ht="18.75" hidden="1" spans="1:10">
      <c r="A234" s="326">
        <v>2170404</v>
      </c>
      <c r="B234" s="327" t="s">
        <v>1485</v>
      </c>
      <c r="C234" s="328">
        <v>0</v>
      </c>
      <c r="D234" s="404"/>
      <c r="E234" s="404"/>
      <c r="F234" s="400"/>
      <c r="G234" s="404" t="str">
        <f t="shared" si="13"/>
        <v/>
      </c>
      <c r="H234" s="404" t="str">
        <f t="shared" si="14"/>
        <v/>
      </c>
      <c r="I234" s="349" t="str">
        <f t="shared" si="15"/>
        <v>否</v>
      </c>
      <c r="J234" s="313" t="str">
        <f t="shared" si="12"/>
        <v>项</v>
      </c>
    </row>
    <row r="235" s="311" customFormat="1" ht="18.75" spans="1:10">
      <c r="A235" s="332">
        <v>220</v>
      </c>
      <c r="B235" s="333" t="s">
        <v>1486</v>
      </c>
      <c r="C235" s="325">
        <v>0</v>
      </c>
      <c r="D235" s="403"/>
      <c r="E235" s="403"/>
      <c r="F235" s="399">
        <v>0</v>
      </c>
      <c r="G235" s="403" t="str">
        <f t="shared" si="13"/>
        <v/>
      </c>
      <c r="H235" s="403" t="str">
        <f t="shared" si="14"/>
        <v/>
      </c>
      <c r="I235" s="349" t="str">
        <f t="shared" si="15"/>
        <v>是</v>
      </c>
      <c r="J235" s="309" t="str">
        <f t="shared" si="12"/>
        <v>类</v>
      </c>
    </row>
    <row r="236" s="311" customFormat="1" ht="18.75" hidden="1" spans="1:10">
      <c r="A236" s="334">
        <v>22006</v>
      </c>
      <c r="B236" s="338" t="s">
        <v>1487</v>
      </c>
      <c r="C236" s="328">
        <v>0</v>
      </c>
      <c r="D236" s="404"/>
      <c r="E236" s="404"/>
      <c r="F236" s="399">
        <v>0</v>
      </c>
      <c r="G236" s="403" t="str">
        <f t="shared" si="13"/>
        <v/>
      </c>
      <c r="H236" s="403" t="str">
        <f t="shared" si="14"/>
        <v/>
      </c>
      <c r="I236" s="349" t="str">
        <f t="shared" si="15"/>
        <v>否</v>
      </c>
      <c r="J236" s="309" t="str">
        <f t="shared" si="12"/>
        <v>款</v>
      </c>
    </row>
    <row r="237" s="311" customFormat="1" ht="18.75" hidden="1" spans="1:10">
      <c r="A237" s="334">
        <v>2200601</v>
      </c>
      <c r="B237" s="338" t="s">
        <v>1488</v>
      </c>
      <c r="C237" s="328">
        <v>0</v>
      </c>
      <c r="D237" s="404"/>
      <c r="E237" s="404"/>
      <c r="F237" s="400">
        <v>0</v>
      </c>
      <c r="G237" s="404" t="str">
        <f t="shared" si="13"/>
        <v/>
      </c>
      <c r="H237" s="404" t="str">
        <f t="shared" si="14"/>
        <v/>
      </c>
      <c r="I237" s="349" t="str">
        <f t="shared" si="15"/>
        <v>否</v>
      </c>
      <c r="J237" s="309" t="str">
        <f t="shared" si="12"/>
        <v>项</v>
      </c>
    </row>
    <row r="238" s="311" customFormat="1" ht="18.75" hidden="1" spans="1:10">
      <c r="A238" s="334">
        <v>2200602</v>
      </c>
      <c r="B238" s="335" t="s">
        <v>1489</v>
      </c>
      <c r="C238" s="328">
        <v>0</v>
      </c>
      <c r="D238" s="404"/>
      <c r="E238" s="404"/>
      <c r="F238" s="400">
        <v>0</v>
      </c>
      <c r="G238" s="404" t="str">
        <f t="shared" si="13"/>
        <v/>
      </c>
      <c r="H238" s="404" t="str">
        <f t="shared" si="14"/>
        <v/>
      </c>
      <c r="I238" s="349" t="str">
        <f t="shared" si="15"/>
        <v>否</v>
      </c>
      <c r="J238" s="309" t="str">
        <f t="shared" si="12"/>
        <v>项</v>
      </c>
    </row>
    <row r="239" s="311" customFormat="1" ht="18.75" spans="1:10">
      <c r="A239" s="332">
        <v>221</v>
      </c>
      <c r="B239" s="353" t="s">
        <v>1490</v>
      </c>
      <c r="C239" s="325">
        <v>0</v>
      </c>
      <c r="D239" s="325">
        <f>D240</f>
        <v>165</v>
      </c>
      <c r="E239" s="325">
        <f>E240</f>
        <v>165</v>
      </c>
      <c r="F239" s="325">
        <f>F240</f>
        <v>165</v>
      </c>
      <c r="G239" s="403" t="str">
        <f t="shared" si="13"/>
        <v/>
      </c>
      <c r="H239" s="403">
        <f t="shared" si="14"/>
        <v>1</v>
      </c>
      <c r="I239" s="349" t="str">
        <f t="shared" si="15"/>
        <v>是</v>
      </c>
      <c r="J239" s="309" t="str">
        <f t="shared" si="12"/>
        <v>类</v>
      </c>
    </row>
    <row r="240" s="311" customFormat="1" ht="18.75" spans="1:10">
      <c r="A240" s="334">
        <v>22198</v>
      </c>
      <c r="B240" s="338" t="s">
        <v>1331</v>
      </c>
      <c r="C240" s="328">
        <v>0</v>
      </c>
      <c r="D240" s="328">
        <f>SUM(D241:D242)</f>
        <v>165</v>
      </c>
      <c r="E240" s="328">
        <f>SUM(E241:E242)</f>
        <v>165</v>
      </c>
      <c r="F240" s="328">
        <f>SUM(F241:F242)</f>
        <v>165</v>
      </c>
      <c r="G240" s="404" t="str">
        <f t="shared" si="13"/>
        <v/>
      </c>
      <c r="H240" s="404">
        <f t="shared" si="14"/>
        <v>1</v>
      </c>
      <c r="I240" s="349" t="str">
        <f t="shared" si="15"/>
        <v>是</v>
      </c>
      <c r="J240" s="309" t="str">
        <f t="shared" si="12"/>
        <v>款</v>
      </c>
    </row>
    <row r="241" s="311" customFormat="1" ht="18.75" hidden="1" spans="1:10">
      <c r="A241" s="334">
        <v>2219801</v>
      </c>
      <c r="B241" s="338" t="s">
        <v>1491</v>
      </c>
      <c r="C241" s="328">
        <v>0</v>
      </c>
      <c r="D241" s="404"/>
      <c r="E241" s="404"/>
      <c r="F241" s="400">
        <v>0</v>
      </c>
      <c r="G241" s="404" t="str">
        <f t="shared" si="13"/>
        <v/>
      </c>
      <c r="H241" s="404" t="str">
        <f t="shared" si="14"/>
        <v/>
      </c>
      <c r="I241" s="349" t="str">
        <f t="shared" si="15"/>
        <v>否</v>
      </c>
      <c r="J241" s="309" t="str">
        <f t="shared" si="12"/>
        <v>项</v>
      </c>
    </row>
    <row r="242" s="311" customFormat="1" ht="18.75" hidden="1" spans="1:10">
      <c r="A242" s="334">
        <v>2219899</v>
      </c>
      <c r="B242" s="338" t="s">
        <v>1492</v>
      </c>
      <c r="C242" s="328">
        <v>0</v>
      </c>
      <c r="D242" s="328">
        <v>165</v>
      </c>
      <c r="E242" s="328">
        <v>165</v>
      </c>
      <c r="F242" s="400">
        <v>165</v>
      </c>
      <c r="G242" s="404" t="str">
        <f t="shared" si="13"/>
        <v/>
      </c>
      <c r="H242" s="404">
        <f t="shared" si="14"/>
        <v>1</v>
      </c>
      <c r="I242" s="349" t="str">
        <f t="shared" si="15"/>
        <v>是</v>
      </c>
      <c r="J242" s="309" t="str">
        <f t="shared" si="12"/>
        <v>项</v>
      </c>
    </row>
    <row r="243" s="311" customFormat="1" ht="18.75" spans="1:10">
      <c r="A243" s="332">
        <v>222</v>
      </c>
      <c r="B243" s="353" t="s">
        <v>1493</v>
      </c>
      <c r="C243" s="325">
        <v>0</v>
      </c>
      <c r="D243" s="403"/>
      <c r="E243" s="403"/>
      <c r="F243" s="399">
        <v>0</v>
      </c>
      <c r="G243" s="403" t="str">
        <f t="shared" si="13"/>
        <v/>
      </c>
      <c r="H243" s="403" t="str">
        <f t="shared" si="14"/>
        <v/>
      </c>
      <c r="I243" s="349" t="str">
        <f t="shared" si="15"/>
        <v>是</v>
      </c>
      <c r="J243" s="309" t="str">
        <f t="shared" si="12"/>
        <v>类</v>
      </c>
    </row>
    <row r="244" s="311" customFormat="1" ht="18.75" hidden="1" spans="1:10">
      <c r="A244" s="334">
        <v>22298</v>
      </c>
      <c r="B244" s="338" t="s">
        <v>1331</v>
      </c>
      <c r="C244" s="328">
        <v>0</v>
      </c>
      <c r="D244" s="404"/>
      <c r="E244" s="404"/>
      <c r="F244" s="399">
        <v>0</v>
      </c>
      <c r="G244" s="403" t="str">
        <f t="shared" si="13"/>
        <v/>
      </c>
      <c r="H244" s="403" t="str">
        <f t="shared" si="14"/>
        <v/>
      </c>
      <c r="I244" s="349" t="str">
        <f t="shared" si="15"/>
        <v>否</v>
      </c>
      <c r="J244" s="309" t="str">
        <f t="shared" si="12"/>
        <v>款</v>
      </c>
    </row>
    <row r="245" s="311" customFormat="1" ht="18.75" hidden="1" spans="1:10">
      <c r="A245" s="334">
        <v>2229801</v>
      </c>
      <c r="B245" s="338" t="s">
        <v>1494</v>
      </c>
      <c r="C245" s="328">
        <v>0</v>
      </c>
      <c r="D245" s="404"/>
      <c r="E245" s="404"/>
      <c r="F245" s="400">
        <v>0</v>
      </c>
      <c r="G245" s="404" t="str">
        <f t="shared" si="13"/>
        <v/>
      </c>
      <c r="H245" s="404" t="str">
        <f t="shared" si="14"/>
        <v/>
      </c>
      <c r="I245" s="349" t="str">
        <f t="shared" si="15"/>
        <v>否</v>
      </c>
      <c r="J245" s="309" t="str">
        <f t="shared" si="12"/>
        <v>项</v>
      </c>
    </row>
    <row r="246" s="311" customFormat="1" ht="18.75" hidden="1" spans="1:10">
      <c r="A246" s="334">
        <v>2229899</v>
      </c>
      <c r="B246" s="338" t="s">
        <v>1495</v>
      </c>
      <c r="C246" s="328">
        <v>0</v>
      </c>
      <c r="D246" s="404"/>
      <c r="E246" s="404"/>
      <c r="F246" s="400">
        <v>0</v>
      </c>
      <c r="G246" s="404" t="str">
        <f t="shared" si="13"/>
        <v/>
      </c>
      <c r="H246" s="404" t="str">
        <f t="shared" si="14"/>
        <v/>
      </c>
      <c r="I246" s="349" t="str">
        <f t="shared" si="15"/>
        <v>否</v>
      </c>
      <c r="J246" s="309" t="str">
        <f t="shared" si="12"/>
        <v>项</v>
      </c>
    </row>
    <row r="247" s="311" customFormat="1" ht="18.75" spans="1:10">
      <c r="A247" s="332">
        <v>224</v>
      </c>
      <c r="B247" s="353" t="s">
        <v>1496</v>
      </c>
      <c r="C247" s="325">
        <v>0</v>
      </c>
      <c r="D247" s="403"/>
      <c r="E247" s="403"/>
      <c r="F247" s="399">
        <v>0</v>
      </c>
      <c r="G247" s="403" t="str">
        <f t="shared" si="13"/>
        <v/>
      </c>
      <c r="H247" s="403" t="str">
        <f t="shared" si="14"/>
        <v/>
      </c>
      <c r="I247" s="349" t="str">
        <f t="shared" si="15"/>
        <v>是</v>
      </c>
      <c r="J247" s="309" t="str">
        <f t="shared" si="12"/>
        <v>类</v>
      </c>
    </row>
    <row r="248" s="308" customFormat="1" ht="18.75" hidden="1" spans="1:10">
      <c r="A248" s="338">
        <v>22498</v>
      </c>
      <c r="B248" s="338" t="s">
        <v>1331</v>
      </c>
      <c r="C248" s="328">
        <v>0</v>
      </c>
      <c r="D248" s="404"/>
      <c r="E248" s="404"/>
      <c r="F248" s="399">
        <v>0</v>
      </c>
      <c r="G248" s="403" t="str">
        <f t="shared" si="13"/>
        <v/>
      </c>
      <c r="H248" s="403" t="str">
        <f t="shared" si="14"/>
        <v/>
      </c>
      <c r="I248" s="349" t="str">
        <f t="shared" si="15"/>
        <v>否</v>
      </c>
      <c r="J248" s="313" t="str">
        <f t="shared" si="12"/>
        <v>款</v>
      </c>
    </row>
    <row r="249" s="311" customFormat="1" ht="18.75" hidden="1" spans="1:10">
      <c r="A249" s="334">
        <v>2249801</v>
      </c>
      <c r="B249" s="338" t="s">
        <v>1497</v>
      </c>
      <c r="C249" s="328">
        <v>0</v>
      </c>
      <c r="D249" s="404"/>
      <c r="E249" s="404"/>
      <c r="F249" s="400">
        <v>0</v>
      </c>
      <c r="G249" s="404" t="str">
        <f t="shared" si="13"/>
        <v/>
      </c>
      <c r="H249" s="404" t="str">
        <f t="shared" si="14"/>
        <v/>
      </c>
      <c r="I249" s="349" t="str">
        <f t="shared" si="15"/>
        <v>否</v>
      </c>
      <c r="J249" s="309" t="str">
        <f t="shared" si="12"/>
        <v>项</v>
      </c>
    </row>
    <row r="250" s="311" customFormat="1" ht="18.75" hidden="1" spans="1:10">
      <c r="A250" s="334">
        <v>2249802</v>
      </c>
      <c r="B250" s="338" t="s">
        <v>1498</v>
      </c>
      <c r="C250" s="328">
        <v>0</v>
      </c>
      <c r="D250" s="404"/>
      <c r="E250" s="404"/>
      <c r="F250" s="400">
        <v>0</v>
      </c>
      <c r="G250" s="404" t="str">
        <f t="shared" si="13"/>
        <v/>
      </c>
      <c r="H250" s="404" t="str">
        <f t="shared" si="14"/>
        <v/>
      </c>
      <c r="I250" s="349" t="str">
        <f t="shared" si="15"/>
        <v>否</v>
      </c>
      <c r="J250" s="309" t="str">
        <f t="shared" si="12"/>
        <v>项</v>
      </c>
    </row>
    <row r="251" s="308" customFormat="1" ht="18.75" hidden="1" spans="1:10">
      <c r="A251" s="338">
        <v>2249899</v>
      </c>
      <c r="B251" s="338" t="s">
        <v>1499</v>
      </c>
      <c r="C251" s="328">
        <v>0</v>
      </c>
      <c r="D251" s="404"/>
      <c r="E251" s="404"/>
      <c r="F251" s="400">
        <v>0</v>
      </c>
      <c r="G251" s="404" t="str">
        <f t="shared" si="13"/>
        <v/>
      </c>
      <c r="H251" s="404" t="str">
        <f t="shared" si="14"/>
        <v/>
      </c>
      <c r="I251" s="349" t="str">
        <f t="shared" si="15"/>
        <v>否</v>
      </c>
      <c r="J251" s="313" t="str">
        <f t="shared" si="12"/>
        <v>项</v>
      </c>
    </row>
    <row r="252" s="312" customFormat="1" ht="18.75" spans="1:10">
      <c r="A252" s="329">
        <v>229</v>
      </c>
      <c r="B252" s="377" t="s">
        <v>1500</v>
      </c>
      <c r="C252" s="325">
        <f>C253+C257+C266+C268+C270+C282</f>
        <v>149642</v>
      </c>
      <c r="D252" s="325">
        <f>D253+D257+D266+D268+D270+D282</f>
        <v>107085</v>
      </c>
      <c r="E252" s="325">
        <f>E253+E257+E266+E268+E270+E282</f>
        <v>107085</v>
      </c>
      <c r="F252" s="325">
        <f>F253+F257+F266+F268+F270+F282</f>
        <v>145278</v>
      </c>
      <c r="G252" s="403">
        <f t="shared" si="13"/>
        <v>-0.0291629355394876</v>
      </c>
      <c r="H252" s="403">
        <f t="shared" si="14"/>
        <v>1.35666059672223</v>
      </c>
      <c r="I252" s="349" t="str">
        <f t="shared" si="15"/>
        <v>是</v>
      </c>
      <c r="J252" s="313" t="str">
        <f t="shared" si="12"/>
        <v>类</v>
      </c>
    </row>
    <row r="253" s="312" customFormat="1" ht="37.5" spans="1:10">
      <c r="A253" s="330">
        <v>22904</v>
      </c>
      <c r="B253" s="379" t="s">
        <v>1501</v>
      </c>
      <c r="C253" s="328">
        <f>SUM(C254:C256)</f>
        <v>141000</v>
      </c>
      <c r="D253" s="328">
        <f>SUM(D254:D256)</f>
        <v>97933</v>
      </c>
      <c r="E253" s="328">
        <f>SUM(E254:E256)</f>
        <v>97933</v>
      </c>
      <c r="F253" s="328">
        <f>SUM(F254:F256)</f>
        <v>134700</v>
      </c>
      <c r="G253" s="404">
        <f t="shared" si="13"/>
        <v>-0.0446808510638298</v>
      </c>
      <c r="H253" s="404">
        <f t="shared" si="14"/>
        <v>1.37543014101478</v>
      </c>
      <c r="I253" s="349" t="str">
        <f t="shared" si="15"/>
        <v>是</v>
      </c>
      <c r="J253" s="313" t="str">
        <f t="shared" si="12"/>
        <v>款</v>
      </c>
    </row>
    <row r="254" ht="18.75" hidden="1" spans="1:10">
      <c r="A254" s="330">
        <v>2290401</v>
      </c>
      <c r="B254" s="379" t="s">
        <v>1502</v>
      </c>
      <c r="C254" s="328"/>
      <c r="D254" s="328"/>
      <c r="E254" s="328"/>
      <c r="F254" s="400">
        <v>0</v>
      </c>
      <c r="G254" s="404" t="str">
        <f t="shared" si="13"/>
        <v/>
      </c>
      <c r="H254" s="404" t="str">
        <f t="shared" si="14"/>
        <v/>
      </c>
      <c r="I254" s="349" t="str">
        <f t="shared" si="15"/>
        <v>否</v>
      </c>
      <c r="J254" s="313" t="str">
        <f t="shared" si="12"/>
        <v>项</v>
      </c>
    </row>
    <row r="255" s="312" customFormat="1" ht="37.5" hidden="1" spans="1:10">
      <c r="A255" s="330">
        <v>2290402</v>
      </c>
      <c r="B255" s="379" t="s">
        <v>1503</v>
      </c>
      <c r="C255" s="328">
        <v>100000</v>
      </c>
      <c r="D255" s="328">
        <v>72568</v>
      </c>
      <c r="E255" s="328">
        <v>72568</v>
      </c>
      <c r="F255" s="400">
        <v>9700</v>
      </c>
      <c r="G255" s="404">
        <f t="shared" si="13"/>
        <v>-0.903</v>
      </c>
      <c r="H255" s="404">
        <f t="shared" si="14"/>
        <v>0.133667732333811</v>
      </c>
      <c r="I255" s="349" t="str">
        <f t="shared" si="15"/>
        <v>是</v>
      </c>
      <c r="J255" s="313" t="str">
        <f t="shared" si="12"/>
        <v>项</v>
      </c>
    </row>
    <row r="256" ht="18.75" hidden="1" spans="1:10">
      <c r="A256" s="330">
        <v>2290403</v>
      </c>
      <c r="B256" s="379" t="s">
        <v>1504</v>
      </c>
      <c r="C256" s="328">
        <v>41000</v>
      </c>
      <c r="D256" s="328">
        <v>25365</v>
      </c>
      <c r="E256" s="328">
        <v>25365</v>
      </c>
      <c r="F256" s="400">
        <v>125000</v>
      </c>
      <c r="G256" s="404">
        <f t="shared" si="13"/>
        <v>2.04878048780488</v>
      </c>
      <c r="H256" s="404">
        <f t="shared" si="14"/>
        <v>4.92805046323674</v>
      </c>
      <c r="I256" s="349" t="str">
        <f t="shared" si="15"/>
        <v>是</v>
      </c>
      <c r="J256" s="313" t="str">
        <f t="shared" si="12"/>
        <v>项</v>
      </c>
    </row>
    <row r="257" ht="18.75" spans="1:10">
      <c r="A257" s="330">
        <v>22908</v>
      </c>
      <c r="B257" s="379" t="s">
        <v>1505</v>
      </c>
      <c r="C257" s="328">
        <v>421</v>
      </c>
      <c r="D257" s="328">
        <f>SUM(D258:D265)</f>
        <v>545</v>
      </c>
      <c r="E257" s="328">
        <f>SUM(E258:E265)</f>
        <v>545</v>
      </c>
      <c r="F257" s="328">
        <f>SUM(F258:F265)</f>
        <v>348</v>
      </c>
      <c r="G257" s="404">
        <f t="shared" si="13"/>
        <v>-0.173396674584323</v>
      </c>
      <c r="H257" s="404">
        <f t="shared" si="14"/>
        <v>0.638532110091743</v>
      </c>
      <c r="I257" s="349" t="str">
        <f t="shared" si="15"/>
        <v>是</v>
      </c>
      <c r="J257" s="313" t="str">
        <f t="shared" si="12"/>
        <v>款</v>
      </c>
    </row>
    <row r="258" ht="18.75" hidden="1" spans="1:10">
      <c r="A258" s="330">
        <v>2290802</v>
      </c>
      <c r="B258" s="379" t="s">
        <v>1506</v>
      </c>
      <c r="C258" s="328">
        <v>0</v>
      </c>
      <c r="D258" s="328"/>
      <c r="E258" s="328"/>
      <c r="F258" s="400">
        <v>0</v>
      </c>
      <c r="G258" s="404" t="str">
        <f t="shared" si="13"/>
        <v/>
      </c>
      <c r="H258" s="404" t="str">
        <f t="shared" si="14"/>
        <v/>
      </c>
      <c r="I258" s="349" t="str">
        <f t="shared" si="15"/>
        <v>否</v>
      </c>
      <c r="J258" s="313" t="str">
        <f t="shared" si="12"/>
        <v>项</v>
      </c>
    </row>
    <row r="259" ht="18.75" hidden="1" spans="1:10">
      <c r="A259" s="330">
        <v>2290803</v>
      </c>
      <c r="B259" s="379" t="s">
        <v>1507</v>
      </c>
      <c r="C259" s="328">
        <v>0</v>
      </c>
      <c r="D259" s="328"/>
      <c r="E259" s="328"/>
      <c r="F259" s="400">
        <v>0</v>
      </c>
      <c r="G259" s="404" t="str">
        <f t="shared" si="13"/>
        <v/>
      </c>
      <c r="H259" s="404" t="str">
        <f t="shared" si="14"/>
        <v/>
      </c>
      <c r="I259" s="349" t="str">
        <f t="shared" si="15"/>
        <v>否</v>
      </c>
      <c r="J259" s="313" t="str">
        <f t="shared" si="12"/>
        <v>项</v>
      </c>
    </row>
    <row r="260" ht="18.75" hidden="1" spans="1:10">
      <c r="A260" s="330">
        <v>2290804</v>
      </c>
      <c r="B260" s="379" t="s">
        <v>1508</v>
      </c>
      <c r="C260" s="328">
        <v>391</v>
      </c>
      <c r="D260" s="328">
        <v>535</v>
      </c>
      <c r="E260" s="328">
        <v>535</v>
      </c>
      <c r="F260" s="400">
        <v>348</v>
      </c>
      <c r="G260" s="404">
        <f t="shared" si="13"/>
        <v>-0.10997442455243</v>
      </c>
      <c r="H260" s="404">
        <f t="shared" si="14"/>
        <v>0.650467289719626</v>
      </c>
      <c r="I260" s="349" t="str">
        <f t="shared" si="15"/>
        <v>是</v>
      </c>
      <c r="J260" s="313" t="str">
        <f t="shared" si="12"/>
        <v>项</v>
      </c>
    </row>
    <row r="261" s="312" customFormat="1" ht="18.75" hidden="1" spans="1:10">
      <c r="A261" s="330">
        <v>2290805</v>
      </c>
      <c r="B261" s="379" t="s">
        <v>1509</v>
      </c>
      <c r="C261" s="328">
        <v>0</v>
      </c>
      <c r="D261" s="404"/>
      <c r="E261" s="404"/>
      <c r="F261" s="400">
        <v>0</v>
      </c>
      <c r="G261" s="404" t="str">
        <f t="shared" si="13"/>
        <v/>
      </c>
      <c r="H261" s="404" t="str">
        <f t="shared" si="14"/>
        <v/>
      </c>
      <c r="I261" s="349" t="str">
        <f t="shared" si="15"/>
        <v>否</v>
      </c>
      <c r="J261" s="313" t="str">
        <f>IF(LEN(A261)=3,"类",IF(LEN(A261)=5,"款","项"))</f>
        <v>项</v>
      </c>
    </row>
    <row r="262" ht="18.75" hidden="1" spans="1:10">
      <c r="A262" s="330">
        <v>2290806</v>
      </c>
      <c r="B262" s="379" t="s">
        <v>1510</v>
      </c>
      <c r="C262" s="328">
        <v>0</v>
      </c>
      <c r="D262" s="404"/>
      <c r="E262" s="404"/>
      <c r="F262" s="400">
        <v>0</v>
      </c>
      <c r="G262" s="404" t="str">
        <f>IFERROR((F262-C262)/C262,"")</f>
        <v/>
      </c>
      <c r="H262" s="404" t="str">
        <f>IFERROR(F262/D262,"")</f>
        <v/>
      </c>
      <c r="I262" s="349" t="str">
        <f>IF(LEN(A262)=3,"是",IF(B262&lt;&gt;"",IF(SUM(C262:F262)&lt;&gt;0,"是","否"),"是"))</f>
        <v>否</v>
      </c>
      <c r="J262" s="313" t="str">
        <f t="shared" ref="J262:J325" si="16">IF(LEN(A262)=3,"类",IF(LEN(A262)=5,"款","项"))</f>
        <v>项</v>
      </c>
    </row>
    <row r="263" ht="18.75" hidden="1" spans="1:10">
      <c r="A263" s="330">
        <v>2290807</v>
      </c>
      <c r="B263" s="379" t="s">
        <v>1511</v>
      </c>
      <c r="C263" s="328">
        <v>0</v>
      </c>
      <c r="D263" s="404"/>
      <c r="E263" s="404"/>
      <c r="F263" s="400">
        <v>0</v>
      </c>
      <c r="G263" s="404" t="str">
        <f t="shared" ref="G263:G326" si="17">IFERROR((F263-C263)/C263,"")</f>
        <v/>
      </c>
      <c r="H263" s="404" t="str">
        <f t="shared" ref="H263:H326" si="18">IFERROR(F263/D263,"")</f>
        <v/>
      </c>
      <c r="I263" s="349" t="str">
        <f t="shared" ref="I263:I326" si="19">IF(LEN(A263)=3,"是",IF(B263&lt;&gt;"",IF(SUM(C263:F263)&lt;&gt;0,"是","否"),"是"))</f>
        <v>否</v>
      </c>
      <c r="J263" s="313" t="str">
        <f t="shared" si="16"/>
        <v>项</v>
      </c>
    </row>
    <row r="264" ht="18.75" hidden="1" spans="1:10">
      <c r="A264" s="330">
        <v>2290808</v>
      </c>
      <c r="B264" s="379" t="s">
        <v>1512</v>
      </c>
      <c r="C264" s="328">
        <v>30</v>
      </c>
      <c r="D264" s="688">
        <v>10</v>
      </c>
      <c r="E264" s="688">
        <v>10</v>
      </c>
      <c r="F264" s="400">
        <v>0</v>
      </c>
      <c r="G264" s="404">
        <f t="shared" si="17"/>
        <v>-1</v>
      </c>
      <c r="H264" s="404">
        <f t="shared" si="18"/>
        <v>0</v>
      </c>
      <c r="I264" s="349" t="str">
        <f t="shared" si="19"/>
        <v>是</v>
      </c>
      <c r="J264" s="313" t="str">
        <f t="shared" si="16"/>
        <v>项</v>
      </c>
    </row>
    <row r="265" ht="37.5" hidden="1" spans="1:10">
      <c r="A265" s="330">
        <v>2290899</v>
      </c>
      <c r="B265" s="379" t="s">
        <v>1513</v>
      </c>
      <c r="C265" s="328">
        <v>0</v>
      </c>
      <c r="D265" s="404"/>
      <c r="E265" s="404"/>
      <c r="F265" s="400">
        <v>0</v>
      </c>
      <c r="G265" s="404" t="str">
        <f t="shared" si="17"/>
        <v/>
      </c>
      <c r="H265" s="404" t="str">
        <f t="shared" si="18"/>
        <v/>
      </c>
      <c r="I265" s="349" t="str">
        <f t="shared" si="19"/>
        <v>否</v>
      </c>
      <c r="J265" s="313" t="str">
        <f t="shared" si="16"/>
        <v>项</v>
      </c>
    </row>
    <row r="266" s="311" customFormat="1" ht="18.75" hidden="1" spans="1:10">
      <c r="A266" s="326">
        <v>22909</v>
      </c>
      <c r="B266" s="327" t="s">
        <v>1514</v>
      </c>
      <c r="C266" s="328">
        <v>0</v>
      </c>
      <c r="D266" s="404"/>
      <c r="E266" s="404"/>
      <c r="F266" s="399">
        <v>0</v>
      </c>
      <c r="G266" s="403" t="str">
        <f t="shared" si="17"/>
        <v/>
      </c>
      <c r="H266" s="403" t="str">
        <f t="shared" si="18"/>
        <v/>
      </c>
      <c r="I266" s="349" t="str">
        <f t="shared" si="19"/>
        <v>否</v>
      </c>
      <c r="J266" s="309" t="str">
        <f t="shared" si="16"/>
        <v>款</v>
      </c>
    </row>
    <row r="267" s="308" customFormat="1" ht="18.75" hidden="1" spans="1:10">
      <c r="A267" s="354">
        <v>2290901</v>
      </c>
      <c r="B267" s="327" t="s">
        <v>1515</v>
      </c>
      <c r="C267" s="328">
        <v>0</v>
      </c>
      <c r="D267" s="404"/>
      <c r="E267" s="404"/>
      <c r="F267" s="400"/>
      <c r="G267" s="404" t="str">
        <f t="shared" si="17"/>
        <v/>
      </c>
      <c r="H267" s="404" t="str">
        <f t="shared" si="18"/>
        <v/>
      </c>
      <c r="I267" s="349" t="str">
        <f t="shared" si="19"/>
        <v>否</v>
      </c>
      <c r="J267" s="313" t="str">
        <f t="shared" si="16"/>
        <v>项</v>
      </c>
    </row>
    <row r="268" s="311" customFormat="1" ht="18.75" hidden="1" spans="1:10">
      <c r="A268" s="334">
        <v>22910</v>
      </c>
      <c r="B268" s="338" t="s">
        <v>1516</v>
      </c>
      <c r="C268" s="328">
        <v>0</v>
      </c>
      <c r="D268" s="404"/>
      <c r="E268" s="404"/>
      <c r="F268" s="399">
        <v>0</v>
      </c>
      <c r="G268" s="403" t="str">
        <f t="shared" si="17"/>
        <v/>
      </c>
      <c r="H268" s="403" t="str">
        <f t="shared" si="18"/>
        <v/>
      </c>
      <c r="I268" s="349" t="str">
        <f t="shared" si="19"/>
        <v>否</v>
      </c>
      <c r="J268" s="309" t="str">
        <f t="shared" si="16"/>
        <v>款</v>
      </c>
    </row>
    <row r="269" s="311" customFormat="1" ht="18.75" hidden="1" spans="1:10">
      <c r="A269" s="334">
        <v>2291001</v>
      </c>
      <c r="B269" s="338" t="s">
        <v>1517</v>
      </c>
      <c r="C269" s="328">
        <v>0</v>
      </c>
      <c r="D269" s="404"/>
      <c r="E269" s="404"/>
      <c r="F269" s="400">
        <v>0</v>
      </c>
      <c r="G269" s="404" t="str">
        <f t="shared" si="17"/>
        <v/>
      </c>
      <c r="H269" s="404" t="str">
        <f t="shared" si="18"/>
        <v/>
      </c>
      <c r="I269" s="349" t="str">
        <f t="shared" si="19"/>
        <v>否</v>
      </c>
      <c r="J269" s="309" t="str">
        <f t="shared" si="16"/>
        <v>项</v>
      </c>
    </row>
    <row r="270" s="312" customFormat="1" ht="18.75" spans="1:10">
      <c r="A270" s="330">
        <v>22960</v>
      </c>
      <c r="B270" s="379" t="s">
        <v>1518</v>
      </c>
      <c r="C270" s="328">
        <v>8221</v>
      </c>
      <c r="D270" s="328">
        <f>SUM(D271:D281)</f>
        <v>8607</v>
      </c>
      <c r="E270" s="328">
        <f>SUM(E271:E281)</f>
        <v>8607</v>
      </c>
      <c r="F270" s="328">
        <f>SUM(F271:F281)</f>
        <v>10230</v>
      </c>
      <c r="G270" s="404">
        <f t="shared" si="17"/>
        <v>0.244374163727041</v>
      </c>
      <c r="H270" s="404">
        <f t="shared" si="18"/>
        <v>1.18856744510282</v>
      </c>
      <c r="I270" s="349" t="str">
        <f t="shared" si="19"/>
        <v>是</v>
      </c>
      <c r="J270" s="313" t="str">
        <f t="shared" si="16"/>
        <v>款</v>
      </c>
    </row>
    <row r="271" ht="37.5" hidden="1" spans="1:10">
      <c r="A271" s="406">
        <v>2296001</v>
      </c>
      <c r="B271" s="379" t="s">
        <v>1519</v>
      </c>
      <c r="C271" s="328">
        <v>0</v>
      </c>
      <c r="D271" s="328"/>
      <c r="E271" s="328"/>
      <c r="F271" s="400">
        <v>0</v>
      </c>
      <c r="G271" s="404" t="str">
        <f t="shared" si="17"/>
        <v/>
      </c>
      <c r="H271" s="404" t="str">
        <f t="shared" si="18"/>
        <v/>
      </c>
      <c r="I271" s="349" t="str">
        <f t="shared" si="19"/>
        <v>否</v>
      </c>
      <c r="J271" s="313" t="str">
        <f t="shared" si="16"/>
        <v>项</v>
      </c>
    </row>
    <row r="272" ht="18.75" hidden="1" spans="1:10">
      <c r="A272" s="330">
        <v>2296002</v>
      </c>
      <c r="B272" s="379" t="s">
        <v>1520</v>
      </c>
      <c r="C272" s="328">
        <v>2717</v>
      </c>
      <c r="D272" s="328">
        <v>3508</v>
      </c>
      <c r="E272" s="328">
        <v>3508</v>
      </c>
      <c r="F272" s="400">
        <v>3257</v>
      </c>
      <c r="G272" s="404">
        <f t="shared" si="17"/>
        <v>0.198748619801251</v>
      </c>
      <c r="H272" s="404">
        <f t="shared" si="18"/>
        <v>0.928449258836944</v>
      </c>
      <c r="I272" s="349" t="str">
        <f t="shared" si="19"/>
        <v>是</v>
      </c>
      <c r="J272" s="313" t="str">
        <f t="shared" si="16"/>
        <v>项</v>
      </c>
    </row>
    <row r="273" ht="18.75" hidden="1" spans="1:10">
      <c r="A273" s="330">
        <v>2296003</v>
      </c>
      <c r="B273" s="379" t="s">
        <v>1521</v>
      </c>
      <c r="C273" s="328">
        <v>3067</v>
      </c>
      <c r="D273" s="328">
        <v>3625</v>
      </c>
      <c r="E273" s="328">
        <v>3625</v>
      </c>
      <c r="F273" s="400">
        <v>3319</v>
      </c>
      <c r="G273" s="404">
        <f t="shared" si="17"/>
        <v>0.0821649820671666</v>
      </c>
      <c r="H273" s="404">
        <f t="shared" si="18"/>
        <v>0.915586206896552</v>
      </c>
      <c r="I273" s="349" t="str">
        <f t="shared" si="19"/>
        <v>是</v>
      </c>
      <c r="J273" s="313" t="str">
        <f t="shared" si="16"/>
        <v>项</v>
      </c>
    </row>
    <row r="274" ht="18.75" hidden="1" spans="1:10">
      <c r="A274" s="330">
        <v>2296004</v>
      </c>
      <c r="B274" s="379" t="s">
        <v>1522</v>
      </c>
      <c r="C274" s="328">
        <v>51</v>
      </c>
      <c r="D274" s="328">
        <v>9</v>
      </c>
      <c r="E274" s="328">
        <v>9</v>
      </c>
      <c r="F274" s="400">
        <v>64</v>
      </c>
      <c r="G274" s="404">
        <f t="shared" si="17"/>
        <v>0.254901960784314</v>
      </c>
      <c r="H274" s="404">
        <f t="shared" si="18"/>
        <v>7.11111111111111</v>
      </c>
      <c r="I274" s="349" t="str">
        <f t="shared" si="19"/>
        <v>是</v>
      </c>
      <c r="J274" s="313" t="str">
        <f t="shared" si="16"/>
        <v>项</v>
      </c>
    </row>
    <row r="275" s="312" customFormat="1" ht="18.75" hidden="1" spans="1:10">
      <c r="A275" s="330">
        <v>2296005</v>
      </c>
      <c r="B275" s="379" t="s">
        <v>1523</v>
      </c>
      <c r="C275" s="328">
        <v>0</v>
      </c>
      <c r="D275" s="328"/>
      <c r="E275" s="328"/>
      <c r="F275" s="400">
        <v>0</v>
      </c>
      <c r="G275" s="404" t="str">
        <f t="shared" si="17"/>
        <v/>
      </c>
      <c r="H275" s="404" t="str">
        <f t="shared" si="18"/>
        <v/>
      </c>
      <c r="I275" s="349" t="str">
        <f t="shared" si="19"/>
        <v>否</v>
      </c>
      <c r="J275" s="313" t="str">
        <f t="shared" si="16"/>
        <v>项</v>
      </c>
    </row>
    <row r="276" s="312" customFormat="1" ht="18.75" hidden="1" spans="1:10">
      <c r="A276" s="330">
        <v>2296006</v>
      </c>
      <c r="B276" s="379" t="s">
        <v>1524</v>
      </c>
      <c r="C276" s="328">
        <v>905</v>
      </c>
      <c r="D276" s="328">
        <v>853</v>
      </c>
      <c r="E276" s="328">
        <v>853</v>
      </c>
      <c r="F276" s="400">
        <v>1010</v>
      </c>
      <c r="G276" s="404">
        <f t="shared" si="17"/>
        <v>0.116022099447514</v>
      </c>
      <c r="H276" s="404">
        <f t="shared" si="18"/>
        <v>1.18405627198124</v>
      </c>
      <c r="I276" s="349" t="str">
        <f t="shared" si="19"/>
        <v>是</v>
      </c>
      <c r="J276" s="313" t="str">
        <f t="shared" si="16"/>
        <v>项</v>
      </c>
    </row>
    <row r="277" s="312" customFormat="1" ht="18.75" hidden="1" spans="1:10">
      <c r="A277" s="330">
        <v>2296010</v>
      </c>
      <c r="B277" s="379" t="s">
        <v>1525</v>
      </c>
      <c r="C277" s="328">
        <v>0</v>
      </c>
      <c r="D277" s="328"/>
      <c r="E277" s="328"/>
      <c r="F277" s="400">
        <v>0</v>
      </c>
      <c r="G277" s="404" t="str">
        <f t="shared" si="17"/>
        <v/>
      </c>
      <c r="H277" s="404" t="str">
        <f t="shared" si="18"/>
        <v/>
      </c>
      <c r="I277" s="349" t="str">
        <f t="shared" si="19"/>
        <v>否</v>
      </c>
      <c r="J277" s="313" t="str">
        <f t="shared" si="16"/>
        <v>项</v>
      </c>
    </row>
    <row r="278" ht="18.75" hidden="1" spans="1:10">
      <c r="A278" s="330">
        <v>2296011</v>
      </c>
      <c r="B278" s="379" t="s">
        <v>1526</v>
      </c>
      <c r="C278" s="328">
        <v>0</v>
      </c>
      <c r="D278" s="328"/>
      <c r="E278" s="328"/>
      <c r="F278" s="400">
        <v>0</v>
      </c>
      <c r="G278" s="404" t="str">
        <f t="shared" si="17"/>
        <v/>
      </c>
      <c r="H278" s="404" t="str">
        <f t="shared" si="18"/>
        <v/>
      </c>
      <c r="I278" s="349" t="str">
        <f t="shared" si="19"/>
        <v>否</v>
      </c>
      <c r="J278" s="313" t="str">
        <f t="shared" si="16"/>
        <v>项</v>
      </c>
    </row>
    <row r="279" s="312" customFormat="1" ht="18.75" hidden="1" spans="1:10">
      <c r="A279" s="330">
        <v>2296012</v>
      </c>
      <c r="B279" s="379" t="s">
        <v>1527</v>
      </c>
      <c r="C279" s="328">
        <v>0</v>
      </c>
      <c r="D279" s="328"/>
      <c r="E279" s="328"/>
      <c r="F279" s="400">
        <v>0</v>
      </c>
      <c r="G279" s="404" t="str">
        <f t="shared" si="17"/>
        <v/>
      </c>
      <c r="H279" s="404" t="str">
        <f t="shared" si="18"/>
        <v/>
      </c>
      <c r="I279" s="349" t="str">
        <f t="shared" si="19"/>
        <v>否</v>
      </c>
      <c r="J279" s="313" t="str">
        <f t="shared" si="16"/>
        <v>项</v>
      </c>
    </row>
    <row r="280" s="312" customFormat="1" ht="18.75" hidden="1" spans="1:10">
      <c r="A280" s="330">
        <v>2296013</v>
      </c>
      <c r="B280" s="379" t="s">
        <v>1528</v>
      </c>
      <c r="C280" s="328">
        <v>0</v>
      </c>
      <c r="D280" s="328"/>
      <c r="E280" s="328"/>
      <c r="F280" s="400">
        <v>0</v>
      </c>
      <c r="G280" s="404" t="str">
        <f t="shared" si="17"/>
        <v/>
      </c>
      <c r="H280" s="404" t="str">
        <f t="shared" si="18"/>
        <v/>
      </c>
      <c r="I280" s="349" t="str">
        <f t="shared" si="19"/>
        <v>否</v>
      </c>
      <c r="J280" s="313" t="str">
        <f t="shared" si="16"/>
        <v>项</v>
      </c>
    </row>
    <row r="281" s="312" customFormat="1" ht="37.5" hidden="1" spans="1:10">
      <c r="A281" s="408">
        <v>2296099</v>
      </c>
      <c r="B281" s="409" t="s">
        <v>1529</v>
      </c>
      <c r="C281" s="328">
        <v>1481</v>
      </c>
      <c r="D281" s="328">
        <v>612</v>
      </c>
      <c r="E281" s="328">
        <v>612</v>
      </c>
      <c r="F281" s="400">
        <v>2580</v>
      </c>
      <c r="G281" s="404">
        <f t="shared" si="17"/>
        <v>0.742066171505739</v>
      </c>
      <c r="H281" s="404">
        <f t="shared" si="18"/>
        <v>4.2156862745098</v>
      </c>
      <c r="I281" s="349" t="str">
        <f t="shared" si="19"/>
        <v>是</v>
      </c>
      <c r="J281" s="313" t="str">
        <f t="shared" si="16"/>
        <v>项</v>
      </c>
    </row>
    <row r="282" s="309" customFormat="1" ht="18.75" hidden="1" spans="1:10">
      <c r="A282" s="334">
        <v>22998</v>
      </c>
      <c r="B282" s="338" t="s">
        <v>1530</v>
      </c>
      <c r="C282" s="328">
        <v>0</v>
      </c>
      <c r="D282" s="328"/>
      <c r="E282" s="328"/>
      <c r="F282" s="399">
        <v>0</v>
      </c>
      <c r="G282" s="403" t="str">
        <f t="shared" si="17"/>
        <v/>
      </c>
      <c r="H282" s="403" t="str">
        <f t="shared" si="18"/>
        <v/>
      </c>
      <c r="I282" s="349" t="str">
        <f t="shared" si="19"/>
        <v>否</v>
      </c>
      <c r="J282" s="309" t="str">
        <f t="shared" si="16"/>
        <v>款</v>
      </c>
    </row>
    <row r="283" s="309" customFormat="1" ht="18.75" hidden="1" spans="1:10">
      <c r="A283" s="334">
        <v>2299899</v>
      </c>
      <c r="B283" s="338" t="s">
        <v>1531</v>
      </c>
      <c r="C283" s="328">
        <v>0</v>
      </c>
      <c r="D283" s="404"/>
      <c r="E283" s="404"/>
      <c r="F283" s="400">
        <v>0</v>
      </c>
      <c r="G283" s="404" t="str">
        <f t="shared" si="17"/>
        <v/>
      </c>
      <c r="H283" s="404" t="str">
        <f t="shared" si="18"/>
        <v/>
      </c>
      <c r="I283" s="349" t="str">
        <f t="shared" si="19"/>
        <v>否</v>
      </c>
      <c r="J283" s="309" t="str">
        <f t="shared" si="16"/>
        <v>项</v>
      </c>
    </row>
    <row r="284" s="312" customFormat="1" ht="18.75" spans="1:10">
      <c r="A284" s="329">
        <v>232</v>
      </c>
      <c r="B284" s="410" t="s">
        <v>1532</v>
      </c>
      <c r="C284" s="325">
        <v>89452</v>
      </c>
      <c r="D284" s="325">
        <f>D285</f>
        <v>95633</v>
      </c>
      <c r="E284" s="325">
        <f>E285</f>
        <v>95633</v>
      </c>
      <c r="F284" s="325">
        <f>F285</f>
        <v>96233</v>
      </c>
      <c r="G284" s="403">
        <f t="shared" si="17"/>
        <v>0.0758060188704557</v>
      </c>
      <c r="H284" s="403">
        <f t="shared" si="18"/>
        <v>1.00627398492152</v>
      </c>
      <c r="I284" s="349" t="str">
        <f t="shared" si="19"/>
        <v>是</v>
      </c>
      <c r="J284" s="313" t="str">
        <f t="shared" si="16"/>
        <v>类</v>
      </c>
    </row>
    <row r="285" s="312" customFormat="1" ht="18.75" spans="1:10">
      <c r="A285" s="339">
        <v>23204</v>
      </c>
      <c r="B285" s="379" t="s">
        <v>1533</v>
      </c>
      <c r="C285" s="328">
        <v>89452</v>
      </c>
      <c r="D285" s="328">
        <f>SUM(D286:D300)</f>
        <v>95633</v>
      </c>
      <c r="E285" s="328">
        <f>SUM(E286:E300)</f>
        <v>95633</v>
      </c>
      <c r="F285" s="328">
        <f>SUM(F286:F300)</f>
        <v>96233</v>
      </c>
      <c r="G285" s="404">
        <f t="shared" si="17"/>
        <v>0.0758060188704557</v>
      </c>
      <c r="H285" s="404">
        <f t="shared" si="18"/>
        <v>1.00627398492152</v>
      </c>
      <c r="I285" s="349" t="str">
        <f t="shared" si="19"/>
        <v>是</v>
      </c>
      <c r="J285" s="313" t="str">
        <f t="shared" si="16"/>
        <v>款</v>
      </c>
    </row>
    <row r="286" s="312" customFormat="1" ht="37.5" hidden="1" spans="1:10">
      <c r="A286" s="330">
        <v>2320401</v>
      </c>
      <c r="B286" s="379" t="s">
        <v>1534</v>
      </c>
      <c r="C286" s="328">
        <v>0</v>
      </c>
      <c r="D286" s="404"/>
      <c r="E286" s="404"/>
      <c r="F286" s="400">
        <v>0</v>
      </c>
      <c r="G286" s="404" t="str">
        <f t="shared" si="17"/>
        <v/>
      </c>
      <c r="H286" s="404" t="str">
        <f t="shared" si="18"/>
        <v/>
      </c>
      <c r="I286" s="349" t="str">
        <f t="shared" si="19"/>
        <v>否</v>
      </c>
      <c r="J286" s="313" t="str">
        <f t="shared" si="16"/>
        <v>项</v>
      </c>
    </row>
    <row r="287" s="312" customFormat="1" ht="37.5" hidden="1" spans="1:10">
      <c r="A287" s="330">
        <v>2320405</v>
      </c>
      <c r="B287" s="379" t="s">
        <v>1535</v>
      </c>
      <c r="C287" s="328">
        <v>0</v>
      </c>
      <c r="D287" s="404"/>
      <c r="E287" s="404"/>
      <c r="F287" s="400">
        <v>0</v>
      </c>
      <c r="G287" s="404" t="str">
        <f t="shared" si="17"/>
        <v/>
      </c>
      <c r="H287" s="404" t="str">
        <f t="shared" si="18"/>
        <v/>
      </c>
      <c r="I287" s="349" t="str">
        <f t="shared" si="19"/>
        <v>否</v>
      </c>
      <c r="J287" s="313" t="str">
        <f t="shared" si="16"/>
        <v>项</v>
      </c>
    </row>
    <row r="288" s="312" customFormat="1" ht="18.75" hidden="1" spans="1:10">
      <c r="A288" s="330">
        <v>2320411</v>
      </c>
      <c r="B288" s="379" t="s">
        <v>1536</v>
      </c>
      <c r="C288" s="328">
        <v>1579</v>
      </c>
      <c r="D288" s="328">
        <v>1927</v>
      </c>
      <c r="E288" s="328">
        <v>1927</v>
      </c>
      <c r="F288" s="400">
        <v>1577</v>
      </c>
      <c r="G288" s="404">
        <f t="shared" si="17"/>
        <v>-0.0012666244458518</v>
      </c>
      <c r="H288" s="404">
        <f t="shared" si="18"/>
        <v>0.818370524130773</v>
      </c>
      <c r="I288" s="349" t="str">
        <f t="shared" si="19"/>
        <v>是</v>
      </c>
      <c r="J288" s="313" t="str">
        <f t="shared" si="16"/>
        <v>项</v>
      </c>
    </row>
    <row r="289" ht="18.75" hidden="1" spans="1:10">
      <c r="A289" s="330">
        <v>2320413</v>
      </c>
      <c r="B289" s="379" t="s">
        <v>1537</v>
      </c>
      <c r="C289" s="328">
        <v>0</v>
      </c>
      <c r="D289" s="404"/>
      <c r="E289" s="404"/>
      <c r="F289" s="400">
        <v>0</v>
      </c>
      <c r="G289" s="404" t="str">
        <f t="shared" si="17"/>
        <v/>
      </c>
      <c r="H289" s="404" t="str">
        <f t="shared" si="18"/>
        <v/>
      </c>
      <c r="I289" s="349" t="str">
        <f t="shared" si="19"/>
        <v>否</v>
      </c>
      <c r="J289" s="313" t="str">
        <f t="shared" si="16"/>
        <v>项</v>
      </c>
    </row>
    <row r="290" ht="18.75" hidden="1" spans="1:10">
      <c r="A290" s="330">
        <v>2320414</v>
      </c>
      <c r="B290" s="379" t="s">
        <v>1538</v>
      </c>
      <c r="C290" s="328">
        <v>0</v>
      </c>
      <c r="D290" s="404"/>
      <c r="E290" s="404"/>
      <c r="F290" s="400">
        <v>0</v>
      </c>
      <c r="G290" s="404" t="str">
        <f t="shared" si="17"/>
        <v/>
      </c>
      <c r="H290" s="404" t="str">
        <f t="shared" si="18"/>
        <v/>
      </c>
      <c r="I290" s="349" t="str">
        <f t="shared" si="19"/>
        <v>否</v>
      </c>
      <c r="J290" s="313" t="str">
        <f t="shared" si="16"/>
        <v>项</v>
      </c>
    </row>
    <row r="291" ht="18.75" hidden="1" spans="1:10">
      <c r="A291" s="330">
        <v>2320416</v>
      </c>
      <c r="B291" s="379" t="s">
        <v>1539</v>
      </c>
      <c r="C291" s="328">
        <v>0</v>
      </c>
      <c r="D291" s="404"/>
      <c r="E291" s="404"/>
      <c r="F291" s="400">
        <v>0</v>
      </c>
      <c r="G291" s="404" t="str">
        <f t="shared" si="17"/>
        <v/>
      </c>
      <c r="H291" s="404" t="str">
        <f t="shared" si="18"/>
        <v/>
      </c>
      <c r="I291" s="349" t="str">
        <f t="shared" si="19"/>
        <v>否</v>
      </c>
      <c r="J291" s="313" t="str">
        <f t="shared" si="16"/>
        <v>项</v>
      </c>
    </row>
    <row r="292" ht="18.75" hidden="1" spans="1:10">
      <c r="A292" s="330">
        <v>2320417</v>
      </c>
      <c r="B292" s="379" t="s">
        <v>1540</v>
      </c>
      <c r="C292" s="328">
        <v>0</v>
      </c>
      <c r="D292" s="404"/>
      <c r="E292" s="404"/>
      <c r="F292" s="400">
        <v>0</v>
      </c>
      <c r="G292" s="404" t="str">
        <f t="shared" si="17"/>
        <v/>
      </c>
      <c r="H292" s="404" t="str">
        <f t="shared" si="18"/>
        <v/>
      </c>
      <c r="I292" s="349" t="str">
        <f t="shared" si="19"/>
        <v>否</v>
      </c>
      <c r="J292" s="313" t="str">
        <f t="shared" si="16"/>
        <v>项</v>
      </c>
    </row>
    <row r="293" ht="37.5" hidden="1" spans="1:10">
      <c r="A293" s="330">
        <v>2320418</v>
      </c>
      <c r="B293" s="379" t="s">
        <v>1541</v>
      </c>
      <c r="C293" s="328">
        <v>0</v>
      </c>
      <c r="D293" s="404"/>
      <c r="E293" s="404"/>
      <c r="F293" s="400">
        <v>0</v>
      </c>
      <c r="G293" s="404" t="str">
        <f t="shared" si="17"/>
        <v/>
      </c>
      <c r="H293" s="404" t="str">
        <f t="shared" si="18"/>
        <v/>
      </c>
      <c r="I293" s="349" t="str">
        <f t="shared" si="19"/>
        <v>否</v>
      </c>
      <c r="J293" s="313" t="str">
        <f t="shared" si="16"/>
        <v>项</v>
      </c>
    </row>
    <row r="294" ht="18.75" hidden="1" spans="1:10">
      <c r="A294" s="330">
        <v>2320419</v>
      </c>
      <c r="B294" s="379" t="s">
        <v>1542</v>
      </c>
      <c r="C294" s="328">
        <v>0</v>
      </c>
      <c r="D294" s="404"/>
      <c r="E294" s="404"/>
      <c r="F294" s="400">
        <v>0</v>
      </c>
      <c r="G294" s="404" t="str">
        <f t="shared" si="17"/>
        <v/>
      </c>
      <c r="H294" s="404" t="str">
        <f t="shared" si="18"/>
        <v/>
      </c>
      <c r="I294" s="349" t="str">
        <f t="shared" si="19"/>
        <v>否</v>
      </c>
      <c r="J294" s="313" t="str">
        <f t="shared" si="16"/>
        <v>项</v>
      </c>
    </row>
    <row r="295" ht="18.75" hidden="1" spans="1:10">
      <c r="A295" s="330">
        <v>2320420</v>
      </c>
      <c r="B295" s="379" t="s">
        <v>1543</v>
      </c>
      <c r="C295" s="328">
        <v>0</v>
      </c>
      <c r="D295" s="404"/>
      <c r="E295" s="404"/>
      <c r="F295" s="400">
        <v>0</v>
      </c>
      <c r="G295" s="404" t="str">
        <f t="shared" si="17"/>
        <v/>
      </c>
      <c r="H295" s="404" t="str">
        <f t="shared" si="18"/>
        <v/>
      </c>
      <c r="I295" s="349" t="str">
        <f t="shared" si="19"/>
        <v>否</v>
      </c>
      <c r="J295" s="313" t="str">
        <f t="shared" si="16"/>
        <v>项</v>
      </c>
    </row>
    <row r="296" s="312" customFormat="1" ht="18.75" hidden="1" spans="1:10">
      <c r="A296" s="330">
        <v>2320431</v>
      </c>
      <c r="B296" s="379" t="s">
        <v>1544</v>
      </c>
      <c r="C296" s="328">
        <v>3211</v>
      </c>
      <c r="D296" s="328">
        <v>2551</v>
      </c>
      <c r="E296" s="328">
        <v>2551</v>
      </c>
      <c r="F296" s="400">
        <v>2552</v>
      </c>
      <c r="G296" s="404">
        <f t="shared" si="17"/>
        <v>-0.205232014948614</v>
      </c>
      <c r="H296" s="404">
        <f t="shared" si="18"/>
        <v>1.00039200313603</v>
      </c>
      <c r="I296" s="349" t="str">
        <f t="shared" si="19"/>
        <v>是</v>
      </c>
      <c r="J296" s="313" t="str">
        <f t="shared" si="16"/>
        <v>项</v>
      </c>
    </row>
    <row r="297" s="312" customFormat="1" ht="18.75" hidden="1" spans="1:10">
      <c r="A297" s="330">
        <v>2320432</v>
      </c>
      <c r="B297" s="379" t="s">
        <v>1545</v>
      </c>
      <c r="C297" s="328">
        <v>31657</v>
      </c>
      <c r="D297" s="328">
        <v>31657</v>
      </c>
      <c r="E297" s="328">
        <v>31657</v>
      </c>
      <c r="F297" s="400">
        <v>31655</v>
      </c>
      <c r="G297" s="404">
        <f t="shared" si="17"/>
        <v>-6.31771804024386e-5</v>
      </c>
      <c r="H297" s="404">
        <f t="shared" si="18"/>
        <v>0.999936822819598</v>
      </c>
      <c r="I297" s="349" t="str">
        <f t="shared" si="19"/>
        <v>是</v>
      </c>
      <c r="J297" s="313" t="str">
        <f t="shared" si="16"/>
        <v>项</v>
      </c>
    </row>
    <row r="298" s="312" customFormat="1" ht="18.75" hidden="1" spans="1:10">
      <c r="A298" s="330">
        <v>2320433</v>
      </c>
      <c r="B298" s="379" t="s">
        <v>1546</v>
      </c>
      <c r="C298" s="328">
        <v>2167</v>
      </c>
      <c r="D298" s="328">
        <v>1708</v>
      </c>
      <c r="E298" s="328">
        <v>1708</v>
      </c>
      <c r="F298" s="400">
        <v>1708</v>
      </c>
      <c r="G298" s="404">
        <f t="shared" si="17"/>
        <v>-0.211813567143516</v>
      </c>
      <c r="H298" s="404">
        <f t="shared" si="18"/>
        <v>1</v>
      </c>
      <c r="I298" s="349" t="str">
        <f t="shared" si="19"/>
        <v>是</v>
      </c>
      <c r="J298" s="313" t="str">
        <f t="shared" si="16"/>
        <v>项</v>
      </c>
    </row>
    <row r="299" ht="37.5" hidden="1" spans="1:10">
      <c r="A299" s="330">
        <v>2320498</v>
      </c>
      <c r="B299" s="379" t="s">
        <v>1547</v>
      </c>
      <c r="C299" s="328">
        <v>50838</v>
      </c>
      <c r="D299" s="328">
        <v>53830</v>
      </c>
      <c r="E299" s="328">
        <v>53830</v>
      </c>
      <c r="F299" s="400">
        <v>53065</v>
      </c>
      <c r="G299" s="404">
        <f t="shared" si="17"/>
        <v>0.0438058145481726</v>
      </c>
      <c r="H299" s="404">
        <f t="shared" si="18"/>
        <v>0.985788593720973</v>
      </c>
      <c r="I299" s="349" t="str">
        <f t="shared" si="19"/>
        <v>是</v>
      </c>
      <c r="J299" s="313" t="str">
        <f t="shared" si="16"/>
        <v>项</v>
      </c>
    </row>
    <row r="300" s="312" customFormat="1" ht="18.75" hidden="1" spans="1:10">
      <c r="A300" s="330">
        <v>2320499</v>
      </c>
      <c r="B300" s="379" t="s">
        <v>1548</v>
      </c>
      <c r="C300" s="328">
        <v>0</v>
      </c>
      <c r="D300" s="328">
        <v>3960</v>
      </c>
      <c r="E300" s="328">
        <v>3960</v>
      </c>
      <c r="F300" s="400">
        <v>5676</v>
      </c>
      <c r="G300" s="404" t="str">
        <f t="shared" si="17"/>
        <v/>
      </c>
      <c r="H300" s="404">
        <f t="shared" si="18"/>
        <v>1.43333333333333</v>
      </c>
      <c r="I300" s="349" t="str">
        <f t="shared" si="19"/>
        <v>是</v>
      </c>
      <c r="J300" s="313" t="str">
        <f t="shared" si="16"/>
        <v>项</v>
      </c>
    </row>
    <row r="301" s="312" customFormat="1" ht="18.75" spans="1:10">
      <c r="A301" s="329">
        <v>233</v>
      </c>
      <c r="B301" s="377" t="s">
        <v>1549</v>
      </c>
      <c r="C301" s="325">
        <v>431</v>
      </c>
      <c r="D301" s="325">
        <f>D302</f>
        <v>170</v>
      </c>
      <c r="E301" s="325">
        <f>E302</f>
        <v>170</v>
      </c>
      <c r="F301" s="325">
        <f>F302</f>
        <v>505</v>
      </c>
      <c r="G301" s="403">
        <f t="shared" si="17"/>
        <v>0.17169373549884</v>
      </c>
      <c r="H301" s="403">
        <f t="shared" si="18"/>
        <v>2.97058823529412</v>
      </c>
      <c r="I301" s="349" t="str">
        <f t="shared" si="19"/>
        <v>是</v>
      </c>
      <c r="J301" s="313" t="str">
        <f t="shared" si="16"/>
        <v>类</v>
      </c>
    </row>
    <row r="302" ht="18.75" spans="1:10">
      <c r="A302" s="406">
        <v>23304</v>
      </c>
      <c r="B302" s="379" t="s">
        <v>1550</v>
      </c>
      <c r="C302" s="328">
        <v>431</v>
      </c>
      <c r="D302" s="328">
        <f>SUM(D303:D317)</f>
        <v>170</v>
      </c>
      <c r="E302" s="328">
        <f>SUM(E303:E317)</f>
        <v>170</v>
      </c>
      <c r="F302" s="328">
        <f>SUM(F303:F317)</f>
        <v>505</v>
      </c>
      <c r="G302" s="404">
        <f t="shared" si="17"/>
        <v>0.17169373549884</v>
      </c>
      <c r="H302" s="404">
        <f t="shared" si="18"/>
        <v>2.97058823529412</v>
      </c>
      <c r="I302" s="349" t="str">
        <f t="shared" si="19"/>
        <v>是</v>
      </c>
      <c r="J302" s="313" t="str">
        <f t="shared" si="16"/>
        <v>款</v>
      </c>
    </row>
    <row r="303" s="312" customFormat="1" ht="37.5" hidden="1" spans="1:10">
      <c r="A303" s="330">
        <v>2330401</v>
      </c>
      <c r="B303" s="379" t="s">
        <v>1551</v>
      </c>
      <c r="C303" s="328">
        <v>0</v>
      </c>
      <c r="D303" s="404"/>
      <c r="E303" s="404"/>
      <c r="F303" s="400">
        <v>0</v>
      </c>
      <c r="G303" s="404" t="str">
        <f t="shared" si="17"/>
        <v/>
      </c>
      <c r="H303" s="404" t="str">
        <f t="shared" si="18"/>
        <v/>
      </c>
      <c r="I303" s="349" t="str">
        <f t="shared" si="19"/>
        <v>否</v>
      </c>
      <c r="J303" s="313" t="str">
        <f t="shared" si="16"/>
        <v>项</v>
      </c>
    </row>
    <row r="304" ht="37.5" hidden="1" spans="1:10">
      <c r="A304" s="330">
        <v>2330405</v>
      </c>
      <c r="B304" s="379" t="s">
        <v>1552</v>
      </c>
      <c r="C304" s="328">
        <v>0</v>
      </c>
      <c r="D304" s="404"/>
      <c r="E304" s="404"/>
      <c r="F304" s="400">
        <v>0</v>
      </c>
      <c r="G304" s="404" t="str">
        <f t="shared" si="17"/>
        <v/>
      </c>
      <c r="H304" s="404" t="str">
        <f t="shared" si="18"/>
        <v/>
      </c>
      <c r="I304" s="349" t="str">
        <f t="shared" si="19"/>
        <v>否</v>
      </c>
      <c r="J304" s="313" t="str">
        <f t="shared" si="16"/>
        <v>项</v>
      </c>
    </row>
    <row r="305" s="312" customFormat="1" ht="37.5" hidden="1" spans="1:10">
      <c r="A305" s="330">
        <v>2330411</v>
      </c>
      <c r="B305" s="379" t="s">
        <v>1553</v>
      </c>
      <c r="C305" s="328">
        <v>1</v>
      </c>
      <c r="D305" s="328">
        <v>1</v>
      </c>
      <c r="E305" s="328">
        <v>1</v>
      </c>
      <c r="F305" s="400">
        <v>15</v>
      </c>
      <c r="G305" s="404">
        <f t="shared" si="17"/>
        <v>14</v>
      </c>
      <c r="H305" s="404">
        <f t="shared" si="18"/>
        <v>15</v>
      </c>
      <c r="I305" s="349" t="str">
        <f t="shared" si="19"/>
        <v>是</v>
      </c>
      <c r="J305" s="313" t="str">
        <f t="shared" si="16"/>
        <v>项</v>
      </c>
    </row>
    <row r="306" s="312" customFormat="1" ht="18.75" hidden="1" spans="1:10">
      <c r="A306" s="330">
        <v>2330413</v>
      </c>
      <c r="B306" s="379" t="s">
        <v>1554</v>
      </c>
      <c r="C306" s="328">
        <v>0</v>
      </c>
      <c r="D306" s="328"/>
      <c r="E306" s="328"/>
      <c r="F306" s="400">
        <v>0</v>
      </c>
      <c r="G306" s="404" t="str">
        <f t="shared" si="17"/>
        <v/>
      </c>
      <c r="H306" s="404" t="str">
        <f t="shared" si="18"/>
        <v/>
      </c>
      <c r="I306" s="349" t="str">
        <f t="shared" si="19"/>
        <v>否</v>
      </c>
      <c r="J306" s="313" t="str">
        <f t="shared" si="16"/>
        <v>项</v>
      </c>
    </row>
    <row r="307" ht="18.75" hidden="1" spans="1:10">
      <c r="A307" s="330">
        <v>2330414</v>
      </c>
      <c r="B307" s="379" t="s">
        <v>1555</v>
      </c>
      <c r="C307" s="328">
        <v>0</v>
      </c>
      <c r="D307" s="328"/>
      <c r="E307" s="328"/>
      <c r="F307" s="400">
        <v>0</v>
      </c>
      <c r="G307" s="404" t="str">
        <f t="shared" si="17"/>
        <v/>
      </c>
      <c r="H307" s="404" t="str">
        <f t="shared" si="18"/>
        <v/>
      </c>
      <c r="I307" s="349" t="str">
        <f t="shared" si="19"/>
        <v>否</v>
      </c>
      <c r="J307" s="313" t="str">
        <f t="shared" si="16"/>
        <v>项</v>
      </c>
    </row>
    <row r="308" ht="18.75" hidden="1" spans="1:10">
      <c r="A308" s="330">
        <v>2330416</v>
      </c>
      <c r="B308" s="379" t="s">
        <v>1556</v>
      </c>
      <c r="C308" s="328">
        <v>0</v>
      </c>
      <c r="D308" s="328"/>
      <c r="E308" s="328"/>
      <c r="F308" s="400">
        <v>0</v>
      </c>
      <c r="G308" s="404" t="str">
        <f t="shared" si="17"/>
        <v/>
      </c>
      <c r="H308" s="404" t="str">
        <f t="shared" si="18"/>
        <v/>
      </c>
      <c r="I308" s="349" t="str">
        <f t="shared" si="19"/>
        <v>否</v>
      </c>
      <c r="J308" s="313" t="str">
        <f t="shared" si="16"/>
        <v>项</v>
      </c>
    </row>
    <row r="309" ht="37.5" hidden="1" spans="1:10">
      <c r="A309" s="330">
        <v>2330417</v>
      </c>
      <c r="B309" s="379" t="s">
        <v>1557</v>
      </c>
      <c r="C309" s="328">
        <v>0</v>
      </c>
      <c r="D309" s="328"/>
      <c r="E309" s="328"/>
      <c r="F309" s="400">
        <v>0</v>
      </c>
      <c r="G309" s="404" t="str">
        <f t="shared" si="17"/>
        <v/>
      </c>
      <c r="H309" s="404" t="str">
        <f t="shared" si="18"/>
        <v/>
      </c>
      <c r="I309" s="349" t="str">
        <f t="shared" si="19"/>
        <v>否</v>
      </c>
      <c r="J309" s="313" t="str">
        <f t="shared" si="16"/>
        <v>项</v>
      </c>
    </row>
    <row r="310" ht="37.5" hidden="1" spans="1:10">
      <c r="A310" s="330">
        <v>2330418</v>
      </c>
      <c r="B310" s="379" t="s">
        <v>1558</v>
      </c>
      <c r="C310" s="328">
        <v>0</v>
      </c>
      <c r="D310" s="328"/>
      <c r="E310" s="328"/>
      <c r="F310" s="400">
        <v>0</v>
      </c>
      <c r="G310" s="404" t="str">
        <f t="shared" si="17"/>
        <v/>
      </c>
      <c r="H310" s="404" t="str">
        <f t="shared" si="18"/>
        <v/>
      </c>
      <c r="I310" s="349" t="str">
        <f t="shared" si="19"/>
        <v>否</v>
      </c>
      <c r="J310" s="313" t="str">
        <f t="shared" si="16"/>
        <v>项</v>
      </c>
    </row>
    <row r="311" ht="18.75" hidden="1" spans="1:10">
      <c r="A311" s="330">
        <v>2330419</v>
      </c>
      <c r="B311" s="379" t="s">
        <v>1559</v>
      </c>
      <c r="C311" s="328">
        <v>0</v>
      </c>
      <c r="D311" s="328"/>
      <c r="E311" s="328"/>
      <c r="F311" s="400">
        <v>0</v>
      </c>
      <c r="G311" s="404" t="str">
        <f t="shared" si="17"/>
        <v/>
      </c>
      <c r="H311" s="404" t="str">
        <f t="shared" si="18"/>
        <v/>
      </c>
      <c r="I311" s="349" t="str">
        <f t="shared" si="19"/>
        <v>否</v>
      </c>
      <c r="J311" s="313" t="str">
        <f t="shared" si="16"/>
        <v>项</v>
      </c>
    </row>
    <row r="312" ht="18.75" hidden="1" spans="1:10">
      <c r="A312" s="330">
        <v>2330420</v>
      </c>
      <c r="B312" s="379" t="s">
        <v>1560</v>
      </c>
      <c r="C312" s="328">
        <v>0</v>
      </c>
      <c r="D312" s="328"/>
      <c r="E312" s="328"/>
      <c r="F312" s="400">
        <v>0</v>
      </c>
      <c r="G312" s="404" t="str">
        <f t="shared" si="17"/>
        <v/>
      </c>
      <c r="H312" s="404" t="str">
        <f t="shared" si="18"/>
        <v/>
      </c>
      <c r="I312" s="349" t="str">
        <f t="shared" si="19"/>
        <v>否</v>
      </c>
      <c r="J312" s="313" t="str">
        <f t="shared" si="16"/>
        <v>项</v>
      </c>
    </row>
    <row r="313" ht="18.75" hidden="1" spans="1:10">
      <c r="A313" s="330">
        <v>2330431</v>
      </c>
      <c r="B313" s="379" t="s">
        <v>1561</v>
      </c>
      <c r="C313" s="328">
        <v>56</v>
      </c>
      <c r="D313" s="328">
        <v>28</v>
      </c>
      <c r="E313" s="328">
        <v>28</v>
      </c>
      <c r="F313" s="400">
        <v>18</v>
      </c>
      <c r="G313" s="404">
        <f t="shared" si="17"/>
        <v>-0.678571428571429</v>
      </c>
      <c r="H313" s="404">
        <f t="shared" si="18"/>
        <v>0.642857142857143</v>
      </c>
      <c r="I313" s="349" t="str">
        <f t="shared" si="19"/>
        <v>是</v>
      </c>
      <c r="J313" s="313" t="str">
        <f t="shared" si="16"/>
        <v>项</v>
      </c>
    </row>
    <row r="314" ht="18.75" hidden="1" spans="1:10">
      <c r="A314" s="330">
        <v>2330432</v>
      </c>
      <c r="B314" s="379" t="s">
        <v>1562</v>
      </c>
      <c r="C314" s="328">
        <v>0</v>
      </c>
      <c r="D314" s="328"/>
      <c r="E314" s="328"/>
      <c r="F314" s="400">
        <v>0</v>
      </c>
      <c r="G314" s="404" t="str">
        <f t="shared" si="17"/>
        <v/>
      </c>
      <c r="H314" s="404" t="str">
        <f t="shared" si="18"/>
        <v/>
      </c>
      <c r="I314" s="349" t="str">
        <f t="shared" si="19"/>
        <v>否</v>
      </c>
      <c r="J314" s="313" t="str">
        <f t="shared" si="16"/>
        <v>项</v>
      </c>
    </row>
    <row r="315" s="312" customFormat="1" ht="18.75" hidden="1" spans="1:10">
      <c r="A315" s="330">
        <v>2330433</v>
      </c>
      <c r="B315" s="379" t="s">
        <v>1563</v>
      </c>
      <c r="C315" s="328">
        <v>35</v>
      </c>
      <c r="D315" s="328">
        <v>31</v>
      </c>
      <c r="E315" s="328">
        <v>31</v>
      </c>
      <c r="F315" s="400">
        <v>0</v>
      </c>
      <c r="G315" s="404">
        <f t="shared" si="17"/>
        <v>-1</v>
      </c>
      <c r="H315" s="404">
        <f t="shared" si="18"/>
        <v>0</v>
      </c>
      <c r="I315" s="349" t="str">
        <f t="shared" si="19"/>
        <v>是</v>
      </c>
      <c r="J315" s="313" t="str">
        <f t="shared" si="16"/>
        <v>项</v>
      </c>
    </row>
    <row r="316" ht="37.5" hidden="1" spans="1:10">
      <c r="A316" s="330">
        <v>2330498</v>
      </c>
      <c r="B316" s="379" t="s">
        <v>1564</v>
      </c>
      <c r="C316" s="328">
        <v>104</v>
      </c>
      <c r="D316" s="328">
        <v>90</v>
      </c>
      <c r="E316" s="328">
        <v>90</v>
      </c>
      <c r="F316" s="400">
        <v>236</v>
      </c>
      <c r="G316" s="404">
        <f t="shared" si="17"/>
        <v>1.26923076923077</v>
      </c>
      <c r="H316" s="404">
        <f t="shared" si="18"/>
        <v>2.62222222222222</v>
      </c>
      <c r="I316" s="349" t="str">
        <f t="shared" si="19"/>
        <v>是</v>
      </c>
      <c r="J316" s="313" t="str">
        <f t="shared" si="16"/>
        <v>项</v>
      </c>
    </row>
    <row r="317" ht="18.75" hidden="1" spans="1:10">
      <c r="A317" s="330">
        <v>2330499</v>
      </c>
      <c r="B317" s="379" t="s">
        <v>1565</v>
      </c>
      <c r="C317" s="328">
        <v>235</v>
      </c>
      <c r="D317" s="328">
        <v>20</v>
      </c>
      <c r="E317" s="328">
        <v>20</v>
      </c>
      <c r="F317" s="400">
        <v>236</v>
      </c>
      <c r="G317" s="404">
        <f t="shared" si="17"/>
        <v>0.00425531914893617</v>
      </c>
      <c r="H317" s="404">
        <f t="shared" si="18"/>
        <v>11.8</v>
      </c>
      <c r="I317" s="349" t="str">
        <f t="shared" si="19"/>
        <v>是</v>
      </c>
      <c r="J317" s="313" t="str">
        <f t="shared" si="16"/>
        <v>项</v>
      </c>
    </row>
    <row r="318" ht="18.75" spans="1:10">
      <c r="A318" s="355">
        <v>234</v>
      </c>
      <c r="B318" s="377" t="s">
        <v>1566</v>
      </c>
      <c r="C318" s="325">
        <v>0</v>
      </c>
      <c r="D318" s="403"/>
      <c r="E318" s="403"/>
      <c r="F318" s="399">
        <v>0</v>
      </c>
      <c r="G318" s="403" t="str">
        <f t="shared" si="17"/>
        <v/>
      </c>
      <c r="H318" s="403" t="str">
        <f t="shared" si="18"/>
        <v/>
      </c>
      <c r="I318" s="349" t="str">
        <f t="shared" si="19"/>
        <v>是</v>
      </c>
      <c r="J318" s="313" t="str">
        <f t="shared" si="16"/>
        <v>类</v>
      </c>
    </row>
    <row r="319" ht="18.75" hidden="1" spans="1:10">
      <c r="A319" s="356">
        <v>23401</v>
      </c>
      <c r="B319" s="379" t="s">
        <v>1567</v>
      </c>
      <c r="C319" s="328">
        <v>0</v>
      </c>
      <c r="D319" s="404"/>
      <c r="E319" s="404"/>
      <c r="F319" s="399">
        <v>0</v>
      </c>
      <c r="G319" s="403" t="str">
        <f t="shared" si="17"/>
        <v/>
      </c>
      <c r="H319" s="403" t="str">
        <f t="shared" si="18"/>
        <v/>
      </c>
      <c r="I319" s="349" t="str">
        <f t="shared" si="19"/>
        <v>否</v>
      </c>
      <c r="J319" s="313" t="str">
        <f t="shared" si="16"/>
        <v>款</v>
      </c>
    </row>
    <row r="320" ht="18.75" hidden="1" spans="1:10">
      <c r="A320" s="356">
        <v>2340101</v>
      </c>
      <c r="B320" s="379" t="s">
        <v>1568</v>
      </c>
      <c r="C320" s="328">
        <v>0</v>
      </c>
      <c r="D320" s="404"/>
      <c r="E320" s="404"/>
      <c r="F320" s="400">
        <v>0</v>
      </c>
      <c r="G320" s="404" t="str">
        <f t="shared" si="17"/>
        <v/>
      </c>
      <c r="H320" s="404" t="str">
        <f t="shared" si="18"/>
        <v/>
      </c>
      <c r="I320" s="349" t="str">
        <f t="shared" si="19"/>
        <v>否</v>
      </c>
      <c r="J320" s="313" t="str">
        <f t="shared" si="16"/>
        <v>项</v>
      </c>
    </row>
    <row r="321" ht="18.75" hidden="1" spans="1:10">
      <c r="A321" s="356">
        <v>2340102</v>
      </c>
      <c r="B321" s="379" t="s">
        <v>1569</v>
      </c>
      <c r="C321" s="328">
        <v>0</v>
      </c>
      <c r="D321" s="404"/>
      <c r="E321" s="404"/>
      <c r="F321" s="400">
        <v>0</v>
      </c>
      <c r="G321" s="404" t="str">
        <f t="shared" si="17"/>
        <v/>
      </c>
      <c r="H321" s="404" t="str">
        <f t="shared" si="18"/>
        <v/>
      </c>
      <c r="I321" s="349" t="str">
        <f t="shared" si="19"/>
        <v>否</v>
      </c>
      <c r="J321" s="313" t="str">
        <f t="shared" si="16"/>
        <v>项</v>
      </c>
    </row>
    <row r="322" ht="18.75" hidden="1" spans="1:10">
      <c r="A322" s="356">
        <v>2340103</v>
      </c>
      <c r="B322" s="379" t="s">
        <v>1570</v>
      </c>
      <c r="C322" s="328">
        <v>0</v>
      </c>
      <c r="D322" s="404"/>
      <c r="E322" s="404"/>
      <c r="F322" s="400">
        <v>0</v>
      </c>
      <c r="G322" s="404" t="str">
        <f t="shared" si="17"/>
        <v/>
      </c>
      <c r="H322" s="404" t="str">
        <f t="shared" si="18"/>
        <v/>
      </c>
      <c r="I322" s="349" t="str">
        <f t="shared" si="19"/>
        <v>否</v>
      </c>
      <c r="J322" s="313" t="str">
        <f t="shared" si="16"/>
        <v>项</v>
      </c>
    </row>
    <row r="323" ht="18.75" hidden="1" spans="1:10">
      <c r="A323" s="356">
        <v>2340104</v>
      </c>
      <c r="B323" s="379" t="s">
        <v>1571</v>
      </c>
      <c r="C323" s="328">
        <v>0</v>
      </c>
      <c r="D323" s="404"/>
      <c r="E323" s="404"/>
      <c r="F323" s="400">
        <v>0</v>
      </c>
      <c r="G323" s="404" t="str">
        <f t="shared" si="17"/>
        <v/>
      </c>
      <c r="H323" s="404" t="str">
        <f t="shared" si="18"/>
        <v/>
      </c>
      <c r="I323" s="349" t="str">
        <f t="shared" si="19"/>
        <v>否</v>
      </c>
      <c r="J323" s="313" t="str">
        <f t="shared" si="16"/>
        <v>项</v>
      </c>
    </row>
    <row r="324" ht="18.75" hidden="1" spans="1:10">
      <c r="A324" s="356">
        <v>2340105</v>
      </c>
      <c r="B324" s="379" t="s">
        <v>1572</v>
      </c>
      <c r="C324" s="328">
        <v>0</v>
      </c>
      <c r="D324" s="404"/>
      <c r="E324" s="404"/>
      <c r="F324" s="400">
        <v>0</v>
      </c>
      <c r="G324" s="404" t="str">
        <f t="shared" si="17"/>
        <v/>
      </c>
      <c r="H324" s="404" t="str">
        <f t="shared" si="18"/>
        <v/>
      </c>
      <c r="I324" s="349" t="str">
        <f t="shared" si="19"/>
        <v>否</v>
      </c>
      <c r="J324" s="313" t="str">
        <f t="shared" si="16"/>
        <v>项</v>
      </c>
    </row>
    <row r="325" ht="18.75" hidden="1" spans="1:10">
      <c r="A325" s="356">
        <v>2340106</v>
      </c>
      <c r="B325" s="379" t="s">
        <v>1573</v>
      </c>
      <c r="C325" s="328">
        <v>0</v>
      </c>
      <c r="D325" s="404"/>
      <c r="E325" s="404"/>
      <c r="F325" s="400">
        <v>0</v>
      </c>
      <c r="G325" s="404" t="str">
        <f t="shared" si="17"/>
        <v/>
      </c>
      <c r="H325" s="404" t="str">
        <f t="shared" si="18"/>
        <v/>
      </c>
      <c r="I325" s="349" t="str">
        <f t="shared" si="19"/>
        <v>否</v>
      </c>
      <c r="J325" s="313" t="str">
        <f t="shared" si="16"/>
        <v>项</v>
      </c>
    </row>
    <row r="326" ht="18.75" hidden="1" spans="1:10">
      <c r="A326" s="356">
        <v>2340107</v>
      </c>
      <c r="B326" s="379" t="s">
        <v>1574</v>
      </c>
      <c r="C326" s="328">
        <v>0</v>
      </c>
      <c r="D326" s="404"/>
      <c r="E326" s="404"/>
      <c r="F326" s="400">
        <v>0</v>
      </c>
      <c r="G326" s="404" t="str">
        <f t="shared" si="17"/>
        <v/>
      </c>
      <c r="H326" s="404" t="str">
        <f t="shared" si="18"/>
        <v/>
      </c>
      <c r="I326" s="349" t="str">
        <f t="shared" si="19"/>
        <v>否</v>
      </c>
      <c r="J326" s="313" t="str">
        <f t="shared" ref="J326:J338" si="20">IF(LEN(A326)=3,"类",IF(LEN(A326)=5,"款","项"))</f>
        <v>项</v>
      </c>
    </row>
    <row r="327" ht="18.75" hidden="1" spans="1:10">
      <c r="A327" s="356">
        <v>2340108</v>
      </c>
      <c r="B327" s="379" t="s">
        <v>1575</v>
      </c>
      <c r="C327" s="328">
        <v>0</v>
      </c>
      <c r="D327" s="404"/>
      <c r="E327" s="404"/>
      <c r="F327" s="400">
        <v>0</v>
      </c>
      <c r="G327" s="404" t="str">
        <f t="shared" ref="G327:G346" si="21">IFERROR((F327-C327)/C327,"")</f>
        <v/>
      </c>
      <c r="H327" s="404" t="str">
        <f t="shared" ref="H327:H346" si="22">IFERROR(F327/D327,"")</f>
        <v/>
      </c>
      <c r="I327" s="349" t="str">
        <f t="shared" ref="I327:I346" si="23">IF(LEN(A327)=3,"是",IF(B327&lt;&gt;"",IF(SUM(C327:F327)&lt;&gt;0,"是","否"),"是"))</f>
        <v>否</v>
      </c>
      <c r="J327" s="313" t="str">
        <f t="shared" si="20"/>
        <v>项</v>
      </c>
    </row>
    <row r="328" ht="18.75" hidden="1" spans="1:10">
      <c r="A328" s="356">
        <v>2340109</v>
      </c>
      <c r="B328" s="379" t="s">
        <v>1576</v>
      </c>
      <c r="C328" s="328">
        <v>0</v>
      </c>
      <c r="D328" s="404"/>
      <c r="E328" s="404"/>
      <c r="F328" s="400">
        <v>0</v>
      </c>
      <c r="G328" s="404" t="str">
        <f t="shared" si="21"/>
        <v/>
      </c>
      <c r="H328" s="404" t="str">
        <f t="shared" si="22"/>
        <v/>
      </c>
      <c r="I328" s="349" t="str">
        <f t="shared" si="23"/>
        <v>否</v>
      </c>
      <c r="J328" s="313" t="str">
        <f t="shared" si="20"/>
        <v>项</v>
      </c>
    </row>
    <row r="329" ht="18.75" hidden="1" spans="1:10">
      <c r="A329" s="356">
        <v>2340110</v>
      </c>
      <c r="B329" s="379" t="s">
        <v>1577</v>
      </c>
      <c r="C329" s="328">
        <v>0</v>
      </c>
      <c r="D329" s="404"/>
      <c r="E329" s="404"/>
      <c r="F329" s="400">
        <v>0</v>
      </c>
      <c r="G329" s="404" t="str">
        <f t="shared" si="21"/>
        <v/>
      </c>
      <c r="H329" s="404" t="str">
        <f t="shared" si="22"/>
        <v/>
      </c>
      <c r="I329" s="349" t="str">
        <f t="shared" si="23"/>
        <v>否</v>
      </c>
      <c r="J329" s="313" t="str">
        <f t="shared" si="20"/>
        <v>项</v>
      </c>
    </row>
    <row r="330" ht="18.75" hidden="1" spans="1:10">
      <c r="A330" s="356">
        <v>2340111</v>
      </c>
      <c r="B330" s="379" t="s">
        <v>1578</v>
      </c>
      <c r="C330" s="328">
        <v>0</v>
      </c>
      <c r="D330" s="404"/>
      <c r="E330" s="404"/>
      <c r="F330" s="400">
        <v>0</v>
      </c>
      <c r="G330" s="404" t="str">
        <f t="shared" si="21"/>
        <v/>
      </c>
      <c r="H330" s="404" t="str">
        <f t="shared" si="22"/>
        <v/>
      </c>
      <c r="I330" s="349" t="str">
        <f t="shared" si="23"/>
        <v>否</v>
      </c>
      <c r="J330" s="313" t="str">
        <f t="shared" si="20"/>
        <v>项</v>
      </c>
    </row>
    <row r="331" ht="18.75" hidden="1" spans="1:10">
      <c r="A331" s="356">
        <v>2340199</v>
      </c>
      <c r="B331" s="379" t="s">
        <v>1579</v>
      </c>
      <c r="C331" s="328">
        <v>0</v>
      </c>
      <c r="D331" s="404"/>
      <c r="E331" s="404"/>
      <c r="F331" s="400">
        <v>0</v>
      </c>
      <c r="G331" s="404" t="str">
        <f t="shared" si="21"/>
        <v/>
      </c>
      <c r="H331" s="404" t="str">
        <f t="shared" si="22"/>
        <v/>
      </c>
      <c r="I331" s="349" t="str">
        <f t="shared" si="23"/>
        <v>否</v>
      </c>
      <c r="J331" s="313" t="str">
        <f t="shared" si="20"/>
        <v>项</v>
      </c>
    </row>
    <row r="332" ht="18.75" hidden="1" spans="1:10">
      <c r="A332" s="356">
        <v>23402</v>
      </c>
      <c r="B332" s="379" t="s">
        <v>1580</v>
      </c>
      <c r="C332" s="328">
        <v>0</v>
      </c>
      <c r="D332" s="404"/>
      <c r="E332" s="404"/>
      <c r="F332" s="399">
        <v>0</v>
      </c>
      <c r="G332" s="403" t="str">
        <f t="shared" si="21"/>
        <v/>
      </c>
      <c r="H332" s="403" t="str">
        <f t="shared" si="22"/>
        <v/>
      </c>
      <c r="I332" s="349" t="str">
        <f t="shared" si="23"/>
        <v>否</v>
      </c>
      <c r="J332" s="313" t="str">
        <f t="shared" si="20"/>
        <v>款</v>
      </c>
    </row>
    <row r="333" ht="18.75" hidden="1" spans="1:10">
      <c r="A333" s="356">
        <v>2340201</v>
      </c>
      <c r="B333" s="379" t="s">
        <v>1581</v>
      </c>
      <c r="C333" s="328">
        <v>0</v>
      </c>
      <c r="D333" s="404"/>
      <c r="E333" s="404"/>
      <c r="F333" s="400">
        <v>0</v>
      </c>
      <c r="G333" s="404" t="str">
        <f t="shared" si="21"/>
        <v/>
      </c>
      <c r="H333" s="404" t="str">
        <f t="shared" si="22"/>
        <v/>
      </c>
      <c r="I333" s="349" t="str">
        <f t="shared" si="23"/>
        <v>否</v>
      </c>
      <c r="J333" s="313" t="str">
        <f t="shared" si="20"/>
        <v>项</v>
      </c>
    </row>
    <row r="334" ht="18.75" hidden="1" spans="1:10">
      <c r="A334" s="356">
        <v>2340202</v>
      </c>
      <c r="B334" s="379" t="s">
        <v>1582</v>
      </c>
      <c r="C334" s="328">
        <v>0</v>
      </c>
      <c r="D334" s="404"/>
      <c r="E334" s="404"/>
      <c r="F334" s="400">
        <v>0</v>
      </c>
      <c r="G334" s="404" t="str">
        <f t="shared" si="21"/>
        <v/>
      </c>
      <c r="H334" s="404" t="str">
        <f t="shared" si="22"/>
        <v/>
      </c>
      <c r="I334" s="349" t="str">
        <f t="shared" si="23"/>
        <v>否</v>
      </c>
      <c r="J334" s="313" t="str">
        <f t="shared" si="20"/>
        <v>项</v>
      </c>
    </row>
    <row r="335" ht="18.75" hidden="1" spans="1:10">
      <c r="A335" s="356">
        <v>2340203</v>
      </c>
      <c r="B335" s="379" t="s">
        <v>1583</v>
      </c>
      <c r="C335" s="328">
        <v>0</v>
      </c>
      <c r="D335" s="404"/>
      <c r="E335" s="404"/>
      <c r="F335" s="400">
        <v>0</v>
      </c>
      <c r="G335" s="404" t="str">
        <f t="shared" si="21"/>
        <v/>
      </c>
      <c r="H335" s="404" t="str">
        <f t="shared" si="22"/>
        <v/>
      </c>
      <c r="I335" s="349" t="str">
        <f t="shared" si="23"/>
        <v>否</v>
      </c>
      <c r="J335" s="313" t="str">
        <f t="shared" si="20"/>
        <v>项</v>
      </c>
    </row>
    <row r="336" ht="18.75" hidden="1" spans="1:10">
      <c r="A336" s="356">
        <v>2340204</v>
      </c>
      <c r="B336" s="379" t="s">
        <v>1584</v>
      </c>
      <c r="C336" s="328">
        <v>0</v>
      </c>
      <c r="D336" s="404"/>
      <c r="E336" s="404"/>
      <c r="F336" s="400">
        <v>0</v>
      </c>
      <c r="G336" s="404" t="str">
        <f t="shared" si="21"/>
        <v/>
      </c>
      <c r="H336" s="404" t="str">
        <f t="shared" si="22"/>
        <v/>
      </c>
      <c r="I336" s="349" t="str">
        <f t="shared" si="23"/>
        <v>否</v>
      </c>
      <c r="J336" s="313" t="str">
        <f t="shared" si="20"/>
        <v>项</v>
      </c>
    </row>
    <row r="337" ht="18.75" hidden="1" spans="1:10">
      <c r="A337" s="356">
        <v>2340205</v>
      </c>
      <c r="B337" s="379" t="s">
        <v>1585</v>
      </c>
      <c r="C337" s="328">
        <v>0</v>
      </c>
      <c r="D337" s="404"/>
      <c r="E337" s="404"/>
      <c r="F337" s="400">
        <v>0</v>
      </c>
      <c r="G337" s="404" t="str">
        <f t="shared" si="21"/>
        <v/>
      </c>
      <c r="H337" s="404" t="str">
        <f t="shared" si="22"/>
        <v/>
      </c>
      <c r="I337" s="349" t="str">
        <f t="shared" si="23"/>
        <v>否</v>
      </c>
      <c r="J337" s="313" t="str">
        <f t="shared" si="20"/>
        <v>项</v>
      </c>
    </row>
    <row r="338" ht="18.75" hidden="1" spans="1:10">
      <c r="A338" s="356">
        <v>2340299</v>
      </c>
      <c r="B338" s="379" t="s">
        <v>1586</v>
      </c>
      <c r="C338" s="328">
        <v>0</v>
      </c>
      <c r="D338" s="404"/>
      <c r="E338" s="404"/>
      <c r="F338" s="400">
        <v>0</v>
      </c>
      <c r="G338" s="404" t="str">
        <f t="shared" si="21"/>
        <v/>
      </c>
      <c r="H338" s="404" t="str">
        <f t="shared" si="22"/>
        <v/>
      </c>
      <c r="I338" s="349" t="str">
        <f t="shared" si="23"/>
        <v>否</v>
      </c>
      <c r="J338" s="313" t="str">
        <f t="shared" si="20"/>
        <v>项</v>
      </c>
    </row>
    <row r="339" ht="18.75" spans="1:9">
      <c r="A339" s="411"/>
      <c r="B339" s="377"/>
      <c r="C339" s="328"/>
      <c r="D339" s="403"/>
      <c r="E339" s="403"/>
      <c r="F339" s="400"/>
      <c r="G339" s="403" t="str">
        <f t="shared" si="21"/>
        <v/>
      </c>
      <c r="H339" s="403" t="str">
        <f t="shared" si="22"/>
        <v/>
      </c>
      <c r="I339" s="349" t="str">
        <f t="shared" si="23"/>
        <v>是</v>
      </c>
    </row>
    <row r="340" ht="18.75" spans="1:9">
      <c r="A340" s="357"/>
      <c r="B340" s="383" t="s">
        <v>1587</v>
      </c>
      <c r="C340" s="325">
        <f>C5+C12+C20+C43+C48+C55+C71+C132+C171+C221+C252+C284+C301+C318+C230+C235+C239+C243+C247</f>
        <v>285906</v>
      </c>
      <c r="D340" s="325">
        <f>D5+D12+D20+D43+D48+D55+D71+D132+D171+D221+D252+D284+D301+D318+D230+D235+D239+D243+D247</f>
        <v>269996</v>
      </c>
      <c r="E340" s="325">
        <f>E5+E12+E20+E43+E48+E55+E71+E132+E171+E221+E252+E284+E301+E318+E230+E235+E239+E243+E247</f>
        <v>269996</v>
      </c>
      <c r="F340" s="325">
        <f>F5+F12+F20+F43+F48+F55+F71+F132+F171+F221+F252+F284+F301+F318+F230+F235+F239+F243+F247</f>
        <v>340531</v>
      </c>
      <c r="G340" s="403">
        <f t="shared" si="21"/>
        <v>0.19105929921023</v>
      </c>
      <c r="H340" s="403">
        <f t="shared" si="22"/>
        <v>1.26124461103127</v>
      </c>
      <c r="I340" s="349" t="str">
        <f t="shared" si="23"/>
        <v>是</v>
      </c>
    </row>
    <row r="341" ht="18.75" spans="1:9">
      <c r="A341" s="412" t="s">
        <v>1588</v>
      </c>
      <c r="B341" s="361" t="s">
        <v>201</v>
      </c>
      <c r="C341" s="325">
        <f>SUM(C342:C344)</f>
        <v>112447</v>
      </c>
      <c r="D341" s="325">
        <f>SUM(D342:D344)</f>
        <v>84790</v>
      </c>
      <c r="E341" s="325">
        <f>SUM(E342:E344)</f>
        <v>84790</v>
      </c>
      <c r="F341" s="325">
        <f>SUM(F342:F344)</f>
        <v>70165</v>
      </c>
      <c r="G341" s="403">
        <f t="shared" si="21"/>
        <v>-0.376017145855381</v>
      </c>
      <c r="H341" s="403">
        <f t="shared" si="22"/>
        <v>0.827515037150607</v>
      </c>
      <c r="I341" s="349" t="str">
        <f t="shared" si="23"/>
        <v>是</v>
      </c>
    </row>
    <row r="342" ht="18.75" spans="1:10">
      <c r="A342" s="364" t="s">
        <v>1589</v>
      </c>
      <c r="B342" s="413" t="s">
        <v>1230</v>
      </c>
      <c r="C342" s="328">
        <v>1669</v>
      </c>
      <c r="D342" s="328">
        <v>3781</v>
      </c>
      <c r="E342" s="328">
        <v>3781</v>
      </c>
      <c r="F342" s="328">
        <v>1495</v>
      </c>
      <c r="G342" s="404">
        <f t="shared" si="21"/>
        <v>-0.104254044337927</v>
      </c>
      <c r="H342" s="404">
        <f t="shared" si="22"/>
        <v>0.395398042845808</v>
      </c>
      <c r="I342" s="349" t="str">
        <f t="shared" si="23"/>
        <v>是</v>
      </c>
      <c r="J342" s="312"/>
    </row>
    <row r="343" ht="18.75" spans="1:9">
      <c r="A343" s="414" t="s">
        <v>1590</v>
      </c>
      <c r="B343" s="361" t="s">
        <v>1231</v>
      </c>
      <c r="C343" s="328">
        <v>36789</v>
      </c>
      <c r="D343" s="328">
        <v>43286</v>
      </c>
      <c r="E343" s="328">
        <v>43286</v>
      </c>
      <c r="F343" s="328">
        <v>17312</v>
      </c>
      <c r="G343" s="404">
        <f t="shared" si="21"/>
        <v>-0.529424556253228</v>
      </c>
      <c r="H343" s="404">
        <f t="shared" si="22"/>
        <v>0.39994455482142</v>
      </c>
      <c r="I343" s="349" t="str">
        <f t="shared" si="23"/>
        <v>是</v>
      </c>
    </row>
    <row r="344" ht="18.75" spans="1:9">
      <c r="A344" s="414" t="s">
        <v>1591</v>
      </c>
      <c r="B344" s="361" t="s">
        <v>1592</v>
      </c>
      <c r="C344" s="328">
        <v>73989</v>
      </c>
      <c r="D344" s="328">
        <v>37723</v>
      </c>
      <c r="E344" s="328">
        <v>37723</v>
      </c>
      <c r="F344" s="328">
        <v>51358</v>
      </c>
      <c r="G344" s="404">
        <f t="shared" si="21"/>
        <v>-0.305869791455487</v>
      </c>
      <c r="H344" s="404">
        <f t="shared" si="22"/>
        <v>1.36145057392042</v>
      </c>
      <c r="I344" s="349" t="str">
        <f t="shared" si="23"/>
        <v>是</v>
      </c>
    </row>
    <row r="345" ht="18.75" spans="1:9">
      <c r="A345" s="414" t="s">
        <v>1593</v>
      </c>
      <c r="B345" s="366" t="s">
        <v>1594</v>
      </c>
      <c r="C345" s="328">
        <v>288400</v>
      </c>
      <c r="D345" s="328">
        <v>260400</v>
      </c>
      <c r="E345" s="328">
        <v>260400</v>
      </c>
      <c r="F345" s="328">
        <v>361400</v>
      </c>
      <c r="G345" s="404">
        <f t="shared" si="21"/>
        <v>0.253120665742025</v>
      </c>
      <c r="H345" s="404">
        <f t="shared" si="22"/>
        <v>1.38786482334869</v>
      </c>
      <c r="I345" s="349" t="str">
        <f t="shared" si="23"/>
        <v>是</v>
      </c>
    </row>
    <row r="346" ht="18.75" spans="1:9">
      <c r="A346" s="415"/>
      <c r="B346" s="368" t="s">
        <v>209</v>
      </c>
      <c r="C346" s="416">
        <f>SUM(C340:C341,C345)</f>
        <v>686753</v>
      </c>
      <c r="D346" s="416">
        <f>SUM(D340:D341,D345)</f>
        <v>615186</v>
      </c>
      <c r="E346" s="416">
        <f>SUM(E340:E341,E345)</f>
        <v>615186</v>
      </c>
      <c r="F346" s="416">
        <f>SUM(F340:F341,F345)</f>
        <v>772096</v>
      </c>
      <c r="G346" s="403">
        <f t="shared" si="21"/>
        <v>0.124270298054759</v>
      </c>
      <c r="H346" s="403">
        <f t="shared" si="22"/>
        <v>1.25506107096065</v>
      </c>
      <c r="I346" s="349" t="str">
        <f t="shared" si="23"/>
        <v>是</v>
      </c>
    </row>
  </sheetData>
  <autoFilter ref="A4:J346">
    <filterColumn colId="8">
      <customFilters>
        <customFilter operator="equal" val="是"/>
      </customFilters>
    </filterColumn>
    <filterColumn colId="9">
      <filters blank="1">
        <filter val="类"/>
        <filter val="款"/>
      </filters>
    </filterColumn>
    <extLst/>
  </autoFilter>
  <mergeCells count="6">
    <mergeCell ref="B1:H1"/>
    <mergeCell ref="D3:F3"/>
    <mergeCell ref="G3:H3"/>
    <mergeCell ref="A3:A4"/>
    <mergeCell ref="B3:B4"/>
    <mergeCell ref="C3:C4"/>
  </mergeCells>
  <conditionalFormatting sqref="B345">
    <cfRule type="expression" dxfId="0" priority="1" stopIfTrue="1">
      <formula>"len($A:$A)=3"</formula>
    </cfRule>
  </conditionalFormatting>
  <printOptions horizontalCentered="1"/>
  <pageMargins left="0.472222222222222" right="0.393055555555556" top="0.747916666666667" bottom="0.747916666666667" header="0.314583333333333" footer="0.314583333333333"/>
  <pageSetup paperSize="9" scale="66" fitToHeight="0" orientation="portrait" horizontalDpi="600"/>
  <headerFooter alignWithMargins="0">
    <oddFooter>&amp;C&amp;16- &amp;P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2">
    <tabColor rgb="FFFFFF00"/>
    <pageSetUpPr fitToPage="1"/>
  </sheetPr>
  <dimension ref="A1:I36"/>
  <sheetViews>
    <sheetView showGridLines="0" showZeros="0" view="pageBreakPreview" zoomScale="70" zoomScaleNormal="115" workbookViewId="0">
      <pane ySplit="4" topLeftCell="A10" activePane="bottomLeft" state="frozen"/>
      <selection/>
      <selection pane="bottomLeft" activeCell="O26" sqref="O26"/>
    </sheetView>
  </sheetViews>
  <sheetFormatPr defaultColWidth="9" defaultRowHeight="14.25"/>
  <cols>
    <col min="1" max="1" width="15" style="372" hidden="1" customWidth="1"/>
    <col min="2" max="2" width="50.75" style="372" customWidth="1"/>
    <col min="3" max="3" width="15.525" style="372" customWidth="1"/>
    <col min="4" max="6" width="18.5666666666667" style="372" customWidth="1"/>
    <col min="7" max="7" width="14.1" style="372" customWidth="1"/>
    <col min="8" max="8" width="13.925" style="373" customWidth="1"/>
    <col min="9" max="9" width="3.75" style="372" customWidth="1"/>
    <col min="10" max="16384" width="9" style="372"/>
  </cols>
  <sheetData>
    <row r="1" ht="45" customHeight="1" spans="1:9">
      <c r="A1" s="374"/>
      <c r="B1" s="375" t="s">
        <v>22</v>
      </c>
      <c r="C1" s="375"/>
      <c r="D1" s="375"/>
      <c r="E1" s="375"/>
      <c r="F1" s="375"/>
      <c r="G1" s="375"/>
      <c r="H1" s="375"/>
      <c r="I1" s="374"/>
    </row>
    <row r="2" s="370" customFormat="1" ht="20.1" customHeight="1" spans="1:9">
      <c r="A2" s="376"/>
      <c r="B2" s="95" t="s">
        <v>21</v>
      </c>
      <c r="C2" s="95"/>
      <c r="D2" s="95"/>
      <c r="E2" s="95"/>
      <c r="F2" s="95"/>
      <c r="G2" s="95"/>
      <c r="H2" s="394" t="s">
        <v>103</v>
      </c>
      <c r="I2" s="376"/>
    </row>
    <row r="3" s="371" customFormat="1" ht="18.75" spans="1:8">
      <c r="A3" s="319" t="s">
        <v>104</v>
      </c>
      <c r="B3" s="320" t="s">
        <v>105</v>
      </c>
      <c r="C3" s="321" t="s">
        <v>106</v>
      </c>
      <c r="D3" s="321" t="s">
        <v>107</v>
      </c>
      <c r="E3" s="321"/>
      <c r="F3" s="321"/>
      <c r="G3" s="521" t="s">
        <v>108</v>
      </c>
      <c r="H3" s="521"/>
    </row>
    <row r="4" s="371" customFormat="1" ht="41" customHeight="1" spans="1:9">
      <c r="A4" s="322"/>
      <c r="B4" s="320"/>
      <c r="C4" s="321"/>
      <c r="D4" s="321" t="s">
        <v>109</v>
      </c>
      <c r="E4" s="321" t="s">
        <v>1196</v>
      </c>
      <c r="F4" s="321" t="s">
        <v>110</v>
      </c>
      <c r="G4" s="321" t="s">
        <v>111</v>
      </c>
      <c r="H4" s="321" t="s">
        <v>112</v>
      </c>
      <c r="I4" s="395" t="s">
        <v>113</v>
      </c>
    </row>
    <row r="5" s="371" customFormat="1" ht="24" customHeight="1" spans="1:9">
      <c r="A5" s="339" t="s">
        <v>1247</v>
      </c>
      <c r="B5" s="377" t="s">
        <v>1248</v>
      </c>
      <c r="C5" s="378">
        <v>0</v>
      </c>
      <c r="D5" s="378"/>
      <c r="E5" s="378"/>
      <c r="F5" s="378"/>
      <c r="G5" s="343" t="str">
        <f>IFERROR((F5-C5)/C5,"")</f>
        <v/>
      </c>
      <c r="H5" s="343" t="str">
        <f>IFERROR(F5/D5,"")</f>
        <v/>
      </c>
      <c r="I5" s="396" t="str">
        <f>IF(LEN(A5)=7,"是",IF(B5&lt;&gt;"",IF(SUM(C5:F5)&lt;&gt;0,"是","否"),"是"))</f>
        <v>是</v>
      </c>
    </row>
    <row r="6" ht="24" customHeight="1" spans="1:9">
      <c r="A6" s="339" t="s">
        <v>1249</v>
      </c>
      <c r="B6" s="377" t="s">
        <v>1250</v>
      </c>
      <c r="C6" s="378">
        <v>0</v>
      </c>
      <c r="D6" s="378"/>
      <c r="E6" s="378"/>
      <c r="F6" s="378"/>
      <c r="G6" s="343" t="str">
        <f t="shared" ref="G6:G36" si="0">IFERROR((F6-C6)/C6,"")</f>
        <v/>
      </c>
      <c r="H6" s="343" t="str">
        <f t="shared" ref="H6:H36" si="1">IFERROR(F6/D6,"")</f>
        <v/>
      </c>
      <c r="I6" s="396" t="str">
        <f t="shared" ref="I6:I36" si="2">IF(LEN(A6)=7,"是",IF(B6&lt;&gt;"",IF(SUM(C6:F6)&lt;&gt;0,"是","否"),"是"))</f>
        <v>是</v>
      </c>
    </row>
    <row r="7" ht="24" customHeight="1" spans="1:9">
      <c r="A7" s="339" t="s">
        <v>1251</v>
      </c>
      <c r="B7" s="377" t="s">
        <v>1252</v>
      </c>
      <c r="C7" s="378">
        <v>0</v>
      </c>
      <c r="D7" s="378"/>
      <c r="E7" s="378"/>
      <c r="F7" s="378"/>
      <c r="G7" s="343" t="str">
        <f t="shared" si="0"/>
        <v/>
      </c>
      <c r="H7" s="343" t="str">
        <f t="shared" si="1"/>
        <v/>
      </c>
      <c r="I7" s="396" t="str">
        <f t="shared" si="2"/>
        <v>是</v>
      </c>
    </row>
    <row r="8" ht="24" customHeight="1" spans="1:9">
      <c r="A8" s="339" t="s">
        <v>1253</v>
      </c>
      <c r="B8" s="377" t="s">
        <v>1254</v>
      </c>
      <c r="C8" s="378">
        <v>0</v>
      </c>
      <c r="D8" s="378"/>
      <c r="E8" s="378"/>
      <c r="F8" s="378"/>
      <c r="G8" s="343" t="str">
        <f t="shared" si="0"/>
        <v/>
      </c>
      <c r="H8" s="343" t="str">
        <f t="shared" si="1"/>
        <v/>
      </c>
      <c r="I8" s="396" t="str">
        <f t="shared" si="2"/>
        <v>是</v>
      </c>
    </row>
    <row r="9" ht="24" customHeight="1" spans="1:9">
      <c r="A9" s="339" t="s">
        <v>1255</v>
      </c>
      <c r="B9" s="377" t="s">
        <v>1256</v>
      </c>
      <c r="C9" s="378">
        <v>9556</v>
      </c>
      <c r="D9" s="378">
        <f>SUM(D10:D14)</f>
        <v>42027</v>
      </c>
      <c r="E9" s="378">
        <f>SUM(E10:E14)</f>
        <v>22379</v>
      </c>
      <c r="F9" s="378">
        <f>SUM(F10:F14)</f>
        <v>6396</v>
      </c>
      <c r="G9" s="343">
        <f t="shared" si="0"/>
        <v>-0.330682293846798</v>
      </c>
      <c r="H9" s="343">
        <f t="shared" si="1"/>
        <v>0.152187879220501</v>
      </c>
      <c r="I9" s="396" t="str">
        <f t="shared" si="2"/>
        <v>是</v>
      </c>
    </row>
    <row r="10" ht="24" customHeight="1" spans="1:9">
      <c r="A10" s="339" t="s">
        <v>1257</v>
      </c>
      <c r="B10" s="379" t="s">
        <v>1595</v>
      </c>
      <c r="C10" s="380">
        <v>8957</v>
      </c>
      <c r="D10" s="380">
        <v>39527</v>
      </c>
      <c r="E10" s="380">
        <v>19879</v>
      </c>
      <c r="F10" s="380">
        <v>6396</v>
      </c>
      <c r="G10" s="344">
        <f t="shared" si="0"/>
        <v>-0.285921625544267</v>
      </c>
      <c r="H10" s="344">
        <f t="shared" si="1"/>
        <v>0.161813443975004</v>
      </c>
      <c r="I10" s="396" t="str">
        <f t="shared" si="2"/>
        <v>是</v>
      </c>
    </row>
    <row r="11" ht="24" customHeight="1" spans="1:9">
      <c r="A11" s="339" t="s">
        <v>1259</v>
      </c>
      <c r="B11" s="379" t="s">
        <v>1596</v>
      </c>
      <c r="C11" s="380">
        <v>599</v>
      </c>
      <c r="D11" s="380">
        <v>2500</v>
      </c>
      <c r="E11" s="380">
        <v>2500</v>
      </c>
      <c r="F11" s="380"/>
      <c r="G11" s="344">
        <f t="shared" si="0"/>
        <v>-1</v>
      </c>
      <c r="H11" s="344">
        <f t="shared" si="1"/>
        <v>0</v>
      </c>
      <c r="I11" s="396" t="str">
        <f t="shared" si="2"/>
        <v>是</v>
      </c>
    </row>
    <row r="12" ht="24" hidden="1" customHeight="1" spans="1:9">
      <c r="A12" s="339" t="s">
        <v>1261</v>
      </c>
      <c r="B12" s="379" t="s">
        <v>1597</v>
      </c>
      <c r="C12" s="378">
        <v>0</v>
      </c>
      <c r="D12" s="380"/>
      <c r="E12" s="380"/>
      <c r="F12" s="380"/>
      <c r="G12" s="344" t="str">
        <f t="shared" si="0"/>
        <v/>
      </c>
      <c r="H12" s="344" t="str">
        <f t="shared" si="1"/>
        <v/>
      </c>
      <c r="I12" s="396" t="str">
        <f t="shared" si="2"/>
        <v>否</v>
      </c>
    </row>
    <row r="13" ht="24" hidden="1" customHeight="1" spans="1:9">
      <c r="A13" s="339" t="s">
        <v>1263</v>
      </c>
      <c r="B13" s="379" t="s">
        <v>1598</v>
      </c>
      <c r="C13" s="378">
        <v>0</v>
      </c>
      <c r="D13" s="380"/>
      <c r="E13" s="380"/>
      <c r="F13" s="380"/>
      <c r="G13" s="344" t="str">
        <f t="shared" si="0"/>
        <v/>
      </c>
      <c r="H13" s="344" t="str">
        <f t="shared" si="1"/>
        <v/>
      </c>
      <c r="I13" s="396" t="str">
        <f t="shared" si="2"/>
        <v>否</v>
      </c>
    </row>
    <row r="14" ht="24" hidden="1" customHeight="1" spans="1:9">
      <c r="A14" s="339" t="s">
        <v>1265</v>
      </c>
      <c r="B14" s="379" t="s">
        <v>1599</v>
      </c>
      <c r="C14" s="378">
        <v>0</v>
      </c>
      <c r="D14" s="380"/>
      <c r="E14" s="380"/>
      <c r="F14" s="380"/>
      <c r="G14" s="344" t="str">
        <f t="shared" si="0"/>
        <v/>
      </c>
      <c r="H14" s="344" t="str">
        <f t="shared" si="1"/>
        <v/>
      </c>
      <c r="I14" s="396" t="str">
        <f t="shared" si="2"/>
        <v>否</v>
      </c>
    </row>
    <row r="15" ht="24" customHeight="1" spans="1:9">
      <c r="A15" s="381" t="s">
        <v>1267</v>
      </c>
      <c r="B15" s="382" t="s">
        <v>1268</v>
      </c>
      <c r="C15" s="378">
        <v>0</v>
      </c>
      <c r="D15" s="378"/>
      <c r="E15" s="378"/>
      <c r="F15" s="378"/>
      <c r="G15" s="343" t="str">
        <f t="shared" si="0"/>
        <v/>
      </c>
      <c r="H15" s="343" t="str">
        <f t="shared" si="1"/>
        <v/>
      </c>
      <c r="I15" s="396" t="str">
        <f t="shared" si="2"/>
        <v>是</v>
      </c>
    </row>
    <row r="16" ht="24" customHeight="1" spans="1:9">
      <c r="A16" s="381" t="s">
        <v>1269</v>
      </c>
      <c r="B16" s="382" t="s">
        <v>1270</v>
      </c>
      <c r="C16" s="378">
        <v>7407</v>
      </c>
      <c r="D16" s="378">
        <f>SUM(D17:D18)</f>
        <v>7500</v>
      </c>
      <c r="E16" s="378">
        <f>SUM(E17:E18)</f>
        <v>7500</v>
      </c>
      <c r="F16" s="378">
        <f>SUM(F17:F18)</f>
        <v>7703</v>
      </c>
      <c r="G16" s="343">
        <f t="shared" si="0"/>
        <v>0.0399621979208857</v>
      </c>
      <c r="H16" s="343">
        <f t="shared" si="1"/>
        <v>1.02706666666667</v>
      </c>
      <c r="I16" s="396" t="str">
        <f t="shared" si="2"/>
        <v>是</v>
      </c>
    </row>
    <row r="17" ht="24" customHeight="1" spans="1:9">
      <c r="A17" s="381" t="s">
        <v>1271</v>
      </c>
      <c r="B17" s="246" t="s">
        <v>1600</v>
      </c>
      <c r="C17" s="380">
        <v>3972</v>
      </c>
      <c r="D17" s="380">
        <v>4050</v>
      </c>
      <c r="E17" s="380">
        <v>4050</v>
      </c>
      <c r="F17" s="380">
        <v>4021</v>
      </c>
      <c r="G17" s="344">
        <f t="shared" si="0"/>
        <v>0.0123363544813696</v>
      </c>
      <c r="H17" s="344">
        <f t="shared" si="1"/>
        <v>0.99283950617284</v>
      </c>
      <c r="I17" s="396" t="str">
        <f t="shared" si="2"/>
        <v>是</v>
      </c>
    </row>
    <row r="18" ht="24" customHeight="1" spans="1:9">
      <c r="A18" s="381" t="s">
        <v>1273</v>
      </c>
      <c r="B18" s="246" t="s">
        <v>1601</v>
      </c>
      <c r="C18" s="380">
        <v>3435</v>
      </c>
      <c r="D18" s="380">
        <v>3450</v>
      </c>
      <c r="E18" s="380">
        <v>3450</v>
      </c>
      <c r="F18" s="380">
        <v>3682</v>
      </c>
      <c r="G18" s="344">
        <f t="shared" si="0"/>
        <v>0.0719068413391557</v>
      </c>
      <c r="H18" s="344">
        <f t="shared" si="1"/>
        <v>1.06724637681159</v>
      </c>
      <c r="I18" s="396" t="str">
        <f t="shared" si="2"/>
        <v>是</v>
      </c>
    </row>
    <row r="19" ht="24" customHeight="1" spans="1:9">
      <c r="A19" s="381" t="s">
        <v>1275</v>
      </c>
      <c r="B19" s="382" t="s">
        <v>1276</v>
      </c>
      <c r="C19" s="378">
        <v>177</v>
      </c>
      <c r="D19" s="378"/>
      <c r="E19" s="378"/>
      <c r="F19" s="378">
        <v>295</v>
      </c>
      <c r="G19" s="343">
        <f t="shared" si="0"/>
        <v>0.666666666666667</v>
      </c>
      <c r="H19" s="343" t="str">
        <f t="shared" si="1"/>
        <v/>
      </c>
      <c r="I19" s="396" t="str">
        <f t="shared" si="2"/>
        <v>是</v>
      </c>
    </row>
    <row r="20" ht="24" customHeight="1" spans="1:9">
      <c r="A20" s="381" t="s">
        <v>1277</v>
      </c>
      <c r="B20" s="382" t="s">
        <v>1278</v>
      </c>
      <c r="C20" s="378">
        <v>0</v>
      </c>
      <c r="D20" s="378"/>
      <c r="E20" s="378"/>
      <c r="F20" s="378"/>
      <c r="G20" s="343" t="str">
        <f t="shared" si="0"/>
        <v/>
      </c>
      <c r="H20" s="343" t="str">
        <f t="shared" si="1"/>
        <v/>
      </c>
      <c r="I20" s="396" t="str">
        <f t="shared" si="2"/>
        <v>是</v>
      </c>
    </row>
    <row r="21" ht="24" customHeight="1" spans="1:9">
      <c r="A21" s="381" t="s">
        <v>1279</v>
      </c>
      <c r="B21" s="382" t="s">
        <v>1280</v>
      </c>
      <c r="C21" s="378">
        <v>0</v>
      </c>
      <c r="D21" s="378"/>
      <c r="E21" s="378"/>
      <c r="F21" s="378"/>
      <c r="G21" s="343" t="str">
        <f t="shared" si="0"/>
        <v/>
      </c>
      <c r="H21" s="343" t="str">
        <f t="shared" si="1"/>
        <v/>
      </c>
      <c r="I21" s="396" t="str">
        <f t="shared" si="2"/>
        <v>是</v>
      </c>
    </row>
    <row r="22" ht="24" customHeight="1" spans="1:9">
      <c r="A22" s="339" t="s">
        <v>1281</v>
      </c>
      <c r="B22" s="377" t="s">
        <v>1282</v>
      </c>
      <c r="C22" s="378">
        <v>0</v>
      </c>
      <c r="D22" s="378"/>
      <c r="E22" s="378"/>
      <c r="F22" s="378"/>
      <c r="G22" s="343" t="str">
        <f t="shared" si="0"/>
        <v/>
      </c>
      <c r="H22" s="343" t="str">
        <f t="shared" si="1"/>
        <v/>
      </c>
      <c r="I22" s="396" t="str">
        <f t="shared" si="2"/>
        <v>是</v>
      </c>
    </row>
    <row r="23" ht="24" customHeight="1" spans="1:9">
      <c r="A23" s="339" t="s">
        <v>1283</v>
      </c>
      <c r="B23" s="377" t="s">
        <v>1284</v>
      </c>
      <c r="C23" s="378">
        <v>0</v>
      </c>
      <c r="D23" s="378"/>
      <c r="E23" s="378"/>
      <c r="F23" s="378"/>
      <c r="G23" s="343" t="str">
        <f t="shared" si="0"/>
        <v/>
      </c>
      <c r="H23" s="343" t="str">
        <f t="shared" si="1"/>
        <v/>
      </c>
      <c r="I23" s="396" t="str">
        <f t="shared" si="2"/>
        <v>是</v>
      </c>
    </row>
    <row r="24" ht="18.75" spans="1:9">
      <c r="A24" s="339" t="s">
        <v>1285</v>
      </c>
      <c r="B24" s="377" t="s">
        <v>1286</v>
      </c>
      <c r="C24" s="378">
        <v>0</v>
      </c>
      <c r="D24" s="378"/>
      <c r="E24" s="378"/>
      <c r="F24" s="378"/>
      <c r="G24" s="343" t="str">
        <f t="shared" si="0"/>
        <v/>
      </c>
      <c r="H24" s="343" t="str">
        <f t="shared" si="1"/>
        <v/>
      </c>
      <c r="I24" s="396" t="str">
        <f t="shared" si="2"/>
        <v>是</v>
      </c>
    </row>
    <row r="25" ht="24" customHeight="1" spans="1:9">
      <c r="A25" s="339" t="s">
        <v>1287</v>
      </c>
      <c r="B25" s="377" t="s">
        <v>1288</v>
      </c>
      <c r="C25" s="378">
        <v>0</v>
      </c>
      <c r="D25" s="378"/>
      <c r="E25" s="378"/>
      <c r="F25" s="378"/>
      <c r="G25" s="343" t="str">
        <f t="shared" si="0"/>
        <v/>
      </c>
      <c r="H25" s="343" t="str">
        <f t="shared" si="1"/>
        <v/>
      </c>
      <c r="I25" s="396" t="str">
        <f t="shared" si="2"/>
        <v>是</v>
      </c>
    </row>
    <row r="26" ht="24" customHeight="1" spans="1:9">
      <c r="A26" s="339" t="s">
        <v>1289</v>
      </c>
      <c r="B26" s="377" t="s">
        <v>1290</v>
      </c>
      <c r="C26" s="378">
        <v>19298</v>
      </c>
      <c r="D26" s="378">
        <v>20930</v>
      </c>
      <c r="E26" s="378">
        <v>20930</v>
      </c>
      <c r="F26" s="378">
        <v>26034</v>
      </c>
      <c r="G26" s="343">
        <f t="shared" si="0"/>
        <v>0.349051715203648</v>
      </c>
      <c r="H26" s="343">
        <f t="shared" si="1"/>
        <v>1.24386048733875</v>
      </c>
      <c r="I26" s="396" t="str">
        <f t="shared" si="2"/>
        <v>是</v>
      </c>
    </row>
    <row r="27" ht="24" customHeight="1" spans="1:9">
      <c r="A27" s="339"/>
      <c r="B27" s="379"/>
      <c r="C27" s="380"/>
      <c r="D27" s="380"/>
      <c r="E27" s="380"/>
      <c r="F27" s="380"/>
      <c r="G27" s="343" t="str">
        <f t="shared" si="0"/>
        <v/>
      </c>
      <c r="H27" s="343" t="str">
        <f t="shared" si="1"/>
        <v/>
      </c>
      <c r="I27" s="396" t="str">
        <f t="shared" si="2"/>
        <v>是</v>
      </c>
    </row>
    <row r="28" ht="24" customHeight="1" spans="1:9">
      <c r="A28" s="357"/>
      <c r="B28" s="383" t="s">
        <v>1602</v>
      </c>
      <c r="C28" s="378">
        <f>C5+C6+C7+C8+C9+C15+C16+C19+C20+C21+C22+C23+C24+C25+C26</f>
        <v>36438</v>
      </c>
      <c r="D28" s="378">
        <f>D5+D6+D7+D8+D9+D15+D16+D19+D20+D21+D22+D23+D24+D25+D26</f>
        <v>70457</v>
      </c>
      <c r="E28" s="378">
        <f>E5+E6+E7+E8+E9+E15+E16+E19+E20+E21+E22+E23+E24+E25+E26</f>
        <v>50809</v>
      </c>
      <c r="F28" s="378">
        <f>F5+F6+F7+F8+F9+F15+F16+F19+F20+F21+F22+F23+F24+F25+F26</f>
        <v>40428</v>
      </c>
      <c r="G28" s="343">
        <f t="shared" si="0"/>
        <v>0.109501070311214</v>
      </c>
      <c r="H28" s="343">
        <f t="shared" si="1"/>
        <v>0.573796783853982</v>
      </c>
      <c r="I28" s="396" t="str">
        <f t="shared" si="2"/>
        <v>是</v>
      </c>
    </row>
    <row r="29" ht="24" customHeight="1" spans="1:9">
      <c r="A29" s="384">
        <v>105</v>
      </c>
      <c r="B29" s="385" t="s">
        <v>1292</v>
      </c>
      <c r="C29" s="378">
        <v>419670</v>
      </c>
      <c r="D29" s="378">
        <v>234030</v>
      </c>
      <c r="E29" s="378">
        <v>487330</v>
      </c>
      <c r="F29" s="378">
        <v>487330</v>
      </c>
      <c r="G29" s="343">
        <f t="shared" si="0"/>
        <v>0.161221912455024</v>
      </c>
      <c r="H29" s="343">
        <f t="shared" si="1"/>
        <v>2.08233987095671</v>
      </c>
      <c r="I29" s="396" t="str">
        <f t="shared" si="2"/>
        <v>是</v>
      </c>
    </row>
    <row r="30" ht="24" customHeight="1" spans="1:9">
      <c r="A30" s="384">
        <v>110</v>
      </c>
      <c r="B30" s="385" t="s">
        <v>166</v>
      </c>
      <c r="C30" s="386">
        <f>C31+C33+C34+C35</f>
        <v>78228</v>
      </c>
      <c r="D30" s="386">
        <f>D31+D33+D34+D35</f>
        <v>84352</v>
      </c>
      <c r="E30" s="386">
        <f>E31+E33+E34+E35</f>
        <v>84352</v>
      </c>
      <c r="F30" s="386">
        <f>F31+F33+F34+F35</f>
        <v>49133</v>
      </c>
      <c r="G30" s="343">
        <f t="shared" si="0"/>
        <v>-0.371925653218796</v>
      </c>
      <c r="H30" s="343">
        <f t="shared" si="1"/>
        <v>0.582475815629742</v>
      </c>
      <c r="I30" s="396" t="str">
        <f t="shared" si="2"/>
        <v>是</v>
      </c>
    </row>
    <row r="31" ht="24" customHeight="1" spans="1:9">
      <c r="A31" s="387">
        <v>11004</v>
      </c>
      <c r="B31" s="388" t="s">
        <v>1293</v>
      </c>
      <c r="C31" s="386">
        <f>C32</f>
        <v>71831</v>
      </c>
      <c r="D31" s="386">
        <f>D32</f>
        <v>73006</v>
      </c>
      <c r="E31" s="386">
        <f>E32</f>
        <v>73006</v>
      </c>
      <c r="F31" s="386">
        <f>F32</f>
        <v>40064</v>
      </c>
      <c r="G31" s="343">
        <f t="shared" si="0"/>
        <v>-0.442246383873258</v>
      </c>
      <c r="H31" s="343">
        <f t="shared" si="1"/>
        <v>0.548776812864696</v>
      </c>
      <c r="I31" s="396" t="str">
        <f t="shared" si="2"/>
        <v>是</v>
      </c>
    </row>
    <row r="32" ht="24" customHeight="1" spans="1:9">
      <c r="A32" s="387">
        <v>1100401</v>
      </c>
      <c r="B32" s="389" t="s">
        <v>1294</v>
      </c>
      <c r="C32" s="380">
        <v>71831</v>
      </c>
      <c r="D32" s="380">
        <v>73006</v>
      </c>
      <c r="E32" s="380">
        <v>73006</v>
      </c>
      <c r="F32" s="380">
        <v>40064</v>
      </c>
      <c r="G32" s="344">
        <f t="shared" si="0"/>
        <v>-0.442246383873258</v>
      </c>
      <c r="H32" s="344">
        <f t="shared" si="1"/>
        <v>0.548776812864696</v>
      </c>
      <c r="I32" s="396" t="str">
        <f t="shared" si="2"/>
        <v>是</v>
      </c>
    </row>
    <row r="33" ht="24" customHeight="1" spans="1:9">
      <c r="A33" s="387">
        <v>11006</v>
      </c>
      <c r="B33" s="388" t="s">
        <v>1199</v>
      </c>
      <c r="C33" s="378">
        <v>1759</v>
      </c>
      <c r="D33" s="378">
        <v>3912</v>
      </c>
      <c r="E33" s="378">
        <v>3912</v>
      </c>
      <c r="F33" s="378">
        <v>1635</v>
      </c>
      <c r="G33" s="343">
        <f t="shared" si="0"/>
        <v>-0.0704945992040932</v>
      </c>
      <c r="H33" s="343">
        <f t="shared" si="1"/>
        <v>0.417944785276074</v>
      </c>
      <c r="I33" s="396" t="str">
        <f t="shared" si="2"/>
        <v>是</v>
      </c>
    </row>
    <row r="34" ht="24" customHeight="1" spans="1:9">
      <c r="A34" s="387">
        <v>11008</v>
      </c>
      <c r="B34" s="388" t="s">
        <v>170</v>
      </c>
      <c r="C34" s="378">
        <v>4638</v>
      </c>
      <c r="D34" s="378">
        <v>7434</v>
      </c>
      <c r="E34" s="378">
        <v>7434</v>
      </c>
      <c r="F34" s="378">
        <v>7434</v>
      </c>
      <c r="G34" s="343">
        <f t="shared" si="0"/>
        <v>0.602846054333765</v>
      </c>
      <c r="H34" s="343">
        <f t="shared" si="1"/>
        <v>1</v>
      </c>
      <c r="I34" s="396" t="str">
        <f t="shared" si="2"/>
        <v>是</v>
      </c>
    </row>
    <row r="35" ht="24" hidden="1" customHeight="1" spans="1:9">
      <c r="A35" s="390">
        <v>11009</v>
      </c>
      <c r="B35" s="391" t="s">
        <v>171</v>
      </c>
      <c r="C35" s="378">
        <v>0</v>
      </c>
      <c r="D35" s="378"/>
      <c r="E35" s="378"/>
      <c r="F35" s="378"/>
      <c r="G35" s="343" t="str">
        <f t="shared" si="0"/>
        <v/>
      </c>
      <c r="H35" s="343" t="str">
        <f t="shared" si="1"/>
        <v/>
      </c>
      <c r="I35" s="396" t="str">
        <f t="shared" si="2"/>
        <v>否</v>
      </c>
    </row>
    <row r="36" ht="24" customHeight="1" spans="1:9">
      <c r="A36" s="392"/>
      <c r="B36" s="393" t="s">
        <v>174</v>
      </c>
      <c r="C36" s="386">
        <f>SUM(C28:C30)</f>
        <v>534336</v>
      </c>
      <c r="D36" s="386">
        <f>SUM(D28:D30)</f>
        <v>388839</v>
      </c>
      <c r="E36" s="386">
        <f>SUM(E28:E30)</f>
        <v>622491</v>
      </c>
      <c r="F36" s="386">
        <f>SUM(F28:F30)</f>
        <v>576891</v>
      </c>
      <c r="G36" s="343">
        <f t="shared" si="0"/>
        <v>0.0796409001077973</v>
      </c>
      <c r="H36" s="343">
        <f t="shared" si="1"/>
        <v>1.48362432780662</v>
      </c>
      <c r="I36" s="396" t="str">
        <f t="shared" si="2"/>
        <v>是</v>
      </c>
    </row>
  </sheetData>
  <autoFilter ref="A4:I36">
    <filterColumn colId="8">
      <customFilters>
        <customFilter operator="equal" val="是"/>
      </customFilters>
    </filterColumn>
    <extLst/>
  </autoFilter>
  <mergeCells count="6">
    <mergeCell ref="B1:H1"/>
    <mergeCell ref="D3:F3"/>
    <mergeCell ref="G3:H3"/>
    <mergeCell ref="A3:A4"/>
    <mergeCell ref="B3:B4"/>
    <mergeCell ref="C3:C4"/>
  </mergeCells>
  <conditionalFormatting sqref="B29">
    <cfRule type="expression" dxfId="0" priority="3" stopIfTrue="1">
      <formula>"len($A:$A)=3"</formula>
    </cfRule>
  </conditionalFormatting>
  <conditionalFormatting sqref="B30:B33">
    <cfRule type="expression" dxfId="0" priority="2" stopIfTrue="1">
      <formula>"len($A:$A)=3"</formula>
    </cfRule>
  </conditionalFormatting>
  <conditionalFormatting sqref="C30:F31">
    <cfRule type="expression" dxfId="0" priority="1" stopIfTrue="1">
      <formula>"len($A:$A)=3"</formula>
    </cfRule>
  </conditionalFormatting>
  <printOptions horizontalCentered="1"/>
  <pageMargins left="0.471527777777778" right="0.393055555555556" top="0.747916666666667" bottom="0.747916666666667" header="0.313888888888889" footer="0.313888888888889"/>
  <pageSetup paperSize="9" scale="59" orientation="portrait"/>
  <headerFooter alignWithMargins="0">
    <oddFooter>&amp;C&amp;16- &amp;P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3">
    <tabColor rgb="FFFFFF00"/>
    <pageSetUpPr fitToPage="1"/>
  </sheetPr>
  <dimension ref="A1:J340"/>
  <sheetViews>
    <sheetView showGridLines="0" showZeros="0" view="pageBreakPreview" zoomScale="70" zoomScaleNormal="115" workbookViewId="0">
      <pane ySplit="4" topLeftCell="A270" activePane="bottomLeft" state="frozen"/>
      <selection/>
      <selection pane="bottomLeft" activeCell="F335" sqref="F335"/>
    </sheetView>
  </sheetViews>
  <sheetFormatPr defaultColWidth="9" defaultRowHeight="14.25"/>
  <cols>
    <col min="1" max="1" width="13.5" style="312" hidden="1" customWidth="1"/>
    <col min="2" max="2" width="50.75" style="313" customWidth="1"/>
    <col min="3" max="3" width="16.25" style="313" customWidth="1"/>
    <col min="4" max="6" width="19.1083333333333" style="313" customWidth="1"/>
    <col min="7" max="7" width="14.6416666666667" style="313" customWidth="1"/>
    <col min="8" max="8" width="13.925" style="314" customWidth="1"/>
    <col min="9" max="9" width="3.75" style="315" customWidth="1"/>
    <col min="10" max="10" width="9" style="312"/>
    <col min="11" max="11" width="15.175" style="312" customWidth="1"/>
    <col min="12" max="16384" width="9" style="312"/>
  </cols>
  <sheetData>
    <row r="1" ht="35.25" spans="1:10">
      <c r="A1" s="313"/>
      <c r="B1" s="316" t="s">
        <v>24</v>
      </c>
      <c r="C1" s="316"/>
      <c r="D1" s="316"/>
      <c r="E1" s="316"/>
      <c r="F1" s="316"/>
      <c r="G1" s="316"/>
      <c r="H1" s="316"/>
      <c r="I1" s="345"/>
      <c r="J1" s="313"/>
    </row>
    <row r="2" s="305" customFormat="1" ht="18.75" spans="1:10">
      <c r="A2" s="317"/>
      <c r="B2" s="318" t="s">
        <v>23</v>
      </c>
      <c r="C2" s="318"/>
      <c r="D2" s="318"/>
      <c r="E2" s="318"/>
      <c r="F2" s="318"/>
      <c r="G2" s="318"/>
      <c r="H2" s="340" t="s">
        <v>103</v>
      </c>
      <c r="I2" s="346"/>
      <c r="J2" s="317"/>
    </row>
    <row r="3" s="306" customFormat="1" ht="18.75" spans="1:8">
      <c r="A3" s="319" t="s">
        <v>104</v>
      </c>
      <c r="B3" s="320" t="s">
        <v>105</v>
      </c>
      <c r="C3" s="321" t="s">
        <v>106</v>
      </c>
      <c r="D3" s="321" t="s">
        <v>107</v>
      </c>
      <c r="E3" s="321"/>
      <c r="F3" s="321"/>
      <c r="G3" s="521" t="s">
        <v>108</v>
      </c>
      <c r="H3" s="521"/>
    </row>
    <row r="4" s="306" customFormat="1" ht="37.5" spans="1:10">
      <c r="A4" s="322"/>
      <c r="B4" s="320"/>
      <c r="C4" s="321"/>
      <c r="D4" s="321" t="s">
        <v>109</v>
      </c>
      <c r="E4" s="321" t="s">
        <v>1196</v>
      </c>
      <c r="F4" s="321" t="s">
        <v>110</v>
      </c>
      <c r="G4" s="321" t="s">
        <v>111</v>
      </c>
      <c r="H4" s="321" t="s">
        <v>112</v>
      </c>
      <c r="I4" s="347" t="s">
        <v>113</v>
      </c>
      <c r="J4" s="348" t="s">
        <v>1603</v>
      </c>
    </row>
    <row r="5" s="307" customFormat="1" ht="18.75" spans="1:10">
      <c r="A5" s="323">
        <v>205</v>
      </c>
      <c r="B5" s="324" t="s">
        <v>1295</v>
      </c>
      <c r="C5" s="325">
        <v>0</v>
      </c>
      <c r="D5" s="325"/>
      <c r="E5" s="325"/>
      <c r="F5" s="325">
        <v>0</v>
      </c>
      <c r="G5" s="343" t="str">
        <f t="shared" ref="G5:G68" si="0">IFERROR((F5-C5)/C5,"")</f>
        <v/>
      </c>
      <c r="H5" s="343" t="str">
        <f t="shared" ref="H5:H68" si="1">IFERROR(F5/D5,"")</f>
        <v/>
      </c>
      <c r="I5" s="349" t="str">
        <f>IF(LEN(A5)=3,"是",IF(B5&lt;&gt;"",IF(SUM(C5:F5)&lt;&gt;0,"是","否"),"是"))</f>
        <v>是</v>
      </c>
      <c r="J5" s="313" t="str">
        <f t="shared" ref="J5:J68" si="2">IF(LEN(A5)=3,"类",IF(LEN(A5)=5,"款","项"))</f>
        <v>类</v>
      </c>
    </row>
    <row r="6" s="307" customFormat="1" ht="18.75" hidden="1" spans="1:10">
      <c r="A6" s="326">
        <v>20598</v>
      </c>
      <c r="B6" s="327" t="s">
        <v>1296</v>
      </c>
      <c r="C6" s="325">
        <v>0</v>
      </c>
      <c r="D6" s="325"/>
      <c r="E6" s="325"/>
      <c r="F6" s="325">
        <v>0</v>
      </c>
      <c r="G6" s="343" t="str">
        <f t="shared" si="0"/>
        <v/>
      </c>
      <c r="H6" s="343" t="str">
        <f t="shared" si="1"/>
        <v/>
      </c>
      <c r="I6" s="349" t="str">
        <f t="shared" ref="I6:I69" si="3">IF(LEN(A6)=3,"是",IF(B6&lt;&gt;"",IF(SUM(C6:F6)&lt;&gt;0,"是","否"),"是"))</f>
        <v>否</v>
      </c>
      <c r="J6" s="313" t="str">
        <f t="shared" si="2"/>
        <v>款</v>
      </c>
    </row>
    <row r="7" s="307" customFormat="1" ht="18.75" hidden="1" spans="1:10">
      <c r="A7" s="326">
        <v>2059801</v>
      </c>
      <c r="B7" s="327" t="s">
        <v>1297</v>
      </c>
      <c r="C7" s="328">
        <v>0</v>
      </c>
      <c r="D7" s="328"/>
      <c r="E7" s="328"/>
      <c r="F7" s="325">
        <v>0</v>
      </c>
      <c r="G7" s="344" t="str">
        <f t="shared" si="0"/>
        <v/>
      </c>
      <c r="H7" s="344" t="str">
        <f t="shared" si="1"/>
        <v/>
      </c>
      <c r="I7" s="349" t="str">
        <f t="shared" si="3"/>
        <v>否</v>
      </c>
      <c r="J7" s="313" t="str">
        <f t="shared" si="2"/>
        <v>项</v>
      </c>
    </row>
    <row r="8" s="307" customFormat="1" ht="18.75" hidden="1" spans="1:10">
      <c r="A8" s="326">
        <v>2059802</v>
      </c>
      <c r="B8" s="327" t="s">
        <v>1298</v>
      </c>
      <c r="C8" s="328">
        <v>0</v>
      </c>
      <c r="D8" s="328"/>
      <c r="E8" s="328"/>
      <c r="F8" s="325">
        <v>0</v>
      </c>
      <c r="G8" s="344" t="str">
        <f t="shared" si="0"/>
        <v/>
      </c>
      <c r="H8" s="344" t="str">
        <f t="shared" si="1"/>
        <v/>
      </c>
      <c r="I8" s="349" t="str">
        <f t="shared" si="3"/>
        <v>否</v>
      </c>
      <c r="J8" s="313" t="str">
        <f t="shared" si="2"/>
        <v>项</v>
      </c>
    </row>
    <row r="9" s="307" customFormat="1" ht="18.75" hidden="1" spans="1:10">
      <c r="A9" s="326">
        <v>2059803</v>
      </c>
      <c r="B9" s="327" t="s">
        <v>1299</v>
      </c>
      <c r="C9" s="328">
        <v>0</v>
      </c>
      <c r="D9" s="328"/>
      <c r="E9" s="328"/>
      <c r="F9" s="325">
        <v>0</v>
      </c>
      <c r="G9" s="344" t="str">
        <f t="shared" si="0"/>
        <v/>
      </c>
      <c r="H9" s="344" t="str">
        <f t="shared" si="1"/>
        <v/>
      </c>
      <c r="I9" s="349" t="str">
        <f t="shared" si="3"/>
        <v>否</v>
      </c>
      <c r="J9" s="313" t="str">
        <f t="shared" si="2"/>
        <v>项</v>
      </c>
    </row>
    <row r="10" s="307" customFormat="1" ht="18.75" hidden="1" spans="1:10">
      <c r="A10" s="326">
        <v>2059804</v>
      </c>
      <c r="B10" s="327" t="s">
        <v>1300</v>
      </c>
      <c r="C10" s="328">
        <v>0</v>
      </c>
      <c r="D10" s="328"/>
      <c r="E10" s="328"/>
      <c r="F10" s="325">
        <v>0</v>
      </c>
      <c r="G10" s="344" t="str">
        <f t="shared" si="0"/>
        <v/>
      </c>
      <c r="H10" s="344" t="str">
        <f t="shared" si="1"/>
        <v/>
      </c>
      <c r="I10" s="349" t="str">
        <f t="shared" si="3"/>
        <v>否</v>
      </c>
      <c r="J10" s="313" t="str">
        <f t="shared" si="2"/>
        <v>项</v>
      </c>
    </row>
    <row r="11" s="307" customFormat="1" ht="18.75" hidden="1" spans="1:10">
      <c r="A11" s="326">
        <v>2059899</v>
      </c>
      <c r="B11" s="327" t="s">
        <v>1301</v>
      </c>
      <c r="C11" s="328">
        <v>0</v>
      </c>
      <c r="D11" s="328"/>
      <c r="E11" s="328"/>
      <c r="F11" s="325">
        <v>0</v>
      </c>
      <c r="G11" s="344" t="str">
        <f t="shared" si="0"/>
        <v/>
      </c>
      <c r="H11" s="344" t="str">
        <f t="shared" si="1"/>
        <v/>
      </c>
      <c r="I11" s="349" t="str">
        <f t="shared" si="3"/>
        <v>否</v>
      </c>
      <c r="J11" s="313" t="str">
        <f t="shared" si="2"/>
        <v>项</v>
      </c>
    </row>
    <row r="12" s="307" customFormat="1" ht="18.75" spans="1:10">
      <c r="A12" s="323">
        <v>206</v>
      </c>
      <c r="B12" s="324" t="s">
        <v>1302</v>
      </c>
      <c r="C12" s="325">
        <v>0</v>
      </c>
      <c r="D12" s="325"/>
      <c r="E12" s="325"/>
      <c r="F12" s="325">
        <v>0</v>
      </c>
      <c r="G12" s="343" t="str">
        <f t="shared" si="0"/>
        <v/>
      </c>
      <c r="H12" s="343" t="str">
        <f t="shared" si="1"/>
        <v/>
      </c>
      <c r="I12" s="349" t="str">
        <f t="shared" si="3"/>
        <v>是</v>
      </c>
      <c r="J12" s="313" t="str">
        <f t="shared" si="2"/>
        <v>类</v>
      </c>
    </row>
    <row r="13" s="307" customFormat="1" ht="18.75" hidden="1" spans="1:10">
      <c r="A13" s="326">
        <v>20698</v>
      </c>
      <c r="B13" s="327" t="s">
        <v>1296</v>
      </c>
      <c r="C13" s="325">
        <v>0</v>
      </c>
      <c r="D13" s="325"/>
      <c r="E13" s="325"/>
      <c r="F13" s="325">
        <v>0</v>
      </c>
      <c r="G13" s="343" t="str">
        <f t="shared" si="0"/>
        <v/>
      </c>
      <c r="H13" s="343" t="str">
        <f t="shared" si="1"/>
        <v/>
      </c>
      <c r="I13" s="349" t="str">
        <f t="shared" si="3"/>
        <v>否</v>
      </c>
      <c r="J13" s="313" t="str">
        <f t="shared" si="2"/>
        <v>款</v>
      </c>
    </row>
    <row r="14" s="307" customFormat="1" ht="18.75" hidden="1" spans="1:10">
      <c r="A14" s="326">
        <v>2069801</v>
      </c>
      <c r="B14" s="327" t="s">
        <v>1303</v>
      </c>
      <c r="C14" s="328">
        <v>0</v>
      </c>
      <c r="D14" s="328"/>
      <c r="E14" s="328"/>
      <c r="F14" s="325">
        <v>0</v>
      </c>
      <c r="G14" s="344" t="str">
        <f t="shared" si="0"/>
        <v/>
      </c>
      <c r="H14" s="344" t="str">
        <f t="shared" si="1"/>
        <v/>
      </c>
      <c r="I14" s="349" t="str">
        <f t="shared" si="3"/>
        <v>否</v>
      </c>
      <c r="J14" s="313" t="str">
        <f t="shared" si="2"/>
        <v>项</v>
      </c>
    </row>
    <row r="15" s="307" customFormat="1" ht="18.75" hidden="1" spans="1:10">
      <c r="A15" s="326">
        <v>2069802</v>
      </c>
      <c r="B15" s="327" t="s">
        <v>1304</v>
      </c>
      <c r="C15" s="328">
        <v>0</v>
      </c>
      <c r="D15" s="328"/>
      <c r="E15" s="328"/>
      <c r="F15" s="325">
        <v>0</v>
      </c>
      <c r="G15" s="344" t="str">
        <f t="shared" si="0"/>
        <v/>
      </c>
      <c r="H15" s="344" t="str">
        <f t="shared" si="1"/>
        <v/>
      </c>
      <c r="I15" s="349" t="str">
        <f t="shared" si="3"/>
        <v>否</v>
      </c>
      <c r="J15" s="313" t="str">
        <f t="shared" si="2"/>
        <v>项</v>
      </c>
    </row>
    <row r="16" s="307" customFormat="1" ht="18.75" hidden="1" spans="1:10">
      <c r="A16" s="326">
        <v>2069803</v>
      </c>
      <c r="B16" s="327" t="s">
        <v>1305</v>
      </c>
      <c r="C16" s="328">
        <v>0</v>
      </c>
      <c r="D16" s="328"/>
      <c r="E16" s="328"/>
      <c r="F16" s="325">
        <v>0</v>
      </c>
      <c r="G16" s="344" t="str">
        <f t="shared" si="0"/>
        <v/>
      </c>
      <c r="H16" s="344" t="str">
        <f t="shared" si="1"/>
        <v/>
      </c>
      <c r="I16" s="349" t="str">
        <f t="shared" si="3"/>
        <v>否</v>
      </c>
      <c r="J16" s="313" t="str">
        <f t="shared" si="2"/>
        <v>项</v>
      </c>
    </row>
    <row r="17" s="307" customFormat="1" ht="18.75" hidden="1" spans="1:10">
      <c r="A17" s="326">
        <v>2069804</v>
      </c>
      <c r="B17" s="327" t="s">
        <v>1306</v>
      </c>
      <c r="C17" s="328">
        <v>0</v>
      </c>
      <c r="D17" s="328"/>
      <c r="E17" s="328"/>
      <c r="F17" s="325">
        <v>0</v>
      </c>
      <c r="G17" s="344" t="str">
        <f t="shared" si="0"/>
        <v/>
      </c>
      <c r="H17" s="344" t="str">
        <f t="shared" si="1"/>
        <v/>
      </c>
      <c r="I17" s="349" t="str">
        <f t="shared" si="3"/>
        <v>否</v>
      </c>
      <c r="J17" s="313" t="str">
        <f t="shared" si="2"/>
        <v>项</v>
      </c>
    </row>
    <row r="18" s="307" customFormat="1" ht="18.75" hidden="1" spans="1:10">
      <c r="A18" s="326">
        <v>2069805</v>
      </c>
      <c r="B18" s="327" t="s">
        <v>1307</v>
      </c>
      <c r="C18" s="328">
        <v>0</v>
      </c>
      <c r="D18" s="328"/>
      <c r="E18" s="328"/>
      <c r="F18" s="325">
        <v>0</v>
      </c>
      <c r="G18" s="344" t="str">
        <f t="shared" si="0"/>
        <v/>
      </c>
      <c r="H18" s="344" t="str">
        <f t="shared" si="1"/>
        <v/>
      </c>
      <c r="I18" s="349" t="str">
        <f t="shared" si="3"/>
        <v>否</v>
      </c>
      <c r="J18" s="313" t="str">
        <f t="shared" si="2"/>
        <v>项</v>
      </c>
    </row>
    <row r="19" s="307" customFormat="1" ht="18.75" hidden="1" spans="1:10">
      <c r="A19" s="326">
        <v>2069899</v>
      </c>
      <c r="B19" s="327" t="s">
        <v>1308</v>
      </c>
      <c r="C19" s="328">
        <v>0</v>
      </c>
      <c r="D19" s="328"/>
      <c r="E19" s="328"/>
      <c r="F19" s="325">
        <v>0</v>
      </c>
      <c r="G19" s="344" t="str">
        <f t="shared" si="0"/>
        <v/>
      </c>
      <c r="H19" s="344" t="str">
        <f t="shared" si="1"/>
        <v/>
      </c>
      <c r="I19" s="349" t="str">
        <f t="shared" si="3"/>
        <v>否</v>
      </c>
      <c r="J19" s="313" t="str">
        <f t="shared" si="2"/>
        <v>项</v>
      </c>
    </row>
    <row r="20" ht="18.75" spans="1:10">
      <c r="A20" s="329">
        <v>207</v>
      </c>
      <c r="B20" s="324" t="s">
        <v>1309</v>
      </c>
      <c r="C20" s="325">
        <v>0</v>
      </c>
      <c r="D20" s="325"/>
      <c r="E20" s="325"/>
      <c r="F20" s="325">
        <v>133</v>
      </c>
      <c r="G20" s="343" t="str">
        <f t="shared" si="0"/>
        <v/>
      </c>
      <c r="H20" s="343" t="str">
        <f t="shared" si="1"/>
        <v/>
      </c>
      <c r="I20" s="349" t="str">
        <f t="shared" si="3"/>
        <v>是</v>
      </c>
      <c r="J20" s="313" t="str">
        <f t="shared" si="2"/>
        <v>类</v>
      </c>
    </row>
    <row r="21" ht="18.75" hidden="1" spans="1:10">
      <c r="A21" s="330">
        <v>20707</v>
      </c>
      <c r="B21" s="327" t="s">
        <v>1310</v>
      </c>
      <c r="C21" s="325">
        <v>0</v>
      </c>
      <c r="D21" s="325"/>
      <c r="E21" s="325"/>
      <c r="F21" s="325">
        <v>0</v>
      </c>
      <c r="G21" s="343" t="str">
        <f t="shared" si="0"/>
        <v/>
      </c>
      <c r="H21" s="343" t="str">
        <f t="shared" si="1"/>
        <v/>
      </c>
      <c r="I21" s="349" t="str">
        <f t="shared" si="3"/>
        <v>否</v>
      </c>
      <c r="J21" s="313" t="str">
        <f t="shared" si="2"/>
        <v>款</v>
      </c>
    </row>
    <row r="22" ht="18.75" hidden="1" spans="1:10">
      <c r="A22" s="330">
        <v>2070701</v>
      </c>
      <c r="B22" s="327" t="s">
        <v>1311</v>
      </c>
      <c r="C22" s="328">
        <v>0</v>
      </c>
      <c r="D22" s="328"/>
      <c r="E22" s="328"/>
      <c r="F22" s="325">
        <v>0</v>
      </c>
      <c r="G22" s="344" t="str">
        <f t="shared" si="0"/>
        <v/>
      </c>
      <c r="H22" s="344" t="str">
        <f t="shared" si="1"/>
        <v/>
      </c>
      <c r="I22" s="349" t="str">
        <f t="shared" si="3"/>
        <v>否</v>
      </c>
      <c r="J22" s="313" t="str">
        <f t="shared" si="2"/>
        <v>项</v>
      </c>
    </row>
    <row r="23" ht="18.75" hidden="1" spans="1:10">
      <c r="A23" s="330">
        <v>2070702</v>
      </c>
      <c r="B23" s="327" t="s">
        <v>1312</v>
      </c>
      <c r="C23" s="328">
        <v>0</v>
      </c>
      <c r="D23" s="328"/>
      <c r="E23" s="328"/>
      <c r="F23" s="325">
        <v>0</v>
      </c>
      <c r="G23" s="344" t="str">
        <f t="shared" si="0"/>
        <v/>
      </c>
      <c r="H23" s="344" t="str">
        <f t="shared" si="1"/>
        <v/>
      </c>
      <c r="I23" s="349" t="str">
        <f t="shared" si="3"/>
        <v>否</v>
      </c>
      <c r="J23" s="313" t="str">
        <f t="shared" si="2"/>
        <v>项</v>
      </c>
    </row>
    <row r="24" ht="18.75" hidden="1" spans="1:10">
      <c r="A24" s="330">
        <v>2070703</v>
      </c>
      <c r="B24" s="327" t="s">
        <v>1313</v>
      </c>
      <c r="C24" s="328">
        <v>0</v>
      </c>
      <c r="D24" s="328"/>
      <c r="E24" s="328"/>
      <c r="F24" s="325">
        <v>0</v>
      </c>
      <c r="G24" s="344" t="str">
        <f t="shared" si="0"/>
        <v/>
      </c>
      <c r="H24" s="344" t="str">
        <f t="shared" si="1"/>
        <v/>
      </c>
      <c r="I24" s="349" t="str">
        <f t="shared" si="3"/>
        <v>否</v>
      </c>
      <c r="J24" s="313" t="str">
        <f t="shared" si="2"/>
        <v>项</v>
      </c>
    </row>
    <row r="25" ht="18.75" hidden="1" spans="1:10">
      <c r="A25" s="330">
        <v>2070704</v>
      </c>
      <c r="B25" s="327" t="s">
        <v>1314</v>
      </c>
      <c r="C25" s="328">
        <v>0</v>
      </c>
      <c r="D25" s="328"/>
      <c r="E25" s="328"/>
      <c r="F25" s="325">
        <v>0</v>
      </c>
      <c r="G25" s="344" t="str">
        <f t="shared" si="0"/>
        <v/>
      </c>
      <c r="H25" s="344" t="str">
        <f t="shared" si="1"/>
        <v/>
      </c>
      <c r="I25" s="349" t="str">
        <f t="shared" si="3"/>
        <v>否</v>
      </c>
      <c r="J25" s="313" t="str">
        <f t="shared" si="2"/>
        <v>项</v>
      </c>
    </row>
    <row r="26" ht="18.75" hidden="1" spans="1:10">
      <c r="A26" s="330">
        <v>2070799</v>
      </c>
      <c r="B26" s="327" t="s">
        <v>1315</v>
      </c>
      <c r="C26" s="328">
        <v>0</v>
      </c>
      <c r="D26" s="328"/>
      <c r="E26" s="328"/>
      <c r="F26" s="325">
        <v>0</v>
      </c>
      <c r="G26" s="344" t="str">
        <f t="shared" si="0"/>
        <v/>
      </c>
      <c r="H26" s="344" t="str">
        <f t="shared" si="1"/>
        <v/>
      </c>
      <c r="I26" s="349" t="str">
        <f t="shared" si="3"/>
        <v>否</v>
      </c>
      <c r="J26" s="313" t="str">
        <f t="shared" si="2"/>
        <v>项</v>
      </c>
    </row>
    <row r="27" ht="18.75" spans="1:10">
      <c r="A27" s="330">
        <v>20709</v>
      </c>
      <c r="B27" s="327" t="s">
        <v>1316</v>
      </c>
      <c r="C27" s="325">
        <v>0</v>
      </c>
      <c r="D27" s="325"/>
      <c r="E27" s="325"/>
      <c r="F27" s="325">
        <v>133</v>
      </c>
      <c r="G27" s="343" t="str">
        <f t="shared" si="0"/>
        <v/>
      </c>
      <c r="H27" s="343" t="str">
        <f t="shared" si="1"/>
        <v/>
      </c>
      <c r="I27" s="349" t="str">
        <f t="shared" si="3"/>
        <v>是</v>
      </c>
      <c r="J27" s="313" t="str">
        <f t="shared" si="2"/>
        <v>款</v>
      </c>
    </row>
    <row r="28" ht="18.75" spans="1:10">
      <c r="A28" s="330">
        <v>2070901</v>
      </c>
      <c r="B28" s="327" t="s">
        <v>1317</v>
      </c>
      <c r="C28" s="328">
        <v>0</v>
      </c>
      <c r="D28" s="328"/>
      <c r="E28" s="328"/>
      <c r="F28" s="328">
        <v>60</v>
      </c>
      <c r="G28" s="344" t="str">
        <f t="shared" si="0"/>
        <v/>
      </c>
      <c r="H28" s="344" t="str">
        <f t="shared" si="1"/>
        <v/>
      </c>
      <c r="I28" s="349" t="str">
        <f t="shared" si="3"/>
        <v>是</v>
      </c>
      <c r="J28" s="313" t="str">
        <f t="shared" si="2"/>
        <v>项</v>
      </c>
    </row>
    <row r="29" ht="18.75" hidden="1" spans="1:10">
      <c r="A29" s="330">
        <v>2070902</v>
      </c>
      <c r="B29" s="327" t="s">
        <v>1318</v>
      </c>
      <c r="C29" s="328">
        <v>0</v>
      </c>
      <c r="D29" s="328"/>
      <c r="E29" s="328"/>
      <c r="F29" s="328">
        <v>0</v>
      </c>
      <c r="G29" s="344" t="str">
        <f t="shared" si="0"/>
        <v/>
      </c>
      <c r="H29" s="344" t="str">
        <f t="shared" si="1"/>
        <v/>
      </c>
      <c r="I29" s="349" t="str">
        <f t="shared" si="3"/>
        <v>否</v>
      </c>
      <c r="J29" s="313" t="str">
        <f t="shared" si="2"/>
        <v>项</v>
      </c>
    </row>
    <row r="30" ht="18.75" spans="1:10">
      <c r="A30" s="330">
        <v>2070903</v>
      </c>
      <c r="B30" s="327" t="s">
        <v>1319</v>
      </c>
      <c r="C30" s="328">
        <v>0</v>
      </c>
      <c r="D30" s="328"/>
      <c r="E30" s="328"/>
      <c r="F30" s="328">
        <v>16</v>
      </c>
      <c r="G30" s="344" t="str">
        <f t="shared" si="0"/>
        <v/>
      </c>
      <c r="H30" s="344" t="str">
        <f t="shared" si="1"/>
        <v/>
      </c>
      <c r="I30" s="349" t="str">
        <f t="shared" si="3"/>
        <v>是</v>
      </c>
      <c r="J30" s="313" t="str">
        <f t="shared" si="2"/>
        <v>项</v>
      </c>
    </row>
    <row r="31" ht="18.75" spans="1:10">
      <c r="A31" s="330">
        <v>2070904</v>
      </c>
      <c r="B31" s="327" t="s">
        <v>1320</v>
      </c>
      <c r="C31" s="328">
        <v>0</v>
      </c>
      <c r="D31" s="328"/>
      <c r="E31" s="328"/>
      <c r="F31" s="328">
        <v>57</v>
      </c>
      <c r="G31" s="344" t="str">
        <f t="shared" si="0"/>
        <v/>
      </c>
      <c r="H31" s="344" t="str">
        <f t="shared" si="1"/>
        <v/>
      </c>
      <c r="I31" s="349" t="str">
        <f t="shared" si="3"/>
        <v>是</v>
      </c>
      <c r="J31" s="313" t="str">
        <f t="shared" si="2"/>
        <v>项</v>
      </c>
    </row>
    <row r="32" ht="18.75" hidden="1" spans="1:10">
      <c r="A32" s="330">
        <v>2070999</v>
      </c>
      <c r="B32" s="327" t="s">
        <v>1321</v>
      </c>
      <c r="C32" s="328">
        <v>0</v>
      </c>
      <c r="D32" s="328"/>
      <c r="E32" s="328"/>
      <c r="F32" s="325">
        <v>0</v>
      </c>
      <c r="G32" s="344" t="str">
        <f t="shared" si="0"/>
        <v/>
      </c>
      <c r="H32" s="344" t="str">
        <f t="shared" si="1"/>
        <v/>
      </c>
      <c r="I32" s="349" t="str">
        <f t="shared" si="3"/>
        <v>否</v>
      </c>
      <c r="J32" s="313" t="str">
        <f t="shared" si="2"/>
        <v>项</v>
      </c>
    </row>
    <row r="33" ht="37.5" hidden="1" spans="1:10">
      <c r="A33" s="330">
        <v>20710</v>
      </c>
      <c r="B33" s="327" t="s">
        <v>1322</v>
      </c>
      <c r="C33" s="325">
        <v>0</v>
      </c>
      <c r="D33" s="325"/>
      <c r="E33" s="325"/>
      <c r="F33" s="325">
        <v>0</v>
      </c>
      <c r="G33" s="343" t="str">
        <f t="shared" si="0"/>
        <v/>
      </c>
      <c r="H33" s="343" t="str">
        <f t="shared" si="1"/>
        <v/>
      </c>
      <c r="I33" s="349" t="str">
        <f t="shared" si="3"/>
        <v>否</v>
      </c>
      <c r="J33" s="313" t="str">
        <f t="shared" si="2"/>
        <v>款</v>
      </c>
    </row>
    <row r="34" ht="18.75" hidden="1" spans="1:10">
      <c r="A34" s="330">
        <v>2071001</v>
      </c>
      <c r="B34" s="327" t="s">
        <v>1323</v>
      </c>
      <c r="C34" s="328">
        <v>0</v>
      </c>
      <c r="D34" s="328"/>
      <c r="E34" s="328"/>
      <c r="F34" s="325">
        <v>0</v>
      </c>
      <c r="G34" s="344" t="str">
        <f t="shared" si="0"/>
        <v/>
      </c>
      <c r="H34" s="344" t="str">
        <f t="shared" si="1"/>
        <v/>
      </c>
      <c r="I34" s="349" t="str">
        <f t="shared" si="3"/>
        <v>否</v>
      </c>
      <c r="J34" s="313" t="str">
        <f t="shared" si="2"/>
        <v>项</v>
      </c>
    </row>
    <row r="35" ht="37.5" hidden="1" spans="1:10">
      <c r="A35" s="330">
        <v>2071099</v>
      </c>
      <c r="B35" s="327" t="s">
        <v>1324</v>
      </c>
      <c r="C35" s="328">
        <v>0</v>
      </c>
      <c r="D35" s="328"/>
      <c r="E35" s="328"/>
      <c r="F35" s="325">
        <v>0</v>
      </c>
      <c r="G35" s="344" t="str">
        <f t="shared" si="0"/>
        <v/>
      </c>
      <c r="H35" s="344" t="str">
        <f t="shared" si="1"/>
        <v/>
      </c>
      <c r="I35" s="349" t="str">
        <f t="shared" si="3"/>
        <v>否</v>
      </c>
      <c r="J35" s="313" t="str">
        <f t="shared" si="2"/>
        <v>项</v>
      </c>
    </row>
    <row r="36" s="308" customFormat="1" ht="18.75" hidden="1" spans="1:10">
      <c r="A36" s="331">
        <v>20798</v>
      </c>
      <c r="B36" s="327" t="s">
        <v>1296</v>
      </c>
      <c r="C36" s="325"/>
      <c r="D36" s="325"/>
      <c r="E36" s="325"/>
      <c r="F36" s="325">
        <v>0</v>
      </c>
      <c r="G36" s="343" t="str">
        <f t="shared" si="0"/>
        <v/>
      </c>
      <c r="H36" s="343" t="str">
        <f t="shared" si="1"/>
        <v/>
      </c>
      <c r="I36" s="349" t="str">
        <f t="shared" si="3"/>
        <v>否</v>
      </c>
      <c r="J36" s="313" t="str">
        <f t="shared" si="2"/>
        <v>款</v>
      </c>
    </row>
    <row r="37" s="308" customFormat="1" ht="18.75" hidden="1" spans="1:10">
      <c r="A37" s="331">
        <v>2079801</v>
      </c>
      <c r="B37" s="327" t="s">
        <v>1325</v>
      </c>
      <c r="C37" s="325"/>
      <c r="D37" s="325"/>
      <c r="E37" s="325"/>
      <c r="F37" s="325">
        <v>0</v>
      </c>
      <c r="G37" s="344" t="str">
        <f t="shared" si="0"/>
        <v/>
      </c>
      <c r="H37" s="344" t="str">
        <f t="shared" si="1"/>
        <v/>
      </c>
      <c r="I37" s="349" t="str">
        <f t="shared" si="3"/>
        <v>否</v>
      </c>
      <c r="J37" s="313" t="str">
        <f t="shared" si="2"/>
        <v>项</v>
      </c>
    </row>
    <row r="38" s="308" customFormat="1" ht="18.75" hidden="1" spans="1:10">
      <c r="A38" s="331">
        <v>2079802</v>
      </c>
      <c r="B38" s="327" t="s">
        <v>1326</v>
      </c>
      <c r="C38" s="325"/>
      <c r="D38" s="325"/>
      <c r="E38" s="325"/>
      <c r="F38" s="325">
        <v>0</v>
      </c>
      <c r="G38" s="344" t="str">
        <f t="shared" si="0"/>
        <v/>
      </c>
      <c r="H38" s="344" t="str">
        <f t="shared" si="1"/>
        <v/>
      </c>
      <c r="I38" s="349" t="str">
        <f t="shared" si="3"/>
        <v>否</v>
      </c>
      <c r="J38" s="313" t="str">
        <f t="shared" si="2"/>
        <v>项</v>
      </c>
    </row>
    <row r="39" s="308" customFormat="1" ht="18.75" hidden="1" spans="1:10">
      <c r="A39" s="331">
        <v>2079803</v>
      </c>
      <c r="B39" s="327" t="s">
        <v>1327</v>
      </c>
      <c r="C39" s="325"/>
      <c r="D39" s="325"/>
      <c r="E39" s="325"/>
      <c r="F39" s="325">
        <v>0</v>
      </c>
      <c r="G39" s="344" t="str">
        <f t="shared" si="0"/>
        <v/>
      </c>
      <c r="H39" s="344" t="str">
        <f t="shared" si="1"/>
        <v/>
      </c>
      <c r="I39" s="349" t="str">
        <f t="shared" si="3"/>
        <v>否</v>
      </c>
      <c r="J39" s="313" t="str">
        <f t="shared" si="2"/>
        <v>项</v>
      </c>
    </row>
    <row r="40" s="308" customFormat="1" ht="18.75" hidden="1" spans="1:10">
      <c r="A40" s="331">
        <v>2079804</v>
      </c>
      <c r="B40" s="327" t="s">
        <v>1328</v>
      </c>
      <c r="C40" s="325"/>
      <c r="D40" s="325"/>
      <c r="E40" s="325"/>
      <c r="F40" s="325">
        <v>0</v>
      </c>
      <c r="G40" s="344" t="str">
        <f t="shared" si="0"/>
        <v/>
      </c>
      <c r="H40" s="344" t="str">
        <f t="shared" si="1"/>
        <v/>
      </c>
      <c r="I40" s="349" t="str">
        <f t="shared" si="3"/>
        <v>否</v>
      </c>
      <c r="J40" s="313" t="str">
        <f t="shared" si="2"/>
        <v>项</v>
      </c>
    </row>
    <row r="41" s="308" customFormat="1" ht="18.75" hidden="1" spans="1:10">
      <c r="A41" s="331">
        <v>2079805</v>
      </c>
      <c r="B41" s="327" t="s">
        <v>1329</v>
      </c>
      <c r="C41" s="325"/>
      <c r="D41" s="325"/>
      <c r="E41" s="325"/>
      <c r="F41" s="325">
        <v>0</v>
      </c>
      <c r="G41" s="344" t="str">
        <f t="shared" si="0"/>
        <v/>
      </c>
      <c r="H41" s="344" t="str">
        <f t="shared" si="1"/>
        <v/>
      </c>
      <c r="I41" s="349" t="str">
        <f t="shared" si="3"/>
        <v>否</v>
      </c>
      <c r="J41" s="313" t="str">
        <f t="shared" si="2"/>
        <v>项</v>
      </c>
    </row>
    <row r="42" s="308" customFormat="1" ht="18.75" hidden="1" spans="1:10">
      <c r="A42" s="331">
        <v>2079899</v>
      </c>
      <c r="B42" s="327" t="s">
        <v>579</v>
      </c>
      <c r="C42" s="325"/>
      <c r="D42" s="325"/>
      <c r="E42" s="325"/>
      <c r="F42" s="325">
        <v>0</v>
      </c>
      <c r="G42" s="344" t="str">
        <f t="shared" si="0"/>
        <v/>
      </c>
      <c r="H42" s="344" t="str">
        <f t="shared" si="1"/>
        <v/>
      </c>
      <c r="I42" s="349" t="str">
        <f t="shared" si="3"/>
        <v>否</v>
      </c>
      <c r="J42" s="313" t="str">
        <f t="shared" si="2"/>
        <v>项</v>
      </c>
    </row>
    <row r="43" s="309" customFormat="1" ht="18.75" spans="1:10">
      <c r="A43" s="332">
        <v>208</v>
      </c>
      <c r="B43" s="333" t="s">
        <v>1330</v>
      </c>
      <c r="C43" s="325">
        <v>0</v>
      </c>
      <c r="D43" s="325"/>
      <c r="E43" s="325"/>
      <c r="F43" s="325">
        <v>0</v>
      </c>
      <c r="G43" s="343" t="str">
        <f t="shared" si="0"/>
        <v/>
      </c>
      <c r="H43" s="343" t="str">
        <f t="shared" si="1"/>
        <v/>
      </c>
      <c r="I43" s="349" t="str">
        <f t="shared" si="3"/>
        <v>是</v>
      </c>
      <c r="J43" s="309" t="str">
        <f t="shared" si="2"/>
        <v>类</v>
      </c>
    </row>
    <row r="44" s="309" customFormat="1" ht="18.75" hidden="1" spans="1:10">
      <c r="A44" s="334">
        <v>20898</v>
      </c>
      <c r="B44" s="335" t="s">
        <v>1331</v>
      </c>
      <c r="C44" s="325">
        <v>0</v>
      </c>
      <c r="D44" s="325"/>
      <c r="E44" s="325"/>
      <c r="F44" s="325">
        <v>0</v>
      </c>
      <c r="G44" s="343" t="str">
        <f t="shared" si="0"/>
        <v/>
      </c>
      <c r="H44" s="343" t="str">
        <f t="shared" si="1"/>
        <v/>
      </c>
      <c r="I44" s="349" t="str">
        <f t="shared" si="3"/>
        <v>否</v>
      </c>
      <c r="J44" s="309" t="str">
        <f t="shared" si="2"/>
        <v>款</v>
      </c>
    </row>
    <row r="45" s="309" customFormat="1" ht="18.75" hidden="1" spans="1:10">
      <c r="A45" s="334">
        <v>2089801</v>
      </c>
      <c r="B45" s="335" t="s">
        <v>1332</v>
      </c>
      <c r="C45" s="328">
        <v>0</v>
      </c>
      <c r="D45" s="328"/>
      <c r="E45" s="328"/>
      <c r="F45" s="325">
        <v>0</v>
      </c>
      <c r="G45" s="344" t="str">
        <f t="shared" si="0"/>
        <v/>
      </c>
      <c r="H45" s="344" t="str">
        <f t="shared" si="1"/>
        <v/>
      </c>
      <c r="I45" s="349" t="str">
        <f t="shared" si="3"/>
        <v>否</v>
      </c>
      <c r="J45" s="309" t="str">
        <f t="shared" si="2"/>
        <v>项</v>
      </c>
    </row>
    <row r="46" s="309" customFormat="1" ht="18.75" hidden="1" spans="1:10">
      <c r="A46" s="334">
        <v>2089802</v>
      </c>
      <c r="B46" s="335" t="s">
        <v>1333</v>
      </c>
      <c r="C46" s="328">
        <v>0</v>
      </c>
      <c r="D46" s="328"/>
      <c r="E46" s="328"/>
      <c r="F46" s="325">
        <v>0</v>
      </c>
      <c r="G46" s="344" t="str">
        <f t="shared" si="0"/>
        <v/>
      </c>
      <c r="H46" s="344" t="str">
        <f t="shared" si="1"/>
        <v/>
      </c>
      <c r="I46" s="349" t="str">
        <f t="shared" si="3"/>
        <v>否</v>
      </c>
      <c r="J46" s="309" t="str">
        <f t="shared" si="2"/>
        <v>项</v>
      </c>
    </row>
    <row r="47" s="309" customFormat="1" ht="18.75" hidden="1" spans="1:10">
      <c r="A47" s="334">
        <v>2089899</v>
      </c>
      <c r="B47" s="335" t="s">
        <v>1334</v>
      </c>
      <c r="C47" s="328">
        <v>0</v>
      </c>
      <c r="D47" s="328"/>
      <c r="E47" s="328"/>
      <c r="F47" s="325">
        <v>0</v>
      </c>
      <c r="G47" s="344" t="str">
        <f t="shared" si="0"/>
        <v/>
      </c>
      <c r="H47" s="344" t="str">
        <f t="shared" si="1"/>
        <v/>
      </c>
      <c r="I47" s="349" t="str">
        <f t="shared" si="3"/>
        <v>否</v>
      </c>
      <c r="J47" s="309" t="str">
        <f t="shared" si="2"/>
        <v>项</v>
      </c>
    </row>
    <row r="48" s="309" customFormat="1" ht="18.75" spans="1:10">
      <c r="A48" s="332">
        <v>210</v>
      </c>
      <c r="B48" s="333" t="s">
        <v>1335</v>
      </c>
      <c r="C48" s="325">
        <v>0</v>
      </c>
      <c r="D48" s="325"/>
      <c r="E48" s="325"/>
      <c r="F48" s="325">
        <v>0</v>
      </c>
      <c r="G48" s="343" t="str">
        <f t="shared" si="0"/>
        <v/>
      </c>
      <c r="H48" s="343" t="str">
        <f t="shared" si="1"/>
        <v/>
      </c>
      <c r="I48" s="349" t="str">
        <f t="shared" si="3"/>
        <v>是</v>
      </c>
      <c r="J48" s="309" t="str">
        <f t="shared" si="2"/>
        <v>类</v>
      </c>
    </row>
    <row r="49" s="309" customFormat="1" ht="18.75" hidden="1" spans="1:10">
      <c r="A49" s="334">
        <v>21098</v>
      </c>
      <c r="B49" s="335" t="s">
        <v>1331</v>
      </c>
      <c r="C49" s="325">
        <v>0</v>
      </c>
      <c r="D49" s="325"/>
      <c r="E49" s="325"/>
      <c r="F49" s="325">
        <v>0</v>
      </c>
      <c r="G49" s="343" t="str">
        <f t="shared" si="0"/>
        <v/>
      </c>
      <c r="H49" s="343" t="str">
        <f t="shared" si="1"/>
        <v/>
      </c>
      <c r="I49" s="349" t="str">
        <f t="shared" si="3"/>
        <v>否</v>
      </c>
      <c r="J49" s="309" t="str">
        <f t="shared" si="2"/>
        <v>款</v>
      </c>
    </row>
    <row r="50" s="309" customFormat="1" ht="18.75" hidden="1" spans="1:10">
      <c r="A50" s="334">
        <v>2109801</v>
      </c>
      <c r="B50" s="335" t="s">
        <v>1336</v>
      </c>
      <c r="C50" s="328">
        <v>0</v>
      </c>
      <c r="D50" s="328"/>
      <c r="E50" s="328"/>
      <c r="F50" s="325">
        <v>0</v>
      </c>
      <c r="G50" s="344" t="str">
        <f t="shared" si="0"/>
        <v/>
      </c>
      <c r="H50" s="344" t="str">
        <f t="shared" si="1"/>
        <v/>
      </c>
      <c r="I50" s="349" t="str">
        <f t="shared" si="3"/>
        <v>否</v>
      </c>
      <c r="J50" s="309" t="str">
        <f t="shared" si="2"/>
        <v>项</v>
      </c>
    </row>
    <row r="51" s="309" customFormat="1" ht="18.75" hidden="1" spans="1:10">
      <c r="A51" s="334">
        <v>2109802</v>
      </c>
      <c r="B51" s="335" t="s">
        <v>1337</v>
      </c>
      <c r="C51" s="328">
        <v>0</v>
      </c>
      <c r="D51" s="328"/>
      <c r="E51" s="328"/>
      <c r="F51" s="325">
        <v>0</v>
      </c>
      <c r="G51" s="344" t="str">
        <f t="shared" si="0"/>
        <v/>
      </c>
      <c r="H51" s="344" t="str">
        <f t="shared" si="1"/>
        <v/>
      </c>
      <c r="I51" s="349" t="str">
        <f t="shared" si="3"/>
        <v>否</v>
      </c>
      <c r="J51" s="309" t="str">
        <f t="shared" si="2"/>
        <v>项</v>
      </c>
    </row>
    <row r="52" s="309" customFormat="1" ht="18.75" hidden="1" spans="1:10">
      <c r="A52" s="334">
        <v>2109803</v>
      </c>
      <c r="B52" s="335" t="s">
        <v>1338</v>
      </c>
      <c r="C52" s="328">
        <v>0</v>
      </c>
      <c r="D52" s="328"/>
      <c r="E52" s="328"/>
      <c r="F52" s="325">
        <v>0</v>
      </c>
      <c r="G52" s="344" t="str">
        <f t="shared" si="0"/>
        <v/>
      </c>
      <c r="H52" s="344" t="str">
        <f t="shared" si="1"/>
        <v/>
      </c>
      <c r="I52" s="349" t="str">
        <f t="shared" si="3"/>
        <v>否</v>
      </c>
      <c r="J52" s="309" t="str">
        <f t="shared" si="2"/>
        <v>项</v>
      </c>
    </row>
    <row r="53" s="309" customFormat="1" ht="18.75" hidden="1" spans="1:10">
      <c r="A53" s="336">
        <v>2109804</v>
      </c>
      <c r="B53" s="337" t="s">
        <v>1339</v>
      </c>
      <c r="C53" s="328">
        <v>0</v>
      </c>
      <c r="D53" s="328"/>
      <c r="E53" s="328"/>
      <c r="F53" s="325">
        <v>0</v>
      </c>
      <c r="G53" s="344" t="str">
        <f t="shared" si="0"/>
        <v/>
      </c>
      <c r="H53" s="344" t="str">
        <f t="shared" si="1"/>
        <v/>
      </c>
      <c r="I53" s="349" t="str">
        <f t="shared" si="3"/>
        <v>否</v>
      </c>
      <c r="J53" s="309" t="str">
        <f t="shared" si="2"/>
        <v>项</v>
      </c>
    </row>
    <row r="54" s="309" customFormat="1" ht="18.75" hidden="1" spans="1:10">
      <c r="A54" s="334">
        <v>2109899</v>
      </c>
      <c r="B54" s="338" t="s">
        <v>1340</v>
      </c>
      <c r="C54" s="328">
        <v>0</v>
      </c>
      <c r="D54" s="328"/>
      <c r="E54" s="328"/>
      <c r="F54" s="325">
        <v>0</v>
      </c>
      <c r="G54" s="344" t="str">
        <f t="shared" si="0"/>
        <v/>
      </c>
      <c r="H54" s="344" t="str">
        <f t="shared" si="1"/>
        <v/>
      </c>
      <c r="I54" s="349" t="str">
        <f t="shared" si="3"/>
        <v>否</v>
      </c>
      <c r="J54" s="309" t="str">
        <f t="shared" si="2"/>
        <v>项</v>
      </c>
    </row>
    <row r="55" ht="18.75" spans="1:10">
      <c r="A55" s="329">
        <v>211</v>
      </c>
      <c r="B55" s="324" t="s">
        <v>1341</v>
      </c>
      <c r="C55" s="325">
        <v>0</v>
      </c>
      <c r="D55" s="325"/>
      <c r="E55" s="325"/>
      <c r="F55" s="325">
        <v>0</v>
      </c>
      <c r="G55" s="343" t="str">
        <f t="shared" si="0"/>
        <v/>
      </c>
      <c r="H55" s="343" t="str">
        <f t="shared" si="1"/>
        <v/>
      </c>
      <c r="I55" s="349" t="str">
        <f t="shared" si="3"/>
        <v>是</v>
      </c>
      <c r="J55" s="313" t="str">
        <f t="shared" si="2"/>
        <v>类</v>
      </c>
    </row>
    <row r="56" ht="18.75" hidden="1" spans="1:10">
      <c r="A56" s="330">
        <v>21160</v>
      </c>
      <c r="B56" s="327" t="s">
        <v>1342</v>
      </c>
      <c r="C56" s="325">
        <v>0</v>
      </c>
      <c r="D56" s="325"/>
      <c r="E56" s="325"/>
      <c r="F56" s="325">
        <v>0</v>
      </c>
      <c r="G56" s="343" t="str">
        <f t="shared" si="0"/>
        <v/>
      </c>
      <c r="H56" s="343" t="str">
        <f t="shared" si="1"/>
        <v/>
      </c>
      <c r="I56" s="349" t="str">
        <f t="shared" si="3"/>
        <v>否</v>
      </c>
      <c r="J56" s="313" t="str">
        <f t="shared" si="2"/>
        <v>款</v>
      </c>
    </row>
    <row r="57" ht="18.75" hidden="1" spans="1:10">
      <c r="A57" s="339">
        <v>2116001</v>
      </c>
      <c r="B57" s="327" t="s">
        <v>1343</v>
      </c>
      <c r="C57" s="328">
        <v>0</v>
      </c>
      <c r="D57" s="328"/>
      <c r="E57" s="328"/>
      <c r="F57" s="325">
        <v>0</v>
      </c>
      <c r="G57" s="344" t="str">
        <f t="shared" si="0"/>
        <v/>
      </c>
      <c r="H57" s="344" t="str">
        <f t="shared" si="1"/>
        <v/>
      </c>
      <c r="I57" s="349" t="str">
        <f t="shared" si="3"/>
        <v>否</v>
      </c>
      <c r="J57" s="313" t="str">
        <f t="shared" si="2"/>
        <v>项</v>
      </c>
    </row>
    <row r="58" ht="18.75" hidden="1" spans="1:10">
      <c r="A58" s="339">
        <v>2116002</v>
      </c>
      <c r="B58" s="327" t="s">
        <v>1344</v>
      </c>
      <c r="C58" s="328">
        <v>0</v>
      </c>
      <c r="D58" s="328"/>
      <c r="E58" s="328"/>
      <c r="F58" s="325">
        <v>0</v>
      </c>
      <c r="G58" s="344" t="str">
        <f t="shared" si="0"/>
        <v/>
      </c>
      <c r="H58" s="344" t="str">
        <f t="shared" si="1"/>
        <v/>
      </c>
      <c r="I58" s="349" t="str">
        <f t="shared" si="3"/>
        <v>否</v>
      </c>
      <c r="J58" s="313" t="str">
        <f t="shared" si="2"/>
        <v>项</v>
      </c>
    </row>
    <row r="59" ht="18.75" hidden="1" spans="1:10">
      <c r="A59" s="339">
        <v>2116003</v>
      </c>
      <c r="B59" s="327" t="s">
        <v>1345</v>
      </c>
      <c r="C59" s="328">
        <v>0</v>
      </c>
      <c r="D59" s="328"/>
      <c r="E59" s="328"/>
      <c r="F59" s="325">
        <v>0</v>
      </c>
      <c r="G59" s="344" t="str">
        <f t="shared" si="0"/>
        <v/>
      </c>
      <c r="H59" s="344" t="str">
        <f t="shared" si="1"/>
        <v/>
      </c>
      <c r="I59" s="349" t="str">
        <f t="shared" si="3"/>
        <v>否</v>
      </c>
      <c r="J59" s="313" t="str">
        <f t="shared" si="2"/>
        <v>项</v>
      </c>
    </row>
    <row r="60" s="310" customFormat="1" ht="37.5" hidden="1" spans="1:10">
      <c r="A60" s="339">
        <v>2116099</v>
      </c>
      <c r="B60" s="327" t="s">
        <v>1346</v>
      </c>
      <c r="C60" s="328">
        <v>0</v>
      </c>
      <c r="D60" s="328"/>
      <c r="E60" s="328"/>
      <c r="F60" s="325">
        <v>0</v>
      </c>
      <c r="G60" s="344" t="str">
        <f t="shared" si="0"/>
        <v/>
      </c>
      <c r="H60" s="344" t="str">
        <f t="shared" si="1"/>
        <v/>
      </c>
      <c r="I60" s="349" t="str">
        <f t="shared" si="3"/>
        <v>否</v>
      </c>
      <c r="J60" s="313" t="str">
        <f t="shared" si="2"/>
        <v>项</v>
      </c>
    </row>
    <row r="61" ht="18.75" hidden="1" spans="1:10">
      <c r="A61" s="339">
        <v>21161</v>
      </c>
      <c r="B61" s="327" t="s">
        <v>1347</v>
      </c>
      <c r="C61" s="325">
        <v>0</v>
      </c>
      <c r="D61" s="325"/>
      <c r="E61" s="325"/>
      <c r="F61" s="325">
        <v>0</v>
      </c>
      <c r="G61" s="343" t="str">
        <f t="shared" si="0"/>
        <v/>
      </c>
      <c r="H61" s="343" t="str">
        <f t="shared" si="1"/>
        <v/>
      </c>
      <c r="I61" s="349" t="str">
        <f t="shared" si="3"/>
        <v>否</v>
      </c>
      <c r="J61" s="313" t="str">
        <f t="shared" si="2"/>
        <v>款</v>
      </c>
    </row>
    <row r="62" ht="18.75" hidden="1" spans="1:10">
      <c r="A62" s="339">
        <v>2116101</v>
      </c>
      <c r="B62" s="327" t="s">
        <v>1348</v>
      </c>
      <c r="C62" s="328">
        <v>0</v>
      </c>
      <c r="D62" s="328"/>
      <c r="E62" s="328"/>
      <c r="F62" s="325">
        <v>0</v>
      </c>
      <c r="G62" s="344" t="str">
        <f t="shared" si="0"/>
        <v/>
      </c>
      <c r="H62" s="344" t="str">
        <f t="shared" si="1"/>
        <v/>
      </c>
      <c r="I62" s="349" t="str">
        <f t="shared" si="3"/>
        <v>否</v>
      </c>
      <c r="J62" s="313" t="str">
        <f t="shared" si="2"/>
        <v>项</v>
      </c>
    </row>
    <row r="63" ht="18.75" hidden="1" spans="1:10">
      <c r="A63" s="339">
        <v>2116102</v>
      </c>
      <c r="B63" s="327" t="s">
        <v>1349</v>
      </c>
      <c r="C63" s="328">
        <v>0</v>
      </c>
      <c r="D63" s="328"/>
      <c r="E63" s="328"/>
      <c r="F63" s="325">
        <v>0</v>
      </c>
      <c r="G63" s="344" t="str">
        <f t="shared" si="0"/>
        <v/>
      </c>
      <c r="H63" s="344" t="str">
        <f t="shared" si="1"/>
        <v/>
      </c>
      <c r="I63" s="349" t="str">
        <f t="shared" si="3"/>
        <v>否</v>
      </c>
      <c r="J63" s="313" t="str">
        <f t="shared" si="2"/>
        <v>项</v>
      </c>
    </row>
    <row r="64" ht="18.75" hidden="1" spans="1:10">
      <c r="A64" s="339">
        <v>2116103</v>
      </c>
      <c r="B64" s="327" t="s">
        <v>1350</v>
      </c>
      <c r="C64" s="328">
        <v>0</v>
      </c>
      <c r="D64" s="328"/>
      <c r="E64" s="328"/>
      <c r="F64" s="325">
        <v>0</v>
      </c>
      <c r="G64" s="344" t="str">
        <f t="shared" si="0"/>
        <v/>
      </c>
      <c r="H64" s="344" t="str">
        <f t="shared" si="1"/>
        <v/>
      </c>
      <c r="I64" s="349" t="str">
        <f t="shared" si="3"/>
        <v>否</v>
      </c>
      <c r="J64" s="313" t="str">
        <f t="shared" si="2"/>
        <v>项</v>
      </c>
    </row>
    <row r="65" ht="18.75" hidden="1" spans="1:10">
      <c r="A65" s="339">
        <v>2116104</v>
      </c>
      <c r="B65" s="327" t="s">
        <v>1351</v>
      </c>
      <c r="C65" s="328">
        <v>0</v>
      </c>
      <c r="D65" s="328"/>
      <c r="E65" s="328"/>
      <c r="F65" s="325">
        <v>0</v>
      </c>
      <c r="G65" s="344" t="str">
        <f t="shared" si="0"/>
        <v/>
      </c>
      <c r="H65" s="344" t="str">
        <f t="shared" si="1"/>
        <v/>
      </c>
      <c r="I65" s="349" t="str">
        <f t="shared" si="3"/>
        <v>否</v>
      </c>
      <c r="J65" s="313" t="str">
        <f t="shared" si="2"/>
        <v>项</v>
      </c>
    </row>
    <row r="66" s="309" customFormat="1" ht="18.75" hidden="1" spans="1:10">
      <c r="A66" s="334">
        <v>21198</v>
      </c>
      <c r="B66" s="338" t="s">
        <v>1331</v>
      </c>
      <c r="C66" s="325">
        <v>0</v>
      </c>
      <c r="D66" s="325"/>
      <c r="E66" s="325"/>
      <c r="F66" s="325">
        <v>0</v>
      </c>
      <c r="G66" s="343" t="str">
        <f t="shared" si="0"/>
        <v/>
      </c>
      <c r="H66" s="343" t="str">
        <f t="shared" si="1"/>
        <v/>
      </c>
      <c r="I66" s="349" t="str">
        <f t="shared" si="3"/>
        <v>否</v>
      </c>
      <c r="J66" s="309" t="str">
        <f t="shared" si="2"/>
        <v>款</v>
      </c>
    </row>
    <row r="67" s="309" customFormat="1" ht="18.75" hidden="1" spans="1:10">
      <c r="A67" s="334">
        <v>2119801</v>
      </c>
      <c r="B67" s="338" t="s">
        <v>1352</v>
      </c>
      <c r="C67" s="328">
        <v>0</v>
      </c>
      <c r="D67" s="328"/>
      <c r="E67" s="328"/>
      <c r="F67" s="325">
        <v>0</v>
      </c>
      <c r="G67" s="344" t="str">
        <f t="shared" si="0"/>
        <v/>
      </c>
      <c r="H67" s="344" t="str">
        <f t="shared" si="1"/>
        <v/>
      </c>
      <c r="I67" s="349" t="str">
        <f t="shared" si="3"/>
        <v>否</v>
      </c>
      <c r="J67" s="309" t="str">
        <f t="shared" si="2"/>
        <v>项</v>
      </c>
    </row>
    <row r="68" s="309" customFormat="1" ht="18.75" hidden="1" spans="1:10">
      <c r="A68" s="334">
        <v>2119802</v>
      </c>
      <c r="B68" s="338" t="s">
        <v>1353</v>
      </c>
      <c r="C68" s="328">
        <v>0</v>
      </c>
      <c r="D68" s="328"/>
      <c r="E68" s="328"/>
      <c r="F68" s="325">
        <v>0</v>
      </c>
      <c r="G68" s="344" t="str">
        <f t="shared" si="0"/>
        <v/>
      </c>
      <c r="H68" s="344" t="str">
        <f t="shared" si="1"/>
        <v/>
      </c>
      <c r="I68" s="349" t="str">
        <f t="shared" si="3"/>
        <v>否</v>
      </c>
      <c r="J68" s="309" t="str">
        <f t="shared" si="2"/>
        <v>项</v>
      </c>
    </row>
    <row r="69" s="309" customFormat="1" ht="18.75" hidden="1" spans="1:10">
      <c r="A69" s="334">
        <v>2119803</v>
      </c>
      <c r="B69" s="338" t="s">
        <v>1354</v>
      </c>
      <c r="C69" s="328">
        <v>0</v>
      </c>
      <c r="D69" s="328"/>
      <c r="E69" s="328"/>
      <c r="F69" s="325">
        <v>0</v>
      </c>
      <c r="G69" s="344" t="str">
        <f t="shared" ref="G69:G132" si="4">IFERROR((F69-C69)/C69,"")</f>
        <v/>
      </c>
      <c r="H69" s="344" t="str">
        <f t="shared" ref="H69:H132" si="5">IFERROR(F69/D69,"")</f>
        <v/>
      </c>
      <c r="I69" s="349" t="str">
        <f t="shared" si="3"/>
        <v>否</v>
      </c>
      <c r="J69" s="309" t="str">
        <f t="shared" ref="J69:J132" si="6">IF(LEN(A69)=3,"类",IF(LEN(A69)=5,"款","项"))</f>
        <v>项</v>
      </c>
    </row>
    <row r="70" s="309" customFormat="1" ht="18.75" hidden="1" spans="1:10">
      <c r="A70" s="334">
        <v>2119899</v>
      </c>
      <c r="B70" s="338" t="s">
        <v>1355</v>
      </c>
      <c r="C70" s="328">
        <v>0</v>
      </c>
      <c r="D70" s="328"/>
      <c r="E70" s="328"/>
      <c r="F70" s="325">
        <v>0</v>
      </c>
      <c r="G70" s="344" t="str">
        <f t="shared" si="4"/>
        <v/>
      </c>
      <c r="H70" s="344" t="str">
        <f t="shared" si="5"/>
        <v/>
      </c>
      <c r="I70" s="349" t="str">
        <f t="shared" ref="I70:I133" si="7">IF(LEN(A70)=3,"是",IF(B70&lt;&gt;"",IF(SUM(C70:F70)&lt;&gt;0,"是","否"),"是"))</f>
        <v>否</v>
      </c>
      <c r="J70" s="309" t="str">
        <f t="shared" si="6"/>
        <v>项</v>
      </c>
    </row>
    <row r="71" ht="18.75" spans="1:10">
      <c r="A71" s="329">
        <v>212</v>
      </c>
      <c r="B71" s="324" t="s">
        <v>1356</v>
      </c>
      <c r="C71" s="325">
        <v>6239</v>
      </c>
      <c r="D71" s="325">
        <f>D72+D88+D92+D93+D99+D103+D107+D111+D117+D120+D129</f>
        <v>12712</v>
      </c>
      <c r="E71" s="325">
        <f>E72+E88+E92+E93+E99+E103+E107+E111+E117+E120+E129</f>
        <v>12712</v>
      </c>
      <c r="F71" s="325">
        <f>F72+F88+F92+F93+F99+F103+F107+F111+F117+F120+F129</f>
        <v>2255</v>
      </c>
      <c r="G71" s="343">
        <f t="shared" si="4"/>
        <v>-0.638563872415451</v>
      </c>
      <c r="H71" s="343">
        <f t="shared" si="5"/>
        <v>0.177391441157961</v>
      </c>
      <c r="I71" s="349" t="str">
        <f t="shared" si="7"/>
        <v>是</v>
      </c>
      <c r="J71" s="313" t="str">
        <f t="shared" si="6"/>
        <v>类</v>
      </c>
    </row>
    <row r="72" ht="18.75" spans="1:10">
      <c r="A72" s="330">
        <v>21208</v>
      </c>
      <c r="B72" s="327" t="s">
        <v>1357</v>
      </c>
      <c r="C72" s="325">
        <v>1572</v>
      </c>
      <c r="D72" s="325">
        <f>SUM(D73:D87)</f>
        <v>10499</v>
      </c>
      <c r="E72" s="325">
        <f>SUM(E73:E87)</f>
        <v>10499</v>
      </c>
      <c r="F72" s="325">
        <f>SUM(F73:F87)</f>
        <v>2255</v>
      </c>
      <c r="G72" s="343">
        <f t="shared" si="4"/>
        <v>0.434478371501272</v>
      </c>
      <c r="H72" s="343">
        <f t="shared" si="5"/>
        <v>0.214782360224783</v>
      </c>
      <c r="I72" s="349" t="str">
        <f t="shared" si="7"/>
        <v>是</v>
      </c>
      <c r="J72" s="313" t="str">
        <f t="shared" si="6"/>
        <v>款</v>
      </c>
    </row>
    <row r="73" ht="18.75" hidden="1" spans="1:10">
      <c r="A73" s="330">
        <v>2120801</v>
      </c>
      <c r="B73" s="327" t="s">
        <v>1358</v>
      </c>
      <c r="C73" s="328">
        <v>0</v>
      </c>
      <c r="D73" s="328"/>
      <c r="E73" s="328"/>
      <c r="F73" s="325">
        <v>0</v>
      </c>
      <c r="G73" s="344" t="str">
        <f t="shared" si="4"/>
        <v/>
      </c>
      <c r="H73" s="344" t="str">
        <f t="shared" si="5"/>
        <v/>
      </c>
      <c r="I73" s="349" t="str">
        <f t="shared" si="7"/>
        <v>否</v>
      </c>
      <c r="J73" s="313" t="str">
        <f t="shared" si="6"/>
        <v>项</v>
      </c>
    </row>
    <row r="74" ht="18.75" spans="1:10">
      <c r="A74" s="330">
        <v>2120802</v>
      </c>
      <c r="B74" s="327" t="s">
        <v>1359</v>
      </c>
      <c r="C74" s="328">
        <v>800</v>
      </c>
      <c r="D74" s="328">
        <v>8649</v>
      </c>
      <c r="E74" s="328">
        <v>8649</v>
      </c>
      <c r="F74" s="328">
        <v>2200</v>
      </c>
      <c r="G74" s="344">
        <f t="shared" si="4"/>
        <v>1.75</v>
      </c>
      <c r="H74" s="344">
        <f t="shared" si="5"/>
        <v>0.254364666435426</v>
      </c>
      <c r="I74" s="349" t="str">
        <f t="shared" si="7"/>
        <v>是</v>
      </c>
      <c r="J74" s="313" t="str">
        <f t="shared" si="6"/>
        <v>项</v>
      </c>
    </row>
    <row r="75" ht="18.75" hidden="1" spans="1:10">
      <c r="A75" s="330">
        <v>2120803</v>
      </c>
      <c r="B75" s="327" t="s">
        <v>1360</v>
      </c>
      <c r="C75" s="328">
        <v>0</v>
      </c>
      <c r="D75" s="328"/>
      <c r="E75" s="328"/>
      <c r="F75" s="328">
        <v>0</v>
      </c>
      <c r="G75" s="344" t="str">
        <f t="shared" si="4"/>
        <v/>
      </c>
      <c r="H75" s="344" t="str">
        <f t="shared" si="5"/>
        <v/>
      </c>
      <c r="I75" s="349" t="str">
        <f t="shared" si="7"/>
        <v>否</v>
      </c>
      <c r="J75" s="313" t="str">
        <f t="shared" si="6"/>
        <v>项</v>
      </c>
    </row>
    <row r="76" ht="18.75" hidden="1" spans="1:10">
      <c r="A76" s="330">
        <v>2120804</v>
      </c>
      <c r="B76" s="327" t="s">
        <v>1361</v>
      </c>
      <c r="C76" s="328">
        <v>0</v>
      </c>
      <c r="D76" s="328"/>
      <c r="E76" s="328"/>
      <c r="F76" s="328">
        <v>0</v>
      </c>
      <c r="G76" s="344" t="str">
        <f t="shared" si="4"/>
        <v/>
      </c>
      <c r="H76" s="344" t="str">
        <f t="shared" si="5"/>
        <v/>
      </c>
      <c r="I76" s="349" t="str">
        <f t="shared" si="7"/>
        <v>否</v>
      </c>
      <c r="J76" s="313" t="str">
        <f t="shared" si="6"/>
        <v>项</v>
      </c>
    </row>
    <row r="77" ht="18.75" hidden="1" spans="1:10">
      <c r="A77" s="330">
        <v>2120805</v>
      </c>
      <c r="B77" s="327" t="s">
        <v>1362</v>
      </c>
      <c r="C77" s="328">
        <v>0</v>
      </c>
      <c r="D77" s="328"/>
      <c r="E77" s="328"/>
      <c r="F77" s="328">
        <v>0</v>
      </c>
      <c r="G77" s="344" t="str">
        <f t="shared" si="4"/>
        <v/>
      </c>
      <c r="H77" s="344" t="str">
        <f t="shared" si="5"/>
        <v/>
      </c>
      <c r="I77" s="349" t="str">
        <f t="shared" si="7"/>
        <v>否</v>
      </c>
      <c r="J77" s="313" t="str">
        <f t="shared" si="6"/>
        <v>项</v>
      </c>
    </row>
    <row r="78" ht="18.75" spans="1:10">
      <c r="A78" s="330">
        <v>2120806</v>
      </c>
      <c r="B78" s="327" t="s">
        <v>1363</v>
      </c>
      <c r="C78" s="328">
        <v>98</v>
      </c>
      <c r="D78" s="328">
        <v>150</v>
      </c>
      <c r="E78" s="328">
        <v>150</v>
      </c>
      <c r="F78" s="328">
        <v>55</v>
      </c>
      <c r="G78" s="344">
        <f t="shared" si="4"/>
        <v>-0.438775510204082</v>
      </c>
      <c r="H78" s="344">
        <f t="shared" si="5"/>
        <v>0.366666666666667</v>
      </c>
      <c r="I78" s="349" t="str">
        <f t="shared" si="7"/>
        <v>是</v>
      </c>
      <c r="J78" s="313" t="str">
        <f t="shared" si="6"/>
        <v>项</v>
      </c>
    </row>
    <row r="79" ht="18.75" hidden="1" spans="1:10">
      <c r="A79" s="330">
        <v>2120807</v>
      </c>
      <c r="B79" s="327" t="s">
        <v>1364</v>
      </c>
      <c r="C79" s="328">
        <v>0</v>
      </c>
      <c r="D79" s="328"/>
      <c r="E79" s="328"/>
      <c r="F79" s="328">
        <v>0</v>
      </c>
      <c r="G79" s="344" t="str">
        <f t="shared" si="4"/>
        <v/>
      </c>
      <c r="H79" s="344" t="str">
        <f t="shared" si="5"/>
        <v/>
      </c>
      <c r="I79" s="349" t="str">
        <f t="shared" si="7"/>
        <v>否</v>
      </c>
      <c r="J79" s="313" t="str">
        <f t="shared" si="6"/>
        <v>项</v>
      </c>
    </row>
    <row r="80" ht="18.75" hidden="1" spans="1:10">
      <c r="A80" s="330">
        <v>2120809</v>
      </c>
      <c r="B80" s="327" t="s">
        <v>1365</v>
      </c>
      <c r="C80" s="328">
        <v>0</v>
      </c>
      <c r="D80" s="328"/>
      <c r="E80" s="328"/>
      <c r="F80" s="328">
        <v>0</v>
      </c>
      <c r="G80" s="344" t="str">
        <f t="shared" si="4"/>
        <v/>
      </c>
      <c r="H80" s="344" t="str">
        <f t="shared" si="5"/>
        <v/>
      </c>
      <c r="I80" s="349" t="str">
        <f t="shared" si="7"/>
        <v>否</v>
      </c>
      <c r="J80" s="313" t="str">
        <f t="shared" si="6"/>
        <v>项</v>
      </c>
    </row>
    <row r="81" ht="18.75" hidden="1" spans="1:10">
      <c r="A81" s="330">
        <v>2120810</v>
      </c>
      <c r="B81" s="327" t="s">
        <v>1366</v>
      </c>
      <c r="C81" s="328">
        <v>0</v>
      </c>
      <c r="D81" s="328"/>
      <c r="E81" s="328"/>
      <c r="F81" s="328">
        <v>0</v>
      </c>
      <c r="G81" s="344" t="str">
        <f t="shared" si="4"/>
        <v/>
      </c>
      <c r="H81" s="344" t="str">
        <f t="shared" si="5"/>
        <v/>
      </c>
      <c r="I81" s="349" t="str">
        <f t="shared" si="7"/>
        <v>否</v>
      </c>
      <c r="J81" s="313" t="str">
        <f t="shared" si="6"/>
        <v>项</v>
      </c>
    </row>
    <row r="82" ht="18.75" hidden="1" spans="1:10">
      <c r="A82" s="330">
        <v>2120811</v>
      </c>
      <c r="B82" s="327" t="s">
        <v>1367</v>
      </c>
      <c r="C82" s="328">
        <v>0</v>
      </c>
      <c r="D82" s="328"/>
      <c r="E82" s="328"/>
      <c r="F82" s="328">
        <v>0</v>
      </c>
      <c r="G82" s="344" t="str">
        <f t="shared" si="4"/>
        <v/>
      </c>
      <c r="H82" s="344" t="str">
        <f t="shared" si="5"/>
        <v/>
      </c>
      <c r="I82" s="349" t="str">
        <f t="shared" si="7"/>
        <v>否</v>
      </c>
      <c r="J82" s="313" t="str">
        <f t="shared" si="6"/>
        <v>项</v>
      </c>
    </row>
    <row r="83" ht="18.75" hidden="1" spans="1:10">
      <c r="A83" s="330">
        <v>2120813</v>
      </c>
      <c r="B83" s="327" t="s">
        <v>1368</v>
      </c>
      <c r="C83" s="328">
        <v>0</v>
      </c>
      <c r="D83" s="328"/>
      <c r="E83" s="328"/>
      <c r="F83" s="328">
        <v>0</v>
      </c>
      <c r="G83" s="344" t="str">
        <f t="shared" si="4"/>
        <v/>
      </c>
      <c r="H83" s="344" t="str">
        <f t="shared" si="5"/>
        <v/>
      </c>
      <c r="I83" s="349" t="str">
        <f t="shared" si="7"/>
        <v>否</v>
      </c>
      <c r="J83" s="313" t="str">
        <f t="shared" si="6"/>
        <v>项</v>
      </c>
    </row>
    <row r="84" ht="18.75" spans="1:10">
      <c r="A84" s="330">
        <v>2120814</v>
      </c>
      <c r="B84" s="350" t="s">
        <v>1369</v>
      </c>
      <c r="C84" s="328">
        <v>674</v>
      </c>
      <c r="D84" s="328">
        <v>1200</v>
      </c>
      <c r="E84" s="328">
        <v>1200</v>
      </c>
      <c r="F84" s="328">
        <v>0</v>
      </c>
      <c r="G84" s="344">
        <f t="shared" si="4"/>
        <v>-1</v>
      </c>
      <c r="H84" s="344">
        <f t="shared" si="5"/>
        <v>0</v>
      </c>
      <c r="I84" s="349" t="str">
        <f t="shared" si="7"/>
        <v>是</v>
      </c>
      <c r="J84" s="313" t="str">
        <f t="shared" si="6"/>
        <v>项</v>
      </c>
    </row>
    <row r="85" ht="18.75" spans="1:10">
      <c r="A85" s="330">
        <v>2120815</v>
      </c>
      <c r="B85" s="350" t="s">
        <v>1370</v>
      </c>
      <c r="C85" s="328">
        <v>0</v>
      </c>
      <c r="D85" s="328">
        <v>500</v>
      </c>
      <c r="E85" s="328">
        <v>500</v>
      </c>
      <c r="F85" s="328">
        <v>0</v>
      </c>
      <c r="G85" s="344" t="str">
        <f t="shared" si="4"/>
        <v/>
      </c>
      <c r="H85" s="344">
        <f t="shared" si="5"/>
        <v>0</v>
      </c>
      <c r="I85" s="349" t="str">
        <f t="shared" si="7"/>
        <v>是</v>
      </c>
      <c r="J85" s="313" t="str">
        <f t="shared" si="6"/>
        <v>项</v>
      </c>
    </row>
    <row r="86" ht="18.75" hidden="1" spans="1:10">
      <c r="A86" s="330">
        <v>2120816</v>
      </c>
      <c r="B86" s="350" t="s">
        <v>1371</v>
      </c>
      <c r="C86" s="328">
        <v>0</v>
      </c>
      <c r="D86" s="328"/>
      <c r="E86" s="328"/>
      <c r="F86" s="328">
        <v>0</v>
      </c>
      <c r="G86" s="344" t="str">
        <f t="shared" si="4"/>
        <v/>
      </c>
      <c r="H86" s="344" t="str">
        <f t="shared" si="5"/>
        <v/>
      </c>
      <c r="I86" s="349" t="str">
        <f t="shared" si="7"/>
        <v>否</v>
      </c>
      <c r="J86" s="313" t="str">
        <f t="shared" si="6"/>
        <v>项</v>
      </c>
    </row>
    <row r="87" ht="37.5" hidden="1" spans="1:10">
      <c r="A87" s="330">
        <v>2120899</v>
      </c>
      <c r="B87" s="327" t="s">
        <v>1372</v>
      </c>
      <c r="C87" s="328">
        <v>0</v>
      </c>
      <c r="D87" s="328"/>
      <c r="E87" s="328"/>
      <c r="F87" s="328">
        <v>0</v>
      </c>
      <c r="G87" s="344" t="str">
        <f t="shared" si="4"/>
        <v/>
      </c>
      <c r="H87" s="344" t="str">
        <f t="shared" si="5"/>
        <v/>
      </c>
      <c r="I87" s="349" t="str">
        <f t="shared" si="7"/>
        <v>否</v>
      </c>
      <c r="J87" s="313" t="str">
        <f t="shared" si="6"/>
        <v>项</v>
      </c>
    </row>
    <row r="88" ht="18.75" hidden="1" spans="1:10">
      <c r="A88" s="330">
        <v>21210</v>
      </c>
      <c r="B88" s="327" t="s">
        <v>1373</v>
      </c>
      <c r="C88" s="325">
        <v>0</v>
      </c>
      <c r="D88" s="325"/>
      <c r="E88" s="325"/>
      <c r="F88" s="325">
        <v>0</v>
      </c>
      <c r="G88" s="343" t="str">
        <f t="shared" si="4"/>
        <v/>
      </c>
      <c r="H88" s="343" t="str">
        <f t="shared" si="5"/>
        <v/>
      </c>
      <c r="I88" s="349" t="str">
        <f t="shared" si="7"/>
        <v>否</v>
      </c>
      <c r="J88" s="313" t="str">
        <f t="shared" si="6"/>
        <v>款</v>
      </c>
    </row>
    <row r="89" ht="18.75" hidden="1" spans="1:10">
      <c r="A89" s="330">
        <v>2121001</v>
      </c>
      <c r="B89" s="327" t="s">
        <v>1358</v>
      </c>
      <c r="C89" s="328">
        <v>0</v>
      </c>
      <c r="D89" s="328"/>
      <c r="E89" s="328"/>
      <c r="F89" s="325">
        <v>0</v>
      </c>
      <c r="G89" s="344" t="str">
        <f t="shared" si="4"/>
        <v/>
      </c>
      <c r="H89" s="344" t="str">
        <f t="shared" si="5"/>
        <v/>
      </c>
      <c r="I89" s="349" t="str">
        <f t="shared" si="7"/>
        <v>否</v>
      </c>
      <c r="J89" s="313" t="str">
        <f t="shared" si="6"/>
        <v>项</v>
      </c>
    </row>
    <row r="90" ht="18.75" hidden="1" spans="1:10">
      <c r="A90" s="330">
        <v>2121002</v>
      </c>
      <c r="B90" s="327" t="s">
        <v>1359</v>
      </c>
      <c r="C90" s="328">
        <v>0</v>
      </c>
      <c r="D90" s="328"/>
      <c r="E90" s="328"/>
      <c r="F90" s="325">
        <v>0</v>
      </c>
      <c r="G90" s="344" t="str">
        <f t="shared" si="4"/>
        <v/>
      </c>
      <c r="H90" s="344" t="str">
        <f t="shared" si="5"/>
        <v/>
      </c>
      <c r="I90" s="349" t="str">
        <f t="shared" si="7"/>
        <v>否</v>
      </c>
      <c r="J90" s="313" t="str">
        <f t="shared" si="6"/>
        <v>项</v>
      </c>
    </row>
    <row r="91" ht="18.75" hidden="1" spans="1:10">
      <c r="A91" s="330">
        <v>2121099</v>
      </c>
      <c r="B91" s="327" t="s">
        <v>1374</v>
      </c>
      <c r="C91" s="328">
        <v>0</v>
      </c>
      <c r="D91" s="328"/>
      <c r="E91" s="328"/>
      <c r="F91" s="325">
        <v>0</v>
      </c>
      <c r="G91" s="344" t="str">
        <f t="shared" si="4"/>
        <v/>
      </c>
      <c r="H91" s="344" t="str">
        <f t="shared" si="5"/>
        <v/>
      </c>
      <c r="I91" s="349" t="str">
        <f t="shared" si="7"/>
        <v>否</v>
      </c>
      <c r="J91" s="313" t="str">
        <f t="shared" si="6"/>
        <v>项</v>
      </c>
    </row>
    <row r="92" ht="18.75" hidden="1" spans="1:10">
      <c r="A92" s="330">
        <v>21211</v>
      </c>
      <c r="B92" s="327" t="s">
        <v>1375</v>
      </c>
      <c r="C92" s="325">
        <v>0</v>
      </c>
      <c r="D92" s="325"/>
      <c r="E92" s="325"/>
      <c r="F92" s="325">
        <v>0</v>
      </c>
      <c r="G92" s="343" t="str">
        <f t="shared" si="4"/>
        <v/>
      </c>
      <c r="H92" s="343" t="str">
        <f t="shared" si="5"/>
        <v/>
      </c>
      <c r="I92" s="349" t="str">
        <f t="shared" si="7"/>
        <v>否</v>
      </c>
      <c r="J92" s="313" t="str">
        <f t="shared" si="6"/>
        <v>款</v>
      </c>
    </row>
    <row r="93" ht="18.75" spans="1:10">
      <c r="A93" s="330">
        <v>21213</v>
      </c>
      <c r="B93" s="327" t="s">
        <v>1376</v>
      </c>
      <c r="C93" s="325">
        <v>137</v>
      </c>
      <c r="D93" s="325"/>
      <c r="E93" s="325"/>
      <c r="F93" s="325">
        <v>0</v>
      </c>
      <c r="G93" s="343">
        <f t="shared" si="4"/>
        <v>-1</v>
      </c>
      <c r="H93" s="343" t="str">
        <f t="shared" si="5"/>
        <v/>
      </c>
      <c r="I93" s="349" t="str">
        <f t="shared" si="7"/>
        <v>是</v>
      </c>
      <c r="J93" s="313" t="str">
        <f t="shared" si="6"/>
        <v>款</v>
      </c>
    </row>
    <row r="94" ht="18.75" hidden="1" spans="1:10">
      <c r="A94" s="330">
        <v>2121301</v>
      </c>
      <c r="B94" s="327" t="s">
        <v>1377</v>
      </c>
      <c r="C94" s="328">
        <v>0</v>
      </c>
      <c r="D94" s="328"/>
      <c r="E94" s="328"/>
      <c r="F94" s="325">
        <v>0</v>
      </c>
      <c r="G94" s="344" t="str">
        <f t="shared" si="4"/>
        <v/>
      </c>
      <c r="H94" s="344" t="str">
        <f t="shared" si="5"/>
        <v/>
      </c>
      <c r="I94" s="349" t="str">
        <f t="shared" si="7"/>
        <v>否</v>
      </c>
      <c r="J94" s="313" t="str">
        <f t="shared" si="6"/>
        <v>项</v>
      </c>
    </row>
    <row r="95" ht="18.75" hidden="1" spans="1:10">
      <c r="A95" s="330">
        <v>2121302</v>
      </c>
      <c r="B95" s="327" t="s">
        <v>1378</v>
      </c>
      <c r="C95" s="328">
        <v>0</v>
      </c>
      <c r="D95" s="328"/>
      <c r="E95" s="328"/>
      <c r="F95" s="325">
        <v>0</v>
      </c>
      <c r="G95" s="344" t="str">
        <f t="shared" si="4"/>
        <v/>
      </c>
      <c r="H95" s="344" t="str">
        <f t="shared" si="5"/>
        <v/>
      </c>
      <c r="I95" s="349" t="str">
        <f t="shared" si="7"/>
        <v>否</v>
      </c>
      <c r="J95" s="313" t="str">
        <f t="shared" si="6"/>
        <v>项</v>
      </c>
    </row>
    <row r="96" ht="18.75" hidden="1" spans="1:10">
      <c r="A96" s="330">
        <v>2121303</v>
      </c>
      <c r="B96" s="327" t="s">
        <v>1379</v>
      </c>
      <c r="C96" s="328">
        <v>0</v>
      </c>
      <c r="D96" s="328"/>
      <c r="E96" s="328"/>
      <c r="F96" s="325">
        <v>0</v>
      </c>
      <c r="G96" s="344" t="str">
        <f t="shared" si="4"/>
        <v/>
      </c>
      <c r="H96" s="344" t="str">
        <f t="shared" si="5"/>
        <v/>
      </c>
      <c r="I96" s="349" t="str">
        <f t="shared" si="7"/>
        <v>否</v>
      </c>
      <c r="J96" s="313" t="str">
        <f t="shared" si="6"/>
        <v>项</v>
      </c>
    </row>
    <row r="97" ht="18.75" hidden="1" spans="1:10">
      <c r="A97" s="330">
        <v>2121304</v>
      </c>
      <c r="B97" s="327" t="s">
        <v>1380</v>
      </c>
      <c r="C97" s="328">
        <v>0</v>
      </c>
      <c r="D97" s="328"/>
      <c r="E97" s="328"/>
      <c r="F97" s="325">
        <v>0</v>
      </c>
      <c r="G97" s="344" t="str">
        <f t="shared" si="4"/>
        <v/>
      </c>
      <c r="H97" s="344" t="str">
        <f t="shared" si="5"/>
        <v/>
      </c>
      <c r="I97" s="349" t="str">
        <f t="shared" si="7"/>
        <v>否</v>
      </c>
      <c r="J97" s="313" t="str">
        <f t="shared" si="6"/>
        <v>项</v>
      </c>
    </row>
    <row r="98" ht="18.75" spans="1:10">
      <c r="A98" s="330">
        <v>2121399</v>
      </c>
      <c r="B98" s="327" t="s">
        <v>1381</v>
      </c>
      <c r="C98" s="328">
        <v>137</v>
      </c>
      <c r="D98" s="328"/>
      <c r="E98" s="328"/>
      <c r="F98" s="325">
        <v>0</v>
      </c>
      <c r="G98" s="344">
        <f t="shared" si="4"/>
        <v>-1</v>
      </c>
      <c r="H98" s="344" t="str">
        <f t="shared" si="5"/>
        <v/>
      </c>
      <c r="I98" s="349" t="str">
        <f t="shared" si="7"/>
        <v>是</v>
      </c>
      <c r="J98" s="313" t="str">
        <f t="shared" si="6"/>
        <v>项</v>
      </c>
    </row>
    <row r="99" ht="18.75" hidden="1" spans="1:10">
      <c r="A99" s="330">
        <v>21214</v>
      </c>
      <c r="B99" s="327" t="s">
        <v>1382</v>
      </c>
      <c r="C99" s="325">
        <v>0</v>
      </c>
      <c r="D99" s="325"/>
      <c r="E99" s="325"/>
      <c r="F99" s="325">
        <v>0</v>
      </c>
      <c r="G99" s="343" t="str">
        <f t="shared" si="4"/>
        <v/>
      </c>
      <c r="H99" s="343" t="str">
        <f t="shared" si="5"/>
        <v/>
      </c>
      <c r="I99" s="349" t="str">
        <f t="shared" si="7"/>
        <v>否</v>
      </c>
      <c r="J99" s="313" t="str">
        <f t="shared" si="6"/>
        <v>款</v>
      </c>
    </row>
    <row r="100" ht="18.75" hidden="1" spans="1:10">
      <c r="A100" s="330">
        <v>2121401</v>
      </c>
      <c r="B100" s="327" t="s">
        <v>1383</v>
      </c>
      <c r="C100" s="328">
        <v>0</v>
      </c>
      <c r="D100" s="328"/>
      <c r="E100" s="328"/>
      <c r="F100" s="325">
        <v>0</v>
      </c>
      <c r="G100" s="344" t="str">
        <f t="shared" si="4"/>
        <v/>
      </c>
      <c r="H100" s="344" t="str">
        <f t="shared" si="5"/>
        <v/>
      </c>
      <c r="I100" s="349" t="str">
        <f t="shared" si="7"/>
        <v>否</v>
      </c>
      <c r="J100" s="313" t="str">
        <f t="shared" si="6"/>
        <v>项</v>
      </c>
    </row>
    <row r="101" ht="18.75" hidden="1" spans="1:10">
      <c r="A101" s="330">
        <v>2121402</v>
      </c>
      <c r="B101" s="327" t="s">
        <v>1384</v>
      </c>
      <c r="C101" s="328">
        <v>0</v>
      </c>
      <c r="D101" s="328"/>
      <c r="E101" s="328"/>
      <c r="F101" s="325">
        <v>0</v>
      </c>
      <c r="G101" s="344" t="str">
        <f t="shared" si="4"/>
        <v/>
      </c>
      <c r="H101" s="344" t="str">
        <f t="shared" si="5"/>
        <v/>
      </c>
      <c r="I101" s="349" t="str">
        <f t="shared" si="7"/>
        <v>否</v>
      </c>
      <c r="J101" s="313" t="str">
        <f t="shared" si="6"/>
        <v>项</v>
      </c>
    </row>
    <row r="102" ht="18.75" hidden="1" spans="1:10">
      <c r="A102" s="330">
        <v>2121499</v>
      </c>
      <c r="B102" s="327" t="s">
        <v>1385</v>
      </c>
      <c r="C102" s="328">
        <v>0</v>
      </c>
      <c r="D102" s="328"/>
      <c r="E102" s="328"/>
      <c r="F102" s="325">
        <v>0</v>
      </c>
      <c r="G102" s="344" t="str">
        <f t="shared" si="4"/>
        <v/>
      </c>
      <c r="H102" s="344" t="str">
        <f t="shared" si="5"/>
        <v/>
      </c>
      <c r="I102" s="349" t="str">
        <f t="shared" si="7"/>
        <v>否</v>
      </c>
      <c r="J102" s="313" t="str">
        <f t="shared" si="6"/>
        <v>项</v>
      </c>
    </row>
    <row r="103" ht="18.75" hidden="1" spans="1:10">
      <c r="A103" s="330">
        <v>21215</v>
      </c>
      <c r="B103" s="327" t="s">
        <v>1386</v>
      </c>
      <c r="C103" s="325">
        <v>0</v>
      </c>
      <c r="D103" s="325"/>
      <c r="E103" s="325"/>
      <c r="F103" s="325">
        <v>0</v>
      </c>
      <c r="G103" s="343" t="str">
        <f t="shared" si="4"/>
        <v/>
      </c>
      <c r="H103" s="343" t="str">
        <f t="shared" si="5"/>
        <v/>
      </c>
      <c r="I103" s="349" t="str">
        <f t="shared" si="7"/>
        <v>否</v>
      </c>
      <c r="J103" s="313" t="str">
        <f t="shared" si="6"/>
        <v>款</v>
      </c>
    </row>
    <row r="104" ht="18.75" hidden="1" spans="1:10">
      <c r="A104" s="330">
        <v>2121501</v>
      </c>
      <c r="B104" s="327" t="s">
        <v>1358</v>
      </c>
      <c r="C104" s="328">
        <v>0</v>
      </c>
      <c r="D104" s="328"/>
      <c r="E104" s="328"/>
      <c r="F104" s="325">
        <v>0</v>
      </c>
      <c r="G104" s="344" t="str">
        <f t="shared" si="4"/>
        <v/>
      </c>
      <c r="H104" s="344" t="str">
        <f t="shared" si="5"/>
        <v/>
      </c>
      <c r="I104" s="349" t="str">
        <f t="shared" si="7"/>
        <v>否</v>
      </c>
      <c r="J104" s="313" t="str">
        <f t="shared" si="6"/>
        <v>项</v>
      </c>
    </row>
    <row r="105" ht="18.75" hidden="1" spans="1:10">
      <c r="A105" s="330">
        <v>2121502</v>
      </c>
      <c r="B105" s="327" t="s">
        <v>1359</v>
      </c>
      <c r="C105" s="328">
        <v>0</v>
      </c>
      <c r="D105" s="328"/>
      <c r="E105" s="328"/>
      <c r="F105" s="325">
        <v>0</v>
      </c>
      <c r="G105" s="344" t="str">
        <f t="shared" si="4"/>
        <v/>
      </c>
      <c r="H105" s="344" t="str">
        <f t="shared" si="5"/>
        <v/>
      </c>
      <c r="I105" s="349" t="str">
        <f t="shared" si="7"/>
        <v>否</v>
      </c>
      <c r="J105" s="313" t="str">
        <f t="shared" si="6"/>
        <v>项</v>
      </c>
    </row>
    <row r="106" ht="18.75" hidden="1" spans="1:10">
      <c r="A106" s="330">
        <v>2121599</v>
      </c>
      <c r="B106" s="327" t="s">
        <v>1387</v>
      </c>
      <c r="C106" s="328">
        <v>0</v>
      </c>
      <c r="D106" s="328"/>
      <c r="E106" s="328"/>
      <c r="F106" s="325">
        <v>0</v>
      </c>
      <c r="G106" s="344" t="str">
        <f t="shared" si="4"/>
        <v/>
      </c>
      <c r="H106" s="344" t="str">
        <f t="shared" si="5"/>
        <v/>
      </c>
      <c r="I106" s="349" t="str">
        <f t="shared" si="7"/>
        <v>否</v>
      </c>
      <c r="J106" s="313" t="str">
        <f t="shared" si="6"/>
        <v>项</v>
      </c>
    </row>
    <row r="107" ht="18.75" hidden="1" spans="1:10">
      <c r="A107" s="330">
        <v>21216</v>
      </c>
      <c r="B107" s="327" t="s">
        <v>1388</v>
      </c>
      <c r="C107" s="325">
        <v>0</v>
      </c>
      <c r="D107" s="325"/>
      <c r="E107" s="325"/>
      <c r="F107" s="325">
        <v>0</v>
      </c>
      <c r="G107" s="343" t="str">
        <f t="shared" si="4"/>
        <v/>
      </c>
      <c r="H107" s="343" t="str">
        <f t="shared" si="5"/>
        <v/>
      </c>
      <c r="I107" s="349" t="str">
        <f t="shared" si="7"/>
        <v>否</v>
      </c>
      <c r="J107" s="313" t="str">
        <f t="shared" si="6"/>
        <v>款</v>
      </c>
    </row>
    <row r="108" ht="18.75" hidden="1" spans="1:10">
      <c r="A108" s="330">
        <v>2121601</v>
      </c>
      <c r="B108" s="327" t="s">
        <v>1358</v>
      </c>
      <c r="C108" s="328">
        <v>0</v>
      </c>
      <c r="D108" s="328"/>
      <c r="E108" s="328"/>
      <c r="F108" s="325">
        <v>0</v>
      </c>
      <c r="G108" s="344" t="str">
        <f t="shared" si="4"/>
        <v/>
      </c>
      <c r="H108" s="344" t="str">
        <f t="shared" si="5"/>
        <v/>
      </c>
      <c r="I108" s="349" t="str">
        <f t="shared" si="7"/>
        <v>否</v>
      </c>
      <c r="J108" s="313" t="str">
        <f t="shared" si="6"/>
        <v>项</v>
      </c>
    </row>
    <row r="109" ht="18.75" hidden="1" spans="1:10">
      <c r="A109" s="330">
        <v>2121602</v>
      </c>
      <c r="B109" s="327" t="s">
        <v>1359</v>
      </c>
      <c r="C109" s="328">
        <v>0</v>
      </c>
      <c r="D109" s="328"/>
      <c r="E109" s="328"/>
      <c r="F109" s="325">
        <v>0</v>
      </c>
      <c r="G109" s="344" t="str">
        <f t="shared" si="4"/>
        <v/>
      </c>
      <c r="H109" s="344" t="str">
        <f t="shared" si="5"/>
        <v/>
      </c>
      <c r="I109" s="349" t="str">
        <f t="shared" si="7"/>
        <v>否</v>
      </c>
      <c r="J109" s="313" t="str">
        <f t="shared" si="6"/>
        <v>项</v>
      </c>
    </row>
    <row r="110" ht="37.5" hidden="1" spans="1:10">
      <c r="A110" s="330">
        <v>2121699</v>
      </c>
      <c r="B110" s="327" t="s">
        <v>1389</v>
      </c>
      <c r="C110" s="328">
        <v>0</v>
      </c>
      <c r="D110" s="328"/>
      <c r="E110" s="328"/>
      <c r="F110" s="325">
        <v>0</v>
      </c>
      <c r="G110" s="344" t="str">
        <f t="shared" si="4"/>
        <v/>
      </c>
      <c r="H110" s="344" t="str">
        <f t="shared" si="5"/>
        <v/>
      </c>
      <c r="I110" s="349" t="str">
        <f t="shared" si="7"/>
        <v>否</v>
      </c>
      <c r="J110" s="313" t="str">
        <f t="shared" si="6"/>
        <v>项</v>
      </c>
    </row>
    <row r="111" ht="37.5" hidden="1" spans="1:10">
      <c r="A111" s="330">
        <v>21217</v>
      </c>
      <c r="B111" s="327" t="s">
        <v>1390</v>
      </c>
      <c r="C111" s="325">
        <v>0</v>
      </c>
      <c r="D111" s="325"/>
      <c r="E111" s="325"/>
      <c r="F111" s="325">
        <v>0</v>
      </c>
      <c r="G111" s="343" t="str">
        <f t="shared" si="4"/>
        <v/>
      </c>
      <c r="H111" s="343" t="str">
        <f t="shared" si="5"/>
        <v/>
      </c>
      <c r="I111" s="349" t="str">
        <f t="shared" si="7"/>
        <v>否</v>
      </c>
      <c r="J111" s="313" t="str">
        <f t="shared" si="6"/>
        <v>款</v>
      </c>
    </row>
    <row r="112" ht="18.75" hidden="1" spans="1:10">
      <c r="A112" s="330">
        <v>2121701</v>
      </c>
      <c r="B112" s="327" t="s">
        <v>1377</v>
      </c>
      <c r="C112" s="328">
        <v>0</v>
      </c>
      <c r="D112" s="328"/>
      <c r="E112" s="328"/>
      <c r="F112" s="325">
        <v>0</v>
      </c>
      <c r="G112" s="344" t="str">
        <f t="shared" si="4"/>
        <v/>
      </c>
      <c r="H112" s="344" t="str">
        <f t="shared" si="5"/>
        <v/>
      </c>
      <c r="I112" s="349" t="str">
        <f t="shared" si="7"/>
        <v>否</v>
      </c>
      <c r="J112" s="313" t="str">
        <f t="shared" si="6"/>
        <v>项</v>
      </c>
    </row>
    <row r="113" ht="18.75" hidden="1" spans="1:10">
      <c r="A113" s="330">
        <v>2121702</v>
      </c>
      <c r="B113" s="327" t="s">
        <v>1378</v>
      </c>
      <c r="C113" s="328">
        <v>0</v>
      </c>
      <c r="D113" s="328"/>
      <c r="E113" s="328"/>
      <c r="F113" s="325">
        <v>0</v>
      </c>
      <c r="G113" s="344" t="str">
        <f t="shared" si="4"/>
        <v/>
      </c>
      <c r="H113" s="344" t="str">
        <f t="shared" si="5"/>
        <v/>
      </c>
      <c r="I113" s="349" t="str">
        <f t="shared" si="7"/>
        <v>否</v>
      </c>
      <c r="J113" s="313" t="str">
        <f t="shared" si="6"/>
        <v>项</v>
      </c>
    </row>
    <row r="114" ht="18.75" hidden="1" spans="1:10">
      <c r="A114" s="330">
        <v>2121703</v>
      </c>
      <c r="B114" s="327" t="s">
        <v>1379</v>
      </c>
      <c r="C114" s="328">
        <v>0</v>
      </c>
      <c r="D114" s="328"/>
      <c r="E114" s="328"/>
      <c r="F114" s="325">
        <v>0</v>
      </c>
      <c r="G114" s="344" t="str">
        <f t="shared" si="4"/>
        <v/>
      </c>
      <c r="H114" s="344" t="str">
        <f t="shared" si="5"/>
        <v/>
      </c>
      <c r="I114" s="349" t="str">
        <f t="shared" si="7"/>
        <v>否</v>
      </c>
      <c r="J114" s="313" t="str">
        <f t="shared" si="6"/>
        <v>项</v>
      </c>
    </row>
    <row r="115" ht="18.75" hidden="1" spans="1:10">
      <c r="A115" s="330">
        <v>2121704</v>
      </c>
      <c r="B115" s="327" t="s">
        <v>1380</v>
      </c>
      <c r="C115" s="328">
        <v>0</v>
      </c>
      <c r="D115" s="328"/>
      <c r="E115" s="328"/>
      <c r="F115" s="325">
        <v>0</v>
      </c>
      <c r="G115" s="344" t="str">
        <f t="shared" si="4"/>
        <v/>
      </c>
      <c r="H115" s="344" t="str">
        <f t="shared" si="5"/>
        <v/>
      </c>
      <c r="I115" s="349" t="str">
        <f t="shared" si="7"/>
        <v>否</v>
      </c>
      <c r="J115" s="313" t="str">
        <f t="shared" si="6"/>
        <v>项</v>
      </c>
    </row>
    <row r="116" ht="37.5" hidden="1" spans="1:10">
      <c r="A116" s="330">
        <v>2121799</v>
      </c>
      <c r="B116" s="327" t="s">
        <v>1391</v>
      </c>
      <c r="C116" s="328">
        <v>0</v>
      </c>
      <c r="D116" s="328"/>
      <c r="E116" s="328"/>
      <c r="F116" s="325">
        <v>0</v>
      </c>
      <c r="G116" s="344" t="str">
        <f t="shared" si="4"/>
        <v/>
      </c>
      <c r="H116" s="344" t="str">
        <f t="shared" si="5"/>
        <v/>
      </c>
      <c r="I116" s="349" t="str">
        <f t="shared" si="7"/>
        <v>否</v>
      </c>
      <c r="J116" s="313" t="str">
        <f t="shared" si="6"/>
        <v>项</v>
      </c>
    </row>
    <row r="117" ht="18.75" hidden="1" spans="1:10">
      <c r="A117" s="330">
        <v>21218</v>
      </c>
      <c r="B117" s="327" t="s">
        <v>1392</v>
      </c>
      <c r="C117" s="325">
        <v>0</v>
      </c>
      <c r="D117" s="325"/>
      <c r="E117" s="325"/>
      <c r="F117" s="325">
        <v>0</v>
      </c>
      <c r="G117" s="343" t="str">
        <f t="shared" si="4"/>
        <v/>
      </c>
      <c r="H117" s="343" t="str">
        <f t="shared" si="5"/>
        <v/>
      </c>
      <c r="I117" s="349" t="str">
        <f t="shared" si="7"/>
        <v>否</v>
      </c>
      <c r="J117" s="313" t="str">
        <f t="shared" si="6"/>
        <v>款</v>
      </c>
    </row>
    <row r="118" ht="18.75" hidden="1" spans="1:10">
      <c r="A118" s="330">
        <v>2121801</v>
      </c>
      <c r="B118" s="327" t="s">
        <v>1383</v>
      </c>
      <c r="C118" s="328">
        <v>0</v>
      </c>
      <c r="D118" s="328"/>
      <c r="E118" s="328"/>
      <c r="F118" s="325">
        <v>0</v>
      </c>
      <c r="G118" s="344" t="str">
        <f t="shared" si="4"/>
        <v/>
      </c>
      <c r="H118" s="344" t="str">
        <f t="shared" si="5"/>
        <v/>
      </c>
      <c r="I118" s="349" t="str">
        <f t="shared" si="7"/>
        <v>否</v>
      </c>
      <c r="J118" s="313" t="str">
        <f t="shared" si="6"/>
        <v>项</v>
      </c>
    </row>
    <row r="119" ht="37.5" hidden="1" spans="1:10">
      <c r="A119" s="330">
        <v>2121899</v>
      </c>
      <c r="B119" s="327" t="s">
        <v>1393</v>
      </c>
      <c r="C119" s="328">
        <v>0</v>
      </c>
      <c r="D119" s="328"/>
      <c r="E119" s="328"/>
      <c r="F119" s="325">
        <v>0</v>
      </c>
      <c r="G119" s="344" t="str">
        <f t="shared" si="4"/>
        <v/>
      </c>
      <c r="H119" s="344" t="str">
        <f t="shared" si="5"/>
        <v/>
      </c>
      <c r="I119" s="349" t="str">
        <f t="shared" si="7"/>
        <v>否</v>
      </c>
      <c r="J119" s="313" t="str">
        <f t="shared" si="6"/>
        <v>项</v>
      </c>
    </row>
    <row r="120" ht="37.5" hidden="1" spans="1:10">
      <c r="A120" s="330">
        <v>21219</v>
      </c>
      <c r="B120" s="327" t="s">
        <v>1394</v>
      </c>
      <c r="C120" s="325">
        <v>0</v>
      </c>
      <c r="D120" s="325"/>
      <c r="E120" s="325"/>
      <c r="F120" s="325">
        <v>0</v>
      </c>
      <c r="G120" s="343" t="str">
        <f t="shared" si="4"/>
        <v/>
      </c>
      <c r="H120" s="343" t="str">
        <f t="shared" si="5"/>
        <v/>
      </c>
      <c r="I120" s="349" t="str">
        <f t="shared" si="7"/>
        <v>否</v>
      </c>
      <c r="J120" s="313" t="str">
        <f t="shared" si="6"/>
        <v>款</v>
      </c>
    </row>
    <row r="121" ht="18.75" hidden="1" spans="1:10">
      <c r="A121" s="330">
        <v>2121901</v>
      </c>
      <c r="B121" s="327" t="s">
        <v>1358</v>
      </c>
      <c r="C121" s="328">
        <v>0</v>
      </c>
      <c r="D121" s="328"/>
      <c r="E121" s="328"/>
      <c r="F121" s="325">
        <v>0</v>
      </c>
      <c r="G121" s="344" t="str">
        <f t="shared" si="4"/>
        <v/>
      </c>
      <c r="H121" s="344" t="str">
        <f t="shared" si="5"/>
        <v/>
      </c>
      <c r="I121" s="349" t="str">
        <f t="shared" si="7"/>
        <v>否</v>
      </c>
      <c r="J121" s="313" t="str">
        <f t="shared" si="6"/>
        <v>项</v>
      </c>
    </row>
    <row r="122" ht="18.75" hidden="1" spans="1:10">
      <c r="A122" s="330">
        <v>2121902</v>
      </c>
      <c r="B122" s="327" t="s">
        <v>1359</v>
      </c>
      <c r="C122" s="328">
        <v>0</v>
      </c>
      <c r="D122" s="328"/>
      <c r="E122" s="328"/>
      <c r="F122" s="325">
        <v>0</v>
      </c>
      <c r="G122" s="344" t="str">
        <f t="shared" si="4"/>
        <v/>
      </c>
      <c r="H122" s="344" t="str">
        <f t="shared" si="5"/>
        <v/>
      </c>
      <c r="I122" s="349" t="str">
        <f t="shared" si="7"/>
        <v>否</v>
      </c>
      <c r="J122" s="313" t="str">
        <f t="shared" si="6"/>
        <v>项</v>
      </c>
    </row>
    <row r="123" ht="18.75" hidden="1" spans="1:10">
      <c r="A123" s="330">
        <v>2121903</v>
      </c>
      <c r="B123" s="327" t="s">
        <v>1360</v>
      </c>
      <c r="C123" s="328">
        <v>0</v>
      </c>
      <c r="D123" s="328"/>
      <c r="E123" s="328"/>
      <c r="F123" s="325">
        <v>0</v>
      </c>
      <c r="G123" s="344" t="str">
        <f t="shared" si="4"/>
        <v/>
      </c>
      <c r="H123" s="344" t="str">
        <f t="shared" si="5"/>
        <v/>
      </c>
      <c r="I123" s="349" t="str">
        <f t="shared" si="7"/>
        <v>否</v>
      </c>
      <c r="J123" s="313" t="str">
        <f t="shared" si="6"/>
        <v>项</v>
      </c>
    </row>
    <row r="124" ht="18.75" hidden="1" spans="1:10">
      <c r="A124" s="330">
        <v>2121904</v>
      </c>
      <c r="B124" s="327" t="s">
        <v>1361</v>
      </c>
      <c r="C124" s="328">
        <v>0</v>
      </c>
      <c r="D124" s="328"/>
      <c r="E124" s="328"/>
      <c r="F124" s="325">
        <v>0</v>
      </c>
      <c r="G124" s="344" t="str">
        <f t="shared" si="4"/>
        <v/>
      </c>
      <c r="H124" s="344" t="str">
        <f t="shared" si="5"/>
        <v/>
      </c>
      <c r="I124" s="349" t="str">
        <f t="shared" si="7"/>
        <v>否</v>
      </c>
      <c r="J124" s="313" t="str">
        <f t="shared" si="6"/>
        <v>项</v>
      </c>
    </row>
    <row r="125" ht="18.75" hidden="1" spans="1:10">
      <c r="A125" s="330">
        <v>2121905</v>
      </c>
      <c r="B125" s="327" t="s">
        <v>1364</v>
      </c>
      <c r="C125" s="328">
        <v>0</v>
      </c>
      <c r="D125" s="328"/>
      <c r="E125" s="328"/>
      <c r="F125" s="325">
        <v>0</v>
      </c>
      <c r="G125" s="344" t="str">
        <f t="shared" si="4"/>
        <v/>
      </c>
      <c r="H125" s="344" t="str">
        <f t="shared" si="5"/>
        <v/>
      </c>
      <c r="I125" s="349" t="str">
        <f t="shared" si="7"/>
        <v>否</v>
      </c>
      <c r="J125" s="313" t="str">
        <f t="shared" si="6"/>
        <v>项</v>
      </c>
    </row>
    <row r="126" ht="18.75" hidden="1" spans="1:10">
      <c r="A126" s="330">
        <v>2121906</v>
      </c>
      <c r="B126" s="327" t="s">
        <v>1366</v>
      </c>
      <c r="C126" s="328">
        <v>0</v>
      </c>
      <c r="D126" s="328"/>
      <c r="E126" s="328"/>
      <c r="F126" s="325">
        <v>0</v>
      </c>
      <c r="G126" s="344" t="str">
        <f t="shared" si="4"/>
        <v/>
      </c>
      <c r="H126" s="344" t="str">
        <f t="shared" si="5"/>
        <v/>
      </c>
      <c r="I126" s="349" t="str">
        <f t="shared" si="7"/>
        <v>否</v>
      </c>
      <c r="J126" s="313" t="str">
        <f t="shared" si="6"/>
        <v>项</v>
      </c>
    </row>
    <row r="127" ht="18.75" hidden="1" spans="1:10">
      <c r="A127" s="330">
        <v>2121907</v>
      </c>
      <c r="B127" s="327" t="s">
        <v>1367</v>
      </c>
      <c r="C127" s="328">
        <v>0</v>
      </c>
      <c r="D127" s="328"/>
      <c r="E127" s="328"/>
      <c r="F127" s="325">
        <v>0</v>
      </c>
      <c r="G127" s="344" t="str">
        <f t="shared" si="4"/>
        <v/>
      </c>
      <c r="H127" s="344" t="str">
        <f t="shared" si="5"/>
        <v/>
      </c>
      <c r="I127" s="349" t="str">
        <f t="shared" si="7"/>
        <v>否</v>
      </c>
      <c r="J127" s="313" t="str">
        <f t="shared" si="6"/>
        <v>项</v>
      </c>
    </row>
    <row r="128" ht="37.5" hidden="1" spans="1:10">
      <c r="A128" s="330">
        <v>2121999</v>
      </c>
      <c r="B128" s="327" t="s">
        <v>1395</v>
      </c>
      <c r="C128" s="328">
        <v>0</v>
      </c>
      <c r="D128" s="328"/>
      <c r="E128" s="328"/>
      <c r="F128" s="325">
        <v>0</v>
      </c>
      <c r="G128" s="344" t="str">
        <f t="shared" si="4"/>
        <v/>
      </c>
      <c r="H128" s="344" t="str">
        <f t="shared" si="5"/>
        <v/>
      </c>
      <c r="I128" s="349" t="str">
        <f t="shared" si="7"/>
        <v>否</v>
      </c>
      <c r="J128" s="313" t="str">
        <f t="shared" si="6"/>
        <v>项</v>
      </c>
    </row>
    <row r="129" s="309" customFormat="1" ht="18.75" spans="1:10">
      <c r="A129" s="334">
        <v>21298</v>
      </c>
      <c r="B129" s="338" t="s">
        <v>1331</v>
      </c>
      <c r="C129" s="325">
        <v>4530</v>
      </c>
      <c r="D129" s="325">
        <f>SUM(D130:D131)</f>
        <v>2213</v>
      </c>
      <c r="E129" s="325">
        <f>SUM(E130:E131)</f>
        <v>2213</v>
      </c>
      <c r="F129" s="325">
        <v>0</v>
      </c>
      <c r="G129" s="343">
        <f t="shared" si="4"/>
        <v>-1</v>
      </c>
      <c r="H129" s="343">
        <f t="shared" si="5"/>
        <v>0</v>
      </c>
      <c r="I129" s="349" t="str">
        <f t="shared" si="7"/>
        <v>是</v>
      </c>
      <c r="J129" s="309" t="str">
        <f t="shared" si="6"/>
        <v>款</v>
      </c>
    </row>
    <row r="130" s="309" customFormat="1" ht="18.75" hidden="1" spans="1:10">
      <c r="A130" s="334">
        <v>2129801</v>
      </c>
      <c r="B130" s="338" t="s">
        <v>1396</v>
      </c>
      <c r="C130" s="328">
        <v>0</v>
      </c>
      <c r="D130" s="328"/>
      <c r="E130" s="328"/>
      <c r="F130" s="325">
        <v>0</v>
      </c>
      <c r="G130" s="344" t="str">
        <f t="shared" si="4"/>
        <v/>
      </c>
      <c r="H130" s="344" t="str">
        <f t="shared" si="5"/>
        <v/>
      </c>
      <c r="I130" s="349" t="str">
        <f t="shared" si="7"/>
        <v>否</v>
      </c>
      <c r="J130" s="309" t="str">
        <f t="shared" si="6"/>
        <v>项</v>
      </c>
    </row>
    <row r="131" s="309" customFormat="1" ht="18.75" spans="1:10">
      <c r="A131" s="334">
        <v>2129899</v>
      </c>
      <c r="B131" s="338" t="s">
        <v>1397</v>
      </c>
      <c r="C131" s="328">
        <v>4530</v>
      </c>
      <c r="D131" s="328">
        <v>2213</v>
      </c>
      <c r="E131" s="328">
        <v>2213</v>
      </c>
      <c r="F131" s="325">
        <v>0</v>
      </c>
      <c r="G131" s="344">
        <f t="shared" si="4"/>
        <v>-1</v>
      </c>
      <c r="H131" s="344">
        <f t="shared" si="5"/>
        <v>0</v>
      </c>
      <c r="I131" s="349" t="str">
        <f t="shared" si="7"/>
        <v>是</v>
      </c>
      <c r="J131" s="309" t="str">
        <f t="shared" si="6"/>
        <v>项</v>
      </c>
    </row>
    <row r="132" ht="18.75" spans="1:10">
      <c r="A132" s="329">
        <v>213</v>
      </c>
      <c r="B132" s="324" t="s">
        <v>1398</v>
      </c>
      <c r="C132" s="325">
        <v>35</v>
      </c>
      <c r="D132" s="325">
        <f>D133+D138+D143+D148+D151+D156</f>
        <v>50</v>
      </c>
      <c r="E132" s="325">
        <f>E133+E138+E143+E148+E151+E156</f>
        <v>50</v>
      </c>
      <c r="F132" s="325">
        <f>F133+F138+F143+F148+F151+F156</f>
        <v>224</v>
      </c>
      <c r="G132" s="343">
        <f t="shared" si="4"/>
        <v>5.4</v>
      </c>
      <c r="H132" s="343">
        <f t="shared" si="5"/>
        <v>4.48</v>
      </c>
      <c r="I132" s="349" t="str">
        <f t="shared" si="7"/>
        <v>是</v>
      </c>
      <c r="J132" s="313" t="str">
        <f t="shared" si="6"/>
        <v>类</v>
      </c>
    </row>
    <row r="133" ht="18.75" spans="1:10">
      <c r="A133" s="330">
        <v>21366</v>
      </c>
      <c r="B133" s="327" t="s">
        <v>1399</v>
      </c>
      <c r="C133" s="325">
        <v>35</v>
      </c>
      <c r="D133" s="325">
        <f>SUM(D134:D137)</f>
        <v>50</v>
      </c>
      <c r="E133" s="325">
        <f>SUM(E134:E137)</f>
        <v>50</v>
      </c>
      <c r="F133" s="325">
        <f>SUM(F134:F137)</f>
        <v>224</v>
      </c>
      <c r="G133" s="343">
        <f t="shared" ref="G133:G196" si="8">IFERROR((F133-C133)/C133,"")</f>
        <v>5.4</v>
      </c>
      <c r="H133" s="343">
        <f t="shared" ref="H133:H196" si="9">IFERROR(F133/D133,"")</f>
        <v>4.48</v>
      </c>
      <c r="I133" s="349" t="str">
        <f t="shared" si="7"/>
        <v>是</v>
      </c>
      <c r="J133" s="313" t="str">
        <f t="shared" ref="J133:J196" si="10">IF(LEN(A133)=3,"类",IF(LEN(A133)=5,"款","项"))</f>
        <v>款</v>
      </c>
    </row>
    <row r="134" ht="18.75" spans="1:10">
      <c r="A134" s="330">
        <v>2136601</v>
      </c>
      <c r="B134" s="327" t="s">
        <v>1400</v>
      </c>
      <c r="C134" s="328">
        <v>35</v>
      </c>
      <c r="D134" s="328">
        <v>50</v>
      </c>
      <c r="E134" s="328">
        <v>50</v>
      </c>
      <c r="F134" s="325">
        <v>224</v>
      </c>
      <c r="G134" s="344">
        <f t="shared" si="8"/>
        <v>5.4</v>
      </c>
      <c r="H134" s="344">
        <f t="shared" si="9"/>
        <v>4.48</v>
      </c>
      <c r="I134" s="349" t="str">
        <f t="shared" ref="I134:I197" si="11">IF(LEN(A134)=3,"是",IF(B134&lt;&gt;"",IF(SUM(C134:F134)&lt;&gt;0,"是","否"),"是"))</f>
        <v>是</v>
      </c>
      <c r="J134" s="313" t="str">
        <f t="shared" si="10"/>
        <v>项</v>
      </c>
    </row>
    <row r="135" ht="18.75" hidden="1" spans="1:10">
      <c r="A135" s="330">
        <v>2136602</v>
      </c>
      <c r="B135" s="327" t="s">
        <v>1401</v>
      </c>
      <c r="C135" s="328">
        <v>0</v>
      </c>
      <c r="D135" s="328"/>
      <c r="E135" s="328"/>
      <c r="F135" s="325">
        <v>0</v>
      </c>
      <c r="G135" s="344" t="str">
        <f t="shared" si="8"/>
        <v/>
      </c>
      <c r="H135" s="344" t="str">
        <f t="shared" si="9"/>
        <v/>
      </c>
      <c r="I135" s="349" t="str">
        <f t="shared" si="11"/>
        <v>否</v>
      </c>
      <c r="J135" s="313" t="str">
        <f t="shared" si="10"/>
        <v>项</v>
      </c>
    </row>
    <row r="136" ht="18.75" hidden="1" spans="1:10">
      <c r="A136" s="330">
        <v>2136603</v>
      </c>
      <c r="B136" s="327" t="s">
        <v>1402</v>
      </c>
      <c r="C136" s="328">
        <v>0</v>
      </c>
      <c r="D136" s="328"/>
      <c r="E136" s="328"/>
      <c r="F136" s="325">
        <v>0</v>
      </c>
      <c r="G136" s="344" t="str">
        <f t="shared" si="8"/>
        <v/>
      </c>
      <c r="H136" s="344" t="str">
        <f t="shared" si="9"/>
        <v/>
      </c>
      <c r="I136" s="349" t="str">
        <f t="shared" si="11"/>
        <v>否</v>
      </c>
      <c r="J136" s="313" t="str">
        <f t="shared" si="10"/>
        <v>项</v>
      </c>
    </row>
    <row r="137" ht="18.75" hidden="1" spans="1:10">
      <c r="A137" s="330">
        <v>2136699</v>
      </c>
      <c r="B137" s="327" t="s">
        <v>1403</v>
      </c>
      <c r="C137" s="328">
        <v>0</v>
      </c>
      <c r="D137" s="328"/>
      <c r="E137" s="328"/>
      <c r="F137" s="325">
        <v>0</v>
      </c>
      <c r="G137" s="344" t="str">
        <f t="shared" si="8"/>
        <v/>
      </c>
      <c r="H137" s="344" t="str">
        <f t="shared" si="9"/>
        <v/>
      </c>
      <c r="I137" s="349" t="str">
        <f t="shared" si="11"/>
        <v>否</v>
      </c>
      <c r="J137" s="313" t="str">
        <f t="shared" si="10"/>
        <v>项</v>
      </c>
    </row>
    <row r="138" ht="18.75" hidden="1" spans="1:10">
      <c r="A138" s="330">
        <v>21367</v>
      </c>
      <c r="B138" s="327" t="s">
        <v>1404</v>
      </c>
      <c r="C138" s="325">
        <v>0</v>
      </c>
      <c r="D138" s="325"/>
      <c r="E138" s="325"/>
      <c r="F138" s="325">
        <v>0</v>
      </c>
      <c r="G138" s="343" t="str">
        <f t="shared" si="8"/>
        <v/>
      </c>
      <c r="H138" s="343" t="str">
        <f t="shared" si="9"/>
        <v/>
      </c>
      <c r="I138" s="349" t="str">
        <f t="shared" si="11"/>
        <v>否</v>
      </c>
      <c r="J138" s="313" t="str">
        <f t="shared" si="10"/>
        <v>款</v>
      </c>
    </row>
    <row r="139" ht="18.75" hidden="1" spans="1:10">
      <c r="A139" s="330">
        <v>2136701</v>
      </c>
      <c r="B139" s="327" t="s">
        <v>1400</v>
      </c>
      <c r="C139" s="328">
        <v>0</v>
      </c>
      <c r="D139" s="328"/>
      <c r="E139" s="328"/>
      <c r="F139" s="325">
        <v>0</v>
      </c>
      <c r="G139" s="344" t="str">
        <f t="shared" si="8"/>
        <v/>
      </c>
      <c r="H139" s="344" t="str">
        <f t="shared" si="9"/>
        <v/>
      </c>
      <c r="I139" s="349" t="str">
        <f t="shared" si="11"/>
        <v>否</v>
      </c>
      <c r="J139" s="313" t="str">
        <f t="shared" si="10"/>
        <v>项</v>
      </c>
    </row>
    <row r="140" ht="18.75" hidden="1" spans="1:10">
      <c r="A140" s="330">
        <v>2136702</v>
      </c>
      <c r="B140" s="327" t="s">
        <v>1401</v>
      </c>
      <c r="C140" s="328">
        <v>0</v>
      </c>
      <c r="D140" s="328"/>
      <c r="E140" s="328"/>
      <c r="F140" s="325">
        <v>0</v>
      </c>
      <c r="G140" s="344" t="str">
        <f t="shared" si="8"/>
        <v/>
      </c>
      <c r="H140" s="344" t="str">
        <f t="shared" si="9"/>
        <v/>
      </c>
      <c r="I140" s="349" t="str">
        <f t="shared" si="11"/>
        <v>否</v>
      </c>
      <c r="J140" s="313" t="str">
        <f t="shared" si="10"/>
        <v>项</v>
      </c>
    </row>
    <row r="141" ht="18.75" hidden="1" spans="1:10">
      <c r="A141" s="330">
        <v>2136703</v>
      </c>
      <c r="B141" s="327" t="s">
        <v>1405</v>
      </c>
      <c r="C141" s="328">
        <v>0</v>
      </c>
      <c r="D141" s="328"/>
      <c r="E141" s="328"/>
      <c r="F141" s="325">
        <v>0</v>
      </c>
      <c r="G141" s="344" t="str">
        <f t="shared" si="8"/>
        <v/>
      </c>
      <c r="H141" s="344" t="str">
        <f t="shared" si="9"/>
        <v/>
      </c>
      <c r="I141" s="349" t="str">
        <f t="shared" si="11"/>
        <v>否</v>
      </c>
      <c r="J141" s="313" t="str">
        <f t="shared" si="10"/>
        <v>项</v>
      </c>
    </row>
    <row r="142" ht="18.75" hidden="1" spans="1:10">
      <c r="A142" s="330">
        <v>2136799</v>
      </c>
      <c r="B142" s="327" t="s">
        <v>1406</v>
      </c>
      <c r="C142" s="328">
        <v>0</v>
      </c>
      <c r="D142" s="328"/>
      <c r="E142" s="328"/>
      <c r="F142" s="325">
        <v>0</v>
      </c>
      <c r="G142" s="344" t="str">
        <f t="shared" si="8"/>
        <v/>
      </c>
      <c r="H142" s="344" t="str">
        <f t="shared" si="9"/>
        <v/>
      </c>
      <c r="I142" s="349" t="str">
        <f t="shared" si="11"/>
        <v>否</v>
      </c>
      <c r="J142" s="313" t="str">
        <f t="shared" si="10"/>
        <v>项</v>
      </c>
    </row>
    <row r="143" ht="18.75" hidden="1" spans="1:10">
      <c r="A143" s="330">
        <v>21369</v>
      </c>
      <c r="B143" s="327" t="s">
        <v>1407</v>
      </c>
      <c r="C143" s="325">
        <v>0</v>
      </c>
      <c r="D143" s="325"/>
      <c r="E143" s="325"/>
      <c r="F143" s="325">
        <v>0</v>
      </c>
      <c r="G143" s="343" t="str">
        <f t="shared" si="8"/>
        <v/>
      </c>
      <c r="H143" s="343" t="str">
        <f t="shared" si="9"/>
        <v/>
      </c>
      <c r="I143" s="349" t="str">
        <f t="shared" si="11"/>
        <v>否</v>
      </c>
      <c r="J143" s="313" t="str">
        <f t="shared" si="10"/>
        <v>款</v>
      </c>
    </row>
    <row r="144" ht="18.75" hidden="1" spans="1:10">
      <c r="A144" s="330">
        <v>2136901</v>
      </c>
      <c r="B144" s="327" t="s">
        <v>1408</v>
      </c>
      <c r="C144" s="328">
        <v>0</v>
      </c>
      <c r="D144" s="328"/>
      <c r="E144" s="328"/>
      <c r="F144" s="325">
        <v>0</v>
      </c>
      <c r="G144" s="344" t="str">
        <f t="shared" si="8"/>
        <v/>
      </c>
      <c r="H144" s="344" t="str">
        <f t="shared" si="9"/>
        <v/>
      </c>
      <c r="I144" s="349" t="str">
        <f t="shared" si="11"/>
        <v>否</v>
      </c>
      <c r="J144" s="313" t="str">
        <f t="shared" si="10"/>
        <v>项</v>
      </c>
    </row>
    <row r="145" ht="18.75" hidden="1" spans="1:10">
      <c r="A145" s="330">
        <v>2136902</v>
      </c>
      <c r="B145" s="327" t="s">
        <v>1409</v>
      </c>
      <c r="C145" s="328">
        <v>0</v>
      </c>
      <c r="D145" s="328"/>
      <c r="E145" s="328"/>
      <c r="F145" s="325">
        <v>0</v>
      </c>
      <c r="G145" s="344" t="str">
        <f t="shared" si="8"/>
        <v/>
      </c>
      <c r="H145" s="344" t="str">
        <f t="shared" si="9"/>
        <v/>
      </c>
      <c r="I145" s="349" t="str">
        <f t="shared" si="11"/>
        <v>否</v>
      </c>
      <c r="J145" s="313" t="str">
        <f t="shared" si="10"/>
        <v>项</v>
      </c>
    </row>
    <row r="146" ht="18.75" hidden="1" spans="1:10">
      <c r="A146" s="330">
        <v>2136903</v>
      </c>
      <c r="B146" s="327" t="s">
        <v>1410</v>
      </c>
      <c r="C146" s="328">
        <v>0</v>
      </c>
      <c r="D146" s="328"/>
      <c r="E146" s="328"/>
      <c r="F146" s="325">
        <v>0</v>
      </c>
      <c r="G146" s="344" t="str">
        <f t="shared" si="8"/>
        <v/>
      </c>
      <c r="H146" s="344" t="str">
        <f t="shared" si="9"/>
        <v/>
      </c>
      <c r="I146" s="349" t="str">
        <f t="shared" si="11"/>
        <v>否</v>
      </c>
      <c r="J146" s="313" t="str">
        <f t="shared" si="10"/>
        <v>项</v>
      </c>
    </row>
    <row r="147" ht="18.75" hidden="1" spans="1:10">
      <c r="A147" s="330">
        <v>2136999</v>
      </c>
      <c r="B147" s="327" t="s">
        <v>1411</v>
      </c>
      <c r="C147" s="328">
        <v>0</v>
      </c>
      <c r="D147" s="328"/>
      <c r="E147" s="328"/>
      <c r="F147" s="325">
        <v>0</v>
      </c>
      <c r="G147" s="344" t="str">
        <f t="shared" si="8"/>
        <v/>
      </c>
      <c r="H147" s="344" t="str">
        <f t="shared" si="9"/>
        <v/>
      </c>
      <c r="I147" s="349" t="str">
        <f t="shared" si="11"/>
        <v>否</v>
      </c>
      <c r="J147" s="313" t="str">
        <f t="shared" si="10"/>
        <v>项</v>
      </c>
    </row>
    <row r="148" ht="37.5" hidden="1" spans="1:10">
      <c r="A148" s="351">
        <v>21370</v>
      </c>
      <c r="B148" s="327" t="s">
        <v>1412</v>
      </c>
      <c r="C148" s="325">
        <v>0</v>
      </c>
      <c r="D148" s="325"/>
      <c r="E148" s="325"/>
      <c r="F148" s="325">
        <v>0</v>
      </c>
      <c r="G148" s="343" t="str">
        <f t="shared" si="8"/>
        <v/>
      </c>
      <c r="H148" s="343" t="str">
        <f t="shared" si="9"/>
        <v/>
      </c>
      <c r="I148" s="349" t="str">
        <f t="shared" si="11"/>
        <v>否</v>
      </c>
      <c r="J148" s="313" t="str">
        <f t="shared" si="10"/>
        <v>款</v>
      </c>
    </row>
    <row r="149" ht="18.75" hidden="1" spans="1:10">
      <c r="A149" s="351">
        <v>2137001</v>
      </c>
      <c r="B149" s="327" t="s">
        <v>1400</v>
      </c>
      <c r="C149" s="328">
        <v>0</v>
      </c>
      <c r="D149" s="328"/>
      <c r="E149" s="328"/>
      <c r="F149" s="325">
        <v>0</v>
      </c>
      <c r="G149" s="344" t="str">
        <f t="shared" si="8"/>
        <v/>
      </c>
      <c r="H149" s="344" t="str">
        <f t="shared" si="9"/>
        <v/>
      </c>
      <c r="I149" s="349" t="str">
        <f t="shared" si="11"/>
        <v>否</v>
      </c>
      <c r="J149" s="313" t="str">
        <f t="shared" si="10"/>
        <v>项</v>
      </c>
    </row>
    <row r="150" ht="37.5" hidden="1" spans="1:10">
      <c r="A150" s="351">
        <v>2137099</v>
      </c>
      <c r="B150" s="327" t="s">
        <v>1413</v>
      </c>
      <c r="C150" s="328">
        <v>0</v>
      </c>
      <c r="D150" s="328"/>
      <c r="E150" s="328"/>
      <c r="F150" s="325">
        <v>0</v>
      </c>
      <c r="G150" s="344" t="str">
        <f t="shared" si="8"/>
        <v/>
      </c>
      <c r="H150" s="344" t="str">
        <f t="shared" si="9"/>
        <v/>
      </c>
      <c r="I150" s="349" t="str">
        <f t="shared" si="11"/>
        <v>否</v>
      </c>
      <c r="J150" s="313" t="str">
        <f t="shared" si="10"/>
        <v>项</v>
      </c>
    </row>
    <row r="151" ht="37.5" hidden="1" spans="1:10">
      <c r="A151" s="351">
        <v>21371</v>
      </c>
      <c r="B151" s="327" t="s">
        <v>1414</v>
      </c>
      <c r="C151" s="325">
        <v>0</v>
      </c>
      <c r="D151" s="325"/>
      <c r="E151" s="325"/>
      <c r="F151" s="325">
        <v>0</v>
      </c>
      <c r="G151" s="343" t="str">
        <f t="shared" si="8"/>
        <v/>
      </c>
      <c r="H151" s="343" t="str">
        <f t="shared" si="9"/>
        <v/>
      </c>
      <c r="I151" s="349" t="str">
        <f t="shared" si="11"/>
        <v>否</v>
      </c>
      <c r="J151" s="313" t="str">
        <f t="shared" si="10"/>
        <v>款</v>
      </c>
    </row>
    <row r="152" ht="18.75" hidden="1" spans="1:10">
      <c r="A152" s="351">
        <v>2137101</v>
      </c>
      <c r="B152" s="327" t="s">
        <v>1408</v>
      </c>
      <c r="C152" s="328">
        <v>0</v>
      </c>
      <c r="D152" s="328"/>
      <c r="E152" s="328"/>
      <c r="F152" s="325">
        <v>0</v>
      </c>
      <c r="G152" s="344" t="str">
        <f t="shared" si="8"/>
        <v/>
      </c>
      <c r="H152" s="344" t="str">
        <f t="shared" si="9"/>
        <v/>
      </c>
      <c r="I152" s="349" t="str">
        <f t="shared" si="11"/>
        <v>否</v>
      </c>
      <c r="J152" s="313" t="str">
        <f t="shared" si="10"/>
        <v>项</v>
      </c>
    </row>
    <row r="153" ht="18.75" hidden="1" spans="1:10">
      <c r="A153" s="351">
        <v>2137102</v>
      </c>
      <c r="B153" s="327" t="s">
        <v>1415</v>
      </c>
      <c r="C153" s="328">
        <v>0</v>
      </c>
      <c r="D153" s="328"/>
      <c r="E153" s="328"/>
      <c r="F153" s="325">
        <v>0</v>
      </c>
      <c r="G153" s="344" t="str">
        <f t="shared" si="8"/>
        <v/>
      </c>
      <c r="H153" s="344" t="str">
        <f t="shared" si="9"/>
        <v/>
      </c>
      <c r="I153" s="349" t="str">
        <f t="shared" si="11"/>
        <v>否</v>
      </c>
      <c r="J153" s="313" t="str">
        <f t="shared" si="10"/>
        <v>项</v>
      </c>
    </row>
    <row r="154" ht="18.75" hidden="1" spans="1:10">
      <c r="A154" s="351">
        <v>2137103</v>
      </c>
      <c r="B154" s="327" t="s">
        <v>1410</v>
      </c>
      <c r="C154" s="328">
        <v>0</v>
      </c>
      <c r="D154" s="328"/>
      <c r="E154" s="328"/>
      <c r="F154" s="325">
        <v>0</v>
      </c>
      <c r="G154" s="344" t="str">
        <f t="shared" si="8"/>
        <v/>
      </c>
      <c r="H154" s="344" t="str">
        <f t="shared" si="9"/>
        <v/>
      </c>
      <c r="I154" s="349" t="str">
        <f t="shared" si="11"/>
        <v>否</v>
      </c>
      <c r="J154" s="313" t="str">
        <f t="shared" si="10"/>
        <v>项</v>
      </c>
    </row>
    <row r="155" ht="37.5" hidden="1" spans="1:10">
      <c r="A155" s="351">
        <v>2137199</v>
      </c>
      <c r="B155" s="327" t="s">
        <v>1416</v>
      </c>
      <c r="C155" s="328">
        <v>0</v>
      </c>
      <c r="D155" s="328"/>
      <c r="E155" s="328"/>
      <c r="F155" s="325">
        <v>0</v>
      </c>
      <c r="G155" s="344" t="str">
        <f t="shared" si="8"/>
        <v/>
      </c>
      <c r="H155" s="344" t="str">
        <f t="shared" si="9"/>
        <v/>
      </c>
      <c r="I155" s="349" t="str">
        <f t="shared" si="11"/>
        <v>否</v>
      </c>
      <c r="J155" s="313" t="str">
        <f t="shared" si="10"/>
        <v>项</v>
      </c>
    </row>
    <row r="156" s="311" customFormat="1" ht="18.75" hidden="1" spans="1:10">
      <c r="A156" s="334">
        <v>21398</v>
      </c>
      <c r="B156" s="338" t="s">
        <v>1331</v>
      </c>
      <c r="C156" s="325">
        <v>0</v>
      </c>
      <c r="D156" s="325"/>
      <c r="E156" s="325"/>
      <c r="F156" s="325">
        <v>0</v>
      </c>
      <c r="G156" s="343" t="str">
        <f t="shared" si="8"/>
        <v/>
      </c>
      <c r="H156" s="343" t="str">
        <f t="shared" si="9"/>
        <v/>
      </c>
      <c r="I156" s="349" t="str">
        <f t="shared" si="11"/>
        <v>否</v>
      </c>
      <c r="J156" s="309" t="str">
        <f t="shared" si="10"/>
        <v>款</v>
      </c>
    </row>
    <row r="157" s="311" customFormat="1" ht="18.75" hidden="1" spans="1:10">
      <c r="A157" s="334">
        <v>2139801</v>
      </c>
      <c r="B157" s="338" t="s">
        <v>1424</v>
      </c>
      <c r="C157" s="328">
        <v>0</v>
      </c>
      <c r="D157" s="328"/>
      <c r="E157" s="328"/>
      <c r="F157" s="325">
        <v>0</v>
      </c>
      <c r="G157" s="344" t="str">
        <f t="shared" si="8"/>
        <v/>
      </c>
      <c r="H157" s="344" t="str">
        <f t="shared" si="9"/>
        <v/>
      </c>
      <c r="I157" s="349" t="str">
        <f t="shared" si="11"/>
        <v>否</v>
      </c>
      <c r="J157" s="309" t="str">
        <f t="shared" si="10"/>
        <v>项</v>
      </c>
    </row>
    <row r="158" s="311" customFormat="1" ht="18.75" hidden="1" spans="1:10">
      <c r="A158" s="334">
        <v>2139802</v>
      </c>
      <c r="B158" s="338" t="s">
        <v>1425</v>
      </c>
      <c r="C158" s="328">
        <v>0</v>
      </c>
      <c r="D158" s="328"/>
      <c r="E158" s="328"/>
      <c r="F158" s="325">
        <v>0</v>
      </c>
      <c r="G158" s="344" t="str">
        <f t="shared" si="8"/>
        <v/>
      </c>
      <c r="H158" s="344" t="str">
        <f t="shared" si="9"/>
        <v/>
      </c>
      <c r="I158" s="349" t="str">
        <f t="shared" si="11"/>
        <v>否</v>
      </c>
      <c r="J158" s="309" t="str">
        <f t="shared" si="10"/>
        <v>项</v>
      </c>
    </row>
    <row r="159" s="311" customFormat="1" ht="18.75" hidden="1" spans="1:10">
      <c r="A159" s="334">
        <v>2139899</v>
      </c>
      <c r="B159" s="338" t="s">
        <v>1426</v>
      </c>
      <c r="C159" s="328">
        <v>0</v>
      </c>
      <c r="D159" s="328"/>
      <c r="E159" s="328"/>
      <c r="F159" s="325">
        <v>0</v>
      </c>
      <c r="G159" s="344" t="str">
        <f t="shared" si="8"/>
        <v/>
      </c>
      <c r="H159" s="344" t="str">
        <f t="shared" si="9"/>
        <v/>
      </c>
      <c r="I159" s="349" t="str">
        <f t="shared" si="11"/>
        <v>否</v>
      </c>
      <c r="J159" s="309" t="str">
        <f t="shared" si="10"/>
        <v>项</v>
      </c>
    </row>
    <row r="160" ht="18.75" spans="1:10">
      <c r="A160" s="329">
        <v>214</v>
      </c>
      <c r="B160" s="324" t="s">
        <v>1427</v>
      </c>
      <c r="C160" s="325">
        <v>0</v>
      </c>
      <c r="D160" s="325"/>
      <c r="E160" s="325"/>
      <c r="F160" s="325">
        <v>0</v>
      </c>
      <c r="G160" s="343" t="str">
        <f t="shared" si="8"/>
        <v/>
      </c>
      <c r="H160" s="343" t="str">
        <f t="shared" si="9"/>
        <v/>
      </c>
      <c r="I160" s="349" t="str">
        <f t="shared" si="11"/>
        <v>是</v>
      </c>
      <c r="J160" s="313" t="str">
        <f t="shared" si="10"/>
        <v>类</v>
      </c>
    </row>
    <row r="161" ht="37.5" hidden="1" spans="1:10">
      <c r="A161" s="330">
        <v>21460</v>
      </c>
      <c r="B161" s="327" t="s">
        <v>1428</v>
      </c>
      <c r="C161" s="325">
        <v>0</v>
      </c>
      <c r="D161" s="325"/>
      <c r="E161" s="325"/>
      <c r="F161" s="325">
        <v>0</v>
      </c>
      <c r="G161" s="343" t="str">
        <f t="shared" si="8"/>
        <v/>
      </c>
      <c r="H161" s="343" t="str">
        <f t="shared" si="9"/>
        <v/>
      </c>
      <c r="I161" s="349" t="str">
        <f t="shared" si="11"/>
        <v>否</v>
      </c>
      <c r="J161" s="313" t="str">
        <f t="shared" si="10"/>
        <v>款</v>
      </c>
    </row>
    <row r="162" ht="18.75" hidden="1" spans="1:10">
      <c r="A162" s="330">
        <v>2146001</v>
      </c>
      <c r="B162" s="327" t="s">
        <v>1429</v>
      </c>
      <c r="C162" s="328">
        <v>0</v>
      </c>
      <c r="D162" s="328"/>
      <c r="E162" s="328"/>
      <c r="F162" s="325">
        <v>0</v>
      </c>
      <c r="G162" s="344" t="str">
        <f t="shared" si="8"/>
        <v/>
      </c>
      <c r="H162" s="344" t="str">
        <f t="shared" si="9"/>
        <v/>
      </c>
      <c r="I162" s="349" t="str">
        <f t="shared" si="11"/>
        <v>否</v>
      </c>
      <c r="J162" s="313" t="str">
        <f t="shared" si="10"/>
        <v>项</v>
      </c>
    </row>
    <row r="163" ht="18.75" hidden="1" spans="1:10">
      <c r="A163" s="330">
        <v>2146002</v>
      </c>
      <c r="B163" s="327" t="s">
        <v>1430</v>
      </c>
      <c r="C163" s="328">
        <v>0</v>
      </c>
      <c r="D163" s="328"/>
      <c r="E163" s="328"/>
      <c r="F163" s="325">
        <v>0</v>
      </c>
      <c r="G163" s="344" t="str">
        <f t="shared" si="8"/>
        <v/>
      </c>
      <c r="H163" s="344" t="str">
        <f t="shared" si="9"/>
        <v/>
      </c>
      <c r="I163" s="349" t="str">
        <f t="shared" si="11"/>
        <v>否</v>
      </c>
      <c r="J163" s="313" t="str">
        <f t="shared" si="10"/>
        <v>项</v>
      </c>
    </row>
    <row r="164" ht="18.75" hidden="1" spans="1:10">
      <c r="A164" s="330">
        <v>2146003</v>
      </c>
      <c r="B164" s="327" t="s">
        <v>1431</v>
      </c>
      <c r="C164" s="328">
        <v>0</v>
      </c>
      <c r="D164" s="328"/>
      <c r="E164" s="328"/>
      <c r="F164" s="325">
        <v>0</v>
      </c>
      <c r="G164" s="344" t="str">
        <f t="shared" si="8"/>
        <v/>
      </c>
      <c r="H164" s="344" t="str">
        <f t="shared" si="9"/>
        <v/>
      </c>
      <c r="I164" s="349" t="str">
        <f t="shared" si="11"/>
        <v>否</v>
      </c>
      <c r="J164" s="313" t="str">
        <f t="shared" si="10"/>
        <v>项</v>
      </c>
    </row>
    <row r="165" ht="37.5" hidden="1" spans="1:10">
      <c r="A165" s="330">
        <v>2146099</v>
      </c>
      <c r="B165" s="327" t="s">
        <v>1432</v>
      </c>
      <c r="C165" s="328">
        <v>0</v>
      </c>
      <c r="D165" s="328"/>
      <c r="E165" s="328"/>
      <c r="F165" s="325">
        <v>0</v>
      </c>
      <c r="G165" s="344" t="str">
        <f t="shared" si="8"/>
        <v/>
      </c>
      <c r="H165" s="344" t="str">
        <f t="shared" si="9"/>
        <v/>
      </c>
      <c r="I165" s="349" t="str">
        <f t="shared" si="11"/>
        <v>否</v>
      </c>
      <c r="J165" s="313" t="str">
        <f t="shared" si="10"/>
        <v>项</v>
      </c>
    </row>
    <row r="166" ht="18.75" hidden="1" spans="1:10">
      <c r="A166" s="330">
        <v>21462</v>
      </c>
      <c r="B166" s="327" t="s">
        <v>1433</v>
      </c>
      <c r="C166" s="325">
        <v>0</v>
      </c>
      <c r="D166" s="325"/>
      <c r="E166" s="325"/>
      <c r="F166" s="325">
        <v>0</v>
      </c>
      <c r="G166" s="343" t="str">
        <f t="shared" si="8"/>
        <v/>
      </c>
      <c r="H166" s="343" t="str">
        <f t="shared" si="9"/>
        <v/>
      </c>
      <c r="I166" s="349" t="str">
        <f t="shared" si="11"/>
        <v>否</v>
      </c>
      <c r="J166" s="313" t="str">
        <f t="shared" si="10"/>
        <v>款</v>
      </c>
    </row>
    <row r="167" ht="18.75" hidden="1" spans="1:10">
      <c r="A167" s="330">
        <v>2146201</v>
      </c>
      <c r="B167" s="327" t="s">
        <v>1431</v>
      </c>
      <c r="C167" s="328">
        <v>0</v>
      </c>
      <c r="D167" s="328"/>
      <c r="E167" s="328"/>
      <c r="F167" s="325">
        <v>0</v>
      </c>
      <c r="G167" s="344" t="str">
        <f t="shared" si="8"/>
        <v/>
      </c>
      <c r="H167" s="344" t="str">
        <f t="shared" si="9"/>
        <v/>
      </c>
      <c r="I167" s="349" t="str">
        <f t="shared" si="11"/>
        <v>否</v>
      </c>
      <c r="J167" s="313" t="str">
        <f t="shared" si="10"/>
        <v>项</v>
      </c>
    </row>
    <row r="168" ht="18.75" hidden="1" spans="1:10">
      <c r="A168" s="330">
        <v>2146202</v>
      </c>
      <c r="B168" s="327" t="s">
        <v>1434</v>
      </c>
      <c r="C168" s="328">
        <v>0</v>
      </c>
      <c r="D168" s="328"/>
      <c r="E168" s="328"/>
      <c r="F168" s="325">
        <v>0</v>
      </c>
      <c r="G168" s="344" t="str">
        <f t="shared" si="8"/>
        <v/>
      </c>
      <c r="H168" s="344" t="str">
        <f t="shared" si="9"/>
        <v/>
      </c>
      <c r="I168" s="349" t="str">
        <f t="shared" si="11"/>
        <v>否</v>
      </c>
      <c r="J168" s="313" t="str">
        <f t="shared" si="10"/>
        <v>项</v>
      </c>
    </row>
    <row r="169" ht="18.75" hidden="1" spans="1:10">
      <c r="A169" s="330">
        <v>2146203</v>
      </c>
      <c r="B169" s="327" t="s">
        <v>1435</v>
      </c>
      <c r="C169" s="328">
        <v>0</v>
      </c>
      <c r="D169" s="328"/>
      <c r="E169" s="328"/>
      <c r="F169" s="325">
        <v>0</v>
      </c>
      <c r="G169" s="344" t="str">
        <f t="shared" si="8"/>
        <v/>
      </c>
      <c r="H169" s="344" t="str">
        <f t="shared" si="9"/>
        <v/>
      </c>
      <c r="I169" s="349" t="str">
        <f t="shared" si="11"/>
        <v>否</v>
      </c>
      <c r="J169" s="313" t="str">
        <f t="shared" si="10"/>
        <v>项</v>
      </c>
    </row>
    <row r="170" ht="18.75" hidden="1" spans="1:10">
      <c r="A170" s="330">
        <v>2146299</v>
      </c>
      <c r="B170" s="327" t="s">
        <v>1436</v>
      </c>
      <c r="C170" s="328">
        <v>0</v>
      </c>
      <c r="D170" s="328"/>
      <c r="E170" s="328"/>
      <c r="F170" s="325">
        <v>0</v>
      </c>
      <c r="G170" s="344" t="str">
        <f t="shared" si="8"/>
        <v/>
      </c>
      <c r="H170" s="344" t="str">
        <f t="shared" si="9"/>
        <v/>
      </c>
      <c r="I170" s="349" t="str">
        <f t="shared" si="11"/>
        <v>否</v>
      </c>
      <c r="J170" s="313" t="str">
        <f t="shared" si="10"/>
        <v>项</v>
      </c>
    </row>
    <row r="171" ht="18.75" hidden="1" spans="1:10">
      <c r="A171" s="330">
        <v>21464</v>
      </c>
      <c r="B171" s="327" t="s">
        <v>1437</v>
      </c>
      <c r="C171" s="325">
        <v>0</v>
      </c>
      <c r="D171" s="325"/>
      <c r="E171" s="325"/>
      <c r="F171" s="325">
        <v>0</v>
      </c>
      <c r="G171" s="343" t="str">
        <f t="shared" si="8"/>
        <v/>
      </c>
      <c r="H171" s="343" t="str">
        <f t="shared" si="9"/>
        <v/>
      </c>
      <c r="I171" s="349" t="str">
        <f t="shared" si="11"/>
        <v>否</v>
      </c>
      <c r="J171" s="313" t="str">
        <f t="shared" si="10"/>
        <v>款</v>
      </c>
    </row>
    <row r="172" ht="18.75" hidden="1" spans="1:10">
      <c r="A172" s="330">
        <v>2146401</v>
      </c>
      <c r="B172" s="327" t="s">
        <v>1438</v>
      </c>
      <c r="C172" s="328">
        <v>0</v>
      </c>
      <c r="D172" s="328"/>
      <c r="E172" s="328"/>
      <c r="F172" s="325">
        <v>0</v>
      </c>
      <c r="G172" s="344" t="str">
        <f t="shared" si="8"/>
        <v/>
      </c>
      <c r="H172" s="344" t="str">
        <f t="shared" si="9"/>
        <v/>
      </c>
      <c r="I172" s="349" t="str">
        <f t="shared" si="11"/>
        <v>否</v>
      </c>
      <c r="J172" s="313" t="str">
        <f t="shared" si="10"/>
        <v>项</v>
      </c>
    </row>
    <row r="173" ht="18.75" hidden="1" spans="1:10">
      <c r="A173" s="330">
        <v>2146402</v>
      </c>
      <c r="B173" s="327" t="s">
        <v>1439</v>
      </c>
      <c r="C173" s="328">
        <v>0</v>
      </c>
      <c r="D173" s="328"/>
      <c r="E173" s="328"/>
      <c r="F173" s="325">
        <v>0</v>
      </c>
      <c r="G173" s="344" t="str">
        <f t="shared" si="8"/>
        <v/>
      </c>
      <c r="H173" s="344" t="str">
        <f t="shared" si="9"/>
        <v/>
      </c>
      <c r="I173" s="349" t="str">
        <f t="shared" si="11"/>
        <v>否</v>
      </c>
      <c r="J173" s="313" t="str">
        <f t="shared" si="10"/>
        <v>项</v>
      </c>
    </row>
    <row r="174" ht="18.75" hidden="1" spans="1:10">
      <c r="A174" s="330">
        <v>2146403</v>
      </c>
      <c r="B174" s="327" t="s">
        <v>1440</v>
      </c>
      <c r="C174" s="328">
        <v>0</v>
      </c>
      <c r="D174" s="328"/>
      <c r="E174" s="328"/>
      <c r="F174" s="325">
        <v>0</v>
      </c>
      <c r="G174" s="344" t="str">
        <f t="shared" si="8"/>
        <v/>
      </c>
      <c r="H174" s="344" t="str">
        <f t="shared" si="9"/>
        <v/>
      </c>
      <c r="I174" s="349" t="str">
        <f t="shared" si="11"/>
        <v>否</v>
      </c>
      <c r="J174" s="313" t="str">
        <f t="shared" si="10"/>
        <v>项</v>
      </c>
    </row>
    <row r="175" ht="18.75" hidden="1" spans="1:10">
      <c r="A175" s="330">
        <v>2146404</v>
      </c>
      <c r="B175" s="327" t="s">
        <v>1441</v>
      </c>
      <c r="C175" s="328">
        <v>0</v>
      </c>
      <c r="D175" s="328"/>
      <c r="E175" s="328"/>
      <c r="F175" s="325">
        <v>0</v>
      </c>
      <c r="G175" s="344" t="str">
        <f t="shared" si="8"/>
        <v/>
      </c>
      <c r="H175" s="344" t="str">
        <f t="shared" si="9"/>
        <v/>
      </c>
      <c r="I175" s="349" t="str">
        <f t="shared" si="11"/>
        <v>否</v>
      </c>
      <c r="J175" s="313" t="str">
        <f t="shared" si="10"/>
        <v>项</v>
      </c>
    </row>
    <row r="176" ht="18.75" hidden="1" spans="1:10">
      <c r="A176" s="330">
        <v>2146405</v>
      </c>
      <c r="B176" s="327" t="s">
        <v>1442</v>
      </c>
      <c r="C176" s="328">
        <v>0</v>
      </c>
      <c r="D176" s="328"/>
      <c r="E176" s="328"/>
      <c r="F176" s="325">
        <v>0</v>
      </c>
      <c r="G176" s="344" t="str">
        <f t="shared" si="8"/>
        <v/>
      </c>
      <c r="H176" s="344" t="str">
        <f t="shared" si="9"/>
        <v/>
      </c>
      <c r="I176" s="349" t="str">
        <f t="shared" si="11"/>
        <v>否</v>
      </c>
      <c r="J176" s="313" t="str">
        <f t="shared" si="10"/>
        <v>项</v>
      </c>
    </row>
    <row r="177" ht="18.75" hidden="1" spans="1:10">
      <c r="A177" s="330">
        <v>2146406</v>
      </c>
      <c r="B177" s="327" t="s">
        <v>1443</v>
      </c>
      <c r="C177" s="328">
        <v>0</v>
      </c>
      <c r="D177" s="328"/>
      <c r="E177" s="328"/>
      <c r="F177" s="325">
        <v>0</v>
      </c>
      <c r="G177" s="344" t="str">
        <f t="shared" si="8"/>
        <v/>
      </c>
      <c r="H177" s="344" t="str">
        <f t="shared" si="9"/>
        <v/>
      </c>
      <c r="I177" s="349" t="str">
        <f t="shared" si="11"/>
        <v>否</v>
      </c>
      <c r="J177" s="313" t="str">
        <f t="shared" si="10"/>
        <v>项</v>
      </c>
    </row>
    <row r="178" ht="18.75" hidden="1" spans="1:10">
      <c r="A178" s="330">
        <v>2146407</v>
      </c>
      <c r="B178" s="327" t="s">
        <v>1444</v>
      </c>
      <c r="C178" s="328">
        <v>0</v>
      </c>
      <c r="D178" s="328"/>
      <c r="E178" s="328"/>
      <c r="F178" s="325">
        <v>0</v>
      </c>
      <c r="G178" s="344" t="str">
        <f t="shared" si="8"/>
        <v/>
      </c>
      <c r="H178" s="344" t="str">
        <f t="shared" si="9"/>
        <v/>
      </c>
      <c r="I178" s="349" t="str">
        <f t="shared" si="11"/>
        <v>否</v>
      </c>
      <c r="J178" s="313" t="str">
        <f t="shared" si="10"/>
        <v>项</v>
      </c>
    </row>
    <row r="179" ht="18.75" hidden="1" spans="1:10">
      <c r="A179" s="330">
        <v>2146499</v>
      </c>
      <c r="B179" s="327" t="s">
        <v>1445</v>
      </c>
      <c r="C179" s="328">
        <v>0</v>
      </c>
      <c r="D179" s="328"/>
      <c r="E179" s="328"/>
      <c r="F179" s="325">
        <v>0</v>
      </c>
      <c r="G179" s="344" t="str">
        <f t="shared" si="8"/>
        <v/>
      </c>
      <c r="H179" s="344" t="str">
        <f t="shared" si="9"/>
        <v/>
      </c>
      <c r="I179" s="349" t="str">
        <f t="shared" si="11"/>
        <v>否</v>
      </c>
      <c r="J179" s="313" t="str">
        <f t="shared" si="10"/>
        <v>项</v>
      </c>
    </row>
    <row r="180" ht="18.75" hidden="1" spans="1:10">
      <c r="A180" s="330">
        <v>21468</v>
      </c>
      <c r="B180" s="327" t="s">
        <v>1446</v>
      </c>
      <c r="C180" s="325">
        <v>0</v>
      </c>
      <c r="D180" s="325"/>
      <c r="E180" s="325"/>
      <c r="F180" s="325">
        <v>0</v>
      </c>
      <c r="G180" s="343" t="str">
        <f t="shared" si="8"/>
        <v/>
      </c>
      <c r="H180" s="343" t="str">
        <f t="shared" si="9"/>
        <v/>
      </c>
      <c r="I180" s="349" t="str">
        <f t="shared" si="11"/>
        <v>否</v>
      </c>
      <c r="J180" s="313" t="str">
        <f t="shared" si="10"/>
        <v>款</v>
      </c>
    </row>
    <row r="181" ht="18.75" hidden="1" spans="1:10">
      <c r="A181" s="330">
        <v>2146801</v>
      </c>
      <c r="B181" s="327" t="s">
        <v>1447</v>
      </c>
      <c r="C181" s="328">
        <v>0</v>
      </c>
      <c r="D181" s="328"/>
      <c r="E181" s="328"/>
      <c r="F181" s="325">
        <v>0</v>
      </c>
      <c r="G181" s="344" t="str">
        <f t="shared" si="8"/>
        <v/>
      </c>
      <c r="H181" s="344" t="str">
        <f t="shared" si="9"/>
        <v/>
      </c>
      <c r="I181" s="349" t="str">
        <f t="shared" si="11"/>
        <v>否</v>
      </c>
      <c r="J181" s="313" t="str">
        <f t="shared" si="10"/>
        <v>项</v>
      </c>
    </row>
    <row r="182" ht="18.75" hidden="1" spans="1:10">
      <c r="A182" s="330">
        <v>2146802</v>
      </c>
      <c r="B182" s="327" t="s">
        <v>1448</v>
      </c>
      <c r="C182" s="328">
        <v>0</v>
      </c>
      <c r="D182" s="328"/>
      <c r="E182" s="328"/>
      <c r="F182" s="325">
        <v>0</v>
      </c>
      <c r="G182" s="344" t="str">
        <f t="shared" si="8"/>
        <v/>
      </c>
      <c r="H182" s="344" t="str">
        <f t="shared" si="9"/>
        <v/>
      </c>
      <c r="I182" s="349" t="str">
        <f t="shared" si="11"/>
        <v>否</v>
      </c>
      <c r="J182" s="313" t="str">
        <f t="shared" si="10"/>
        <v>项</v>
      </c>
    </row>
    <row r="183" ht="18.75" hidden="1" spans="1:10">
      <c r="A183" s="330">
        <v>2146803</v>
      </c>
      <c r="B183" s="327" t="s">
        <v>1449</v>
      </c>
      <c r="C183" s="328">
        <v>0</v>
      </c>
      <c r="D183" s="328"/>
      <c r="E183" s="328"/>
      <c r="F183" s="325">
        <v>0</v>
      </c>
      <c r="G183" s="344" t="str">
        <f t="shared" si="8"/>
        <v/>
      </c>
      <c r="H183" s="344" t="str">
        <f t="shared" si="9"/>
        <v/>
      </c>
      <c r="I183" s="349" t="str">
        <f t="shared" si="11"/>
        <v>否</v>
      </c>
      <c r="J183" s="313" t="str">
        <f t="shared" si="10"/>
        <v>项</v>
      </c>
    </row>
    <row r="184" ht="18.75" hidden="1" spans="1:10">
      <c r="A184" s="330">
        <v>2146804</v>
      </c>
      <c r="B184" s="327" t="s">
        <v>1450</v>
      </c>
      <c r="C184" s="328">
        <v>0</v>
      </c>
      <c r="D184" s="328"/>
      <c r="E184" s="328"/>
      <c r="F184" s="325">
        <v>0</v>
      </c>
      <c r="G184" s="344" t="str">
        <f t="shared" si="8"/>
        <v/>
      </c>
      <c r="H184" s="344" t="str">
        <f t="shared" si="9"/>
        <v/>
      </c>
      <c r="I184" s="349" t="str">
        <f t="shared" si="11"/>
        <v>否</v>
      </c>
      <c r="J184" s="313" t="str">
        <f t="shared" si="10"/>
        <v>项</v>
      </c>
    </row>
    <row r="185" ht="18.75" hidden="1" spans="1:10">
      <c r="A185" s="330">
        <v>2146805</v>
      </c>
      <c r="B185" s="327" t="s">
        <v>1451</v>
      </c>
      <c r="C185" s="328">
        <v>0</v>
      </c>
      <c r="D185" s="328"/>
      <c r="E185" s="328"/>
      <c r="F185" s="325">
        <v>0</v>
      </c>
      <c r="G185" s="344" t="str">
        <f t="shared" si="8"/>
        <v/>
      </c>
      <c r="H185" s="344" t="str">
        <f t="shared" si="9"/>
        <v/>
      </c>
      <c r="I185" s="349" t="str">
        <f t="shared" si="11"/>
        <v>否</v>
      </c>
      <c r="J185" s="313" t="str">
        <f t="shared" si="10"/>
        <v>项</v>
      </c>
    </row>
    <row r="186" ht="18.75" hidden="1" spans="1:10">
      <c r="A186" s="330">
        <v>2146899</v>
      </c>
      <c r="B186" s="327" t="s">
        <v>1452</v>
      </c>
      <c r="C186" s="328">
        <v>0</v>
      </c>
      <c r="D186" s="328"/>
      <c r="E186" s="328"/>
      <c r="F186" s="325">
        <v>0</v>
      </c>
      <c r="G186" s="344" t="str">
        <f t="shared" si="8"/>
        <v/>
      </c>
      <c r="H186" s="344" t="str">
        <f t="shared" si="9"/>
        <v/>
      </c>
      <c r="I186" s="349" t="str">
        <f t="shared" si="11"/>
        <v>否</v>
      </c>
      <c r="J186" s="313" t="str">
        <f t="shared" si="10"/>
        <v>项</v>
      </c>
    </row>
    <row r="187" ht="18.75" hidden="1" spans="1:10">
      <c r="A187" s="330">
        <v>21469</v>
      </c>
      <c r="B187" s="327" t="s">
        <v>1453</v>
      </c>
      <c r="C187" s="325">
        <v>0</v>
      </c>
      <c r="D187" s="325"/>
      <c r="E187" s="325"/>
      <c r="F187" s="325">
        <v>0</v>
      </c>
      <c r="G187" s="343" t="str">
        <f t="shared" si="8"/>
        <v/>
      </c>
      <c r="H187" s="343" t="str">
        <f t="shared" si="9"/>
        <v/>
      </c>
      <c r="I187" s="349" t="str">
        <f t="shared" si="11"/>
        <v>否</v>
      </c>
      <c r="J187" s="313" t="str">
        <f t="shared" si="10"/>
        <v>款</v>
      </c>
    </row>
    <row r="188" ht="18.75" hidden="1" spans="1:10">
      <c r="A188" s="330">
        <v>2146901</v>
      </c>
      <c r="B188" s="327" t="s">
        <v>1454</v>
      </c>
      <c r="C188" s="328">
        <v>0</v>
      </c>
      <c r="D188" s="328"/>
      <c r="E188" s="328"/>
      <c r="F188" s="325">
        <v>0</v>
      </c>
      <c r="G188" s="344" t="str">
        <f t="shared" si="8"/>
        <v/>
      </c>
      <c r="H188" s="344" t="str">
        <f t="shared" si="9"/>
        <v/>
      </c>
      <c r="I188" s="349" t="str">
        <f t="shared" si="11"/>
        <v>否</v>
      </c>
      <c r="J188" s="313" t="str">
        <f t="shared" si="10"/>
        <v>项</v>
      </c>
    </row>
    <row r="189" ht="18.75" hidden="1" spans="1:10">
      <c r="A189" s="330">
        <v>2146902</v>
      </c>
      <c r="B189" s="327" t="s">
        <v>1455</v>
      </c>
      <c r="C189" s="328">
        <v>0</v>
      </c>
      <c r="D189" s="328"/>
      <c r="E189" s="328"/>
      <c r="F189" s="325">
        <v>0</v>
      </c>
      <c r="G189" s="344" t="str">
        <f t="shared" si="8"/>
        <v/>
      </c>
      <c r="H189" s="344" t="str">
        <f t="shared" si="9"/>
        <v/>
      </c>
      <c r="I189" s="349" t="str">
        <f t="shared" si="11"/>
        <v>否</v>
      </c>
      <c r="J189" s="313" t="str">
        <f t="shared" si="10"/>
        <v>项</v>
      </c>
    </row>
    <row r="190" ht="18.75" hidden="1" spans="1:10">
      <c r="A190" s="330">
        <v>2146903</v>
      </c>
      <c r="B190" s="327" t="s">
        <v>1456</v>
      </c>
      <c r="C190" s="328">
        <v>0</v>
      </c>
      <c r="D190" s="328"/>
      <c r="E190" s="328"/>
      <c r="F190" s="325">
        <v>0</v>
      </c>
      <c r="G190" s="344" t="str">
        <f t="shared" si="8"/>
        <v/>
      </c>
      <c r="H190" s="344" t="str">
        <f t="shared" si="9"/>
        <v/>
      </c>
      <c r="I190" s="349" t="str">
        <f t="shared" si="11"/>
        <v>否</v>
      </c>
      <c r="J190" s="313" t="str">
        <f t="shared" si="10"/>
        <v>项</v>
      </c>
    </row>
    <row r="191" ht="18.75" hidden="1" spans="1:10">
      <c r="A191" s="330">
        <v>2146904</v>
      </c>
      <c r="B191" s="327" t="s">
        <v>1457</v>
      </c>
      <c r="C191" s="328">
        <v>0</v>
      </c>
      <c r="D191" s="328"/>
      <c r="E191" s="328"/>
      <c r="F191" s="325">
        <v>0</v>
      </c>
      <c r="G191" s="344" t="str">
        <f t="shared" si="8"/>
        <v/>
      </c>
      <c r="H191" s="344" t="str">
        <f t="shared" si="9"/>
        <v/>
      </c>
      <c r="I191" s="349" t="str">
        <f t="shared" si="11"/>
        <v>否</v>
      </c>
      <c r="J191" s="313" t="str">
        <f t="shared" si="10"/>
        <v>项</v>
      </c>
    </row>
    <row r="192" ht="18.75" hidden="1" spans="1:10">
      <c r="A192" s="330">
        <v>2146906</v>
      </c>
      <c r="B192" s="327" t="s">
        <v>1458</v>
      </c>
      <c r="C192" s="328">
        <v>0</v>
      </c>
      <c r="D192" s="328"/>
      <c r="E192" s="328"/>
      <c r="F192" s="325">
        <v>0</v>
      </c>
      <c r="G192" s="344" t="str">
        <f t="shared" si="8"/>
        <v/>
      </c>
      <c r="H192" s="344" t="str">
        <f t="shared" si="9"/>
        <v/>
      </c>
      <c r="I192" s="349" t="str">
        <f t="shared" si="11"/>
        <v>否</v>
      </c>
      <c r="J192" s="313" t="str">
        <f t="shared" si="10"/>
        <v>项</v>
      </c>
    </row>
    <row r="193" ht="18.75" hidden="1" spans="1:10">
      <c r="A193" s="330">
        <v>2146907</v>
      </c>
      <c r="B193" s="327" t="s">
        <v>1459</v>
      </c>
      <c r="C193" s="328">
        <v>0</v>
      </c>
      <c r="D193" s="328"/>
      <c r="E193" s="328"/>
      <c r="F193" s="325">
        <v>0</v>
      </c>
      <c r="G193" s="344" t="str">
        <f t="shared" si="8"/>
        <v/>
      </c>
      <c r="H193" s="344" t="str">
        <f t="shared" si="9"/>
        <v/>
      </c>
      <c r="I193" s="349" t="str">
        <f t="shared" si="11"/>
        <v>否</v>
      </c>
      <c r="J193" s="313" t="str">
        <f t="shared" si="10"/>
        <v>项</v>
      </c>
    </row>
    <row r="194" ht="18.75" hidden="1" spans="1:10">
      <c r="A194" s="330">
        <v>2146908</v>
      </c>
      <c r="B194" s="327" t="s">
        <v>1460</v>
      </c>
      <c r="C194" s="328">
        <v>0</v>
      </c>
      <c r="D194" s="328"/>
      <c r="E194" s="328"/>
      <c r="F194" s="325">
        <v>0</v>
      </c>
      <c r="G194" s="344" t="str">
        <f t="shared" si="8"/>
        <v/>
      </c>
      <c r="H194" s="344" t="str">
        <f t="shared" si="9"/>
        <v/>
      </c>
      <c r="I194" s="349" t="str">
        <f t="shared" si="11"/>
        <v>否</v>
      </c>
      <c r="J194" s="313" t="str">
        <f t="shared" si="10"/>
        <v>项</v>
      </c>
    </row>
    <row r="195" ht="18.75" hidden="1" spans="1:10">
      <c r="A195" s="339">
        <v>2146909</v>
      </c>
      <c r="B195" s="327" t="s">
        <v>1461</v>
      </c>
      <c r="C195" s="328">
        <v>0</v>
      </c>
      <c r="D195" s="328"/>
      <c r="E195" s="328"/>
      <c r="F195" s="325">
        <v>0</v>
      </c>
      <c r="G195" s="344" t="str">
        <f t="shared" si="8"/>
        <v/>
      </c>
      <c r="H195" s="344" t="str">
        <f t="shared" si="9"/>
        <v/>
      </c>
      <c r="I195" s="349" t="str">
        <f t="shared" si="11"/>
        <v>否</v>
      </c>
      <c r="J195" s="313" t="str">
        <f t="shared" si="10"/>
        <v>项</v>
      </c>
    </row>
    <row r="196" ht="18.75" hidden="1" spans="1:10">
      <c r="A196" s="330">
        <v>2146999</v>
      </c>
      <c r="B196" s="327" t="s">
        <v>1462</v>
      </c>
      <c r="C196" s="328">
        <v>0</v>
      </c>
      <c r="D196" s="328"/>
      <c r="E196" s="328"/>
      <c r="F196" s="325">
        <v>0</v>
      </c>
      <c r="G196" s="344" t="str">
        <f t="shared" si="8"/>
        <v/>
      </c>
      <c r="H196" s="344" t="str">
        <f t="shared" si="9"/>
        <v/>
      </c>
      <c r="I196" s="349" t="str">
        <f t="shared" si="11"/>
        <v>否</v>
      </c>
      <c r="J196" s="313" t="str">
        <f t="shared" si="10"/>
        <v>项</v>
      </c>
    </row>
    <row r="197" ht="37.5" hidden="1" spans="1:10">
      <c r="A197" s="330">
        <v>21470</v>
      </c>
      <c r="B197" s="327" t="s">
        <v>1463</v>
      </c>
      <c r="C197" s="325">
        <v>0</v>
      </c>
      <c r="D197" s="325"/>
      <c r="E197" s="325"/>
      <c r="F197" s="325">
        <v>0</v>
      </c>
      <c r="G197" s="343" t="str">
        <f t="shared" ref="G197:G217" si="12">IFERROR((F197-C197)/C197,"")</f>
        <v/>
      </c>
      <c r="H197" s="343" t="str">
        <f t="shared" ref="H197:H217" si="13">IFERROR(F197/D197,"")</f>
        <v/>
      </c>
      <c r="I197" s="349" t="str">
        <f t="shared" si="11"/>
        <v>否</v>
      </c>
      <c r="J197" s="313" t="str">
        <f t="shared" ref="J197:J217" si="14">IF(LEN(A197)=3,"类",IF(LEN(A197)=5,"款","项"))</f>
        <v>款</v>
      </c>
    </row>
    <row r="198" ht="18.75" hidden="1" spans="1:10">
      <c r="A198" s="330">
        <v>2147001</v>
      </c>
      <c r="B198" s="327" t="s">
        <v>1429</v>
      </c>
      <c r="C198" s="328">
        <v>0</v>
      </c>
      <c r="D198" s="328"/>
      <c r="E198" s="328"/>
      <c r="F198" s="325">
        <v>0</v>
      </c>
      <c r="G198" s="344" t="str">
        <f t="shared" si="12"/>
        <v/>
      </c>
      <c r="H198" s="344" t="str">
        <f t="shared" si="13"/>
        <v/>
      </c>
      <c r="I198" s="349" t="str">
        <f t="shared" ref="I198:I217" si="15">IF(LEN(A198)=3,"是",IF(B198&lt;&gt;"",IF(SUM(C198:F198)&lt;&gt;0,"是","否"),"是"))</f>
        <v>否</v>
      </c>
      <c r="J198" s="313" t="str">
        <f t="shared" si="14"/>
        <v>项</v>
      </c>
    </row>
    <row r="199" ht="37.5" hidden="1" spans="1:10">
      <c r="A199" s="330">
        <v>2147099</v>
      </c>
      <c r="B199" s="327" t="s">
        <v>1464</v>
      </c>
      <c r="C199" s="328">
        <v>0</v>
      </c>
      <c r="D199" s="328"/>
      <c r="E199" s="328"/>
      <c r="F199" s="325">
        <v>0</v>
      </c>
      <c r="G199" s="344" t="str">
        <f t="shared" si="12"/>
        <v/>
      </c>
      <c r="H199" s="344" t="str">
        <f t="shared" si="13"/>
        <v/>
      </c>
      <c r="I199" s="349" t="str">
        <f t="shared" si="15"/>
        <v>否</v>
      </c>
      <c r="J199" s="313" t="str">
        <f t="shared" si="14"/>
        <v>项</v>
      </c>
    </row>
    <row r="200" ht="18.75" hidden="1" spans="1:10">
      <c r="A200" s="330">
        <v>21471</v>
      </c>
      <c r="B200" s="327" t="s">
        <v>1465</v>
      </c>
      <c r="C200" s="325">
        <v>0</v>
      </c>
      <c r="D200" s="325"/>
      <c r="E200" s="325"/>
      <c r="F200" s="325">
        <v>0</v>
      </c>
      <c r="G200" s="343" t="str">
        <f t="shared" si="12"/>
        <v/>
      </c>
      <c r="H200" s="343" t="str">
        <f t="shared" si="13"/>
        <v/>
      </c>
      <c r="I200" s="349" t="str">
        <f t="shared" si="15"/>
        <v>否</v>
      </c>
      <c r="J200" s="313" t="str">
        <f t="shared" si="14"/>
        <v>款</v>
      </c>
    </row>
    <row r="201" ht="18.75" hidden="1" spans="1:10">
      <c r="A201" s="330">
        <v>2147101</v>
      </c>
      <c r="B201" s="327" t="s">
        <v>1429</v>
      </c>
      <c r="C201" s="328">
        <v>0</v>
      </c>
      <c r="D201" s="328"/>
      <c r="E201" s="328"/>
      <c r="F201" s="325">
        <v>0</v>
      </c>
      <c r="G201" s="344" t="str">
        <f t="shared" si="12"/>
        <v/>
      </c>
      <c r="H201" s="344" t="str">
        <f t="shared" si="13"/>
        <v/>
      </c>
      <c r="I201" s="349" t="str">
        <f t="shared" si="15"/>
        <v>否</v>
      </c>
      <c r="J201" s="313" t="str">
        <f t="shared" si="14"/>
        <v>项</v>
      </c>
    </row>
    <row r="202" ht="37.5" hidden="1" spans="1:10">
      <c r="A202" s="330">
        <v>2147199</v>
      </c>
      <c r="B202" s="327" t="s">
        <v>1466</v>
      </c>
      <c r="C202" s="328">
        <v>0</v>
      </c>
      <c r="D202" s="328"/>
      <c r="E202" s="328"/>
      <c r="F202" s="325">
        <v>0</v>
      </c>
      <c r="G202" s="344" t="str">
        <f t="shared" si="12"/>
        <v/>
      </c>
      <c r="H202" s="344" t="str">
        <f t="shared" si="13"/>
        <v/>
      </c>
      <c r="I202" s="349" t="str">
        <f t="shared" si="15"/>
        <v>否</v>
      </c>
      <c r="J202" s="313" t="str">
        <f t="shared" si="14"/>
        <v>项</v>
      </c>
    </row>
    <row r="203" ht="18.75" hidden="1" spans="1:10">
      <c r="A203" s="330">
        <v>21472</v>
      </c>
      <c r="B203" s="327" t="s">
        <v>1467</v>
      </c>
      <c r="C203" s="325">
        <v>0</v>
      </c>
      <c r="D203" s="325"/>
      <c r="E203" s="325"/>
      <c r="F203" s="325">
        <v>0</v>
      </c>
      <c r="G203" s="343" t="str">
        <f t="shared" si="12"/>
        <v/>
      </c>
      <c r="H203" s="343" t="str">
        <f t="shared" si="13"/>
        <v/>
      </c>
      <c r="I203" s="349" t="str">
        <f t="shared" si="15"/>
        <v>否</v>
      </c>
      <c r="J203" s="313" t="str">
        <f t="shared" si="14"/>
        <v>款</v>
      </c>
    </row>
    <row r="204" s="311" customFormat="1" ht="18.75" hidden="1" spans="1:10">
      <c r="A204" s="334">
        <v>21498</v>
      </c>
      <c r="B204" s="338" t="s">
        <v>1331</v>
      </c>
      <c r="C204" s="325">
        <v>0</v>
      </c>
      <c r="D204" s="325"/>
      <c r="E204" s="325"/>
      <c r="F204" s="325">
        <v>0</v>
      </c>
      <c r="G204" s="343" t="str">
        <f t="shared" si="12"/>
        <v/>
      </c>
      <c r="H204" s="343" t="str">
        <f t="shared" si="13"/>
        <v/>
      </c>
      <c r="I204" s="349" t="str">
        <f t="shared" si="15"/>
        <v>否</v>
      </c>
      <c r="J204" s="309" t="str">
        <f t="shared" si="14"/>
        <v>款</v>
      </c>
    </row>
    <row r="205" s="311" customFormat="1" ht="18.75" hidden="1" spans="1:10">
      <c r="A205" s="334">
        <v>2149801</v>
      </c>
      <c r="B205" s="338" t="s">
        <v>1468</v>
      </c>
      <c r="C205" s="328">
        <v>0</v>
      </c>
      <c r="D205" s="328"/>
      <c r="E205" s="328"/>
      <c r="F205" s="325">
        <v>0</v>
      </c>
      <c r="G205" s="344" t="str">
        <f t="shared" si="12"/>
        <v/>
      </c>
      <c r="H205" s="344" t="str">
        <f t="shared" si="13"/>
        <v/>
      </c>
      <c r="I205" s="349" t="str">
        <f t="shared" si="15"/>
        <v>否</v>
      </c>
      <c r="J205" s="309" t="str">
        <f t="shared" si="14"/>
        <v>项</v>
      </c>
    </row>
    <row r="206" s="311" customFormat="1" ht="18.75" hidden="1" spans="1:10">
      <c r="A206" s="334">
        <v>2149802</v>
      </c>
      <c r="B206" s="338" t="s">
        <v>1469</v>
      </c>
      <c r="C206" s="328">
        <v>0</v>
      </c>
      <c r="D206" s="328"/>
      <c r="E206" s="328"/>
      <c r="F206" s="325">
        <v>0</v>
      </c>
      <c r="G206" s="344" t="str">
        <f t="shared" si="12"/>
        <v/>
      </c>
      <c r="H206" s="344" t="str">
        <f t="shared" si="13"/>
        <v/>
      </c>
      <c r="I206" s="349" t="str">
        <f t="shared" si="15"/>
        <v>否</v>
      </c>
      <c r="J206" s="309" t="str">
        <f t="shared" si="14"/>
        <v>项</v>
      </c>
    </row>
    <row r="207" s="311" customFormat="1" ht="18.75" hidden="1" spans="1:10">
      <c r="A207" s="334">
        <v>2149803</v>
      </c>
      <c r="B207" s="338" t="s">
        <v>1470</v>
      </c>
      <c r="C207" s="328">
        <v>0</v>
      </c>
      <c r="D207" s="328"/>
      <c r="E207" s="328"/>
      <c r="F207" s="325">
        <v>0</v>
      </c>
      <c r="G207" s="344" t="str">
        <f t="shared" si="12"/>
        <v/>
      </c>
      <c r="H207" s="344" t="str">
        <f t="shared" si="13"/>
        <v/>
      </c>
      <c r="I207" s="349" t="str">
        <f t="shared" si="15"/>
        <v>否</v>
      </c>
      <c r="J207" s="309" t="str">
        <f t="shared" si="14"/>
        <v>项</v>
      </c>
    </row>
    <row r="208" s="311" customFormat="1" ht="18.75" hidden="1" spans="1:10">
      <c r="A208" s="334">
        <v>2149804</v>
      </c>
      <c r="B208" s="338" t="s">
        <v>1471</v>
      </c>
      <c r="C208" s="328">
        <v>0</v>
      </c>
      <c r="D208" s="328"/>
      <c r="E208" s="328"/>
      <c r="F208" s="325">
        <v>0</v>
      </c>
      <c r="G208" s="344" t="str">
        <f t="shared" si="12"/>
        <v/>
      </c>
      <c r="H208" s="344" t="str">
        <f t="shared" si="13"/>
        <v/>
      </c>
      <c r="I208" s="349" t="str">
        <f t="shared" si="15"/>
        <v>否</v>
      </c>
      <c r="J208" s="309" t="str">
        <f t="shared" si="14"/>
        <v>项</v>
      </c>
    </row>
    <row r="209" s="311" customFormat="1" ht="18.75" hidden="1" spans="1:10">
      <c r="A209" s="334">
        <v>2149899</v>
      </c>
      <c r="B209" s="338" t="s">
        <v>1472</v>
      </c>
      <c r="C209" s="328">
        <v>0</v>
      </c>
      <c r="D209" s="328"/>
      <c r="E209" s="328"/>
      <c r="F209" s="325">
        <v>0</v>
      </c>
      <c r="G209" s="344" t="str">
        <f t="shared" si="12"/>
        <v/>
      </c>
      <c r="H209" s="344" t="str">
        <f t="shared" si="13"/>
        <v/>
      </c>
      <c r="I209" s="349" t="str">
        <f t="shared" si="15"/>
        <v>否</v>
      </c>
      <c r="J209" s="309" t="str">
        <f t="shared" si="14"/>
        <v>项</v>
      </c>
    </row>
    <row r="210" ht="18.75" spans="1:10">
      <c r="A210" s="329">
        <v>215</v>
      </c>
      <c r="B210" s="324" t="s">
        <v>1473</v>
      </c>
      <c r="C210" s="325">
        <v>153</v>
      </c>
      <c r="D210" s="325">
        <f>D211+D214</f>
        <v>24</v>
      </c>
      <c r="E210" s="325">
        <f>E211+E214</f>
        <v>24</v>
      </c>
      <c r="F210" s="325">
        <f>F211+F214</f>
        <v>44</v>
      </c>
      <c r="G210" s="343">
        <f t="shared" si="12"/>
        <v>-0.712418300653595</v>
      </c>
      <c r="H210" s="343">
        <f t="shared" si="13"/>
        <v>1.83333333333333</v>
      </c>
      <c r="I210" s="349" t="str">
        <f t="shared" si="15"/>
        <v>是</v>
      </c>
      <c r="J210" s="313" t="str">
        <f t="shared" si="14"/>
        <v>类</v>
      </c>
    </row>
    <row r="211" ht="18.75" hidden="1" spans="1:10">
      <c r="A211" s="330">
        <v>21562</v>
      </c>
      <c r="B211" s="327" t="s">
        <v>1474</v>
      </c>
      <c r="C211" s="325">
        <v>0</v>
      </c>
      <c r="D211" s="325"/>
      <c r="E211" s="325"/>
      <c r="F211" s="325">
        <v>0</v>
      </c>
      <c r="G211" s="343" t="str">
        <f t="shared" si="12"/>
        <v/>
      </c>
      <c r="H211" s="343" t="str">
        <f t="shared" si="13"/>
        <v/>
      </c>
      <c r="I211" s="349" t="str">
        <f t="shared" si="15"/>
        <v>否</v>
      </c>
      <c r="J211" s="313" t="str">
        <f t="shared" si="14"/>
        <v>款</v>
      </c>
    </row>
    <row r="212" ht="18.75" hidden="1" spans="1:10">
      <c r="A212" s="330">
        <v>2156202</v>
      </c>
      <c r="B212" s="327" t="s">
        <v>1475</v>
      </c>
      <c r="C212" s="328">
        <v>0</v>
      </c>
      <c r="D212" s="328"/>
      <c r="E212" s="328"/>
      <c r="F212" s="325">
        <v>0</v>
      </c>
      <c r="G212" s="344" t="str">
        <f t="shared" si="12"/>
        <v/>
      </c>
      <c r="H212" s="344" t="str">
        <f t="shared" si="13"/>
        <v/>
      </c>
      <c r="I212" s="349" t="str">
        <f t="shared" si="15"/>
        <v>否</v>
      </c>
      <c r="J212" s="313" t="str">
        <f t="shared" si="14"/>
        <v>项</v>
      </c>
    </row>
    <row r="213" ht="18.75" hidden="1" spans="1:10">
      <c r="A213" s="330">
        <v>2156299</v>
      </c>
      <c r="B213" s="327" t="s">
        <v>1476</v>
      </c>
      <c r="C213" s="328">
        <v>0</v>
      </c>
      <c r="D213" s="328"/>
      <c r="E213" s="328"/>
      <c r="F213" s="325">
        <v>0</v>
      </c>
      <c r="G213" s="344" t="str">
        <f t="shared" si="12"/>
        <v/>
      </c>
      <c r="H213" s="344" t="str">
        <f t="shared" si="13"/>
        <v/>
      </c>
      <c r="I213" s="349" t="str">
        <f t="shared" si="15"/>
        <v>否</v>
      </c>
      <c r="J213" s="313" t="str">
        <f t="shared" si="14"/>
        <v>项</v>
      </c>
    </row>
    <row r="214" s="311" customFormat="1" ht="18.75" spans="1:10">
      <c r="A214" s="334">
        <v>21598</v>
      </c>
      <c r="B214" s="338" t="s">
        <v>1331</v>
      </c>
      <c r="C214" s="325">
        <v>153</v>
      </c>
      <c r="D214" s="325">
        <f>SUM(D215:D218)</f>
        <v>24</v>
      </c>
      <c r="E214" s="325">
        <f>SUM(E215:E218)</f>
        <v>24</v>
      </c>
      <c r="F214" s="325">
        <f>SUM(F215:F218)</f>
        <v>44</v>
      </c>
      <c r="G214" s="343">
        <f t="shared" si="12"/>
        <v>-0.712418300653595</v>
      </c>
      <c r="H214" s="343">
        <f t="shared" si="13"/>
        <v>1.83333333333333</v>
      </c>
      <c r="I214" s="349" t="str">
        <f t="shared" si="15"/>
        <v>是</v>
      </c>
      <c r="J214" s="313" t="str">
        <f t="shared" si="14"/>
        <v>款</v>
      </c>
    </row>
    <row r="215" s="311" customFormat="1" ht="18.75" hidden="1" spans="1:10">
      <c r="A215" s="334">
        <v>2159801</v>
      </c>
      <c r="B215" s="338" t="s">
        <v>1477</v>
      </c>
      <c r="C215" s="328">
        <v>0</v>
      </c>
      <c r="D215" s="328"/>
      <c r="E215" s="328"/>
      <c r="F215" s="325">
        <v>0</v>
      </c>
      <c r="G215" s="344" t="str">
        <f t="shared" si="12"/>
        <v/>
      </c>
      <c r="H215" s="344" t="str">
        <f t="shared" si="13"/>
        <v/>
      </c>
      <c r="I215" s="349" t="str">
        <f t="shared" si="15"/>
        <v>否</v>
      </c>
      <c r="J215" s="313" t="str">
        <f t="shared" si="14"/>
        <v>项</v>
      </c>
    </row>
    <row r="216" s="311" customFormat="1" ht="18.75" spans="1:10">
      <c r="A216" s="334">
        <v>2159802</v>
      </c>
      <c r="B216" s="338" t="s">
        <v>1478</v>
      </c>
      <c r="C216" s="328">
        <v>153</v>
      </c>
      <c r="D216" s="328">
        <v>24</v>
      </c>
      <c r="E216" s="328">
        <v>24</v>
      </c>
      <c r="F216" s="325">
        <v>44</v>
      </c>
      <c r="G216" s="344">
        <f t="shared" si="12"/>
        <v>-0.712418300653595</v>
      </c>
      <c r="H216" s="344">
        <f t="shared" si="13"/>
        <v>1.83333333333333</v>
      </c>
      <c r="I216" s="349" t="str">
        <f t="shared" si="15"/>
        <v>是</v>
      </c>
      <c r="J216" s="313" t="str">
        <f t="shared" si="14"/>
        <v>项</v>
      </c>
    </row>
    <row r="217" s="311" customFormat="1" ht="18.75" hidden="1" spans="1:10">
      <c r="A217" s="334">
        <v>2159803</v>
      </c>
      <c r="B217" s="338" t="s">
        <v>1479</v>
      </c>
      <c r="C217" s="328">
        <v>0</v>
      </c>
      <c r="D217" s="328"/>
      <c r="E217" s="328"/>
      <c r="F217" s="325">
        <v>0</v>
      </c>
      <c r="G217" s="344" t="str">
        <f t="shared" si="12"/>
        <v/>
      </c>
      <c r="H217" s="344" t="str">
        <f t="shared" si="13"/>
        <v/>
      </c>
      <c r="I217" s="349" t="str">
        <f t="shared" si="15"/>
        <v>否</v>
      </c>
      <c r="J217" s="313" t="str">
        <f t="shared" si="14"/>
        <v>项</v>
      </c>
    </row>
    <row r="218" s="311" customFormat="1" ht="18.75" hidden="1" spans="1:10">
      <c r="A218" s="334">
        <v>2159899</v>
      </c>
      <c r="B218" s="338" t="s">
        <v>1480</v>
      </c>
      <c r="C218" s="328">
        <v>0</v>
      </c>
      <c r="D218" s="328"/>
      <c r="E218" s="328"/>
      <c r="F218" s="325">
        <v>0</v>
      </c>
      <c r="G218" s="344" t="str">
        <f t="shared" ref="G218:G223" si="16">IFERROR((F218-C218)/C218,"")</f>
        <v/>
      </c>
      <c r="H218" s="344" t="str">
        <f t="shared" ref="H218:H223" si="17">IFERROR(F218/D218,"")</f>
        <v/>
      </c>
      <c r="I218" s="349" t="str">
        <f t="shared" ref="I218:I223" si="18">IF(LEN(A218)=3,"是",IF(B218&lt;&gt;"",IF(SUM(C218:F218)&lt;&gt;0,"是","否"),"是"))</f>
        <v>否</v>
      </c>
      <c r="J218" s="313" t="str">
        <f t="shared" ref="J218:J223" si="19">IF(LEN(A218)=3,"类",IF(LEN(A218)=5,"款","项"))</f>
        <v>项</v>
      </c>
    </row>
    <row r="219" s="311" customFormat="1" ht="18.75" spans="1:10">
      <c r="A219" s="332">
        <v>217</v>
      </c>
      <c r="B219" s="324" t="s">
        <v>1481</v>
      </c>
      <c r="C219" s="325">
        <v>0</v>
      </c>
      <c r="D219" s="325"/>
      <c r="E219" s="325"/>
      <c r="F219" s="325"/>
      <c r="G219" s="343" t="str">
        <f t="shared" si="16"/>
        <v/>
      </c>
      <c r="H219" s="343" t="str">
        <f t="shared" si="17"/>
        <v/>
      </c>
      <c r="I219" s="349" t="str">
        <f t="shared" si="18"/>
        <v>是</v>
      </c>
      <c r="J219" s="313" t="str">
        <f t="shared" si="19"/>
        <v>类</v>
      </c>
    </row>
    <row r="220" s="311" customFormat="1" ht="18.75" hidden="1" spans="1:10">
      <c r="A220" s="352">
        <v>21704</v>
      </c>
      <c r="B220" s="338" t="s">
        <v>1482</v>
      </c>
      <c r="C220" s="325">
        <v>0</v>
      </c>
      <c r="D220" s="325"/>
      <c r="E220" s="325"/>
      <c r="F220" s="325"/>
      <c r="G220" s="343" t="str">
        <f t="shared" si="16"/>
        <v/>
      </c>
      <c r="H220" s="343" t="str">
        <f t="shared" si="17"/>
        <v/>
      </c>
      <c r="I220" s="349" t="str">
        <f t="shared" si="18"/>
        <v>否</v>
      </c>
      <c r="J220" s="313" t="str">
        <f t="shared" si="19"/>
        <v>款</v>
      </c>
    </row>
    <row r="221" s="311" customFormat="1" ht="18.75" hidden="1" spans="1:10">
      <c r="A221" s="326">
        <v>2170402</v>
      </c>
      <c r="B221" s="327" t="s">
        <v>1483</v>
      </c>
      <c r="C221" s="328">
        <v>0</v>
      </c>
      <c r="D221" s="328"/>
      <c r="E221" s="328"/>
      <c r="F221" s="325"/>
      <c r="G221" s="344" t="str">
        <f t="shared" si="16"/>
        <v/>
      </c>
      <c r="H221" s="344" t="str">
        <f t="shared" si="17"/>
        <v/>
      </c>
      <c r="I221" s="349" t="str">
        <f t="shared" si="18"/>
        <v>否</v>
      </c>
      <c r="J221" s="313" t="str">
        <f t="shared" si="19"/>
        <v>项</v>
      </c>
    </row>
    <row r="222" s="311" customFormat="1" ht="18.75" hidden="1" spans="1:10">
      <c r="A222" s="326">
        <v>2170403</v>
      </c>
      <c r="B222" s="327" t="s">
        <v>1484</v>
      </c>
      <c r="C222" s="328">
        <v>0</v>
      </c>
      <c r="D222" s="328"/>
      <c r="E222" s="328"/>
      <c r="F222" s="325"/>
      <c r="G222" s="344" t="str">
        <f t="shared" si="16"/>
        <v/>
      </c>
      <c r="H222" s="344" t="str">
        <f t="shared" si="17"/>
        <v/>
      </c>
      <c r="I222" s="349" t="str">
        <f t="shared" si="18"/>
        <v>否</v>
      </c>
      <c r="J222" s="313" t="str">
        <f t="shared" si="19"/>
        <v>项</v>
      </c>
    </row>
    <row r="223" s="311" customFormat="1" ht="18.75" hidden="1" spans="1:10">
      <c r="A223" s="326">
        <v>2170404</v>
      </c>
      <c r="B223" s="327" t="s">
        <v>1485</v>
      </c>
      <c r="C223" s="328">
        <v>0</v>
      </c>
      <c r="D223" s="328"/>
      <c r="E223" s="328"/>
      <c r="F223" s="325"/>
      <c r="G223" s="344" t="str">
        <f t="shared" si="16"/>
        <v/>
      </c>
      <c r="H223" s="344" t="str">
        <f t="shared" si="17"/>
        <v/>
      </c>
      <c r="I223" s="349" t="str">
        <f t="shared" si="18"/>
        <v>否</v>
      </c>
      <c r="J223" s="313" t="str">
        <f t="shared" si="19"/>
        <v>项</v>
      </c>
    </row>
    <row r="224" s="311" customFormat="1" ht="18.75" spans="1:10">
      <c r="A224" s="332">
        <v>220</v>
      </c>
      <c r="B224" s="333" t="s">
        <v>1486</v>
      </c>
      <c r="C224" s="325">
        <v>0</v>
      </c>
      <c r="D224" s="325"/>
      <c r="E224" s="325"/>
      <c r="F224" s="325">
        <v>0</v>
      </c>
      <c r="G224" s="343" t="str">
        <f t="shared" ref="G224:G274" si="20">IFERROR((F224-C224)/C224,"")</f>
        <v/>
      </c>
      <c r="H224" s="343" t="str">
        <f t="shared" ref="H224:H274" si="21">IFERROR(F224/D224,"")</f>
        <v/>
      </c>
      <c r="I224" s="349" t="str">
        <f t="shared" ref="I224:I274" si="22">IF(LEN(A224)=3,"是",IF(B224&lt;&gt;"",IF(SUM(C224:F224)&lt;&gt;0,"是","否"),"是"))</f>
        <v>是</v>
      </c>
      <c r="J224" s="309" t="str">
        <f t="shared" ref="J224:J274" si="23">IF(LEN(A224)=3,"类",IF(LEN(A224)=5,"款","项"))</f>
        <v>类</v>
      </c>
    </row>
    <row r="225" s="311" customFormat="1" ht="18.75" hidden="1" spans="1:10">
      <c r="A225" s="334">
        <v>22006</v>
      </c>
      <c r="B225" s="338" t="s">
        <v>1487</v>
      </c>
      <c r="C225" s="325">
        <v>0</v>
      </c>
      <c r="D225" s="325"/>
      <c r="E225" s="325"/>
      <c r="F225" s="325">
        <v>0</v>
      </c>
      <c r="G225" s="343" t="str">
        <f t="shared" si="20"/>
        <v/>
      </c>
      <c r="H225" s="343" t="str">
        <f t="shared" si="21"/>
        <v/>
      </c>
      <c r="I225" s="349" t="str">
        <f t="shared" si="22"/>
        <v>否</v>
      </c>
      <c r="J225" s="309" t="str">
        <f t="shared" si="23"/>
        <v>款</v>
      </c>
    </row>
    <row r="226" s="311" customFormat="1" ht="18.75" hidden="1" spans="1:10">
      <c r="A226" s="334">
        <v>2200601</v>
      </c>
      <c r="B226" s="338" t="s">
        <v>1488</v>
      </c>
      <c r="C226" s="328">
        <v>0</v>
      </c>
      <c r="D226" s="328"/>
      <c r="E226" s="328"/>
      <c r="F226" s="325">
        <v>0</v>
      </c>
      <c r="G226" s="344" t="str">
        <f t="shared" si="20"/>
        <v/>
      </c>
      <c r="H226" s="344" t="str">
        <f t="shared" si="21"/>
        <v/>
      </c>
      <c r="I226" s="349" t="str">
        <f t="shared" si="22"/>
        <v>否</v>
      </c>
      <c r="J226" s="309" t="str">
        <f t="shared" si="23"/>
        <v>项</v>
      </c>
    </row>
    <row r="227" s="311" customFormat="1" ht="18.75" hidden="1" spans="1:10">
      <c r="A227" s="334">
        <v>2200602</v>
      </c>
      <c r="B227" s="335" t="s">
        <v>1489</v>
      </c>
      <c r="C227" s="328">
        <v>0</v>
      </c>
      <c r="D227" s="328"/>
      <c r="E227" s="328"/>
      <c r="F227" s="325">
        <v>0</v>
      </c>
      <c r="G227" s="344" t="str">
        <f t="shared" si="20"/>
        <v/>
      </c>
      <c r="H227" s="344" t="str">
        <f t="shared" si="21"/>
        <v/>
      </c>
      <c r="I227" s="349" t="str">
        <f t="shared" si="22"/>
        <v>否</v>
      </c>
      <c r="J227" s="309" t="str">
        <f t="shared" si="23"/>
        <v>项</v>
      </c>
    </row>
    <row r="228" s="311" customFormat="1" ht="18.75" spans="1:10">
      <c r="A228" s="332">
        <v>221</v>
      </c>
      <c r="B228" s="353" t="s">
        <v>1490</v>
      </c>
      <c r="C228" s="325">
        <v>0</v>
      </c>
      <c r="D228" s="325">
        <f>D229</f>
        <v>165</v>
      </c>
      <c r="E228" s="325">
        <f>E229</f>
        <v>165</v>
      </c>
      <c r="F228" s="325">
        <f>F229</f>
        <v>165</v>
      </c>
      <c r="G228" s="343" t="str">
        <f t="shared" si="20"/>
        <v/>
      </c>
      <c r="H228" s="343">
        <f t="shared" si="21"/>
        <v>1</v>
      </c>
      <c r="I228" s="349" t="str">
        <f t="shared" si="22"/>
        <v>是</v>
      </c>
      <c r="J228" s="309" t="str">
        <f t="shared" si="23"/>
        <v>类</v>
      </c>
    </row>
    <row r="229" s="311" customFormat="1" ht="18.75" spans="1:10">
      <c r="A229" s="334">
        <v>22198</v>
      </c>
      <c r="B229" s="338" t="s">
        <v>1331</v>
      </c>
      <c r="C229" s="325">
        <v>0</v>
      </c>
      <c r="D229" s="325">
        <f>SUM(D230:D231)</f>
        <v>165</v>
      </c>
      <c r="E229" s="325">
        <f>SUM(E230:E231)</f>
        <v>165</v>
      </c>
      <c r="F229" s="325">
        <f>SUM(F230:F231)</f>
        <v>165</v>
      </c>
      <c r="G229" s="343" t="str">
        <f t="shared" si="20"/>
        <v/>
      </c>
      <c r="H229" s="343">
        <f t="shared" si="21"/>
        <v>1</v>
      </c>
      <c r="I229" s="349" t="str">
        <f t="shared" si="22"/>
        <v>是</v>
      </c>
      <c r="J229" s="309" t="str">
        <f t="shared" si="23"/>
        <v>款</v>
      </c>
    </row>
    <row r="230" s="311" customFormat="1" ht="18.75" hidden="1" spans="1:10">
      <c r="A230" s="334">
        <v>2219801</v>
      </c>
      <c r="B230" s="338" t="s">
        <v>1491</v>
      </c>
      <c r="C230" s="328">
        <v>0</v>
      </c>
      <c r="D230" s="328"/>
      <c r="E230" s="328"/>
      <c r="F230" s="325">
        <v>0</v>
      </c>
      <c r="G230" s="344" t="str">
        <f t="shared" si="20"/>
        <v/>
      </c>
      <c r="H230" s="344" t="str">
        <f t="shared" si="21"/>
        <v/>
      </c>
      <c r="I230" s="349" t="str">
        <f t="shared" si="22"/>
        <v>否</v>
      </c>
      <c r="J230" s="309" t="str">
        <f t="shared" si="23"/>
        <v>项</v>
      </c>
    </row>
    <row r="231" s="311" customFormat="1" ht="18.75" spans="1:10">
      <c r="A231" s="334">
        <v>2219899</v>
      </c>
      <c r="B231" s="338" t="s">
        <v>1492</v>
      </c>
      <c r="C231" s="328">
        <v>0</v>
      </c>
      <c r="D231" s="328">
        <v>165</v>
      </c>
      <c r="E231" s="328">
        <v>165</v>
      </c>
      <c r="F231" s="328">
        <v>165</v>
      </c>
      <c r="G231" s="344" t="str">
        <f t="shared" si="20"/>
        <v/>
      </c>
      <c r="H231" s="344">
        <f t="shared" si="21"/>
        <v>1</v>
      </c>
      <c r="I231" s="349" t="str">
        <f t="shared" si="22"/>
        <v>是</v>
      </c>
      <c r="J231" s="309" t="str">
        <f t="shared" si="23"/>
        <v>项</v>
      </c>
    </row>
    <row r="232" s="311" customFormat="1" ht="18.75" spans="1:10">
      <c r="A232" s="332">
        <v>222</v>
      </c>
      <c r="B232" s="353" t="s">
        <v>1493</v>
      </c>
      <c r="C232" s="325">
        <v>0</v>
      </c>
      <c r="D232" s="325"/>
      <c r="E232" s="325"/>
      <c r="F232" s="325">
        <v>0</v>
      </c>
      <c r="G232" s="343" t="str">
        <f t="shared" si="20"/>
        <v/>
      </c>
      <c r="H232" s="343" t="str">
        <f t="shared" si="21"/>
        <v/>
      </c>
      <c r="I232" s="349" t="str">
        <f t="shared" si="22"/>
        <v>是</v>
      </c>
      <c r="J232" s="309" t="str">
        <f t="shared" si="23"/>
        <v>类</v>
      </c>
    </row>
    <row r="233" s="311" customFormat="1" ht="18.75" hidden="1" spans="1:10">
      <c r="A233" s="334">
        <v>22298</v>
      </c>
      <c r="B233" s="338" t="s">
        <v>1331</v>
      </c>
      <c r="C233" s="325">
        <v>0</v>
      </c>
      <c r="D233" s="325"/>
      <c r="E233" s="325"/>
      <c r="F233" s="325">
        <v>0</v>
      </c>
      <c r="G233" s="343" t="str">
        <f t="shared" si="20"/>
        <v/>
      </c>
      <c r="H233" s="343" t="str">
        <f t="shared" si="21"/>
        <v/>
      </c>
      <c r="I233" s="349" t="str">
        <f t="shared" si="22"/>
        <v>否</v>
      </c>
      <c r="J233" s="309" t="str">
        <f t="shared" si="23"/>
        <v>款</v>
      </c>
    </row>
    <row r="234" s="311" customFormat="1" ht="18.75" hidden="1" spans="1:10">
      <c r="A234" s="334">
        <v>2229801</v>
      </c>
      <c r="B234" s="338" t="s">
        <v>1494</v>
      </c>
      <c r="C234" s="328">
        <v>0</v>
      </c>
      <c r="D234" s="328"/>
      <c r="E234" s="328"/>
      <c r="F234" s="325">
        <v>0</v>
      </c>
      <c r="G234" s="344" t="str">
        <f t="shared" si="20"/>
        <v/>
      </c>
      <c r="H234" s="344" t="str">
        <f t="shared" si="21"/>
        <v/>
      </c>
      <c r="I234" s="349" t="str">
        <f t="shared" si="22"/>
        <v>否</v>
      </c>
      <c r="J234" s="309" t="str">
        <f t="shared" si="23"/>
        <v>项</v>
      </c>
    </row>
    <row r="235" s="311" customFormat="1" ht="18.75" hidden="1" spans="1:10">
      <c r="A235" s="334">
        <v>2229899</v>
      </c>
      <c r="B235" s="338" t="s">
        <v>1495</v>
      </c>
      <c r="C235" s="328">
        <v>0</v>
      </c>
      <c r="D235" s="328"/>
      <c r="E235" s="328"/>
      <c r="F235" s="325">
        <v>0</v>
      </c>
      <c r="G235" s="344" t="str">
        <f t="shared" si="20"/>
        <v/>
      </c>
      <c r="H235" s="344" t="str">
        <f t="shared" si="21"/>
        <v/>
      </c>
      <c r="I235" s="349" t="str">
        <f t="shared" si="22"/>
        <v>否</v>
      </c>
      <c r="J235" s="309" t="str">
        <f t="shared" si="23"/>
        <v>项</v>
      </c>
    </row>
    <row r="236" s="311" customFormat="1" ht="18.75" spans="1:10">
      <c r="A236" s="332">
        <v>224</v>
      </c>
      <c r="B236" s="353" t="s">
        <v>1496</v>
      </c>
      <c r="C236" s="325">
        <v>0</v>
      </c>
      <c r="D236" s="325"/>
      <c r="E236" s="325"/>
      <c r="F236" s="325">
        <v>0</v>
      </c>
      <c r="G236" s="343" t="str">
        <f t="shared" si="20"/>
        <v/>
      </c>
      <c r="H236" s="343" t="str">
        <f t="shared" si="21"/>
        <v/>
      </c>
      <c r="I236" s="349" t="str">
        <f t="shared" si="22"/>
        <v>是</v>
      </c>
      <c r="J236" s="309" t="str">
        <f t="shared" si="23"/>
        <v>类</v>
      </c>
    </row>
    <row r="237" s="308" customFormat="1" ht="18.75" hidden="1" spans="1:10">
      <c r="A237" s="338">
        <v>22498</v>
      </c>
      <c r="B237" s="338" t="s">
        <v>1331</v>
      </c>
      <c r="C237" s="325">
        <v>0</v>
      </c>
      <c r="D237" s="325"/>
      <c r="E237" s="325"/>
      <c r="F237" s="325">
        <v>0</v>
      </c>
      <c r="G237" s="343" t="str">
        <f t="shared" si="20"/>
        <v/>
      </c>
      <c r="H237" s="343" t="str">
        <f t="shared" si="21"/>
        <v/>
      </c>
      <c r="I237" s="349" t="str">
        <f t="shared" si="22"/>
        <v>否</v>
      </c>
      <c r="J237" s="313" t="str">
        <f t="shared" si="23"/>
        <v>款</v>
      </c>
    </row>
    <row r="238" s="311" customFormat="1" ht="18.75" hidden="1" spans="1:10">
      <c r="A238" s="334">
        <v>2249801</v>
      </c>
      <c r="B238" s="338" t="s">
        <v>1497</v>
      </c>
      <c r="C238" s="328">
        <v>0</v>
      </c>
      <c r="D238" s="328"/>
      <c r="E238" s="328"/>
      <c r="F238" s="325">
        <v>0</v>
      </c>
      <c r="G238" s="344" t="str">
        <f t="shared" si="20"/>
        <v/>
      </c>
      <c r="H238" s="344" t="str">
        <f t="shared" si="21"/>
        <v/>
      </c>
      <c r="I238" s="349" t="str">
        <f t="shared" si="22"/>
        <v>否</v>
      </c>
      <c r="J238" s="309" t="str">
        <f t="shared" si="23"/>
        <v>项</v>
      </c>
    </row>
    <row r="239" s="311" customFormat="1" ht="18.75" hidden="1" spans="1:10">
      <c r="A239" s="334">
        <v>2249802</v>
      </c>
      <c r="B239" s="338" t="s">
        <v>1498</v>
      </c>
      <c r="C239" s="328">
        <v>0</v>
      </c>
      <c r="D239" s="328"/>
      <c r="E239" s="328"/>
      <c r="F239" s="325">
        <v>0</v>
      </c>
      <c r="G239" s="344" t="str">
        <f t="shared" si="20"/>
        <v/>
      </c>
      <c r="H239" s="344" t="str">
        <f t="shared" si="21"/>
        <v/>
      </c>
      <c r="I239" s="349" t="str">
        <f t="shared" si="22"/>
        <v>否</v>
      </c>
      <c r="J239" s="309" t="str">
        <f t="shared" si="23"/>
        <v>项</v>
      </c>
    </row>
    <row r="240" s="308" customFormat="1" ht="18.75" hidden="1" spans="1:10">
      <c r="A240" s="338">
        <v>2249899</v>
      </c>
      <c r="B240" s="338" t="s">
        <v>1499</v>
      </c>
      <c r="C240" s="328">
        <v>0</v>
      </c>
      <c r="D240" s="328"/>
      <c r="E240" s="328"/>
      <c r="F240" s="325">
        <v>0</v>
      </c>
      <c r="G240" s="344" t="str">
        <f t="shared" si="20"/>
        <v/>
      </c>
      <c r="H240" s="344" t="str">
        <f t="shared" si="21"/>
        <v/>
      </c>
      <c r="I240" s="349" t="str">
        <f t="shared" si="22"/>
        <v>否</v>
      </c>
      <c r="J240" s="313" t="str">
        <f t="shared" si="23"/>
        <v>项</v>
      </c>
    </row>
    <row r="241" ht="18.75" spans="1:10">
      <c r="A241" s="329">
        <v>229</v>
      </c>
      <c r="B241" s="324" t="s">
        <v>1500</v>
      </c>
      <c r="C241" s="325">
        <v>37266</v>
      </c>
      <c r="D241" s="325">
        <f>D242+D246+D255+D257+D259+D271</f>
        <v>6515</v>
      </c>
      <c r="E241" s="325">
        <f>E242+E246+E255+E257+E259+E271</f>
        <v>13446</v>
      </c>
      <c r="F241" s="325">
        <f>F242+F246+F255+F257+F259+F271</f>
        <v>12033</v>
      </c>
      <c r="G241" s="343">
        <f t="shared" si="20"/>
        <v>-0.677105136048945</v>
      </c>
      <c r="H241" s="343">
        <f t="shared" si="21"/>
        <v>1.84696853415196</v>
      </c>
      <c r="I241" s="349" t="str">
        <f t="shared" si="22"/>
        <v>是</v>
      </c>
      <c r="J241" s="313" t="str">
        <f t="shared" si="23"/>
        <v>类</v>
      </c>
    </row>
    <row r="242" ht="37.5" spans="1:10">
      <c r="A242" s="330">
        <v>22904</v>
      </c>
      <c r="B242" s="327" t="s">
        <v>1501</v>
      </c>
      <c r="C242" s="325">
        <v>34000</v>
      </c>
      <c r="D242" s="325">
        <f>SUM(D243:D245)</f>
        <v>0</v>
      </c>
      <c r="E242" s="325">
        <f>SUM(E243:E245)</f>
        <v>6931</v>
      </c>
      <c r="F242" s="328">
        <f>SUM(F243:F245)</f>
        <v>6931</v>
      </c>
      <c r="G242" s="343">
        <f t="shared" si="20"/>
        <v>-0.796147058823529</v>
      </c>
      <c r="H242" s="343" t="str">
        <f t="shared" si="21"/>
        <v/>
      </c>
      <c r="I242" s="349" t="str">
        <f t="shared" si="22"/>
        <v>是</v>
      </c>
      <c r="J242" s="313" t="str">
        <f t="shared" si="23"/>
        <v>款</v>
      </c>
    </row>
    <row r="243" ht="18.75" hidden="1" spans="1:10">
      <c r="A243" s="330">
        <v>2290401</v>
      </c>
      <c r="B243" s="327" t="s">
        <v>1502</v>
      </c>
      <c r="C243" s="328">
        <v>0</v>
      </c>
      <c r="D243" s="328"/>
      <c r="E243" s="328"/>
      <c r="F243" s="325">
        <v>0</v>
      </c>
      <c r="G243" s="344" t="str">
        <f t="shared" si="20"/>
        <v/>
      </c>
      <c r="H243" s="344" t="str">
        <f t="shared" si="21"/>
        <v/>
      </c>
      <c r="I243" s="349" t="str">
        <f t="shared" si="22"/>
        <v>否</v>
      </c>
      <c r="J243" s="313" t="str">
        <f t="shared" si="23"/>
        <v>项</v>
      </c>
    </row>
    <row r="244" ht="37.5" spans="1:10">
      <c r="A244" s="330">
        <v>2290402</v>
      </c>
      <c r="B244" s="327" t="s">
        <v>1503</v>
      </c>
      <c r="C244" s="328">
        <v>26000</v>
      </c>
      <c r="D244" s="328"/>
      <c r="E244" s="328"/>
      <c r="F244" s="325">
        <v>0</v>
      </c>
      <c r="G244" s="344">
        <f t="shared" si="20"/>
        <v>-1</v>
      </c>
      <c r="H244" s="344" t="str">
        <f t="shared" si="21"/>
        <v/>
      </c>
      <c r="I244" s="349" t="str">
        <f t="shared" si="22"/>
        <v>是</v>
      </c>
      <c r="J244" s="313" t="str">
        <f t="shared" si="23"/>
        <v>项</v>
      </c>
    </row>
    <row r="245" ht="18.75" spans="1:10">
      <c r="A245" s="330">
        <v>2290403</v>
      </c>
      <c r="B245" s="327" t="s">
        <v>1504</v>
      </c>
      <c r="C245" s="328">
        <v>8000</v>
      </c>
      <c r="D245" s="328"/>
      <c r="E245" s="328">
        <v>6931</v>
      </c>
      <c r="F245" s="328">
        <v>6931</v>
      </c>
      <c r="G245" s="344">
        <f t="shared" si="20"/>
        <v>-0.133625</v>
      </c>
      <c r="H245" s="344" t="str">
        <f t="shared" si="21"/>
        <v/>
      </c>
      <c r="I245" s="349" t="str">
        <f t="shared" si="22"/>
        <v>是</v>
      </c>
      <c r="J245" s="313" t="str">
        <f t="shared" si="23"/>
        <v>项</v>
      </c>
    </row>
    <row r="246" ht="18.75" spans="1:10">
      <c r="A246" s="330">
        <v>22908</v>
      </c>
      <c r="B246" s="327" t="s">
        <v>1505</v>
      </c>
      <c r="C246" s="325">
        <v>421</v>
      </c>
      <c r="D246" s="325">
        <f>SUM(D247:D254)</f>
        <v>555</v>
      </c>
      <c r="E246" s="325">
        <f>SUM(E247:E254)</f>
        <v>555</v>
      </c>
      <c r="F246" s="325">
        <f>SUM(F247:F254)</f>
        <v>348</v>
      </c>
      <c r="G246" s="343">
        <f t="shared" si="20"/>
        <v>-0.173396674584323</v>
      </c>
      <c r="H246" s="343">
        <f t="shared" si="21"/>
        <v>0.627027027027027</v>
      </c>
      <c r="I246" s="349" t="str">
        <f t="shared" si="22"/>
        <v>是</v>
      </c>
      <c r="J246" s="313" t="str">
        <f t="shared" si="23"/>
        <v>款</v>
      </c>
    </row>
    <row r="247" ht="18.75" spans="1:10">
      <c r="A247" s="330">
        <v>2290802</v>
      </c>
      <c r="B247" s="327" t="s">
        <v>1506</v>
      </c>
      <c r="C247" s="328">
        <v>0</v>
      </c>
      <c r="D247" s="328">
        <v>545</v>
      </c>
      <c r="E247" s="328">
        <v>545</v>
      </c>
      <c r="F247" s="325">
        <v>0</v>
      </c>
      <c r="G247" s="344" t="str">
        <f t="shared" si="20"/>
        <v/>
      </c>
      <c r="H247" s="344">
        <f t="shared" si="21"/>
        <v>0</v>
      </c>
      <c r="I247" s="349" t="str">
        <f t="shared" si="22"/>
        <v>是</v>
      </c>
      <c r="J247" s="313" t="str">
        <f t="shared" si="23"/>
        <v>项</v>
      </c>
    </row>
    <row r="248" ht="18.75" hidden="1" spans="1:10">
      <c r="A248" s="330">
        <v>2290803</v>
      </c>
      <c r="B248" s="327" t="s">
        <v>1507</v>
      </c>
      <c r="C248" s="328">
        <v>0</v>
      </c>
      <c r="D248" s="328"/>
      <c r="E248" s="328"/>
      <c r="F248" s="325">
        <v>0</v>
      </c>
      <c r="G248" s="344" t="str">
        <f t="shared" si="20"/>
        <v/>
      </c>
      <c r="H248" s="344" t="str">
        <f t="shared" si="21"/>
        <v/>
      </c>
      <c r="I248" s="349" t="str">
        <f t="shared" si="22"/>
        <v>否</v>
      </c>
      <c r="J248" s="313" t="str">
        <f t="shared" si="23"/>
        <v>项</v>
      </c>
    </row>
    <row r="249" ht="18.75" spans="1:10">
      <c r="A249" s="330">
        <v>2290804</v>
      </c>
      <c r="B249" s="327" t="s">
        <v>1508</v>
      </c>
      <c r="C249" s="328">
        <v>391</v>
      </c>
      <c r="D249" s="328"/>
      <c r="E249" s="328"/>
      <c r="F249" s="328">
        <v>348</v>
      </c>
      <c r="G249" s="344">
        <f t="shared" si="20"/>
        <v>-0.10997442455243</v>
      </c>
      <c r="H249" s="344" t="str">
        <f t="shared" si="21"/>
        <v/>
      </c>
      <c r="I249" s="349" t="str">
        <f t="shared" si="22"/>
        <v>是</v>
      </c>
      <c r="J249" s="313" t="str">
        <f t="shared" si="23"/>
        <v>项</v>
      </c>
    </row>
    <row r="250" ht="18.75" hidden="1" spans="1:10">
      <c r="A250" s="330">
        <v>2290805</v>
      </c>
      <c r="B250" s="327" t="s">
        <v>1509</v>
      </c>
      <c r="C250" s="328">
        <v>0</v>
      </c>
      <c r="D250" s="328"/>
      <c r="E250" s="328"/>
      <c r="F250" s="325">
        <v>0</v>
      </c>
      <c r="G250" s="344" t="str">
        <f t="shared" si="20"/>
        <v/>
      </c>
      <c r="H250" s="344" t="str">
        <f t="shared" si="21"/>
        <v/>
      </c>
      <c r="I250" s="349" t="str">
        <f t="shared" si="22"/>
        <v>否</v>
      </c>
      <c r="J250" s="313" t="str">
        <f t="shared" si="23"/>
        <v>项</v>
      </c>
    </row>
    <row r="251" ht="18.75" hidden="1" spans="1:10">
      <c r="A251" s="330">
        <v>2290806</v>
      </c>
      <c r="B251" s="327" t="s">
        <v>1510</v>
      </c>
      <c r="C251" s="328">
        <v>0</v>
      </c>
      <c r="D251" s="328"/>
      <c r="E251" s="328"/>
      <c r="F251" s="325">
        <v>0</v>
      </c>
      <c r="G251" s="344" t="str">
        <f t="shared" si="20"/>
        <v/>
      </c>
      <c r="H251" s="344" t="str">
        <f t="shared" si="21"/>
        <v/>
      </c>
      <c r="I251" s="349" t="str">
        <f t="shared" si="22"/>
        <v>否</v>
      </c>
      <c r="J251" s="313" t="str">
        <f t="shared" si="23"/>
        <v>项</v>
      </c>
    </row>
    <row r="252" ht="18.75" hidden="1" spans="1:10">
      <c r="A252" s="330">
        <v>2290807</v>
      </c>
      <c r="B252" s="327" t="s">
        <v>1511</v>
      </c>
      <c r="C252" s="328">
        <v>0</v>
      </c>
      <c r="D252" s="328"/>
      <c r="E252" s="328"/>
      <c r="F252" s="325">
        <v>0</v>
      </c>
      <c r="G252" s="344" t="str">
        <f t="shared" si="20"/>
        <v/>
      </c>
      <c r="H252" s="344" t="str">
        <f t="shared" si="21"/>
        <v/>
      </c>
      <c r="I252" s="349" t="str">
        <f t="shared" si="22"/>
        <v>否</v>
      </c>
      <c r="J252" s="313" t="str">
        <f t="shared" si="23"/>
        <v>项</v>
      </c>
    </row>
    <row r="253" ht="18.75" spans="1:10">
      <c r="A253" s="330">
        <v>2290808</v>
      </c>
      <c r="B253" s="327" t="s">
        <v>1512</v>
      </c>
      <c r="C253" s="328">
        <v>30</v>
      </c>
      <c r="D253" s="328">
        <v>10</v>
      </c>
      <c r="E253" s="328">
        <v>10</v>
      </c>
      <c r="F253" s="325">
        <v>0</v>
      </c>
      <c r="G253" s="344">
        <f t="shared" si="20"/>
        <v>-1</v>
      </c>
      <c r="H253" s="344">
        <f t="shared" si="21"/>
        <v>0</v>
      </c>
      <c r="I253" s="349" t="str">
        <f t="shared" si="22"/>
        <v>是</v>
      </c>
      <c r="J253" s="313" t="str">
        <f t="shared" si="23"/>
        <v>项</v>
      </c>
    </row>
    <row r="254" ht="18.75" hidden="1" customHeight="1" spans="1:10">
      <c r="A254" s="330">
        <v>2290899</v>
      </c>
      <c r="B254" s="327" t="s">
        <v>1513</v>
      </c>
      <c r="C254" s="328">
        <v>0</v>
      </c>
      <c r="D254" s="328"/>
      <c r="E254" s="328"/>
      <c r="F254" s="325">
        <v>0</v>
      </c>
      <c r="G254" s="344" t="str">
        <f t="shared" si="20"/>
        <v/>
      </c>
      <c r="H254" s="344" t="str">
        <f t="shared" si="21"/>
        <v/>
      </c>
      <c r="I254" s="349" t="str">
        <f t="shared" si="22"/>
        <v>否</v>
      </c>
      <c r="J254" s="313" t="str">
        <f t="shared" si="23"/>
        <v>项</v>
      </c>
    </row>
    <row r="255" s="311" customFormat="1" ht="18.75" hidden="1" spans="1:10">
      <c r="A255" s="326">
        <v>22909</v>
      </c>
      <c r="B255" s="327" t="s">
        <v>1514</v>
      </c>
      <c r="C255" s="325">
        <v>0</v>
      </c>
      <c r="D255" s="325"/>
      <c r="E255" s="325"/>
      <c r="F255" s="325">
        <v>0</v>
      </c>
      <c r="G255" s="343" t="str">
        <f t="shared" si="20"/>
        <v/>
      </c>
      <c r="H255" s="343" t="str">
        <f t="shared" si="21"/>
        <v/>
      </c>
      <c r="I255" s="349" t="str">
        <f t="shared" si="22"/>
        <v>否</v>
      </c>
      <c r="J255" s="309" t="str">
        <f t="shared" si="23"/>
        <v>款</v>
      </c>
    </row>
    <row r="256" s="308" customFormat="1" ht="18.75" hidden="1" spans="1:10">
      <c r="A256" s="354">
        <v>2290901</v>
      </c>
      <c r="B256" s="327" t="s">
        <v>1515</v>
      </c>
      <c r="C256" s="328">
        <v>0</v>
      </c>
      <c r="D256" s="328"/>
      <c r="E256" s="328"/>
      <c r="F256" s="325"/>
      <c r="G256" s="344" t="str">
        <f t="shared" si="20"/>
        <v/>
      </c>
      <c r="H256" s="344" t="str">
        <f t="shared" si="21"/>
        <v/>
      </c>
      <c r="I256" s="349" t="str">
        <f t="shared" si="22"/>
        <v>否</v>
      </c>
      <c r="J256" s="313" t="str">
        <f t="shared" si="23"/>
        <v>项</v>
      </c>
    </row>
    <row r="257" s="311" customFormat="1" ht="18.75" hidden="1" spans="1:10">
      <c r="A257" s="334">
        <v>22910</v>
      </c>
      <c r="B257" s="338" t="s">
        <v>1516</v>
      </c>
      <c r="C257" s="325">
        <v>0</v>
      </c>
      <c r="D257" s="325"/>
      <c r="E257" s="325"/>
      <c r="F257" s="325">
        <v>0</v>
      </c>
      <c r="G257" s="343" t="str">
        <f t="shared" si="20"/>
        <v/>
      </c>
      <c r="H257" s="343" t="str">
        <f t="shared" si="21"/>
        <v/>
      </c>
      <c r="I257" s="349" t="str">
        <f t="shared" si="22"/>
        <v>否</v>
      </c>
      <c r="J257" s="309" t="str">
        <f t="shared" si="23"/>
        <v>款</v>
      </c>
    </row>
    <row r="258" s="311" customFormat="1" ht="18.75" hidden="1" spans="1:10">
      <c r="A258" s="334">
        <v>2291001</v>
      </c>
      <c r="B258" s="338" t="s">
        <v>1517</v>
      </c>
      <c r="C258" s="328">
        <v>0</v>
      </c>
      <c r="D258" s="328"/>
      <c r="E258" s="328"/>
      <c r="F258" s="325">
        <v>0</v>
      </c>
      <c r="G258" s="344" t="str">
        <f t="shared" si="20"/>
        <v/>
      </c>
      <c r="H258" s="344" t="str">
        <f t="shared" si="21"/>
        <v/>
      </c>
      <c r="I258" s="349" t="str">
        <f t="shared" si="22"/>
        <v>否</v>
      </c>
      <c r="J258" s="309" t="str">
        <f t="shared" si="23"/>
        <v>项</v>
      </c>
    </row>
    <row r="259" ht="18.75" spans="1:10">
      <c r="A259" s="330">
        <v>22960</v>
      </c>
      <c r="B259" s="327" t="s">
        <v>1518</v>
      </c>
      <c r="C259" s="325">
        <v>2845</v>
      </c>
      <c r="D259" s="325">
        <f>SUM(D260:D270)</f>
        <v>5960</v>
      </c>
      <c r="E259" s="325">
        <f>SUM(E260:E270)</f>
        <v>5960</v>
      </c>
      <c r="F259" s="325">
        <f>SUM(F260:F270)</f>
        <v>4754</v>
      </c>
      <c r="G259" s="343">
        <f t="shared" si="20"/>
        <v>0.671001757469244</v>
      </c>
      <c r="H259" s="343">
        <f t="shared" si="21"/>
        <v>0.797651006711409</v>
      </c>
      <c r="I259" s="349" t="str">
        <f t="shared" si="22"/>
        <v>是</v>
      </c>
      <c r="J259" s="313" t="str">
        <f t="shared" si="23"/>
        <v>款</v>
      </c>
    </row>
    <row r="260" ht="37.5" hidden="1" spans="1:10">
      <c r="A260" s="351">
        <v>2296001</v>
      </c>
      <c r="B260" s="327" t="s">
        <v>1519</v>
      </c>
      <c r="C260" s="328">
        <v>0</v>
      </c>
      <c r="D260" s="328"/>
      <c r="E260" s="328"/>
      <c r="F260" s="325">
        <v>0</v>
      </c>
      <c r="G260" s="344" t="str">
        <f t="shared" si="20"/>
        <v/>
      </c>
      <c r="H260" s="344" t="str">
        <f t="shared" si="21"/>
        <v/>
      </c>
      <c r="I260" s="349" t="str">
        <f t="shared" si="22"/>
        <v>否</v>
      </c>
      <c r="J260" s="313" t="str">
        <f t="shared" si="23"/>
        <v>项</v>
      </c>
    </row>
    <row r="261" ht="18.75" spans="1:10">
      <c r="A261" s="330">
        <v>2296002</v>
      </c>
      <c r="B261" s="327" t="s">
        <v>1520</v>
      </c>
      <c r="C261" s="328">
        <v>473</v>
      </c>
      <c r="D261" s="328">
        <v>2016</v>
      </c>
      <c r="E261" s="328">
        <v>2016</v>
      </c>
      <c r="F261" s="328">
        <v>1675</v>
      </c>
      <c r="G261" s="344">
        <f t="shared" si="20"/>
        <v>2.54122621564482</v>
      </c>
      <c r="H261" s="344">
        <f t="shared" si="21"/>
        <v>0.830853174603175</v>
      </c>
      <c r="I261" s="349" t="str">
        <f t="shared" si="22"/>
        <v>是</v>
      </c>
      <c r="J261" s="313" t="str">
        <f t="shared" si="23"/>
        <v>项</v>
      </c>
    </row>
    <row r="262" ht="18.75" spans="1:10">
      <c r="A262" s="330">
        <v>2296003</v>
      </c>
      <c r="B262" s="327" t="s">
        <v>1521</v>
      </c>
      <c r="C262" s="328">
        <v>2022</v>
      </c>
      <c r="D262" s="328">
        <v>1739</v>
      </c>
      <c r="E262" s="328">
        <v>1739</v>
      </c>
      <c r="F262" s="328">
        <v>2575</v>
      </c>
      <c r="G262" s="344">
        <f t="shared" si="20"/>
        <v>0.27349159248269</v>
      </c>
      <c r="H262" s="344">
        <f t="shared" si="21"/>
        <v>1.48073605520414</v>
      </c>
      <c r="I262" s="349" t="str">
        <f t="shared" si="22"/>
        <v>是</v>
      </c>
      <c r="J262" s="313" t="str">
        <f t="shared" si="23"/>
        <v>项</v>
      </c>
    </row>
    <row r="263" ht="18.75" hidden="1" spans="1:10">
      <c r="A263" s="330">
        <v>2296004</v>
      </c>
      <c r="B263" s="327" t="s">
        <v>1522</v>
      </c>
      <c r="C263" s="328">
        <v>0</v>
      </c>
      <c r="D263" s="328"/>
      <c r="E263" s="328"/>
      <c r="F263" s="328">
        <v>0</v>
      </c>
      <c r="G263" s="344" t="str">
        <f t="shared" si="20"/>
        <v/>
      </c>
      <c r="H263" s="344" t="str">
        <f t="shared" si="21"/>
        <v/>
      </c>
      <c r="I263" s="349" t="str">
        <f t="shared" si="22"/>
        <v>否</v>
      </c>
      <c r="J263" s="313" t="str">
        <f t="shared" si="23"/>
        <v>项</v>
      </c>
    </row>
    <row r="264" ht="18.75" hidden="1" spans="1:10">
      <c r="A264" s="330">
        <v>2296005</v>
      </c>
      <c r="B264" s="327" t="s">
        <v>1523</v>
      </c>
      <c r="C264" s="328">
        <v>0</v>
      </c>
      <c r="D264" s="328"/>
      <c r="E264" s="328"/>
      <c r="F264" s="328">
        <v>0</v>
      </c>
      <c r="G264" s="344" t="str">
        <f t="shared" si="20"/>
        <v/>
      </c>
      <c r="H264" s="344" t="str">
        <f t="shared" si="21"/>
        <v/>
      </c>
      <c r="I264" s="349" t="str">
        <f t="shared" si="22"/>
        <v>否</v>
      </c>
      <c r="J264" s="313" t="str">
        <f t="shared" si="23"/>
        <v>项</v>
      </c>
    </row>
    <row r="265" ht="18.75" spans="1:10">
      <c r="A265" s="330">
        <v>2296006</v>
      </c>
      <c r="B265" s="327" t="s">
        <v>1524</v>
      </c>
      <c r="C265" s="328">
        <v>350</v>
      </c>
      <c r="D265" s="328">
        <v>596</v>
      </c>
      <c r="E265" s="328">
        <v>596</v>
      </c>
      <c r="F265" s="328">
        <v>489</v>
      </c>
      <c r="G265" s="344">
        <f t="shared" si="20"/>
        <v>0.397142857142857</v>
      </c>
      <c r="H265" s="344">
        <f t="shared" si="21"/>
        <v>0.820469798657718</v>
      </c>
      <c r="I265" s="349" t="str">
        <f t="shared" si="22"/>
        <v>是</v>
      </c>
      <c r="J265" s="313" t="str">
        <f t="shared" si="23"/>
        <v>项</v>
      </c>
    </row>
    <row r="266" ht="18.75" hidden="1" spans="1:10">
      <c r="A266" s="330">
        <v>2296010</v>
      </c>
      <c r="B266" s="327" t="s">
        <v>1525</v>
      </c>
      <c r="C266" s="328">
        <v>0</v>
      </c>
      <c r="D266" s="328"/>
      <c r="E266" s="328"/>
      <c r="F266" s="328">
        <v>0</v>
      </c>
      <c r="G266" s="344" t="str">
        <f t="shared" si="20"/>
        <v/>
      </c>
      <c r="H266" s="344" t="str">
        <f t="shared" si="21"/>
        <v/>
      </c>
      <c r="I266" s="349" t="str">
        <f t="shared" si="22"/>
        <v>否</v>
      </c>
      <c r="J266" s="313" t="str">
        <f t="shared" si="23"/>
        <v>项</v>
      </c>
    </row>
    <row r="267" ht="18.75" hidden="1" spans="1:10">
      <c r="A267" s="330">
        <v>2296011</v>
      </c>
      <c r="B267" s="327" t="s">
        <v>1526</v>
      </c>
      <c r="C267" s="328">
        <v>0</v>
      </c>
      <c r="D267" s="328"/>
      <c r="E267" s="328"/>
      <c r="F267" s="328">
        <v>0</v>
      </c>
      <c r="G267" s="344" t="str">
        <f t="shared" si="20"/>
        <v/>
      </c>
      <c r="H267" s="344" t="str">
        <f t="shared" si="21"/>
        <v/>
      </c>
      <c r="I267" s="349" t="str">
        <f t="shared" si="22"/>
        <v>否</v>
      </c>
      <c r="J267" s="313" t="str">
        <f t="shared" si="23"/>
        <v>项</v>
      </c>
    </row>
    <row r="268" ht="18.75" hidden="1" spans="1:10">
      <c r="A268" s="330">
        <v>2296012</v>
      </c>
      <c r="B268" s="327" t="s">
        <v>1527</v>
      </c>
      <c r="C268" s="328">
        <v>0</v>
      </c>
      <c r="D268" s="328"/>
      <c r="E268" s="328"/>
      <c r="F268" s="328">
        <v>0</v>
      </c>
      <c r="G268" s="344" t="str">
        <f t="shared" si="20"/>
        <v/>
      </c>
      <c r="H268" s="344" t="str">
        <f t="shared" si="21"/>
        <v/>
      </c>
      <c r="I268" s="349" t="str">
        <f t="shared" si="22"/>
        <v>否</v>
      </c>
      <c r="J268" s="313" t="str">
        <f t="shared" si="23"/>
        <v>项</v>
      </c>
    </row>
    <row r="269" ht="18.75" hidden="1" spans="1:10">
      <c r="A269" s="330">
        <v>2296013</v>
      </c>
      <c r="B269" s="327" t="s">
        <v>1528</v>
      </c>
      <c r="C269" s="328">
        <v>0</v>
      </c>
      <c r="D269" s="328"/>
      <c r="E269" s="328"/>
      <c r="F269" s="328">
        <v>0</v>
      </c>
      <c r="G269" s="344" t="str">
        <f t="shared" si="20"/>
        <v/>
      </c>
      <c r="H269" s="344" t="str">
        <f t="shared" si="21"/>
        <v/>
      </c>
      <c r="I269" s="349" t="str">
        <f t="shared" si="22"/>
        <v>否</v>
      </c>
      <c r="J269" s="313" t="str">
        <f t="shared" si="23"/>
        <v>项</v>
      </c>
    </row>
    <row r="270" ht="37.5" spans="1:10">
      <c r="A270" s="330">
        <v>2296099</v>
      </c>
      <c r="B270" s="327" t="s">
        <v>1529</v>
      </c>
      <c r="C270" s="328">
        <v>0</v>
      </c>
      <c r="D270" s="328">
        <v>1609</v>
      </c>
      <c r="E270" s="328">
        <v>1609</v>
      </c>
      <c r="F270" s="328">
        <v>15</v>
      </c>
      <c r="G270" s="344" t="str">
        <f t="shared" si="20"/>
        <v/>
      </c>
      <c r="H270" s="344">
        <f t="shared" si="21"/>
        <v>0.00932256059664388</v>
      </c>
      <c r="I270" s="349" t="str">
        <f t="shared" si="22"/>
        <v>是</v>
      </c>
      <c r="J270" s="313" t="str">
        <f t="shared" si="23"/>
        <v>项</v>
      </c>
    </row>
    <row r="271" s="309" customFormat="1" ht="18.75" hidden="1" spans="1:10">
      <c r="A271" s="334">
        <v>22998</v>
      </c>
      <c r="B271" s="338" t="s">
        <v>1530</v>
      </c>
      <c r="C271" s="325">
        <v>0</v>
      </c>
      <c r="D271" s="325"/>
      <c r="E271" s="325"/>
      <c r="F271" s="325">
        <v>0</v>
      </c>
      <c r="G271" s="343" t="str">
        <f t="shared" si="20"/>
        <v/>
      </c>
      <c r="H271" s="343" t="str">
        <f t="shared" si="21"/>
        <v/>
      </c>
      <c r="I271" s="349" t="str">
        <f t="shared" si="22"/>
        <v>否</v>
      </c>
      <c r="J271" s="309" t="str">
        <f t="shared" si="23"/>
        <v>款</v>
      </c>
    </row>
    <row r="272" s="309" customFormat="1" ht="18.75" hidden="1" spans="1:10">
      <c r="A272" s="334">
        <v>2299899</v>
      </c>
      <c r="B272" s="338" t="s">
        <v>1531</v>
      </c>
      <c r="C272" s="328">
        <v>0</v>
      </c>
      <c r="D272" s="328"/>
      <c r="E272" s="328"/>
      <c r="F272" s="325">
        <v>0</v>
      </c>
      <c r="G272" s="344" t="str">
        <f t="shared" si="20"/>
        <v/>
      </c>
      <c r="H272" s="344" t="str">
        <f t="shared" si="21"/>
        <v/>
      </c>
      <c r="I272" s="349" t="str">
        <f t="shared" si="22"/>
        <v>否</v>
      </c>
      <c r="J272" s="309" t="str">
        <f t="shared" si="23"/>
        <v>项</v>
      </c>
    </row>
    <row r="273" ht="18.75" spans="1:10">
      <c r="A273" s="329">
        <v>232</v>
      </c>
      <c r="B273" s="324" t="s">
        <v>1532</v>
      </c>
      <c r="C273" s="325">
        <v>19854</v>
      </c>
      <c r="D273" s="325">
        <f>D274</f>
        <v>21490</v>
      </c>
      <c r="E273" s="325">
        <f>E274</f>
        <v>21490</v>
      </c>
      <c r="F273" s="325">
        <f>F274</f>
        <v>21584</v>
      </c>
      <c r="G273" s="343">
        <f t="shared" si="20"/>
        <v>0.0871360934824217</v>
      </c>
      <c r="H273" s="343">
        <f t="shared" si="21"/>
        <v>1.00437412750116</v>
      </c>
      <c r="I273" s="349" t="str">
        <f t="shared" si="22"/>
        <v>是</v>
      </c>
      <c r="J273" s="313" t="str">
        <f t="shared" si="23"/>
        <v>类</v>
      </c>
    </row>
    <row r="274" ht="18.75" spans="1:10">
      <c r="A274" s="339">
        <v>23204</v>
      </c>
      <c r="B274" s="327" t="s">
        <v>1604</v>
      </c>
      <c r="C274" s="325">
        <v>19854</v>
      </c>
      <c r="D274" s="325">
        <f>SUM(D275:D288)</f>
        <v>21490</v>
      </c>
      <c r="E274" s="325">
        <f>SUM(E275:E288)</f>
        <v>21490</v>
      </c>
      <c r="F274" s="325">
        <f>SUM(F275:F288)</f>
        <v>21584</v>
      </c>
      <c r="G274" s="343">
        <f t="shared" si="20"/>
        <v>0.0871360934824217</v>
      </c>
      <c r="H274" s="343">
        <f t="shared" si="21"/>
        <v>1.00437412750116</v>
      </c>
      <c r="I274" s="349" t="str">
        <f t="shared" si="22"/>
        <v>是</v>
      </c>
      <c r="J274" s="313" t="str">
        <f t="shared" si="23"/>
        <v>款</v>
      </c>
    </row>
    <row r="275" ht="18.75" hidden="1" customHeight="1" spans="1:10">
      <c r="A275" s="330">
        <v>2320405</v>
      </c>
      <c r="B275" s="327" t="s">
        <v>1535</v>
      </c>
      <c r="C275" s="328">
        <v>0</v>
      </c>
      <c r="D275" s="328"/>
      <c r="E275" s="328"/>
      <c r="F275" s="325">
        <v>0</v>
      </c>
      <c r="G275" s="344" t="str">
        <f t="shared" ref="G275:G324" si="24">IFERROR((F275-C275)/C275,"")</f>
        <v/>
      </c>
      <c r="H275" s="344" t="str">
        <f t="shared" ref="H275:H324" si="25">IFERROR(F275/D275,"")</f>
        <v/>
      </c>
      <c r="I275" s="349" t="str">
        <f t="shared" ref="I275:I325" si="26">IF(LEN(A275)=3,"是",IF(B275&lt;&gt;"",IF(SUM(C275:F275)&lt;&gt;0,"是","否"),"是"))</f>
        <v>否</v>
      </c>
      <c r="J275" s="313" t="str">
        <f t="shared" ref="J275:J326" si="27">IF(LEN(A275)=3,"类",IF(LEN(A275)=5,"款","项"))</f>
        <v>项</v>
      </c>
    </row>
    <row r="276" ht="18.75" spans="1:10">
      <c r="A276" s="330">
        <v>2320411</v>
      </c>
      <c r="B276" s="327" t="s">
        <v>1536</v>
      </c>
      <c r="C276" s="328">
        <v>638</v>
      </c>
      <c r="D276" s="328">
        <v>625</v>
      </c>
      <c r="E276" s="328">
        <v>625</v>
      </c>
      <c r="F276" s="328">
        <v>643</v>
      </c>
      <c r="G276" s="344">
        <f t="shared" si="24"/>
        <v>0.00783699059561128</v>
      </c>
      <c r="H276" s="344">
        <f t="shared" si="25"/>
        <v>1.0288</v>
      </c>
      <c r="I276" s="349" t="str">
        <f t="shared" si="26"/>
        <v>是</v>
      </c>
      <c r="J276" s="313" t="str">
        <f t="shared" si="27"/>
        <v>项</v>
      </c>
    </row>
    <row r="277" ht="18.75" hidden="1" spans="1:10">
      <c r="A277" s="330">
        <v>2320413</v>
      </c>
      <c r="B277" s="327" t="s">
        <v>1537</v>
      </c>
      <c r="C277" s="328">
        <v>0</v>
      </c>
      <c r="D277" s="328"/>
      <c r="E277" s="328"/>
      <c r="F277" s="328">
        <v>0</v>
      </c>
      <c r="G277" s="344" t="str">
        <f t="shared" si="24"/>
        <v/>
      </c>
      <c r="H277" s="344" t="str">
        <f t="shared" si="25"/>
        <v/>
      </c>
      <c r="I277" s="349" t="str">
        <f t="shared" si="26"/>
        <v>否</v>
      </c>
      <c r="J277" s="313" t="str">
        <f t="shared" si="27"/>
        <v>项</v>
      </c>
    </row>
    <row r="278" ht="18.75" hidden="1" spans="1:10">
      <c r="A278" s="330">
        <v>2320414</v>
      </c>
      <c r="B278" s="327" t="s">
        <v>1538</v>
      </c>
      <c r="C278" s="328">
        <v>0</v>
      </c>
      <c r="D278" s="328"/>
      <c r="E278" s="328"/>
      <c r="F278" s="328">
        <v>0</v>
      </c>
      <c r="G278" s="344" t="str">
        <f t="shared" si="24"/>
        <v/>
      </c>
      <c r="H278" s="344" t="str">
        <f t="shared" si="25"/>
        <v/>
      </c>
      <c r="I278" s="349" t="str">
        <f t="shared" si="26"/>
        <v>否</v>
      </c>
      <c r="J278" s="313" t="str">
        <f t="shared" si="27"/>
        <v>项</v>
      </c>
    </row>
    <row r="279" ht="18.75" hidden="1" spans="1:10">
      <c r="A279" s="330">
        <v>2320416</v>
      </c>
      <c r="B279" s="327" t="s">
        <v>1539</v>
      </c>
      <c r="C279" s="328">
        <v>0</v>
      </c>
      <c r="D279" s="328"/>
      <c r="E279" s="328"/>
      <c r="F279" s="328">
        <v>0</v>
      </c>
      <c r="G279" s="344" t="str">
        <f t="shared" si="24"/>
        <v/>
      </c>
      <c r="H279" s="344" t="str">
        <f t="shared" si="25"/>
        <v/>
      </c>
      <c r="I279" s="349" t="str">
        <f t="shared" si="26"/>
        <v>否</v>
      </c>
      <c r="J279" s="313" t="str">
        <f t="shared" si="27"/>
        <v>项</v>
      </c>
    </row>
    <row r="280" ht="18.75" hidden="1" spans="1:10">
      <c r="A280" s="330">
        <v>2320417</v>
      </c>
      <c r="B280" s="327" t="s">
        <v>1540</v>
      </c>
      <c r="C280" s="328">
        <v>0</v>
      </c>
      <c r="D280" s="328"/>
      <c r="E280" s="328"/>
      <c r="F280" s="328">
        <v>0</v>
      </c>
      <c r="G280" s="344" t="str">
        <f t="shared" si="24"/>
        <v/>
      </c>
      <c r="H280" s="344" t="str">
        <f t="shared" si="25"/>
        <v/>
      </c>
      <c r="I280" s="349" t="str">
        <f t="shared" si="26"/>
        <v>否</v>
      </c>
      <c r="J280" s="313" t="str">
        <f t="shared" si="27"/>
        <v>项</v>
      </c>
    </row>
    <row r="281" ht="37.5" hidden="1" spans="1:10">
      <c r="A281" s="330">
        <v>2320418</v>
      </c>
      <c r="B281" s="327" t="s">
        <v>1541</v>
      </c>
      <c r="C281" s="328">
        <v>0</v>
      </c>
      <c r="D281" s="328"/>
      <c r="E281" s="328"/>
      <c r="F281" s="328">
        <v>0</v>
      </c>
      <c r="G281" s="344" t="str">
        <f t="shared" si="24"/>
        <v/>
      </c>
      <c r="H281" s="344" t="str">
        <f t="shared" si="25"/>
        <v/>
      </c>
      <c r="I281" s="349" t="str">
        <f t="shared" si="26"/>
        <v>否</v>
      </c>
      <c r="J281" s="313" t="str">
        <f t="shared" si="27"/>
        <v>项</v>
      </c>
    </row>
    <row r="282" ht="18.75" hidden="1" spans="1:10">
      <c r="A282" s="330">
        <v>2320419</v>
      </c>
      <c r="B282" s="327" t="s">
        <v>1542</v>
      </c>
      <c r="C282" s="328">
        <v>0</v>
      </c>
      <c r="D282" s="328"/>
      <c r="E282" s="328"/>
      <c r="F282" s="328">
        <v>0</v>
      </c>
      <c r="G282" s="344" t="str">
        <f t="shared" si="24"/>
        <v/>
      </c>
      <c r="H282" s="344" t="str">
        <f t="shared" si="25"/>
        <v/>
      </c>
      <c r="I282" s="349" t="str">
        <f t="shared" si="26"/>
        <v>否</v>
      </c>
      <c r="J282" s="313" t="str">
        <f t="shared" si="27"/>
        <v>项</v>
      </c>
    </row>
    <row r="283" ht="18.75" hidden="1" spans="1:10">
      <c r="A283" s="330">
        <v>2320420</v>
      </c>
      <c r="B283" s="327" t="s">
        <v>1543</v>
      </c>
      <c r="C283" s="328">
        <v>0</v>
      </c>
      <c r="D283" s="328"/>
      <c r="E283" s="328"/>
      <c r="F283" s="328">
        <v>0</v>
      </c>
      <c r="G283" s="344" t="str">
        <f t="shared" si="24"/>
        <v/>
      </c>
      <c r="H283" s="344" t="str">
        <f t="shared" si="25"/>
        <v/>
      </c>
      <c r="I283" s="349" t="str">
        <f t="shared" si="26"/>
        <v>否</v>
      </c>
      <c r="J283" s="313" t="str">
        <f t="shared" si="27"/>
        <v>项</v>
      </c>
    </row>
    <row r="284" ht="18.75" hidden="1" spans="1:10">
      <c r="A284" s="330">
        <v>2320431</v>
      </c>
      <c r="B284" s="327" t="s">
        <v>1544</v>
      </c>
      <c r="C284" s="328">
        <v>0</v>
      </c>
      <c r="D284" s="328"/>
      <c r="E284" s="328"/>
      <c r="F284" s="328">
        <v>0</v>
      </c>
      <c r="G284" s="344" t="str">
        <f t="shared" si="24"/>
        <v/>
      </c>
      <c r="H284" s="344" t="str">
        <f t="shared" si="25"/>
        <v/>
      </c>
      <c r="I284" s="349" t="str">
        <f t="shared" si="26"/>
        <v>否</v>
      </c>
      <c r="J284" s="313" t="str">
        <f t="shared" si="27"/>
        <v>项</v>
      </c>
    </row>
    <row r="285" ht="18.75" spans="1:10">
      <c r="A285" s="330">
        <v>2320432</v>
      </c>
      <c r="B285" s="327" t="s">
        <v>1545</v>
      </c>
      <c r="C285" s="328">
        <v>10069</v>
      </c>
      <c r="D285" s="328">
        <v>10070</v>
      </c>
      <c r="E285" s="328">
        <v>10070</v>
      </c>
      <c r="F285" s="328">
        <v>10069</v>
      </c>
      <c r="G285" s="344">
        <f t="shared" si="24"/>
        <v>0</v>
      </c>
      <c r="H285" s="344">
        <f t="shared" si="25"/>
        <v>0.999900695134062</v>
      </c>
      <c r="I285" s="349" t="str">
        <f t="shared" si="26"/>
        <v>是</v>
      </c>
      <c r="J285" s="313" t="str">
        <f t="shared" si="27"/>
        <v>项</v>
      </c>
    </row>
    <row r="286" ht="18.75" hidden="1" spans="1:10">
      <c r="A286" s="330">
        <v>2320433</v>
      </c>
      <c r="B286" s="327" t="s">
        <v>1546</v>
      </c>
      <c r="C286" s="328">
        <v>0</v>
      </c>
      <c r="D286" s="328"/>
      <c r="E286" s="328"/>
      <c r="F286" s="325">
        <v>0</v>
      </c>
      <c r="G286" s="344" t="str">
        <f t="shared" si="24"/>
        <v/>
      </c>
      <c r="H286" s="344" t="str">
        <f t="shared" si="25"/>
        <v/>
      </c>
      <c r="I286" s="349" t="str">
        <f t="shared" si="26"/>
        <v>否</v>
      </c>
      <c r="J286" s="313" t="str">
        <f t="shared" si="27"/>
        <v>项</v>
      </c>
    </row>
    <row r="287" ht="37.5" spans="1:10">
      <c r="A287" s="330">
        <v>2320498</v>
      </c>
      <c r="B287" s="327" t="s">
        <v>1547</v>
      </c>
      <c r="C287" s="328">
        <v>9147</v>
      </c>
      <c r="D287" s="328">
        <v>9834</v>
      </c>
      <c r="E287" s="328">
        <v>9834</v>
      </c>
      <c r="F287" s="328">
        <v>9688</v>
      </c>
      <c r="G287" s="344">
        <f t="shared" si="24"/>
        <v>0.0591450748879414</v>
      </c>
      <c r="H287" s="344">
        <f t="shared" si="25"/>
        <v>0.985153548911938</v>
      </c>
      <c r="I287" s="349" t="str">
        <f t="shared" si="26"/>
        <v>是</v>
      </c>
      <c r="J287" s="313" t="str">
        <f t="shared" si="27"/>
        <v>项</v>
      </c>
    </row>
    <row r="288" ht="18.75" spans="1:10">
      <c r="A288" s="330">
        <v>2320499</v>
      </c>
      <c r="B288" s="327" t="s">
        <v>1548</v>
      </c>
      <c r="C288" s="328">
        <v>0</v>
      </c>
      <c r="D288" s="328">
        <v>961</v>
      </c>
      <c r="E288" s="328">
        <v>961</v>
      </c>
      <c r="F288" s="328">
        <v>1184</v>
      </c>
      <c r="G288" s="344" t="str">
        <f t="shared" si="24"/>
        <v/>
      </c>
      <c r="H288" s="344">
        <f t="shared" si="25"/>
        <v>1.23204994797086</v>
      </c>
      <c r="I288" s="349" t="str">
        <f t="shared" si="26"/>
        <v>是</v>
      </c>
      <c r="J288" s="313" t="str">
        <f t="shared" si="27"/>
        <v>项</v>
      </c>
    </row>
    <row r="289" ht="18.75" spans="1:10">
      <c r="A289" s="329">
        <v>233</v>
      </c>
      <c r="B289" s="324" t="s">
        <v>1549</v>
      </c>
      <c r="C289" s="325">
        <v>79</v>
      </c>
      <c r="D289" s="325">
        <f>D290</f>
        <v>70</v>
      </c>
      <c r="E289" s="325">
        <f>E290</f>
        <v>70</v>
      </c>
      <c r="F289" s="325">
        <f>F290</f>
        <v>86</v>
      </c>
      <c r="G289" s="343">
        <f t="shared" si="24"/>
        <v>0.0886075949367089</v>
      </c>
      <c r="H289" s="343">
        <f t="shared" si="25"/>
        <v>1.22857142857143</v>
      </c>
      <c r="I289" s="349" t="str">
        <f t="shared" si="26"/>
        <v>是</v>
      </c>
      <c r="J289" s="313" t="str">
        <f t="shared" si="27"/>
        <v>类</v>
      </c>
    </row>
    <row r="290" ht="18.75" spans="1:10">
      <c r="A290" s="351">
        <v>23304</v>
      </c>
      <c r="B290" s="327" t="s">
        <v>1550</v>
      </c>
      <c r="C290" s="325">
        <v>79</v>
      </c>
      <c r="D290" s="325">
        <f>SUM(D291:D305)</f>
        <v>70</v>
      </c>
      <c r="E290" s="325">
        <f>SUM(E291:E305)</f>
        <v>70</v>
      </c>
      <c r="F290" s="325">
        <f>SUM(F291:F305)</f>
        <v>86</v>
      </c>
      <c r="G290" s="343">
        <f t="shared" si="24"/>
        <v>0.0886075949367089</v>
      </c>
      <c r="H290" s="343">
        <f t="shared" si="25"/>
        <v>1.22857142857143</v>
      </c>
      <c r="I290" s="349" t="str">
        <f t="shared" si="26"/>
        <v>是</v>
      </c>
      <c r="J290" s="313" t="str">
        <f t="shared" si="27"/>
        <v>款</v>
      </c>
    </row>
    <row r="291" ht="37.5" hidden="1" spans="1:10">
      <c r="A291" s="330">
        <v>2330401</v>
      </c>
      <c r="B291" s="327" t="s">
        <v>1551</v>
      </c>
      <c r="C291" s="328">
        <v>0</v>
      </c>
      <c r="D291" s="328"/>
      <c r="E291" s="328"/>
      <c r="F291" s="325">
        <v>0</v>
      </c>
      <c r="G291" s="344" t="str">
        <f t="shared" si="24"/>
        <v/>
      </c>
      <c r="H291" s="344" t="str">
        <f t="shared" si="25"/>
        <v/>
      </c>
      <c r="I291" s="349" t="str">
        <f t="shared" si="26"/>
        <v>否</v>
      </c>
      <c r="J291" s="313" t="str">
        <f t="shared" si="27"/>
        <v>项</v>
      </c>
    </row>
    <row r="292" ht="37.5" hidden="1" spans="1:10">
      <c r="A292" s="330">
        <v>2330405</v>
      </c>
      <c r="B292" s="327" t="s">
        <v>1552</v>
      </c>
      <c r="C292" s="328">
        <v>0</v>
      </c>
      <c r="D292" s="328"/>
      <c r="E292" s="328"/>
      <c r="F292" s="325">
        <v>0</v>
      </c>
      <c r="G292" s="344" t="str">
        <f t="shared" si="24"/>
        <v/>
      </c>
      <c r="H292" s="344" t="str">
        <f t="shared" si="25"/>
        <v/>
      </c>
      <c r="I292" s="349" t="str">
        <f t="shared" si="26"/>
        <v>否</v>
      </c>
      <c r="J292" s="313" t="str">
        <f t="shared" si="27"/>
        <v>项</v>
      </c>
    </row>
    <row r="293" ht="37.5" spans="1:10">
      <c r="A293" s="330">
        <v>2330411</v>
      </c>
      <c r="B293" s="327" t="s">
        <v>1553</v>
      </c>
      <c r="C293" s="328">
        <v>1</v>
      </c>
      <c r="D293" s="328">
        <v>5</v>
      </c>
      <c r="E293" s="328">
        <v>5</v>
      </c>
      <c r="F293" s="328">
        <v>4</v>
      </c>
      <c r="G293" s="344">
        <f t="shared" si="24"/>
        <v>3</v>
      </c>
      <c r="H293" s="344">
        <f t="shared" si="25"/>
        <v>0.8</v>
      </c>
      <c r="I293" s="349" t="str">
        <f t="shared" si="26"/>
        <v>是</v>
      </c>
      <c r="J293" s="313" t="str">
        <f t="shared" si="27"/>
        <v>项</v>
      </c>
    </row>
    <row r="294" ht="18.75" hidden="1" spans="1:10">
      <c r="A294" s="330">
        <v>2330413</v>
      </c>
      <c r="B294" s="327" t="s">
        <v>1554</v>
      </c>
      <c r="C294" s="328">
        <v>0</v>
      </c>
      <c r="D294" s="328"/>
      <c r="E294" s="328"/>
      <c r="F294" s="328">
        <v>0</v>
      </c>
      <c r="G294" s="344" t="str">
        <f t="shared" si="24"/>
        <v/>
      </c>
      <c r="H294" s="344" t="str">
        <f t="shared" si="25"/>
        <v/>
      </c>
      <c r="I294" s="349" t="str">
        <f t="shared" si="26"/>
        <v>否</v>
      </c>
      <c r="J294" s="313" t="str">
        <f t="shared" si="27"/>
        <v>项</v>
      </c>
    </row>
    <row r="295" ht="18.75" hidden="1" spans="1:10">
      <c r="A295" s="330">
        <v>2330414</v>
      </c>
      <c r="B295" s="327" t="s">
        <v>1555</v>
      </c>
      <c r="C295" s="328">
        <v>0</v>
      </c>
      <c r="D295" s="328"/>
      <c r="E295" s="328"/>
      <c r="F295" s="328">
        <v>0</v>
      </c>
      <c r="G295" s="344" t="str">
        <f t="shared" si="24"/>
        <v/>
      </c>
      <c r="H295" s="344" t="str">
        <f t="shared" si="25"/>
        <v/>
      </c>
      <c r="I295" s="349" t="str">
        <f t="shared" si="26"/>
        <v>否</v>
      </c>
      <c r="J295" s="313" t="str">
        <f t="shared" si="27"/>
        <v>项</v>
      </c>
    </row>
    <row r="296" ht="18.75" hidden="1" spans="1:10">
      <c r="A296" s="330">
        <v>2330416</v>
      </c>
      <c r="B296" s="327" t="s">
        <v>1556</v>
      </c>
      <c r="C296" s="328">
        <v>0</v>
      </c>
      <c r="D296" s="328"/>
      <c r="E296" s="328"/>
      <c r="F296" s="328">
        <v>0</v>
      </c>
      <c r="G296" s="344" t="str">
        <f t="shared" si="24"/>
        <v/>
      </c>
      <c r="H296" s="344" t="str">
        <f t="shared" si="25"/>
        <v/>
      </c>
      <c r="I296" s="349" t="str">
        <f t="shared" si="26"/>
        <v>否</v>
      </c>
      <c r="J296" s="313" t="str">
        <f t="shared" si="27"/>
        <v>项</v>
      </c>
    </row>
    <row r="297" ht="37.5" hidden="1" spans="1:10">
      <c r="A297" s="330">
        <v>2330417</v>
      </c>
      <c r="B297" s="327" t="s">
        <v>1557</v>
      </c>
      <c r="C297" s="328">
        <v>0</v>
      </c>
      <c r="D297" s="328"/>
      <c r="E297" s="328"/>
      <c r="F297" s="328">
        <v>0</v>
      </c>
      <c r="G297" s="344" t="str">
        <f t="shared" si="24"/>
        <v/>
      </c>
      <c r="H297" s="344" t="str">
        <f t="shared" si="25"/>
        <v/>
      </c>
      <c r="I297" s="349" t="str">
        <f t="shared" si="26"/>
        <v>否</v>
      </c>
      <c r="J297" s="313" t="str">
        <f t="shared" si="27"/>
        <v>项</v>
      </c>
    </row>
    <row r="298" ht="37.5" hidden="1" spans="1:10">
      <c r="A298" s="330">
        <v>2330418</v>
      </c>
      <c r="B298" s="327" t="s">
        <v>1558</v>
      </c>
      <c r="C298" s="328">
        <v>0</v>
      </c>
      <c r="D298" s="328"/>
      <c r="E298" s="328"/>
      <c r="F298" s="328">
        <v>0</v>
      </c>
      <c r="G298" s="344" t="str">
        <f t="shared" si="24"/>
        <v/>
      </c>
      <c r="H298" s="344" t="str">
        <f t="shared" si="25"/>
        <v/>
      </c>
      <c r="I298" s="349" t="str">
        <f t="shared" si="26"/>
        <v>否</v>
      </c>
      <c r="J298" s="313" t="str">
        <f t="shared" si="27"/>
        <v>项</v>
      </c>
    </row>
    <row r="299" ht="18.75" hidden="1" spans="1:10">
      <c r="A299" s="330">
        <v>2330419</v>
      </c>
      <c r="B299" s="327" t="s">
        <v>1559</v>
      </c>
      <c r="C299" s="328">
        <v>0</v>
      </c>
      <c r="D299" s="328"/>
      <c r="E299" s="328"/>
      <c r="F299" s="328">
        <v>0</v>
      </c>
      <c r="G299" s="344" t="str">
        <f t="shared" si="24"/>
        <v/>
      </c>
      <c r="H299" s="344" t="str">
        <f t="shared" si="25"/>
        <v/>
      </c>
      <c r="I299" s="349" t="str">
        <f t="shared" si="26"/>
        <v>否</v>
      </c>
      <c r="J299" s="313" t="str">
        <f t="shared" si="27"/>
        <v>项</v>
      </c>
    </row>
    <row r="300" ht="18.75" hidden="1" spans="1:10">
      <c r="A300" s="330">
        <v>2330420</v>
      </c>
      <c r="B300" s="327" t="s">
        <v>1560</v>
      </c>
      <c r="C300" s="328">
        <v>0</v>
      </c>
      <c r="D300" s="328"/>
      <c r="E300" s="328"/>
      <c r="F300" s="328">
        <v>0</v>
      </c>
      <c r="G300" s="344" t="str">
        <f t="shared" si="24"/>
        <v/>
      </c>
      <c r="H300" s="344" t="str">
        <f t="shared" si="25"/>
        <v/>
      </c>
      <c r="I300" s="349" t="str">
        <f t="shared" si="26"/>
        <v>否</v>
      </c>
      <c r="J300" s="313" t="str">
        <f t="shared" si="27"/>
        <v>项</v>
      </c>
    </row>
    <row r="301" ht="18.75" hidden="1" spans="1:10">
      <c r="A301" s="330">
        <v>2330431</v>
      </c>
      <c r="B301" s="327" t="s">
        <v>1561</v>
      </c>
      <c r="C301" s="328">
        <v>0</v>
      </c>
      <c r="D301" s="328"/>
      <c r="E301" s="328"/>
      <c r="F301" s="328">
        <v>0</v>
      </c>
      <c r="G301" s="344" t="str">
        <f t="shared" si="24"/>
        <v/>
      </c>
      <c r="H301" s="344" t="str">
        <f t="shared" si="25"/>
        <v/>
      </c>
      <c r="I301" s="349" t="str">
        <f t="shared" si="26"/>
        <v>否</v>
      </c>
      <c r="J301" s="313" t="str">
        <f t="shared" si="27"/>
        <v>项</v>
      </c>
    </row>
    <row r="302" ht="18.75" hidden="1" spans="1:10">
      <c r="A302" s="330">
        <v>2330432</v>
      </c>
      <c r="B302" s="327" t="s">
        <v>1562</v>
      </c>
      <c r="C302" s="328">
        <v>0</v>
      </c>
      <c r="D302" s="328"/>
      <c r="E302" s="328"/>
      <c r="F302" s="328">
        <v>0</v>
      </c>
      <c r="G302" s="344" t="str">
        <f t="shared" si="24"/>
        <v/>
      </c>
      <c r="H302" s="344" t="str">
        <f t="shared" si="25"/>
        <v/>
      </c>
      <c r="I302" s="349" t="str">
        <f t="shared" si="26"/>
        <v>否</v>
      </c>
      <c r="J302" s="313" t="str">
        <f t="shared" si="27"/>
        <v>项</v>
      </c>
    </row>
    <row r="303" ht="18.75" hidden="1" spans="1:10">
      <c r="A303" s="330">
        <v>2330433</v>
      </c>
      <c r="B303" s="327" t="s">
        <v>1563</v>
      </c>
      <c r="C303" s="328">
        <v>0</v>
      </c>
      <c r="D303" s="328"/>
      <c r="E303" s="328"/>
      <c r="F303" s="328">
        <v>0</v>
      </c>
      <c r="G303" s="344" t="str">
        <f t="shared" si="24"/>
        <v/>
      </c>
      <c r="H303" s="344" t="str">
        <f t="shared" si="25"/>
        <v/>
      </c>
      <c r="I303" s="349" t="str">
        <f t="shared" si="26"/>
        <v>否</v>
      </c>
      <c r="J303" s="313" t="str">
        <f t="shared" si="27"/>
        <v>项</v>
      </c>
    </row>
    <row r="304" ht="37.5" spans="1:10">
      <c r="A304" s="330">
        <v>2330498</v>
      </c>
      <c r="B304" s="327" t="s">
        <v>1564</v>
      </c>
      <c r="C304" s="328">
        <v>27</v>
      </c>
      <c r="D304" s="328">
        <v>50</v>
      </c>
      <c r="E304" s="328">
        <v>50</v>
      </c>
      <c r="F304" s="328">
        <v>47</v>
      </c>
      <c r="G304" s="344">
        <f t="shared" si="24"/>
        <v>0.740740740740741</v>
      </c>
      <c r="H304" s="344">
        <f t="shared" si="25"/>
        <v>0.94</v>
      </c>
      <c r="I304" s="349" t="str">
        <f t="shared" si="26"/>
        <v>是</v>
      </c>
      <c r="J304" s="313" t="str">
        <f t="shared" si="27"/>
        <v>项</v>
      </c>
    </row>
    <row r="305" ht="18.75" spans="1:10">
      <c r="A305" s="330">
        <v>2330499</v>
      </c>
      <c r="B305" s="327" t="s">
        <v>1565</v>
      </c>
      <c r="C305" s="328">
        <v>51</v>
      </c>
      <c r="D305" s="328">
        <v>15</v>
      </c>
      <c r="E305" s="328">
        <v>15</v>
      </c>
      <c r="F305" s="328">
        <v>35</v>
      </c>
      <c r="G305" s="344">
        <f t="shared" si="24"/>
        <v>-0.313725490196078</v>
      </c>
      <c r="H305" s="344">
        <f t="shared" si="25"/>
        <v>2.33333333333333</v>
      </c>
      <c r="I305" s="349" t="str">
        <f t="shared" si="26"/>
        <v>是</v>
      </c>
      <c r="J305" s="313" t="str">
        <f t="shared" si="27"/>
        <v>项</v>
      </c>
    </row>
    <row r="306" ht="18.75" spans="1:10">
      <c r="A306" s="355">
        <v>234</v>
      </c>
      <c r="B306" s="324" t="s">
        <v>1566</v>
      </c>
      <c r="C306" s="325">
        <v>0</v>
      </c>
      <c r="D306" s="325"/>
      <c r="E306" s="325"/>
      <c r="F306" s="325">
        <v>0</v>
      </c>
      <c r="G306" s="343" t="str">
        <f t="shared" si="24"/>
        <v/>
      </c>
      <c r="H306" s="343" t="str">
        <f t="shared" si="25"/>
        <v/>
      </c>
      <c r="I306" s="349" t="str">
        <f t="shared" si="26"/>
        <v>是</v>
      </c>
      <c r="J306" s="313" t="str">
        <f t="shared" si="27"/>
        <v>类</v>
      </c>
    </row>
    <row r="307" ht="18.75" hidden="1" spans="1:10">
      <c r="A307" s="356">
        <v>23401</v>
      </c>
      <c r="B307" s="327" t="s">
        <v>1567</v>
      </c>
      <c r="C307" s="325">
        <v>0</v>
      </c>
      <c r="D307" s="325"/>
      <c r="E307" s="325"/>
      <c r="F307" s="325">
        <v>0</v>
      </c>
      <c r="G307" s="343" t="str">
        <f t="shared" si="24"/>
        <v/>
      </c>
      <c r="H307" s="343" t="str">
        <f t="shared" si="25"/>
        <v/>
      </c>
      <c r="I307" s="349" t="str">
        <f t="shared" si="26"/>
        <v>否</v>
      </c>
      <c r="J307" s="313" t="str">
        <f t="shared" si="27"/>
        <v>款</v>
      </c>
    </row>
    <row r="308" ht="18.75" hidden="1" spans="1:10">
      <c r="A308" s="356">
        <v>2340101</v>
      </c>
      <c r="B308" s="327" t="s">
        <v>1568</v>
      </c>
      <c r="C308" s="328">
        <v>0</v>
      </c>
      <c r="D308" s="328"/>
      <c r="E308" s="328"/>
      <c r="F308" s="325">
        <v>0</v>
      </c>
      <c r="G308" s="344" t="str">
        <f t="shared" si="24"/>
        <v/>
      </c>
      <c r="H308" s="344" t="str">
        <f t="shared" si="25"/>
        <v/>
      </c>
      <c r="I308" s="349" t="str">
        <f t="shared" si="26"/>
        <v>否</v>
      </c>
      <c r="J308" s="313" t="str">
        <f t="shared" si="27"/>
        <v>项</v>
      </c>
    </row>
    <row r="309" ht="18.75" hidden="1" spans="1:10">
      <c r="A309" s="356">
        <v>2340102</v>
      </c>
      <c r="B309" s="327" t="s">
        <v>1569</v>
      </c>
      <c r="C309" s="328">
        <v>0</v>
      </c>
      <c r="D309" s="328"/>
      <c r="E309" s="328"/>
      <c r="F309" s="325">
        <v>0</v>
      </c>
      <c r="G309" s="344" t="str">
        <f t="shared" si="24"/>
        <v/>
      </c>
      <c r="H309" s="344" t="str">
        <f t="shared" si="25"/>
        <v/>
      </c>
      <c r="I309" s="349" t="str">
        <f t="shared" si="26"/>
        <v>否</v>
      </c>
      <c r="J309" s="313" t="str">
        <f t="shared" si="27"/>
        <v>项</v>
      </c>
    </row>
    <row r="310" ht="18.75" hidden="1" spans="1:10">
      <c r="A310" s="356">
        <v>2340103</v>
      </c>
      <c r="B310" s="327" t="s">
        <v>1570</v>
      </c>
      <c r="C310" s="328">
        <v>0</v>
      </c>
      <c r="D310" s="328"/>
      <c r="E310" s="328"/>
      <c r="F310" s="325">
        <v>0</v>
      </c>
      <c r="G310" s="344" t="str">
        <f t="shared" si="24"/>
        <v/>
      </c>
      <c r="H310" s="344" t="str">
        <f t="shared" si="25"/>
        <v/>
      </c>
      <c r="I310" s="349" t="str">
        <f t="shared" si="26"/>
        <v>否</v>
      </c>
      <c r="J310" s="313" t="str">
        <f t="shared" si="27"/>
        <v>项</v>
      </c>
    </row>
    <row r="311" ht="18.75" hidden="1" spans="1:10">
      <c r="A311" s="356">
        <v>2340104</v>
      </c>
      <c r="B311" s="327" t="s">
        <v>1571</v>
      </c>
      <c r="C311" s="328">
        <v>0</v>
      </c>
      <c r="D311" s="328"/>
      <c r="E311" s="328"/>
      <c r="F311" s="325">
        <v>0</v>
      </c>
      <c r="G311" s="344" t="str">
        <f t="shared" si="24"/>
        <v/>
      </c>
      <c r="H311" s="344" t="str">
        <f t="shared" si="25"/>
        <v/>
      </c>
      <c r="I311" s="349" t="str">
        <f t="shared" si="26"/>
        <v>否</v>
      </c>
      <c r="J311" s="313" t="str">
        <f t="shared" si="27"/>
        <v>项</v>
      </c>
    </row>
    <row r="312" ht="18.75" hidden="1" spans="1:10">
      <c r="A312" s="356">
        <v>2340105</v>
      </c>
      <c r="B312" s="327" t="s">
        <v>1572</v>
      </c>
      <c r="C312" s="328">
        <v>0</v>
      </c>
      <c r="D312" s="328"/>
      <c r="E312" s="328"/>
      <c r="F312" s="325">
        <v>0</v>
      </c>
      <c r="G312" s="344" t="str">
        <f t="shared" si="24"/>
        <v/>
      </c>
      <c r="H312" s="344" t="str">
        <f t="shared" si="25"/>
        <v/>
      </c>
      <c r="I312" s="349" t="str">
        <f t="shared" si="26"/>
        <v>否</v>
      </c>
      <c r="J312" s="313" t="str">
        <f t="shared" si="27"/>
        <v>项</v>
      </c>
    </row>
    <row r="313" ht="18.75" hidden="1" spans="1:10">
      <c r="A313" s="356">
        <v>2340106</v>
      </c>
      <c r="B313" s="327" t="s">
        <v>1573</v>
      </c>
      <c r="C313" s="328">
        <v>0</v>
      </c>
      <c r="D313" s="328"/>
      <c r="E313" s="328"/>
      <c r="F313" s="325">
        <v>0</v>
      </c>
      <c r="G313" s="344" t="str">
        <f t="shared" si="24"/>
        <v/>
      </c>
      <c r="H313" s="344" t="str">
        <f t="shared" si="25"/>
        <v/>
      </c>
      <c r="I313" s="349" t="str">
        <f t="shared" si="26"/>
        <v>否</v>
      </c>
      <c r="J313" s="313" t="str">
        <f t="shared" si="27"/>
        <v>项</v>
      </c>
    </row>
    <row r="314" ht="18.75" hidden="1" spans="1:10">
      <c r="A314" s="356">
        <v>2340107</v>
      </c>
      <c r="B314" s="327" t="s">
        <v>1574</v>
      </c>
      <c r="C314" s="328">
        <v>0</v>
      </c>
      <c r="D314" s="328"/>
      <c r="E314" s="328"/>
      <c r="F314" s="325">
        <v>0</v>
      </c>
      <c r="G314" s="344" t="str">
        <f t="shared" si="24"/>
        <v/>
      </c>
      <c r="H314" s="344" t="str">
        <f t="shared" si="25"/>
        <v/>
      </c>
      <c r="I314" s="349" t="str">
        <f t="shared" si="26"/>
        <v>否</v>
      </c>
      <c r="J314" s="313" t="str">
        <f t="shared" si="27"/>
        <v>项</v>
      </c>
    </row>
    <row r="315" ht="18.75" hidden="1" spans="1:10">
      <c r="A315" s="356">
        <v>2340108</v>
      </c>
      <c r="B315" s="327" t="s">
        <v>1575</v>
      </c>
      <c r="C315" s="328">
        <v>0</v>
      </c>
      <c r="D315" s="328"/>
      <c r="E315" s="328"/>
      <c r="F315" s="325">
        <v>0</v>
      </c>
      <c r="G315" s="344" t="str">
        <f t="shared" si="24"/>
        <v/>
      </c>
      <c r="H315" s="344" t="str">
        <f t="shared" si="25"/>
        <v/>
      </c>
      <c r="I315" s="349" t="str">
        <f t="shared" si="26"/>
        <v>否</v>
      </c>
      <c r="J315" s="313" t="str">
        <f t="shared" si="27"/>
        <v>项</v>
      </c>
    </row>
    <row r="316" ht="18.75" hidden="1" spans="1:10">
      <c r="A316" s="356">
        <v>2340109</v>
      </c>
      <c r="B316" s="327" t="s">
        <v>1576</v>
      </c>
      <c r="C316" s="328">
        <v>0</v>
      </c>
      <c r="D316" s="328"/>
      <c r="E316" s="328"/>
      <c r="F316" s="325">
        <v>0</v>
      </c>
      <c r="G316" s="344" t="str">
        <f t="shared" si="24"/>
        <v/>
      </c>
      <c r="H316" s="344" t="str">
        <f t="shared" si="25"/>
        <v/>
      </c>
      <c r="I316" s="349" t="str">
        <f t="shared" si="26"/>
        <v>否</v>
      </c>
      <c r="J316" s="313" t="str">
        <f t="shared" si="27"/>
        <v>项</v>
      </c>
    </row>
    <row r="317" ht="18.75" hidden="1" spans="1:10">
      <c r="A317" s="356">
        <v>2340110</v>
      </c>
      <c r="B317" s="327" t="s">
        <v>1577</v>
      </c>
      <c r="C317" s="328">
        <v>0</v>
      </c>
      <c r="D317" s="328"/>
      <c r="E317" s="328"/>
      <c r="F317" s="325">
        <v>0</v>
      </c>
      <c r="G317" s="344" t="str">
        <f t="shared" si="24"/>
        <v/>
      </c>
      <c r="H317" s="344" t="str">
        <f t="shared" si="25"/>
        <v/>
      </c>
      <c r="I317" s="349" t="str">
        <f t="shared" si="26"/>
        <v>否</v>
      </c>
      <c r="J317" s="313" t="str">
        <f t="shared" si="27"/>
        <v>项</v>
      </c>
    </row>
    <row r="318" ht="18.75" hidden="1" spans="1:10">
      <c r="A318" s="356">
        <v>2340111</v>
      </c>
      <c r="B318" s="327" t="s">
        <v>1578</v>
      </c>
      <c r="C318" s="328">
        <v>0</v>
      </c>
      <c r="D318" s="328"/>
      <c r="E318" s="328"/>
      <c r="F318" s="325">
        <v>0</v>
      </c>
      <c r="G318" s="344" t="str">
        <f t="shared" si="24"/>
        <v/>
      </c>
      <c r="H318" s="344" t="str">
        <f t="shared" si="25"/>
        <v/>
      </c>
      <c r="I318" s="349" t="str">
        <f t="shared" si="26"/>
        <v>否</v>
      </c>
      <c r="J318" s="313" t="str">
        <f t="shared" si="27"/>
        <v>项</v>
      </c>
    </row>
    <row r="319" ht="18.75" hidden="1" spans="1:10">
      <c r="A319" s="356">
        <v>2340199</v>
      </c>
      <c r="B319" s="327" t="s">
        <v>1579</v>
      </c>
      <c r="C319" s="328">
        <v>0</v>
      </c>
      <c r="D319" s="328"/>
      <c r="E319" s="328"/>
      <c r="F319" s="325">
        <v>0</v>
      </c>
      <c r="G319" s="344" t="str">
        <f t="shared" si="24"/>
        <v/>
      </c>
      <c r="H319" s="344" t="str">
        <f t="shared" si="25"/>
        <v/>
      </c>
      <c r="I319" s="349" t="str">
        <f t="shared" si="26"/>
        <v>否</v>
      </c>
      <c r="J319" s="313" t="str">
        <f t="shared" si="27"/>
        <v>项</v>
      </c>
    </row>
    <row r="320" ht="18.75" hidden="1" spans="1:10">
      <c r="A320" s="356">
        <v>23402</v>
      </c>
      <c r="B320" s="327" t="s">
        <v>1580</v>
      </c>
      <c r="C320" s="325">
        <v>0</v>
      </c>
      <c r="D320" s="325"/>
      <c r="E320" s="325"/>
      <c r="F320" s="325">
        <v>0</v>
      </c>
      <c r="G320" s="343" t="str">
        <f t="shared" si="24"/>
        <v/>
      </c>
      <c r="H320" s="343" t="str">
        <f t="shared" si="25"/>
        <v/>
      </c>
      <c r="I320" s="349" t="str">
        <f t="shared" si="26"/>
        <v>否</v>
      </c>
      <c r="J320" s="313" t="str">
        <f t="shared" si="27"/>
        <v>款</v>
      </c>
    </row>
    <row r="321" ht="18.75" hidden="1" spans="1:10">
      <c r="A321" s="356">
        <v>2340201</v>
      </c>
      <c r="B321" s="327" t="s">
        <v>1581</v>
      </c>
      <c r="C321" s="328">
        <v>0</v>
      </c>
      <c r="D321" s="328"/>
      <c r="E321" s="328"/>
      <c r="F321" s="325">
        <v>0</v>
      </c>
      <c r="G321" s="344" t="str">
        <f t="shared" si="24"/>
        <v/>
      </c>
      <c r="H321" s="344" t="str">
        <f t="shared" si="25"/>
        <v/>
      </c>
      <c r="I321" s="349" t="str">
        <f t="shared" si="26"/>
        <v>否</v>
      </c>
      <c r="J321" s="313" t="str">
        <f t="shared" si="27"/>
        <v>项</v>
      </c>
    </row>
    <row r="322" ht="18.75" hidden="1" spans="1:10">
      <c r="A322" s="356">
        <v>2340202</v>
      </c>
      <c r="B322" s="327" t="s">
        <v>1582</v>
      </c>
      <c r="C322" s="328">
        <v>0</v>
      </c>
      <c r="D322" s="328"/>
      <c r="E322" s="328"/>
      <c r="F322" s="325">
        <v>0</v>
      </c>
      <c r="G322" s="344" t="str">
        <f t="shared" si="24"/>
        <v/>
      </c>
      <c r="H322" s="344" t="str">
        <f t="shared" si="25"/>
        <v/>
      </c>
      <c r="I322" s="349" t="str">
        <f t="shared" si="26"/>
        <v>否</v>
      </c>
      <c r="J322" s="313" t="str">
        <f t="shared" si="27"/>
        <v>项</v>
      </c>
    </row>
    <row r="323" ht="18.75" hidden="1" spans="1:10">
      <c r="A323" s="356">
        <v>2340203</v>
      </c>
      <c r="B323" s="327" t="s">
        <v>1583</v>
      </c>
      <c r="C323" s="328">
        <v>0</v>
      </c>
      <c r="D323" s="328"/>
      <c r="E323" s="328"/>
      <c r="F323" s="325">
        <v>0</v>
      </c>
      <c r="G323" s="344" t="str">
        <f t="shared" si="24"/>
        <v/>
      </c>
      <c r="H323" s="344" t="str">
        <f t="shared" si="25"/>
        <v/>
      </c>
      <c r="I323" s="349" t="str">
        <f t="shared" si="26"/>
        <v>否</v>
      </c>
      <c r="J323" s="313" t="str">
        <f t="shared" si="27"/>
        <v>项</v>
      </c>
    </row>
    <row r="324" ht="18.75" hidden="1" spans="1:10">
      <c r="A324" s="356">
        <v>2340204</v>
      </c>
      <c r="B324" s="327" t="s">
        <v>1584</v>
      </c>
      <c r="C324" s="328">
        <v>0</v>
      </c>
      <c r="D324" s="328"/>
      <c r="E324" s="328"/>
      <c r="F324" s="325">
        <v>0</v>
      </c>
      <c r="G324" s="344" t="str">
        <f t="shared" si="24"/>
        <v/>
      </c>
      <c r="H324" s="344" t="str">
        <f t="shared" si="25"/>
        <v/>
      </c>
      <c r="I324" s="349" t="str">
        <f t="shared" si="26"/>
        <v>否</v>
      </c>
      <c r="J324" s="313" t="str">
        <f t="shared" si="27"/>
        <v>项</v>
      </c>
    </row>
    <row r="325" ht="18.75" hidden="1" spans="1:10">
      <c r="A325" s="356">
        <v>2340205</v>
      </c>
      <c r="B325" s="327" t="s">
        <v>1585</v>
      </c>
      <c r="C325" s="328">
        <v>0</v>
      </c>
      <c r="D325" s="328"/>
      <c r="E325" s="328"/>
      <c r="F325" s="325">
        <v>0</v>
      </c>
      <c r="G325" s="344" t="str">
        <f t="shared" ref="G325:G338" si="28">IFERROR((F325-C325)/C325,"")</f>
        <v/>
      </c>
      <c r="H325" s="344" t="str">
        <f t="shared" ref="H325:H338" si="29">IFERROR(F325/D325,"")</f>
        <v/>
      </c>
      <c r="I325" s="349" t="str">
        <f t="shared" si="26"/>
        <v>否</v>
      </c>
      <c r="J325" s="313" t="str">
        <f t="shared" si="27"/>
        <v>项</v>
      </c>
    </row>
    <row r="326" ht="18.75" hidden="1" spans="1:10">
      <c r="A326" s="356">
        <v>2340299</v>
      </c>
      <c r="B326" s="327" t="s">
        <v>1586</v>
      </c>
      <c r="C326" s="328">
        <v>0</v>
      </c>
      <c r="D326" s="328"/>
      <c r="E326" s="328"/>
      <c r="F326" s="325">
        <v>0</v>
      </c>
      <c r="G326" s="344" t="str">
        <f t="shared" si="28"/>
        <v/>
      </c>
      <c r="H326" s="344" t="str">
        <f t="shared" si="29"/>
        <v/>
      </c>
      <c r="I326" s="349" t="str">
        <f t="shared" ref="I326:I337" si="30">IF(LEN(A326)=3,"是",IF(B326&lt;&gt;"",IF(SUM(C326:F326)&lt;&gt;0,"是","否"),"是"))</f>
        <v>否</v>
      </c>
      <c r="J326" s="313" t="str">
        <f t="shared" si="27"/>
        <v>项</v>
      </c>
    </row>
    <row r="327" ht="18.75" spans="1:10">
      <c r="A327" s="339"/>
      <c r="B327" s="327"/>
      <c r="C327" s="328">
        <v>0</v>
      </c>
      <c r="D327" s="328"/>
      <c r="E327" s="328"/>
      <c r="F327" s="325"/>
      <c r="G327" s="344" t="str">
        <f t="shared" si="28"/>
        <v/>
      </c>
      <c r="H327" s="344" t="str">
        <f t="shared" si="29"/>
        <v/>
      </c>
      <c r="I327" s="349" t="str">
        <f t="shared" si="30"/>
        <v>是</v>
      </c>
      <c r="J327" s="313"/>
    </row>
    <row r="328" ht="18.75" spans="1:10">
      <c r="A328" s="357"/>
      <c r="B328" s="358" t="s">
        <v>1605</v>
      </c>
      <c r="C328" s="359">
        <f>C5+C12+C20+C43+C48+C55+C71+C132+C160+C210+C219+C224+C228+C232+C236+C241+C273+C289+C306</f>
        <v>63626</v>
      </c>
      <c r="D328" s="359">
        <f>D5+D12+D20+D43+D48+D55+D71+D132+D160+D210+D219+D224+D228+D232+D236+D241+D273+D289+D306</f>
        <v>41026</v>
      </c>
      <c r="E328" s="359">
        <f>E5+E12+E20+E43+E48+E55+E71+E132+E160+E210+E219+E224+E228+E232+E236+E241+E273+E289+E306</f>
        <v>47957</v>
      </c>
      <c r="F328" s="359">
        <f>F5+F12+F20+F43+F48+F55+F71+F132+F160+F210+F219+F224+F228+F232+F236+F241+F273+F289+F306</f>
        <v>36524</v>
      </c>
      <c r="G328" s="343">
        <f t="shared" si="28"/>
        <v>-0.425957941721938</v>
      </c>
      <c r="H328" s="343">
        <f t="shared" si="29"/>
        <v>0.890264710183786</v>
      </c>
      <c r="I328" s="349" t="str">
        <f t="shared" si="30"/>
        <v>是</v>
      </c>
      <c r="J328" s="313"/>
    </row>
    <row r="329" ht="18.75" spans="1:10">
      <c r="A329" s="360" t="s">
        <v>1588</v>
      </c>
      <c r="B329" s="361" t="s">
        <v>201</v>
      </c>
      <c r="C329" s="107">
        <f>C330+C332+C333+C334+C335</f>
        <v>426810</v>
      </c>
      <c r="D329" s="107">
        <f>D330+D332+D333+D334+D335</f>
        <v>293363</v>
      </c>
      <c r="E329" s="107">
        <f>E330+E332+E333+E334+E335</f>
        <v>494113</v>
      </c>
      <c r="F329" s="107">
        <f>F330+F332+F333+F334+F335</f>
        <v>459946</v>
      </c>
      <c r="G329" s="343">
        <f t="shared" si="28"/>
        <v>0.077636419015487</v>
      </c>
      <c r="H329" s="343">
        <f t="shared" si="29"/>
        <v>1.56783916172114</v>
      </c>
      <c r="I329" s="349" t="str">
        <f t="shared" si="30"/>
        <v>是</v>
      </c>
      <c r="J329" s="313"/>
    </row>
    <row r="330" ht="18.75" spans="1:10">
      <c r="A330" s="360" t="s">
        <v>1606</v>
      </c>
      <c r="B330" s="362" t="s">
        <v>1607</v>
      </c>
      <c r="C330" s="110">
        <f>C331</f>
        <v>68357</v>
      </c>
      <c r="D330" s="110">
        <f>D331</f>
        <v>76992</v>
      </c>
      <c r="E330" s="110">
        <f>E331</f>
        <v>76992</v>
      </c>
      <c r="F330" s="110">
        <f>F331</f>
        <v>41467</v>
      </c>
      <c r="G330" s="344">
        <f t="shared" si="28"/>
        <v>-0.393375952718814</v>
      </c>
      <c r="H330" s="344">
        <f t="shared" si="29"/>
        <v>0.538588424771405</v>
      </c>
      <c r="I330" s="349" t="str">
        <f t="shared" si="30"/>
        <v>是</v>
      </c>
      <c r="J330" s="313"/>
    </row>
    <row r="331" ht="18.75" spans="1:10">
      <c r="A331" s="363" t="s">
        <v>1608</v>
      </c>
      <c r="B331" s="362" t="s">
        <v>1609</v>
      </c>
      <c r="C331" s="328">
        <v>68357</v>
      </c>
      <c r="D331" s="328">
        <v>76992</v>
      </c>
      <c r="E331" s="328">
        <v>76992</v>
      </c>
      <c r="F331" s="328">
        <v>41467</v>
      </c>
      <c r="G331" s="344">
        <f t="shared" si="28"/>
        <v>-0.393375952718814</v>
      </c>
      <c r="H331" s="344">
        <f t="shared" si="29"/>
        <v>0.538588424771405</v>
      </c>
      <c r="I331" s="349" t="str">
        <f t="shared" si="30"/>
        <v>是</v>
      </c>
      <c r="J331" s="313"/>
    </row>
    <row r="332" ht="18.75" spans="1:9">
      <c r="A332" s="364" t="s">
        <v>1589</v>
      </c>
      <c r="B332" s="362" t="s">
        <v>1230</v>
      </c>
      <c r="C332" s="328">
        <v>1669</v>
      </c>
      <c r="D332" s="328">
        <v>3781</v>
      </c>
      <c r="E332" s="328">
        <v>3781</v>
      </c>
      <c r="F332" s="328">
        <v>1495</v>
      </c>
      <c r="G332" s="344">
        <f t="shared" si="28"/>
        <v>-0.104254044337927</v>
      </c>
      <c r="H332" s="344">
        <f t="shared" si="29"/>
        <v>0.395398042845808</v>
      </c>
      <c r="I332" s="349" t="str">
        <f t="shared" si="30"/>
        <v>是</v>
      </c>
    </row>
    <row r="333" ht="18.75" spans="1:10">
      <c r="A333" s="363" t="s">
        <v>1590</v>
      </c>
      <c r="B333" s="362" t="s">
        <v>1231</v>
      </c>
      <c r="C333" s="328">
        <v>7470</v>
      </c>
      <c r="D333" s="328">
        <v>27400</v>
      </c>
      <c r="E333" s="328">
        <v>7752</v>
      </c>
      <c r="F333" s="328">
        <v>3630</v>
      </c>
      <c r="G333" s="344">
        <f t="shared" si="28"/>
        <v>-0.514056224899598</v>
      </c>
      <c r="H333" s="344">
        <f t="shared" si="29"/>
        <v>0.132481751824818</v>
      </c>
      <c r="I333" s="349" t="str">
        <f t="shared" si="30"/>
        <v>是</v>
      </c>
      <c r="J333" s="313"/>
    </row>
    <row r="334" ht="18.75" spans="1:10">
      <c r="A334" s="363" t="s">
        <v>1591</v>
      </c>
      <c r="B334" s="362" t="s">
        <v>1592</v>
      </c>
      <c r="C334" s="328">
        <v>7434</v>
      </c>
      <c r="D334" s="328"/>
      <c r="E334" s="328"/>
      <c r="F334" s="328">
        <v>7766</v>
      </c>
      <c r="G334" s="344">
        <f t="shared" si="28"/>
        <v>0.0446596717783158</v>
      </c>
      <c r="H334" s="344" t="str">
        <f t="shared" si="29"/>
        <v/>
      </c>
      <c r="I334" s="349" t="str">
        <f t="shared" si="30"/>
        <v>是</v>
      </c>
      <c r="J334" s="313"/>
    </row>
    <row r="335" ht="18.75" spans="1:10">
      <c r="A335" s="363" t="s">
        <v>1610</v>
      </c>
      <c r="B335" s="365" t="s">
        <v>1611</v>
      </c>
      <c r="C335" s="328">
        <v>341880</v>
      </c>
      <c r="D335" s="328">
        <v>185190</v>
      </c>
      <c r="E335" s="328">
        <v>405588</v>
      </c>
      <c r="F335" s="328">
        <v>405588</v>
      </c>
      <c r="G335" s="344">
        <f t="shared" si="28"/>
        <v>0.186346086346086</v>
      </c>
      <c r="H335" s="344">
        <f t="shared" si="29"/>
        <v>2.19011825692532</v>
      </c>
      <c r="I335" s="349" t="str">
        <f t="shared" si="30"/>
        <v>是</v>
      </c>
      <c r="J335" s="313"/>
    </row>
    <row r="336" ht="18.75" spans="1:10">
      <c r="A336" s="360" t="s">
        <v>1593</v>
      </c>
      <c r="B336" s="366" t="s">
        <v>1594</v>
      </c>
      <c r="C336" s="325">
        <v>43900</v>
      </c>
      <c r="D336" s="325">
        <v>54450</v>
      </c>
      <c r="E336" s="325">
        <v>80421</v>
      </c>
      <c r="F336" s="325">
        <v>80421</v>
      </c>
      <c r="G336" s="343">
        <f t="shared" si="28"/>
        <v>0.831913439635535</v>
      </c>
      <c r="H336" s="343">
        <f t="shared" si="29"/>
        <v>1.4769696969697</v>
      </c>
      <c r="I336" s="349" t="str">
        <f t="shared" si="30"/>
        <v>是</v>
      </c>
      <c r="J336" s="313"/>
    </row>
    <row r="337" ht="18.75" spans="1:10">
      <c r="A337" s="367"/>
      <c r="B337" s="368" t="s">
        <v>209</v>
      </c>
      <c r="C337" s="107">
        <f>SUM(C328:C329,C336)</f>
        <v>534336</v>
      </c>
      <c r="D337" s="107">
        <f>SUM(D328:D329,D336)</f>
        <v>388839</v>
      </c>
      <c r="E337" s="107">
        <f>SUM(E328:E329,E336)</f>
        <v>622491</v>
      </c>
      <c r="F337" s="107">
        <f>SUM(F328:F329,F336)</f>
        <v>576891</v>
      </c>
      <c r="G337" s="343">
        <f t="shared" si="28"/>
        <v>0.0796409001077973</v>
      </c>
      <c r="H337" s="343">
        <f t="shared" si="29"/>
        <v>1.48362432780662</v>
      </c>
      <c r="I337" s="349" t="str">
        <f t="shared" si="30"/>
        <v>是</v>
      </c>
      <c r="J337" s="313"/>
    </row>
    <row r="338" spans="3:7">
      <c r="C338" s="369"/>
      <c r="D338" s="369"/>
      <c r="E338" s="369"/>
      <c r="F338" s="369"/>
      <c r="G338" s="369"/>
    </row>
    <row r="339" spans="3:7">
      <c r="C339" s="369"/>
      <c r="D339" s="369"/>
      <c r="E339" s="369"/>
      <c r="F339" s="369"/>
      <c r="G339" s="369"/>
    </row>
    <row r="340" spans="3:7">
      <c r="C340" s="369"/>
      <c r="D340" s="369"/>
      <c r="E340" s="369"/>
      <c r="F340" s="369"/>
      <c r="G340" s="369"/>
    </row>
  </sheetData>
  <autoFilter ref="A4:J337">
    <filterColumn colId="8">
      <customFilters>
        <customFilter operator="equal" val="是"/>
      </customFilters>
    </filterColumn>
    <extLst/>
  </autoFilter>
  <mergeCells count="6">
    <mergeCell ref="B1:H1"/>
    <mergeCell ref="D3:F3"/>
    <mergeCell ref="G3:H3"/>
    <mergeCell ref="A3:A4"/>
    <mergeCell ref="B3:B4"/>
    <mergeCell ref="C3:C4"/>
  </mergeCells>
  <conditionalFormatting sqref="B335">
    <cfRule type="expression" dxfId="0" priority="2" stopIfTrue="1">
      <formula>"len($A:$A)=3"</formula>
    </cfRule>
  </conditionalFormatting>
  <conditionalFormatting sqref="B336">
    <cfRule type="expression" dxfId="0" priority="1" stopIfTrue="1">
      <formula>"len($A:$A)=3"</formula>
    </cfRule>
  </conditionalFormatting>
  <printOptions horizontalCentered="1"/>
  <pageMargins left="0.472222222222222" right="0.393055555555556" top="0.747916666666667" bottom="0.747916666666667" header="0.314583333333333" footer="0.314583333333333"/>
  <pageSetup paperSize="9" scale="57" fitToHeight="0" orientation="portrait" horizontalDpi="600"/>
  <headerFooter alignWithMargins="0">
    <oddFooter>&amp;C&amp;16- &amp;P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4">
    <tabColor rgb="FF00B050"/>
    <pageSetUpPr fitToPage="1"/>
  </sheetPr>
  <dimension ref="A1:G56"/>
  <sheetViews>
    <sheetView showGridLines="0" showZeros="0" view="pageBreakPreview" zoomScale="70" zoomScaleNormal="100" workbookViewId="0">
      <pane ySplit="4" topLeftCell="A5" activePane="bottomLeft" state="frozen"/>
      <selection/>
      <selection pane="bottomLeft" activeCell="D47" sqref="D47"/>
    </sheetView>
  </sheetViews>
  <sheetFormatPr defaultColWidth="9" defaultRowHeight="14.25" outlineLevelCol="6"/>
  <cols>
    <col min="1" max="1" width="55.525" style="262" customWidth="1"/>
    <col min="2" max="4" width="18.7416666666667" style="262" customWidth="1"/>
    <col min="5" max="6" width="14.6416666666667" style="262" customWidth="1"/>
    <col min="7" max="7" width="4.25" style="262" customWidth="1"/>
    <col min="8" max="16384" width="9" style="262"/>
  </cols>
  <sheetData>
    <row r="1" ht="35.25" spans="1:6">
      <c r="A1" s="280" t="s">
        <v>26</v>
      </c>
      <c r="B1" s="280"/>
      <c r="C1" s="280"/>
      <c r="D1" s="280"/>
      <c r="E1" s="280"/>
      <c r="F1" s="280"/>
    </row>
    <row r="2" ht="20.1" customHeight="1" spans="1:6">
      <c r="A2" s="281" t="s">
        <v>25</v>
      </c>
      <c r="B2" s="282"/>
      <c r="C2" s="283"/>
      <c r="D2" s="283"/>
      <c r="E2" s="283"/>
      <c r="F2" s="102" t="s">
        <v>1612</v>
      </c>
    </row>
    <row r="3" ht="20.1" customHeight="1" spans="1:6">
      <c r="A3" s="244" t="s">
        <v>1613</v>
      </c>
      <c r="B3" s="672" t="s">
        <v>106</v>
      </c>
      <c r="C3" s="672" t="s">
        <v>107</v>
      </c>
      <c r="D3" s="672"/>
      <c r="E3" s="674" t="s">
        <v>108</v>
      </c>
      <c r="F3" s="672"/>
    </row>
    <row r="4" ht="37.5" spans="1:7">
      <c r="A4" s="244"/>
      <c r="B4" s="672"/>
      <c r="C4" s="672" t="s">
        <v>109</v>
      </c>
      <c r="D4" s="672" t="s">
        <v>110</v>
      </c>
      <c r="E4" s="674" t="s">
        <v>111</v>
      </c>
      <c r="F4" s="398" t="s">
        <v>112</v>
      </c>
      <c r="G4" s="262" t="s">
        <v>113</v>
      </c>
    </row>
    <row r="5" ht="24" hidden="1" customHeight="1" spans="1:7">
      <c r="A5" s="228" t="s">
        <v>1614</v>
      </c>
      <c r="B5" s="284">
        <f>SUM(B6:B24)</f>
        <v>0</v>
      </c>
      <c r="C5" s="284">
        <f>SUM(C6:C24)</f>
        <v>0</v>
      </c>
      <c r="D5" s="284"/>
      <c r="E5" s="685" t="str">
        <f>IFERROR((D5-B5)/B5,"")</f>
        <v/>
      </c>
      <c r="F5" s="108" t="str">
        <f>IFERROR(D5/C5,"")</f>
        <v/>
      </c>
      <c r="G5" s="289" t="str">
        <f>IF(A5&lt;&gt;"",IF(SUM(B5:D5)&lt;&gt;0,"是","否"),"是")</f>
        <v>否</v>
      </c>
    </row>
    <row r="6" ht="24" hidden="1" customHeight="1" spans="1:7">
      <c r="A6" s="268" t="s">
        <v>1615</v>
      </c>
      <c r="B6" s="285">
        <v>0</v>
      </c>
      <c r="C6" s="286"/>
      <c r="D6" s="286"/>
      <c r="E6" s="685" t="str">
        <f t="shared" ref="E6:E43" si="0">IFERROR((D6-B6)/B6,"")</f>
        <v/>
      </c>
      <c r="F6" s="108" t="str">
        <f t="shared" ref="F6:F43" si="1">IFERROR(D6/C6,"")</f>
        <v/>
      </c>
      <c r="G6" s="289" t="str">
        <f t="shared" ref="G6:G43" si="2">IF(A6&lt;&gt;"",IF(SUM(B6:D6)&lt;&gt;0,"是","否"),"是")</f>
        <v>否</v>
      </c>
    </row>
    <row r="7" ht="24" hidden="1" customHeight="1" spans="1:7">
      <c r="A7" s="268" t="s">
        <v>1616</v>
      </c>
      <c r="B7" s="285">
        <v>0</v>
      </c>
      <c r="C7" s="285"/>
      <c r="D7" s="285"/>
      <c r="E7" s="685" t="str">
        <f t="shared" si="0"/>
        <v/>
      </c>
      <c r="F7" s="108" t="str">
        <f t="shared" si="1"/>
        <v/>
      </c>
      <c r="G7" s="289" t="str">
        <f t="shared" si="2"/>
        <v>否</v>
      </c>
    </row>
    <row r="8" ht="24" hidden="1" customHeight="1" spans="1:7">
      <c r="A8" s="268" t="s">
        <v>1617</v>
      </c>
      <c r="B8" s="285">
        <v>0</v>
      </c>
      <c r="C8" s="286"/>
      <c r="D8" s="286"/>
      <c r="E8" s="685" t="str">
        <f t="shared" si="0"/>
        <v/>
      </c>
      <c r="F8" s="108" t="str">
        <f t="shared" si="1"/>
        <v/>
      </c>
      <c r="G8" s="289" t="str">
        <f t="shared" si="2"/>
        <v>否</v>
      </c>
    </row>
    <row r="9" ht="24" hidden="1" customHeight="1" spans="1:7">
      <c r="A9" s="268" t="s">
        <v>1618</v>
      </c>
      <c r="B9" s="285">
        <v>0</v>
      </c>
      <c r="C9" s="286"/>
      <c r="D9" s="286"/>
      <c r="E9" s="685" t="str">
        <f t="shared" si="0"/>
        <v/>
      </c>
      <c r="F9" s="108" t="str">
        <f t="shared" si="1"/>
        <v/>
      </c>
      <c r="G9" s="289" t="str">
        <f t="shared" si="2"/>
        <v>否</v>
      </c>
    </row>
    <row r="10" ht="24" hidden="1" customHeight="1" spans="1:7">
      <c r="A10" s="268" t="s">
        <v>1619</v>
      </c>
      <c r="B10" s="285">
        <v>0</v>
      </c>
      <c r="C10" s="286"/>
      <c r="D10" s="286"/>
      <c r="E10" s="685" t="str">
        <f t="shared" si="0"/>
        <v/>
      </c>
      <c r="F10" s="108" t="str">
        <f t="shared" si="1"/>
        <v/>
      </c>
      <c r="G10" s="289" t="str">
        <f t="shared" si="2"/>
        <v>否</v>
      </c>
    </row>
    <row r="11" ht="24" hidden="1" customHeight="1" spans="1:7">
      <c r="A11" s="268" t="s">
        <v>1620</v>
      </c>
      <c r="B11" s="285">
        <v>0</v>
      </c>
      <c r="C11" s="286"/>
      <c r="D11" s="286"/>
      <c r="E11" s="685" t="str">
        <f t="shared" si="0"/>
        <v/>
      </c>
      <c r="F11" s="108" t="str">
        <f t="shared" si="1"/>
        <v/>
      </c>
      <c r="G11" s="289" t="str">
        <f t="shared" si="2"/>
        <v>否</v>
      </c>
    </row>
    <row r="12" ht="24" hidden="1" customHeight="1" spans="1:7">
      <c r="A12" s="268" t="s">
        <v>1621</v>
      </c>
      <c r="B12" s="285">
        <v>0</v>
      </c>
      <c r="C12" s="286"/>
      <c r="D12" s="286"/>
      <c r="E12" s="685" t="str">
        <f t="shared" si="0"/>
        <v/>
      </c>
      <c r="F12" s="108" t="str">
        <f t="shared" si="1"/>
        <v/>
      </c>
      <c r="G12" s="289" t="str">
        <f t="shared" si="2"/>
        <v>否</v>
      </c>
    </row>
    <row r="13" ht="24" hidden="1" customHeight="1" spans="1:7">
      <c r="A13" s="268" t="s">
        <v>1622</v>
      </c>
      <c r="B13" s="285">
        <v>0</v>
      </c>
      <c r="C13" s="286"/>
      <c r="D13" s="286"/>
      <c r="E13" s="685" t="str">
        <f t="shared" si="0"/>
        <v/>
      </c>
      <c r="F13" s="108" t="str">
        <f t="shared" si="1"/>
        <v/>
      </c>
      <c r="G13" s="289" t="str">
        <f t="shared" si="2"/>
        <v>否</v>
      </c>
    </row>
    <row r="14" ht="24" hidden="1" customHeight="1" spans="1:7">
      <c r="A14" s="268" t="s">
        <v>1623</v>
      </c>
      <c r="B14" s="285">
        <v>0</v>
      </c>
      <c r="C14" s="286"/>
      <c r="D14" s="286"/>
      <c r="E14" s="685" t="str">
        <f t="shared" si="0"/>
        <v/>
      </c>
      <c r="F14" s="108" t="str">
        <f t="shared" si="1"/>
        <v/>
      </c>
      <c r="G14" s="289" t="str">
        <f t="shared" si="2"/>
        <v>否</v>
      </c>
    </row>
    <row r="15" ht="24" hidden="1" customHeight="1" spans="1:7">
      <c r="A15" s="268" t="s">
        <v>1624</v>
      </c>
      <c r="B15" s="285">
        <v>0</v>
      </c>
      <c r="C15" s="285"/>
      <c r="D15" s="285"/>
      <c r="E15" s="685" t="str">
        <f t="shared" si="0"/>
        <v/>
      </c>
      <c r="F15" s="108" t="str">
        <f t="shared" si="1"/>
        <v/>
      </c>
      <c r="G15" s="289" t="str">
        <f t="shared" si="2"/>
        <v>否</v>
      </c>
    </row>
    <row r="16" ht="24" hidden="1" customHeight="1" spans="1:7">
      <c r="A16" s="268" t="s">
        <v>1625</v>
      </c>
      <c r="B16" s="285">
        <v>0</v>
      </c>
      <c r="C16" s="286"/>
      <c r="D16" s="286"/>
      <c r="E16" s="685" t="str">
        <f t="shared" si="0"/>
        <v/>
      </c>
      <c r="F16" s="108" t="str">
        <f t="shared" si="1"/>
        <v/>
      </c>
      <c r="G16" s="289" t="str">
        <f t="shared" si="2"/>
        <v>否</v>
      </c>
    </row>
    <row r="17" ht="24" hidden="1" customHeight="1" spans="1:7">
      <c r="A17" s="268" t="s">
        <v>1626</v>
      </c>
      <c r="B17" s="285">
        <v>0</v>
      </c>
      <c r="C17" s="235"/>
      <c r="D17" s="235"/>
      <c r="E17" s="685" t="str">
        <f t="shared" si="0"/>
        <v/>
      </c>
      <c r="F17" s="108" t="str">
        <f t="shared" si="1"/>
        <v/>
      </c>
      <c r="G17" s="289" t="str">
        <f t="shared" si="2"/>
        <v>否</v>
      </c>
    </row>
    <row r="18" ht="24" hidden="1" customHeight="1" spans="1:7">
      <c r="A18" s="268" t="s">
        <v>1627</v>
      </c>
      <c r="B18" s="285">
        <v>0</v>
      </c>
      <c r="C18" s="235"/>
      <c r="D18" s="235"/>
      <c r="E18" s="685" t="str">
        <f t="shared" si="0"/>
        <v/>
      </c>
      <c r="F18" s="108" t="str">
        <f t="shared" si="1"/>
        <v/>
      </c>
      <c r="G18" s="289" t="str">
        <f t="shared" si="2"/>
        <v>否</v>
      </c>
    </row>
    <row r="19" ht="24" hidden="1" customHeight="1" spans="1:7">
      <c r="A19" s="268" t="s">
        <v>1628</v>
      </c>
      <c r="B19" s="285">
        <v>0</v>
      </c>
      <c r="C19" s="286"/>
      <c r="D19" s="286"/>
      <c r="E19" s="685" t="str">
        <f t="shared" si="0"/>
        <v/>
      </c>
      <c r="F19" s="108" t="str">
        <f t="shared" si="1"/>
        <v/>
      </c>
      <c r="G19" s="289" t="str">
        <f t="shared" si="2"/>
        <v>否</v>
      </c>
    </row>
    <row r="20" ht="24" hidden="1" customHeight="1" spans="1:7">
      <c r="A20" s="268" t="s">
        <v>1629</v>
      </c>
      <c r="B20" s="285">
        <v>0</v>
      </c>
      <c r="C20" s="235"/>
      <c r="D20" s="235"/>
      <c r="E20" s="685" t="str">
        <f t="shared" si="0"/>
        <v/>
      </c>
      <c r="F20" s="108" t="str">
        <f t="shared" si="1"/>
        <v/>
      </c>
      <c r="G20" s="289" t="str">
        <f t="shared" si="2"/>
        <v>否</v>
      </c>
    </row>
    <row r="21" ht="24" hidden="1" customHeight="1" spans="1:7">
      <c r="A21" s="268" t="s">
        <v>1630</v>
      </c>
      <c r="B21" s="285">
        <v>0</v>
      </c>
      <c r="C21" s="235"/>
      <c r="D21" s="235"/>
      <c r="E21" s="685" t="str">
        <f t="shared" si="0"/>
        <v/>
      </c>
      <c r="F21" s="108" t="str">
        <f t="shared" si="1"/>
        <v/>
      </c>
      <c r="G21" s="289" t="str">
        <f t="shared" si="2"/>
        <v>否</v>
      </c>
    </row>
    <row r="22" ht="24" hidden="1" customHeight="1" spans="1:7">
      <c r="A22" s="268" t="s">
        <v>1631</v>
      </c>
      <c r="B22" s="285">
        <v>0</v>
      </c>
      <c r="C22" s="235"/>
      <c r="D22" s="235"/>
      <c r="E22" s="685" t="str">
        <f t="shared" si="0"/>
        <v/>
      </c>
      <c r="F22" s="108" t="str">
        <f t="shared" si="1"/>
        <v/>
      </c>
      <c r="G22" s="289" t="str">
        <f t="shared" si="2"/>
        <v>否</v>
      </c>
    </row>
    <row r="23" ht="24" hidden="1" customHeight="1" spans="1:7">
      <c r="A23" s="268" t="s">
        <v>1632</v>
      </c>
      <c r="B23" s="285">
        <v>0</v>
      </c>
      <c r="C23" s="286"/>
      <c r="D23" s="286"/>
      <c r="E23" s="685" t="str">
        <f t="shared" si="0"/>
        <v/>
      </c>
      <c r="F23" s="108" t="str">
        <f t="shared" si="1"/>
        <v/>
      </c>
      <c r="G23" s="289" t="str">
        <f t="shared" si="2"/>
        <v>否</v>
      </c>
    </row>
    <row r="24" ht="24" hidden="1" customHeight="1" spans="1:7">
      <c r="A24" s="268" t="s">
        <v>1633</v>
      </c>
      <c r="B24" s="285">
        <v>0</v>
      </c>
      <c r="C24" s="286"/>
      <c r="D24" s="286"/>
      <c r="E24" s="685" t="str">
        <f t="shared" si="0"/>
        <v/>
      </c>
      <c r="F24" s="108" t="str">
        <f t="shared" si="1"/>
        <v/>
      </c>
      <c r="G24" s="289" t="str">
        <f t="shared" si="2"/>
        <v>否</v>
      </c>
    </row>
    <row r="25" ht="24" customHeight="1" spans="1:7">
      <c r="A25" s="228" t="s">
        <v>1634</v>
      </c>
      <c r="B25" s="284">
        <f>SUM(B26:B29)</f>
        <v>6911</v>
      </c>
      <c r="C25" s="284">
        <f>SUM(C26:C29)</f>
        <v>2000</v>
      </c>
      <c r="D25" s="284">
        <f>SUM(D26:D29)</f>
        <v>3042</v>
      </c>
      <c r="E25" s="685">
        <f t="shared" si="0"/>
        <v>-0.559832151642309</v>
      </c>
      <c r="F25" s="108">
        <f t="shared" si="1"/>
        <v>1.521</v>
      </c>
      <c r="G25" s="289" t="str">
        <f t="shared" si="2"/>
        <v>是</v>
      </c>
    </row>
    <row r="26" ht="24" customHeight="1" spans="1:7">
      <c r="A26" s="248" t="s">
        <v>1635</v>
      </c>
      <c r="B26" s="285">
        <v>79</v>
      </c>
      <c r="C26" s="286"/>
      <c r="D26" s="286">
        <v>99</v>
      </c>
      <c r="E26" s="686">
        <f t="shared" si="0"/>
        <v>0.253164556962025</v>
      </c>
      <c r="F26" s="114" t="str">
        <f t="shared" si="1"/>
        <v/>
      </c>
      <c r="G26" s="289" t="str">
        <f t="shared" si="2"/>
        <v>是</v>
      </c>
    </row>
    <row r="27" ht="24" customHeight="1" spans="1:7">
      <c r="A27" s="248" t="s">
        <v>1636</v>
      </c>
      <c r="B27" s="285">
        <v>4921</v>
      </c>
      <c r="C27" s="286">
        <v>2000</v>
      </c>
      <c r="D27" s="286">
        <v>2943</v>
      </c>
      <c r="E27" s="686">
        <f t="shared" si="0"/>
        <v>-0.401950823003455</v>
      </c>
      <c r="F27" s="114">
        <f t="shared" si="1"/>
        <v>1.4715</v>
      </c>
      <c r="G27" s="289" t="str">
        <f t="shared" si="2"/>
        <v>是</v>
      </c>
    </row>
    <row r="28" ht="24" hidden="1" customHeight="1" spans="1:7">
      <c r="A28" s="248" t="s">
        <v>1637</v>
      </c>
      <c r="B28" s="285">
        <v>0</v>
      </c>
      <c r="C28" s="286"/>
      <c r="D28" s="286"/>
      <c r="E28" s="685" t="str">
        <f t="shared" si="0"/>
        <v/>
      </c>
      <c r="F28" s="108" t="str">
        <f t="shared" si="1"/>
        <v/>
      </c>
      <c r="G28" s="289" t="str">
        <f t="shared" si="2"/>
        <v>否</v>
      </c>
    </row>
    <row r="29" ht="24" customHeight="1" spans="1:7">
      <c r="A29" s="248" t="s">
        <v>1638</v>
      </c>
      <c r="B29" s="285">
        <v>1911</v>
      </c>
      <c r="C29" s="286"/>
      <c r="D29" s="286"/>
      <c r="E29" s="686">
        <f t="shared" si="0"/>
        <v>-1</v>
      </c>
      <c r="F29" s="114" t="str">
        <f t="shared" si="1"/>
        <v/>
      </c>
      <c r="G29" s="289" t="str">
        <f t="shared" si="2"/>
        <v>是</v>
      </c>
    </row>
    <row r="30" ht="24" hidden="1" customHeight="1" spans="1:7">
      <c r="A30" s="228" t="s">
        <v>1639</v>
      </c>
      <c r="B30" s="285">
        <v>0</v>
      </c>
      <c r="C30" s="284">
        <f>SUM(C31:C33)</f>
        <v>0</v>
      </c>
      <c r="D30" s="284"/>
      <c r="E30" s="685" t="str">
        <f t="shared" si="0"/>
        <v/>
      </c>
      <c r="F30" s="108" t="str">
        <f t="shared" si="1"/>
        <v/>
      </c>
      <c r="G30" s="289" t="str">
        <f t="shared" si="2"/>
        <v>否</v>
      </c>
    </row>
    <row r="31" ht="24" hidden="1" customHeight="1" spans="1:7">
      <c r="A31" s="248" t="s">
        <v>1640</v>
      </c>
      <c r="B31" s="285">
        <v>0</v>
      </c>
      <c r="C31" s="286"/>
      <c r="D31" s="286"/>
      <c r="E31" s="685" t="str">
        <f t="shared" si="0"/>
        <v/>
      </c>
      <c r="F31" s="108" t="str">
        <f t="shared" si="1"/>
        <v/>
      </c>
      <c r="G31" s="289" t="str">
        <f t="shared" si="2"/>
        <v>否</v>
      </c>
    </row>
    <row r="32" ht="24" hidden="1" customHeight="1" spans="1:7">
      <c r="A32" s="248" t="s">
        <v>1641</v>
      </c>
      <c r="B32" s="285">
        <v>0</v>
      </c>
      <c r="C32" s="286"/>
      <c r="D32" s="286"/>
      <c r="E32" s="685" t="str">
        <f t="shared" si="0"/>
        <v/>
      </c>
      <c r="F32" s="108" t="str">
        <f t="shared" si="1"/>
        <v/>
      </c>
      <c r="G32" s="289" t="str">
        <f t="shared" si="2"/>
        <v>否</v>
      </c>
    </row>
    <row r="33" ht="24" hidden="1" customHeight="1" spans="1:7">
      <c r="A33" s="248" t="s">
        <v>1642</v>
      </c>
      <c r="B33" s="285">
        <v>0</v>
      </c>
      <c r="C33" s="286"/>
      <c r="D33" s="286"/>
      <c r="E33" s="685" t="str">
        <f t="shared" si="0"/>
        <v/>
      </c>
      <c r="F33" s="108" t="str">
        <f t="shared" si="1"/>
        <v/>
      </c>
      <c r="G33" s="289" t="str">
        <f t="shared" si="2"/>
        <v>否</v>
      </c>
    </row>
    <row r="34" ht="24" hidden="1" customHeight="1" spans="1:7">
      <c r="A34" s="228" t="s">
        <v>1643</v>
      </c>
      <c r="B34" s="285">
        <v>0</v>
      </c>
      <c r="C34" s="284">
        <f>SUM(C35:C37)</f>
        <v>0</v>
      </c>
      <c r="D34" s="284"/>
      <c r="E34" s="685" t="str">
        <f t="shared" si="0"/>
        <v/>
      </c>
      <c r="F34" s="108" t="str">
        <f t="shared" si="1"/>
        <v/>
      </c>
      <c r="G34" s="289" t="str">
        <f t="shared" si="2"/>
        <v>否</v>
      </c>
    </row>
    <row r="35" ht="24" hidden="1" customHeight="1" spans="1:7">
      <c r="A35" s="248" t="s">
        <v>1644</v>
      </c>
      <c r="B35" s="285">
        <v>0</v>
      </c>
      <c r="C35" s="287"/>
      <c r="D35" s="287"/>
      <c r="E35" s="685" t="str">
        <f t="shared" si="0"/>
        <v/>
      </c>
      <c r="F35" s="108" t="str">
        <f t="shared" si="1"/>
        <v/>
      </c>
      <c r="G35" s="289" t="str">
        <f t="shared" si="2"/>
        <v>否</v>
      </c>
    </row>
    <row r="36" ht="24" hidden="1" customHeight="1" spans="1:7">
      <c r="A36" s="248" t="s">
        <v>1645</v>
      </c>
      <c r="B36" s="285">
        <v>0</v>
      </c>
      <c r="C36" s="287"/>
      <c r="D36" s="287"/>
      <c r="E36" s="685" t="str">
        <f t="shared" si="0"/>
        <v/>
      </c>
      <c r="F36" s="108" t="str">
        <f t="shared" si="1"/>
        <v/>
      </c>
      <c r="G36" s="289" t="str">
        <f t="shared" si="2"/>
        <v>否</v>
      </c>
    </row>
    <row r="37" ht="24" hidden="1" customHeight="1" spans="1:7">
      <c r="A37" s="248" t="s">
        <v>1646</v>
      </c>
      <c r="B37" s="285">
        <v>0</v>
      </c>
      <c r="C37" s="235"/>
      <c r="D37" s="235"/>
      <c r="E37" s="685" t="str">
        <f t="shared" si="0"/>
        <v/>
      </c>
      <c r="F37" s="108" t="str">
        <f t="shared" si="1"/>
        <v/>
      </c>
      <c r="G37" s="289" t="str">
        <f t="shared" si="2"/>
        <v>否</v>
      </c>
    </row>
    <row r="38" ht="24" hidden="1" customHeight="1" spans="1:7">
      <c r="A38" s="228" t="s">
        <v>1647</v>
      </c>
      <c r="B38" s="285">
        <v>0</v>
      </c>
      <c r="C38" s="288"/>
      <c r="D38" s="288"/>
      <c r="E38" s="685" t="str">
        <f t="shared" si="0"/>
        <v/>
      </c>
      <c r="F38" s="108" t="str">
        <f t="shared" si="1"/>
        <v/>
      </c>
      <c r="G38" s="289" t="str">
        <f t="shared" si="2"/>
        <v>否</v>
      </c>
    </row>
    <row r="39" ht="24" customHeight="1" spans="1:7">
      <c r="A39" s="255" t="s">
        <v>1648</v>
      </c>
      <c r="B39" s="284">
        <f>SUM(B5,B25,B30,B34,B38)</f>
        <v>6911</v>
      </c>
      <c r="C39" s="284">
        <f>SUM(C5,C25,C30,C34,C38)</f>
        <v>2000</v>
      </c>
      <c r="D39" s="284">
        <f>SUM(D5,D25,D30,D34,D38)</f>
        <v>3042</v>
      </c>
      <c r="E39" s="685">
        <f t="shared" si="0"/>
        <v>-0.559832151642309</v>
      </c>
      <c r="F39" s="108">
        <f t="shared" si="1"/>
        <v>1.521</v>
      </c>
      <c r="G39" s="289" t="str">
        <f t="shared" si="2"/>
        <v>是</v>
      </c>
    </row>
    <row r="40" ht="24" customHeight="1" spans="1:7">
      <c r="A40" s="256" t="s">
        <v>1649</v>
      </c>
      <c r="B40" s="284">
        <v>47</v>
      </c>
      <c r="C40" s="288">
        <v>47</v>
      </c>
      <c r="D40" s="288">
        <v>47</v>
      </c>
      <c r="E40" s="685">
        <f t="shared" si="0"/>
        <v>0</v>
      </c>
      <c r="F40" s="108">
        <f t="shared" si="1"/>
        <v>1</v>
      </c>
      <c r="G40" s="289" t="str">
        <f t="shared" si="2"/>
        <v>是</v>
      </c>
    </row>
    <row r="41" ht="24" customHeight="1" spans="1:7">
      <c r="A41" s="256" t="s">
        <v>1650</v>
      </c>
      <c r="B41" s="284">
        <v>79</v>
      </c>
      <c r="C41" s="288">
        <v>61</v>
      </c>
      <c r="D41" s="288">
        <v>61</v>
      </c>
      <c r="E41" s="685">
        <f t="shared" si="0"/>
        <v>-0.227848101265823</v>
      </c>
      <c r="F41" s="108">
        <f t="shared" si="1"/>
        <v>1</v>
      </c>
      <c r="G41" s="289" t="str">
        <f t="shared" si="2"/>
        <v>是</v>
      </c>
    </row>
    <row r="42" ht="24" hidden="1" customHeight="1" spans="1:7">
      <c r="A42" s="256" t="s">
        <v>1651</v>
      </c>
      <c r="B42" s="285">
        <v>0</v>
      </c>
      <c r="C42" s="288"/>
      <c r="D42" s="288"/>
      <c r="E42" s="685" t="str">
        <f t="shared" si="0"/>
        <v/>
      </c>
      <c r="F42" s="108" t="str">
        <f t="shared" si="1"/>
        <v/>
      </c>
      <c r="G42" s="289" t="str">
        <f t="shared" si="2"/>
        <v>否</v>
      </c>
    </row>
    <row r="43" ht="18.75" spans="1:7">
      <c r="A43" s="255" t="s">
        <v>174</v>
      </c>
      <c r="B43" s="284">
        <f>SUM(B39:B42)</f>
        <v>7037</v>
      </c>
      <c r="C43" s="284">
        <f>SUM(C39:C42)</f>
        <v>2108</v>
      </c>
      <c r="D43" s="284">
        <f>SUM(D39:D42)</f>
        <v>3150</v>
      </c>
      <c r="E43" s="685">
        <f t="shared" si="0"/>
        <v>-0.552366065084553</v>
      </c>
      <c r="F43" s="108">
        <f t="shared" si="1"/>
        <v>1.49430740037951</v>
      </c>
      <c r="G43" s="289" t="str">
        <f t="shared" si="2"/>
        <v>是</v>
      </c>
    </row>
    <row r="44" spans="2:2">
      <c r="B44" s="275"/>
    </row>
    <row r="45" spans="2:5">
      <c r="B45" s="275"/>
      <c r="C45" s="275"/>
      <c r="D45" s="275"/>
      <c r="E45" s="275"/>
    </row>
    <row r="46" spans="2:2">
      <c r="B46" s="275"/>
    </row>
    <row r="47" spans="2:5">
      <c r="B47" s="275"/>
      <c r="C47" s="275"/>
      <c r="D47" s="275"/>
      <c r="E47" s="275"/>
    </row>
    <row r="48" spans="2:2">
      <c r="B48" s="275"/>
    </row>
    <row r="49" spans="2:2">
      <c r="B49" s="275"/>
    </row>
    <row r="50" spans="2:5">
      <c r="B50" s="275"/>
      <c r="C50" s="275"/>
      <c r="D50" s="275"/>
      <c r="E50" s="275"/>
    </row>
    <row r="51" spans="2:2">
      <c r="B51" s="275"/>
    </row>
    <row r="52" spans="2:2">
      <c r="B52" s="275"/>
    </row>
    <row r="53" spans="2:2">
      <c r="B53" s="275"/>
    </row>
    <row r="54" spans="2:2">
      <c r="B54" s="275"/>
    </row>
    <row r="55" spans="2:5">
      <c r="B55" s="275"/>
      <c r="C55" s="275"/>
      <c r="D55" s="275"/>
      <c r="E55" s="275"/>
    </row>
    <row r="56" spans="2:2">
      <c r="B56" s="275"/>
    </row>
  </sheetData>
  <autoFilter ref="A4:G43">
    <filterColumn colId="6">
      <customFilters>
        <customFilter operator="equal" val="是"/>
      </customFilters>
    </filterColumn>
    <extLst/>
  </autoFilter>
  <mergeCells count="5">
    <mergeCell ref="A1:F1"/>
    <mergeCell ref="C3:D3"/>
    <mergeCell ref="E3:F3"/>
    <mergeCell ref="A3:A4"/>
    <mergeCell ref="B3:B4"/>
  </mergeCells>
  <conditionalFormatting sqref="G4:G43">
    <cfRule type="cellIs" dxfId="3" priority="2" stopIfTrue="1" operator="lessThanOrEqual">
      <formula>-1</formula>
    </cfRule>
  </conditionalFormatting>
  <conditionalFormatting sqref="G5:G43">
    <cfRule type="cellIs" dxfId="3" priority="1" stopIfTrue="1" operator="lessThanOrEqual">
      <formula>-1</formula>
    </cfRule>
  </conditionalFormatting>
  <printOptions horizontalCentered="1"/>
  <pageMargins left="0.472222222222222" right="0.393055555555556" top="0.354166666666667" bottom="0.354166666666667" header="0.118055555555556" footer="0.314583333333333"/>
  <pageSetup paperSize="9" scale="62" orientation="portrait" horizontalDpi="600"/>
  <headerFooter alignWithMargins="0">
    <oddFooter>&amp;C&amp;16- &amp;P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5">
    <tabColor rgb="FF00B050"/>
    <pageSetUpPr fitToPage="1"/>
  </sheetPr>
  <dimension ref="A1:G42"/>
  <sheetViews>
    <sheetView showGridLines="0" showZeros="0" view="pageBreakPreview" zoomScale="70" zoomScaleNormal="100" workbookViewId="0">
      <pane ySplit="4" topLeftCell="A5" activePane="bottomLeft" state="frozen"/>
      <selection/>
      <selection pane="bottomLeft" activeCell="B23" sqref="B23"/>
    </sheetView>
  </sheetViews>
  <sheetFormatPr defaultColWidth="9" defaultRowHeight="14.25" outlineLevelCol="6"/>
  <cols>
    <col min="1" max="1" width="50.75" style="239" customWidth="1"/>
    <col min="2" max="2" width="18.925" style="239" customWidth="1"/>
    <col min="3" max="4" width="18.925" style="262" customWidth="1"/>
    <col min="5" max="5" width="14.6333333333333" style="262" customWidth="1"/>
    <col min="6" max="6" width="14.6333333333333" style="239" customWidth="1"/>
    <col min="7" max="7" width="4.75" style="239" customWidth="1"/>
    <col min="8" max="16384" width="9" style="239"/>
  </cols>
  <sheetData>
    <row r="1" ht="45" customHeight="1" spans="1:7">
      <c r="A1" s="263" t="s">
        <v>28</v>
      </c>
      <c r="B1" s="263"/>
      <c r="C1" s="263"/>
      <c r="D1" s="263"/>
      <c r="E1" s="263"/>
      <c r="F1" s="263"/>
      <c r="G1" s="276"/>
    </row>
    <row r="2" ht="20.1" customHeight="1" spans="1:7">
      <c r="A2" s="264" t="s">
        <v>27</v>
      </c>
      <c r="B2" s="264"/>
      <c r="C2" s="264"/>
      <c r="D2" s="264"/>
      <c r="E2" s="264"/>
      <c r="F2" s="265" t="s">
        <v>103</v>
      </c>
      <c r="G2" s="277"/>
    </row>
    <row r="3" ht="20.1" customHeight="1" spans="1:7">
      <c r="A3" s="681" t="s">
        <v>105</v>
      </c>
      <c r="B3" s="671" t="s">
        <v>106</v>
      </c>
      <c r="C3" s="672" t="s">
        <v>107</v>
      </c>
      <c r="D3" s="672"/>
      <c r="E3" s="674" t="s">
        <v>108</v>
      </c>
      <c r="F3" s="672"/>
      <c r="G3" s="682"/>
    </row>
    <row r="4" ht="45" customHeight="1" spans="1:7">
      <c r="A4" s="266"/>
      <c r="B4" s="671"/>
      <c r="C4" s="672" t="s">
        <v>109</v>
      </c>
      <c r="D4" s="672" t="s">
        <v>110</v>
      </c>
      <c r="E4" s="674" t="s">
        <v>111</v>
      </c>
      <c r="F4" s="398" t="s">
        <v>112</v>
      </c>
      <c r="G4" s="278" t="s">
        <v>113</v>
      </c>
    </row>
    <row r="5" ht="35.1" customHeight="1" spans="1:7">
      <c r="A5" s="228" t="s">
        <v>1652</v>
      </c>
      <c r="B5" s="221">
        <f>SUM(B6:B11)</f>
        <v>916</v>
      </c>
      <c r="C5" s="221">
        <f>SUM(C6:C11)</f>
        <v>380</v>
      </c>
      <c r="D5" s="221">
        <f>SUM(D6:D11)</f>
        <v>271</v>
      </c>
      <c r="E5" s="683">
        <f>IFERROR((D5-B5)/B5,"")</f>
        <v>-0.70414847161572</v>
      </c>
      <c r="F5" s="108">
        <f>IFERROR(D5/C5,"")</f>
        <v>0.713157894736842</v>
      </c>
      <c r="G5" s="279" t="str">
        <f>IF(A5&lt;&gt;"",IF(SUM(B5:D5)&lt;&gt;0,"是","否"),"是")</f>
        <v>是</v>
      </c>
    </row>
    <row r="6" ht="35.1" hidden="1" customHeight="1" spans="1:7">
      <c r="A6" s="230" t="s">
        <v>1653</v>
      </c>
      <c r="B6" s="267">
        <v>0</v>
      </c>
      <c r="C6" s="267"/>
      <c r="D6" s="267"/>
      <c r="E6" s="684" t="str">
        <f t="shared" ref="E6:E29" si="0">IFERROR((D6-B6)/B6,"")</f>
        <v/>
      </c>
      <c r="F6" s="114" t="str">
        <f t="shared" ref="F6:F29" si="1">IFERROR(D6/C6,"")</f>
        <v/>
      </c>
      <c r="G6" s="279" t="str">
        <f t="shared" ref="G6:G29" si="2">IF(A6&lt;&gt;"",IF(SUM(B6:D6)&lt;&gt;0,"是","否"),"是")</f>
        <v>否</v>
      </c>
    </row>
    <row r="7" ht="35.1" hidden="1" customHeight="1" spans="1:7">
      <c r="A7" s="230" t="s">
        <v>1654</v>
      </c>
      <c r="B7" s="267">
        <v>0</v>
      </c>
      <c r="C7" s="267"/>
      <c r="D7" s="267"/>
      <c r="E7" s="684" t="str">
        <f t="shared" si="0"/>
        <v/>
      </c>
      <c r="F7" s="114" t="str">
        <f t="shared" si="1"/>
        <v/>
      </c>
      <c r="G7" s="279" t="str">
        <f t="shared" si="2"/>
        <v>否</v>
      </c>
    </row>
    <row r="8" ht="35.1" customHeight="1" spans="1:7">
      <c r="A8" s="230" t="s">
        <v>1655</v>
      </c>
      <c r="B8" s="267">
        <v>56</v>
      </c>
      <c r="C8" s="267">
        <v>108</v>
      </c>
      <c r="D8" s="267">
        <v>21</v>
      </c>
      <c r="E8" s="684">
        <f t="shared" si="0"/>
        <v>-0.625</v>
      </c>
      <c r="F8" s="114">
        <f t="shared" si="1"/>
        <v>0.194444444444444</v>
      </c>
      <c r="G8" s="279" t="str">
        <f t="shared" si="2"/>
        <v>是</v>
      </c>
    </row>
    <row r="9" ht="35.1" hidden="1" customHeight="1" spans="1:7">
      <c r="A9" s="230" t="s">
        <v>1656</v>
      </c>
      <c r="B9" s="267">
        <v>0</v>
      </c>
      <c r="C9" s="267"/>
      <c r="D9" s="267"/>
      <c r="E9" s="684" t="str">
        <f t="shared" si="0"/>
        <v/>
      </c>
      <c r="F9" s="114" t="str">
        <f t="shared" si="1"/>
        <v/>
      </c>
      <c r="G9" s="279" t="str">
        <f t="shared" si="2"/>
        <v>否</v>
      </c>
    </row>
    <row r="10" ht="35.1" hidden="1" customHeight="1" spans="1:7">
      <c r="A10" s="230" t="s">
        <v>1657</v>
      </c>
      <c r="B10" s="267">
        <v>0</v>
      </c>
      <c r="C10" s="267"/>
      <c r="D10" s="267"/>
      <c r="E10" s="684" t="str">
        <f t="shared" si="0"/>
        <v/>
      </c>
      <c r="F10" s="114" t="str">
        <f t="shared" si="1"/>
        <v/>
      </c>
      <c r="G10" s="279" t="str">
        <f t="shared" si="2"/>
        <v>否</v>
      </c>
    </row>
    <row r="11" ht="35.1" customHeight="1" spans="1:7">
      <c r="A11" s="230" t="s">
        <v>1658</v>
      </c>
      <c r="B11" s="267">
        <v>860</v>
      </c>
      <c r="C11" s="267">
        <v>272</v>
      </c>
      <c r="D11" s="267">
        <v>250</v>
      </c>
      <c r="E11" s="684">
        <f t="shared" si="0"/>
        <v>-0.709302325581395</v>
      </c>
      <c r="F11" s="114">
        <f t="shared" si="1"/>
        <v>0.919117647058823</v>
      </c>
      <c r="G11" s="279" t="str">
        <f t="shared" si="2"/>
        <v>是</v>
      </c>
    </row>
    <row r="12" ht="35.1" customHeight="1" spans="1:7">
      <c r="A12" s="228" t="s">
        <v>1659</v>
      </c>
      <c r="B12" s="221">
        <f>SUM(B13:B17)</f>
        <v>405</v>
      </c>
      <c r="C12" s="221">
        <f>SUM(C13:C17)</f>
        <v>0</v>
      </c>
      <c r="D12" s="221">
        <f>SUM(D13:D17)</f>
        <v>0</v>
      </c>
      <c r="E12" s="683">
        <f t="shared" si="0"/>
        <v>-1</v>
      </c>
      <c r="F12" s="108" t="str">
        <f t="shared" si="1"/>
        <v/>
      </c>
      <c r="G12" s="279" t="str">
        <f t="shared" si="2"/>
        <v>是</v>
      </c>
    </row>
    <row r="13" ht="35.1" hidden="1" customHeight="1" spans="1:7">
      <c r="A13" s="230" t="s">
        <v>1660</v>
      </c>
      <c r="B13" s="267">
        <v>0</v>
      </c>
      <c r="C13" s="267"/>
      <c r="D13" s="267"/>
      <c r="E13" s="684" t="str">
        <f t="shared" si="0"/>
        <v/>
      </c>
      <c r="F13" s="114" t="str">
        <f t="shared" si="1"/>
        <v/>
      </c>
      <c r="G13" s="279" t="str">
        <f t="shared" si="2"/>
        <v>否</v>
      </c>
    </row>
    <row r="14" ht="35.1" hidden="1" customHeight="1" spans="1:7">
      <c r="A14" s="230" t="s">
        <v>1661</v>
      </c>
      <c r="B14" s="267">
        <v>0</v>
      </c>
      <c r="C14" s="267"/>
      <c r="D14" s="267"/>
      <c r="E14" s="684" t="str">
        <f t="shared" si="0"/>
        <v/>
      </c>
      <c r="F14" s="114" t="str">
        <f t="shared" si="1"/>
        <v/>
      </c>
      <c r="G14" s="279" t="str">
        <f t="shared" si="2"/>
        <v>否</v>
      </c>
    </row>
    <row r="15" ht="35.1" hidden="1" customHeight="1" spans="1:7">
      <c r="A15" s="230" t="s">
        <v>1662</v>
      </c>
      <c r="B15" s="267">
        <v>0</v>
      </c>
      <c r="C15" s="267"/>
      <c r="D15" s="267"/>
      <c r="E15" s="684" t="str">
        <f t="shared" si="0"/>
        <v/>
      </c>
      <c r="F15" s="114" t="str">
        <f t="shared" si="1"/>
        <v/>
      </c>
      <c r="G15" s="279" t="str">
        <f t="shared" si="2"/>
        <v>否</v>
      </c>
    </row>
    <row r="16" ht="35.1" hidden="1" customHeight="1" spans="1:7">
      <c r="A16" s="230" t="s">
        <v>1663</v>
      </c>
      <c r="B16" s="267">
        <v>0</v>
      </c>
      <c r="C16" s="267"/>
      <c r="D16" s="267"/>
      <c r="E16" s="684" t="str">
        <f t="shared" si="0"/>
        <v/>
      </c>
      <c r="F16" s="114" t="str">
        <f t="shared" si="1"/>
        <v/>
      </c>
      <c r="G16" s="279" t="str">
        <f t="shared" si="2"/>
        <v>否</v>
      </c>
    </row>
    <row r="17" ht="35.1" customHeight="1" spans="1:7">
      <c r="A17" s="230" t="s">
        <v>1664</v>
      </c>
      <c r="B17" s="267">
        <v>405</v>
      </c>
      <c r="C17" s="267"/>
      <c r="D17" s="267"/>
      <c r="E17" s="684">
        <f t="shared" si="0"/>
        <v>-1</v>
      </c>
      <c r="F17" s="114" t="str">
        <f t="shared" si="1"/>
        <v/>
      </c>
      <c r="G17" s="279" t="str">
        <f t="shared" si="2"/>
        <v>是</v>
      </c>
    </row>
    <row r="18" s="261" customFormat="1" ht="35.1" hidden="1" customHeight="1" spans="1:7">
      <c r="A18" s="228" t="s">
        <v>1665</v>
      </c>
      <c r="B18" s="221">
        <f t="shared" ref="B18:B22" si="3">SUM(B19:B19)</f>
        <v>0</v>
      </c>
      <c r="C18" s="221">
        <f t="shared" ref="C18:C22" si="4">SUM(C19:C19)</f>
        <v>0</v>
      </c>
      <c r="D18" s="221"/>
      <c r="E18" s="683" t="str">
        <f t="shared" si="0"/>
        <v/>
      </c>
      <c r="F18" s="108" t="str">
        <f t="shared" si="1"/>
        <v/>
      </c>
      <c r="G18" s="279" t="str">
        <f t="shared" si="2"/>
        <v>否</v>
      </c>
    </row>
    <row r="19" ht="35.1" hidden="1" customHeight="1" spans="1:7">
      <c r="A19" s="230" t="s">
        <v>1666</v>
      </c>
      <c r="B19" s="267">
        <v>0</v>
      </c>
      <c r="C19" s="267"/>
      <c r="D19" s="267"/>
      <c r="E19" s="684" t="str">
        <f t="shared" si="0"/>
        <v/>
      </c>
      <c r="F19" s="114" t="str">
        <f t="shared" si="1"/>
        <v/>
      </c>
      <c r="G19" s="279" t="str">
        <f t="shared" si="2"/>
        <v>否</v>
      </c>
    </row>
    <row r="20" ht="35.1" hidden="1" customHeight="1" spans="1:7">
      <c r="A20" s="228" t="s">
        <v>1667</v>
      </c>
      <c r="B20" s="221">
        <f t="shared" si="3"/>
        <v>0</v>
      </c>
      <c r="C20" s="221">
        <f t="shared" si="4"/>
        <v>0</v>
      </c>
      <c r="D20" s="221"/>
      <c r="E20" s="683" t="str">
        <f t="shared" si="0"/>
        <v/>
      </c>
      <c r="F20" s="108" t="str">
        <f t="shared" si="1"/>
        <v/>
      </c>
      <c r="G20" s="279" t="str">
        <f t="shared" si="2"/>
        <v>否</v>
      </c>
    </row>
    <row r="21" ht="35.1" hidden="1" customHeight="1" spans="1:7">
      <c r="A21" s="268" t="s">
        <v>1668</v>
      </c>
      <c r="B21" s="267">
        <v>0</v>
      </c>
      <c r="C21" s="267"/>
      <c r="D21" s="267"/>
      <c r="E21" s="684" t="str">
        <f t="shared" si="0"/>
        <v/>
      </c>
      <c r="F21" s="114" t="str">
        <f t="shared" si="1"/>
        <v/>
      </c>
      <c r="G21" s="279" t="str">
        <f t="shared" si="2"/>
        <v>否</v>
      </c>
    </row>
    <row r="22" ht="35.1" customHeight="1" spans="1:7">
      <c r="A22" s="228" t="s">
        <v>1669</v>
      </c>
      <c r="B22" s="221">
        <f t="shared" si="3"/>
        <v>0</v>
      </c>
      <c r="C22" s="221">
        <f t="shared" si="4"/>
        <v>167</v>
      </c>
      <c r="D22" s="221">
        <f>SUM(D23:D23)</f>
        <v>103</v>
      </c>
      <c r="E22" s="683" t="str">
        <f t="shared" si="0"/>
        <v/>
      </c>
      <c r="F22" s="108">
        <f t="shared" si="1"/>
        <v>0.616766467065868</v>
      </c>
      <c r="G22" s="279" t="str">
        <f t="shared" si="2"/>
        <v>是</v>
      </c>
    </row>
    <row r="23" ht="35.1" customHeight="1" spans="1:7">
      <c r="A23" s="230" t="s">
        <v>1670</v>
      </c>
      <c r="B23" s="267">
        <v>0</v>
      </c>
      <c r="C23" s="267">
        <v>167</v>
      </c>
      <c r="D23" s="267">
        <v>103</v>
      </c>
      <c r="E23" s="684" t="str">
        <f t="shared" si="0"/>
        <v/>
      </c>
      <c r="F23" s="114">
        <f t="shared" si="1"/>
        <v>0.616766467065868</v>
      </c>
      <c r="G23" s="279" t="str">
        <f t="shared" si="2"/>
        <v>是</v>
      </c>
    </row>
    <row r="24" ht="35.1" customHeight="1" spans="1:7">
      <c r="A24" s="255" t="s">
        <v>1671</v>
      </c>
      <c r="B24" s="269">
        <f>SUM(B5,B12,B18,B20,B22)</f>
        <v>1321</v>
      </c>
      <c r="C24" s="269">
        <f>SUM(C5,C12,C18,C20,C22)</f>
        <v>547</v>
      </c>
      <c r="D24" s="269">
        <f>SUM(D5,D12,D18,D20,D22)</f>
        <v>374</v>
      </c>
      <c r="E24" s="683">
        <f t="shared" si="0"/>
        <v>-0.716881150643452</v>
      </c>
      <c r="F24" s="108">
        <f t="shared" si="1"/>
        <v>0.683729433272395</v>
      </c>
      <c r="G24" s="279" t="str">
        <f t="shared" si="2"/>
        <v>是</v>
      </c>
    </row>
    <row r="25" ht="35.1" customHeight="1" spans="1:7">
      <c r="A25" s="270" t="s">
        <v>201</v>
      </c>
      <c r="B25" s="269">
        <f>SUM(B26:B27)</f>
        <v>5655</v>
      </c>
      <c r="C25" s="269">
        <f>SUM(C26:C27)</f>
        <v>1561</v>
      </c>
      <c r="D25" s="269">
        <f>SUM(D26:D27)</f>
        <v>2716</v>
      </c>
      <c r="E25" s="683">
        <f t="shared" si="0"/>
        <v>-0.519717064544651</v>
      </c>
      <c r="F25" s="108">
        <f t="shared" si="1"/>
        <v>1.73991031390135</v>
      </c>
      <c r="G25" s="279" t="str">
        <f t="shared" si="2"/>
        <v>是</v>
      </c>
    </row>
    <row r="26" ht="35.1" hidden="1" customHeight="1" spans="1:7">
      <c r="A26" s="271" t="s">
        <v>1672</v>
      </c>
      <c r="B26" s="267">
        <v>0</v>
      </c>
      <c r="C26" s="267"/>
      <c r="D26" s="267"/>
      <c r="E26" s="684" t="str">
        <f t="shared" si="0"/>
        <v/>
      </c>
      <c r="F26" s="114" t="str">
        <f t="shared" si="1"/>
        <v/>
      </c>
      <c r="G26" s="279" t="str">
        <f t="shared" si="2"/>
        <v>否</v>
      </c>
    </row>
    <row r="27" ht="35.1" customHeight="1" spans="1:7">
      <c r="A27" s="272" t="s">
        <v>1673</v>
      </c>
      <c r="B27" s="267">
        <v>5655</v>
      </c>
      <c r="C27" s="231">
        <v>1561</v>
      </c>
      <c r="D27" s="231">
        <v>2716</v>
      </c>
      <c r="E27" s="684">
        <f t="shared" si="0"/>
        <v>-0.519717064544651</v>
      </c>
      <c r="F27" s="114">
        <f t="shared" si="1"/>
        <v>1.73991031390135</v>
      </c>
      <c r="G27" s="279" t="str">
        <f t="shared" si="2"/>
        <v>是</v>
      </c>
    </row>
    <row r="28" ht="35.1" customHeight="1" spans="1:7">
      <c r="A28" s="273" t="s">
        <v>1674</v>
      </c>
      <c r="B28" s="269">
        <v>61</v>
      </c>
      <c r="C28" s="229"/>
      <c r="D28" s="229">
        <v>60</v>
      </c>
      <c r="E28" s="683">
        <f t="shared" si="0"/>
        <v>-0.0163934426229508</v>
      </c>
      <c r="F28" s="108" t="str">
        <f t="shared" si="1"/>
        <v/>
      </c>
      <c r="G28" s="279" t="str">
        <f t="shared" si="2"/>
        <v>是</v>
      </c>
    </row>
    <row r="29" ht="35.1" customHeight="1" spans="1:7">
      <c r="A29" s="232" t="s">
        <v>209</v>
      </c>
      <c r="B29" s="274">
        <f>SUM(B24:B25,B28)</f>
        <v>7037</v>
      </c>
      <c r="C29" s="274">
        <f>SUM(C24:C25,C28)</f>
        <v>2108</v>
      </c>
      <c r="D29" s="274">
        <f>SUM(D24:D25,D28)</f>
        <v>3150</v>
      </c>
      <c r="E29" s="683">
        <f t="shared" si="0"/>
        <v>-0.552366065084553</v>
      </c>
      <c r="F29" s="108">
        <f t="shared" si="1"/>
        <v>1.49430740037951</v>
      </c>
      <c r="G29" s="279" t="str">
        <f t="shared" si="2"/>
        <v>是</v>
      </c>
    </row>
    <row r="30" spans="2:2">
      <c r="B30" s="259"/>
    </row>
    <row r="31" spans="2:5">
      <c r="B31" s="259"/>
      <c r="C31" s="275"/>
      <c r="D31" s="275"/>
      <c r="E31" s="275"/>
    </row>
    <row r="32" spans="2:2">
      <c r="B32" s="259"/>
    </row>
    <row r="33" spans="2:5">
      <c r="B33" s="259"/>
      <c r="C33" s="275"/>
      <c r="D33" s="275"/>
      <c r="E33" s="275"/>
    </row>
    <row r="34" spans="2:2">
      <c r="B34" s="259"/>
    </row>
    <row r="35" spans="2:2">
      <c r="B35" s="259"/>
    </row>
    <row r="36" spans="2:5">
      <c r="B36" s="259"/>
      <c r="C36" s="275"/>
      <c r="D36" s="275"/>
      <c r="E36" s="275"/>
    </row>
    <row r="37" spans="2:2">
      <c r="B37" s="259"/>
    </row>
    <row r="38" spans="2:2">
      <c r="B38" s="259"/>
    </row>
    <row r="39" spans="2:2">
      <c r="B39" s="259"/>
    </row>
    <row r="40" spans="2:2">
      <c r="B40" s="259"/>
    </row>
    <row r="41" spans="2:5">
      <c r="B41" s="259"/>
      <c r="C41" s="275"/>
      <c r="D41" s="275"/>
      <c r="E41" s="275"/>
    </row>
    <row r="42" spans="2:2">
      <c r="B42" s="259"/>
    </row>
  </sheetData>
  <autoFilter ref="A4:G29">
    <filterColumn colId="6">
      <customFilters>
        <customFilter operator="equal" val="是"/>
      </customFilters>
    </filterColumn>
    <extLst/>
  </autoFilter>
  <mergeCells count="5">
    <mergeCell ref="A1:F1"/>
    <mergeCell ref="C3:D3"/>
    <mergeCell ref="E3:F3"/>
    <mergeCell ref="A3:A4"/>
    <mergeCell ref="B3:B4"/>
  </mergeCells>
  <conditionalFormatting sqref="G30">
    <cfRule type="cellIs" dxfId="3" priority="1" stopIfTrue="1" operator="lessThanOrEqual">
      <formula>-1</formula>
    </cfRule>
  </conditionalFormatting>
  <conditionalFormatting sqref="G4:G30">
    <cfRule type="cellIs" dxfId="3" priority="2"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4" fitToHeight="0" orientation="portrait"/>
  <headerFooter alignWithMargins="0">
    <oddFooter>&amp;C&amp;16- &amp;P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6">
    <tabColor rgb="FF00B050"/>
    <pageSetUpPr fitToPage="1"/>
  </sheetPr>
  <dimension ref="A1:G48"/>
  <sheetViews>
    <sheetView showGridLines="0" showZeros="0" view="pageBreakPreview" zoomScale="70" zoomScaleNormal="100" workbookViewId="0">
      <pane ySplit="4" topLeftCell="A5" activePane="bottomLeft" state="frozen"/>
      <selection/>
      <selection pane="bottomLeft" activeCell="I42" sqref="I42"/>
    </sheetView>
  </sheetViews>
  <sheetFormatPr defaultColWidth="9" defaultRowHeight="20.25" outlineLevelCol="6"/>
  <cols>
    <col min="1" max="1" width="52.6333333333333" style="239" customWidth="1"/>
    <col min="2" max="2" width="18.7416666666667" style="239" customWidth="1"/>
    <col min="3" max="4" width="18.7416666666667" style="240" customWidth="1"/>
    <col min="5" max="5" width="14.275" style="240" customWidth="1"/>
    <col min="6" max="6" width="14.275" style="239" customWidth="1"/>
    <col min="7" max="7" width="4.5" style="239" customWidth="1"/>
    <col min="8" max="16384" width="9" style="239"/>
  </cols>
  <sheetData>
    <row r="1" ht="45" customHeight="1" spans="1:6">
      <c r="A1" s="224" t="s">
        <v>30</v>
      </c>
      <c r="B1" s="224"/>
      <c r="C1" s="241"/>
      <c r="D1" s="241"/>
      <c r="E1" s="241"/>
      <c r="F1" s="224"/>
    </row>
    <row r="2" ht="20.1" customHeight="1" spans="1:6">
      <c r="A2" s="205" t="s">
        <v>29</v>
      </c>
      <c r="B2" s="205"/>
      <c r="C2" s="242"/>
      <c r="D2" s="242"/>
      <c r="E2" s="242"/>
      <c r="F2" s="243" t="s">
        <v>103</v>
      </c>
    </row>
    <row r="3" ht="20.1" customHeight="1" spans="1:6">
      <c r="A3" s="244" t="s">
        <v>1613</v>
      </c>
      <c r="B3" s="672" t="s">
        <v>106</v>
      </c>
      <c r="C3" s="672" t="s">
        <v>107</v>
      </c>
      <c r="D3" s="672"/>
      <c r="E3" s="674" t="s">
        <v>108</v>
      </c>
      <c r="F3" s="672"/>
    </row>
    <row r="4" ht="37.5" spans="1:7">
      <c r="A4" s="244"/>
      <c r="B4" s="672"/>
      <c r="C4" s="672" t="s">
        <v>109</v>
      </c>
      <c r="D4" s="672" t="s">
        <v>110</v>
      </c>
      <c r="E4" s="674" t="s">
        <v>111</v>
      </c>
      <c r="F4" s="398" t="s">
        <v>112</v>
      </c>
      <c r="G4" s="239" t="s">
        <v>113</v>
      </c>
    </row>
    <row r="5" ht="24" hidden="1" customHeight="1" spans="1:7">
      <c r="A5" s="228" t="s">
        <v>1614</v>
      </c>
      <c r="B5" s="112">
        <f>SUM(B6:B21)</f>
        <v>0</v>
      </c>
      <c r="C5" s="112">
        <f>SUM(C6:C21)</f>
        <v>0</v>
      </c>
      <c r="D5" s="112">
        <f>SUM(D6:D21)</f>
        <v>0</v>
      </c>
      <c r="E5" s="675" t="str">
        <f>IFERROR((D5-B5)/B5,"")</f>
        <v/>
      </c>
      <c r="F5" s="108" t="str">
        <f>IFERROR(D5/C5,"")</f>
        <v/>
      </c>
      <c r="G5" s="196" t="str">
        <f>IF(A5&lt;&gt;"",IF(SUM(B5:D5)&lt;&gt;0,"是","否"),"是")</f>
        <v>否</v>
      </c>
    </row>
    <row r="6" ht="24" hidden="1" customHeight="1" spans="1:7">
      <c r="A6" s="246" t="s">
        <v>1675</v>
      </c>
      <c r="B6" s="158">
        <v>0</v>
      </c>
      <c r="C6" s="247"/>
      <c r="D6" s="247"/>
      <c r="E6" s="676" t="str">
        <f t="shared" ref="E6:E35" si="0">IFERROR((D6-B6)/B6,"")</f>
        <v/>
      </c>
      <c r="F6" s="114" t="str">
        <f t="shared" ref="F6:F35" si="1">IFERROR(D6/C6,"")</f>
        <v/>
      </c>
      <c r="G6" s="196" t="str">
        <f t="shared" ref="G6:G35" si="2">IF(A6&lt;&gt;"",IF(SUM(B6:D6)&lt;&gt;0,"是","否"),"是")</f>
        <v>否</v>
      </c>
    </row>
    <row r="7" ht="24" hidden="1" customHeight="1" spans="1:7">
      <c r="A7" s="248" t="s">
        <v>1676</v>
      </c>
      <c r="B7" s="158">
        <v>0</v>
      </c>
      <c r="C7" s="247"/>
      <c r="D7" s="247"/>
      <c r="E7" s="676" t="str">
        <f t="shared" si="0"/>
        <v/>
      </c>
      <c r="F7" s="114" t="str">
        <f t="shared" si="1"/>
        <v/>
      </c>
      <c r="G7" s="196" t="str">
        <f t="shared" si="2"/>
        <v>否</v>
      </c>
    </row>
    <row r="8" ht="24" hidden="1" customHeight="1" spans="1:7">
      <c r="A8" s="248" t="s">
        <v>1677</v>
      </c>
      <c r="B8" s="158">
        <v>0</v>
      </c>
      <c r="C8" s="247"/>
      <c r="D8" s="247"/>
      <c r="E8" s="676" t="str">
        <f t="shared" si="0"/>
        <v/>
      </c>
      <c r="F8" s="114" t="str">
        <f t="shared" si="1"/>
        <v/>
      </c>
      <c r="G8" s="196" t="str">
        <f t="shared" si="2"/>
        <v>否</v>
      </c>
    </row>
    <row r="9" ht="24" hidden="1" customHeight="1" spans="1:7">
      <c r="A9" s="248" t="s">
        <v>1678</v>
      </c>
      <c r="B9" s="158">
        <v>0</v>
      </c>
      <c r="C9" s="247"/>
      <c r="D9" s="247"/>
      <c r="E9" s="676" t="str">
        <f t="shared" si="0"/>
        <v/>
      </c>
      <c r="F9" s="114" t="str">
        <f t="shared" si="1"/>
        <v/>
      </c>
      <c r="G9" s="196" t="str">
        <f t="shared" si="2"/>
        <v>否</v>
      </c>
    </row>
    <row r="10" ht="24" hidden="1" customHeight="1" spans="1:7">
      <c r="A10" s="248" t="s">
        <v>1679</v>
      </c>
      <c r="B10" s="158">
        <v>0</v>
      </c>
      <c r="C10" s="247"/>
      <c r="D10" s="247"/>
      <c r="E10" s="676" t="str">
        <f t="shared" si="0"/>
        <v/>
      </c>
      <c r="F10" s="114" t="str">
        <f t="shared" si="1"/>
        <v/>
      </c>
      <c r="G10" s="196" t="str">
        <f t="shared" si="2"/>
        <v>否</v>
      </c>
    </row>
    <row r="11" ht="24" hidden="1" customHeight="1" spans="1:7">
      <c r="A11" s="248" t="s">
        <v>1680</v>
      </c>
      <c r="B11" s="158">
        <v>0</v>
      </c>
      <c r="C11" s="247"/>
      <c r="D11" s="247"/>
      <c r="E11" s="676" t="str">
        <f t="shared" si="0"/>
        <v/>
      </c>
      <c r="F11" s="114" t="str">
        <f t="shared" si="1"/>
        <v/>
      </c>
      <c r="G11" s="196" t="str">
        <f t="shared" si="2"/>
        <v>否</v>
      </c>
    </row>
    <row r="12" ht="24" hidden="1" customHeight="1" spans="1:7">
      <c r="A12" s="248" t="s">
        <v>1681</v>
      </c>
      <c r="B12" s="158">
        <v>0</v>
      </c>
      <c r="C12" s="249"/>
      <c r="D12" s="249"/>
      <c r="E12" s="676" t="str">
        <f t="shared" si="0"/>
        <v/>
      </c>
      <c r="F12" s="114" t="str">
        <f t="shared" si="1"/>
        <v/>
      </c>
      <c r="G12" s="196" t="str">
        <f t="shared" si="2"/>
        <v>否</v>
      </c>
    </row>
    <row r="13" ht="24" hidden="1" customHeight="1" spans="1:7">
      <c r="A13" s="248" t="s">
        <v>1682</v>
      </c>
      <c r="B13" s="158">
        <v>0</v>
      </c>
      <c r="C13" s="250"/>
      <c r="D13" s="250"/>
      <c r="E13" s="676" t="str">
        <f t="shared" si="0"/>
        <v/>
      </c>
      <c r="F13" s="114" t="str">
        <f t="shared" si="1"/>
        <v/>
      </c>
      <c r="G13" s="196" t="str">
        <f t="shared" si="2"/>
        <v>否</v>
      </c>
    </row>
    <row r="14" ht="24" hidden="1" customHeight="1" spans="1:7">
      <c r="A14" s="248" t="s">
        <v>1683</v>
      </c>
      <c r="B14" s="158">
        <v>0</v>
      </c>
      <c r="C14" s="247"/>
      <c r="D14" s="247"/>
      <c r="E14" s="676" t="str">
        <f t="shared" si="0"/>
        <v/>
      </c>
      <c r="F14" s="114" t="str">
        <f t="shared" si="1"/>
        <v/>
      </c>
      <c r="G14" s="196" t="str">
        <f t="shared" si="2"/>
        <v>否</v>
      </c>
    </row>
    <row r="15" ht="24" hidden="1" customHeight="1" spans="1:7">
      <c r="A15" s="246" t="s">
        <v>1684</v>
      </c>
      <c r="B15" s="158">
        <v>0</v>
      </c>
      <c r="C15" s="247"/>
      <c r="D15" s="247"/>
      <c r="E15" s="676" t="str">
        <f t="shared" si="0"/>
        <v/>
      </c>
      <c r="F15" s="114" t="str">
        <f t="shared" si="1"/>
        <v/>
      </c>
      <c r="G15" s="196" t="str">
        <f t="shared" si="2"/>
        <v>否</v>
      </c>
    </row>
    <row r="16" ht="24" hidden="1" customHeight="1" spans="1:7">
      <c r="A16" s="246" t="s">
        <v>1685</v>
      </c>
      <c r="B16" s="158">
        <v>0</v>
      </c>
      <c r="C16" s="249"/>
      <c r="D16" s="249"/>
      <c r="E16" s="676" t="str">
        <f t="shared" si="0"/>
        <v/>
      </c>
      <c r="F16" s="114" t="str">
        <f t="shared" si="1"/>
        <v/>
      </c>
      <c r="G16" s="196" t="str">
        <f t="shared" si="2"/>
        <v>否</v>
      </c>
    </row>
    <row r="17" ht="24" hidden="1" customHeight="1" spans="1:7">
      <c r="A17" s="248" t="s">
        <v>1686</v>
      </c>
      <c r="B17" s="158">
        <v>0</v>
      </c>
      <c r="C17" s="247"/>
      <c r="D17" s="247"/>
      <c r="E17" s="676" t="str">
        <f t="shared" si="0"/>
        <v/>
      </c>
      <c r="F17" s="114" t="str">
        <f t="shared" si="1"/>
        <v/>
      </c>
      <c r="G17" s="196" t="str">
        <f t="shared" si="2"/>
        <v>否</v>
      </c>
    </row>
    <row r="18" ht="24" hidden="1" customHeight="1" spans="1:7">
      <c r="A18" s="248" t="s">
        <v>1687</v>
      </c>
      <c r="B18" s="158">
        <v>0</v>
      </c>
      <c r="C18" s="247"/>
      <c r="D18" s="247"/>
      <c r="E18" s="676" t="str">
        <f t="shared" si="0"/>
        <v/>
      </c>
      <c r="F18" s="114" t="str">
        <f t="shared" si="1"/>
        <v/>
      </c>
      <c r="G18" s="196" t="str">
        <f t="shared" si="2"/>
        <v>否</v>
      </c>
    </row>
    <row r="19" ht="24" hidden="1" customHeight="1" spans="1:7">
      <c r="A19" s="248" t="s">
        <v>1688</v>
      </c>
      <c r="B19" s="158">
        <v>0</v>
      </c>
      <c r="C19" s="247"/>
      <c r="D19" s="247"/>
      <c r="E19" s="676" t="str">
        <f t="shared" si="0"/>
        <v/>
      </c>
      <c r="F19" s="114" t="str">
        <f t="shared" si="1"/>
        <v/>
      </c>
      <c r="G19" s="196" t="str">
        <f t="shared" si="2"/>
        <v>否</v>
      </c>
    </row>
    <row r="20" ht="24" hidden="1" customHeight="1" spans="1:7">
      <c r="A20" s="248" t="s">
        <v>1689</v>
      </c>
      <c r="B20" s="158">
        <v>0</v>
      </c>
      <c r="C20" s="247"/>
      <c r="D20" s="247"/>
      <c r="E20" s="676" t="str">
        <f t="shared" si="0"/>
        <v/>
      </c>
      <c r="F20" s="114" t="str">
        <f t="shared" si="1"/>
        <v/>
      </c>
      <c r="G20" s="196" t="str">
        <f t="shared" si="2"/>
        <v>否</v>
      </c>
    </row>
    <row r="21" ht="24" hidden="1" customHeight="1" spans="1:7">
      <c r="A21" s="248" t="s">
        <v>1690</v>
      </c>
      <c r="B21" s="158">
        <v>0</v>
      </c>
      <c r="C21" s="247"/>
      <c r="D21" s="247"/>
      <c r="E21" s="676" t="str">
        <f t="shared" si="0"/>
        <v/>
      </c>
      <c r="F21" s="114" t="str">
        <f t="shared" si="1"/>
        <v/>
      </c>
      <c r="G21" s="196" t="str">
        <f t="shared" si="2"/>
        <v>否</v>
      </c>
    </row>
    <row r="22" ht="24" customHeight="1" spans="1:7">
      <c r="A22" s="228" t="s">
        <v>1634</v>
      </c>
      <c r="B22" s="112">
        <f>SUM(B23:B24)</f>
        <v>5000</v>
      </c>
      <c r="C22" s="112">
        <f>SUM(C23:C24)</f>
        <v>2000</v>
      </c>
      <c r="D22" s="112">
        <f>SUM(D23:D24)</f>
        <v>3042</v>
      </c>
      <c r="E22" s="675">
        <f t="shared" si="0"/>
        <v>-0.3916</v>
      </c>
      <c r="F22" s="108">
        <f t="shared" si="1"/>
        <v>1.521</v>
      </c>
      <c r="G22" s="196" t="str">
        <f t="shared" si="2"/>
        <v>是</v>
      </c>
    </row>
    <row r="23" ht="24" customHeight="1" spans="1:7">
      <c r="A23" s="248" t="s">
        <v>1691</v>
      </c>
      <c r="B23" s="158">
        <v>79</v>
      </c>
      <c r="C23" s="251"/>
      <c r="D23" s="251">
        <v>99</v>
      </c>
      <c r="E23" s="676">
        <f t="shared" si="0"/>
        <v>0.253164556962025</v>
      </c>
      <c r="F23" s="114" t="str">
        <f t="shared" si="1"/>
        <v/>
      </c>
      <c r="G23" s="196" t="str">
        <f t="shared" si="2"/>
        <v>是</v>
      </c>
    </row>
    <row r="24" ht="24" customHeight="1" spans="1:7">
      <c r="A24" s="248" t="s">
        <v>1692</v>
      </c>
      <c r="B24" s="158">
        <v>4921</v>
      </c>
      <c r="C24" s="251">
        <v>2000</v>
      </c>
      <c r="D24" s="251">
        <v>2943</v>
      </c>
      <c r="E24" s="676">
        <f t="shared" si="0"/>
        <v>-0.401950823003455</v>
      </c>
      <c r="F24" s="114">
        <f t="shared" si="1"/>
        <v>1.4715</v>
      </c>
      <c r="G24" s="196" t="str">
        <f t="shared" si="2"/>
        <v>是</v>
      </c>
    </row>
    <row r="25" ht="24" hidden="1" customHeight="1" spans="1:7">
      <c r="A25" s="228" t="s">
        <v>1639</v>
      </c>
      <c r="B25" s="112">
        <f>SUM(B26:B27)</f>
        <v>0</v>
      </c>
      <c r="C25" s="112">
        <f>SUM(C26:C27)</f>
        <v>0</v>
      </c>
      <c r="D25" s="112">
        <f>SUM(D26:D27)</f>
        <v>0</v>
      </c>
      <c r="E25" s="675" t="str">
        <f t="shared" si="0"/>
        <v/>
      </c>
      <c r="F25" s="108" t="str">
        <f t="shared" si="1"/>
        <v/>
      </c>
      <c r="G25" s="196" t="str">
        <f t="shared" si="2"/>
        <v>否</v>
      </c>
    </row>
    <row r="26" ht="24" hidden="1" customHeight="1" spans="1:7">
      <c r="A26" s="248" t="s">
        <v>1693</v>
      </c>
      <c r="B26" s="158">
        <v>0</v>
      </c>
      <c r="C26" s="252"/>
      <c r="D26" s="252"/>
      <c r="E26" s="676" t="str">
        <f t="shared" si="0"/>
        <v/>
      </c>
      <c r="F26" s="114" t="str">
        <f t="shared" si="1"/>
        <v/>
      </c>
      <c r="G26" s="196" t="str">
        <f t="shared" si="2"/>
        <v>否</v>
      </c>
    </row>
    <row r="27" ht="24" hidden="1" customHeight="1" spans="1:7">
      <c r="A27" s="248" t="s">
        <v>1694</v>
      </c>
      <c r="B27" s="158">
        <v>0</v>
      </c>
      <c r="C27" s="252"/>
      <c r="D27" s="252"/>
      <c r="E27" s="676" t="str">
        <f t="shared" si="0"/>
        <v/>
      </c>
      <c r="F27" s="114" t="str">
        <f t="shared" si="1"/>
        <v/>
      </c>
      <c r="G27" s="196" t="str">
        <f t="shared" si="2"/>
        <v>否</v>
      </c>
    </row>
    <row r="28" ht="24" hidden="1" customHeight="1" spans="1:7">
      <c r="A28" s="228" t="s">
        <v>1643</v>
      </c>
      <c r="B28" s="112">
        <f>SUM(B29:B29)</f>
        <v>0</v>
      </c>
      <c r="C28" s="112">
        <f>SUM(C29:C29)</f>
        <v>0</v>
      </c>
      <c r="D28" s="112">
        <f>SUM(D29:D29)</f>
        <v>0</v>
      </c>
      <c r="E28" s="675" t="str">
        <f t="shared" si="0"/>
        <v/>
      </c>
      <c r="F28" s="108" t="str">
        <f t="shared" si="1"/>
        <v/>
      </c>
      <c r="G28" s="196" t="str">
        <f t="shared" si="2"/>
        <v>否</v>
      </c>
    </row>
    <row r="29" ht="24" hidden="1" customHeight="1" spans="1:7">
      <c r="A29" s="248" t="s">
        <v>1695</v>
      </c>
      <c r="B29" s="158">
        <v>0</v>
      </c>
      <c r="C29" s="253"/>
      <c r="D29" s="253"/>
      <c r="E29" s="676" t="str">
        <f t="shared" si="0"/>
        <v/>
      </c>
      <c r="F29" s="114" t="str">
        <f t="shared" si="1"/>
        <v/>
      </c>
      <c r="G29" s="196" t="str">
        <f t="shared" si="2"/>
        <v>否</v>
      </c>
    </row>
    <row r="30" ht="24" hidden="1" customHeight="1" spans="1:7">
      <c r="A30" s="228" t="s">
        <v>1647</v>
      </c>
      <c r="B30" s="158">
        <v>0</v>
      </c>
      <c r="C30" s="254"/>
      <c r="D30" s="254"/>
      <c r="E30" s="675" t="str">
        <f t="shared" si="0"/>
        <v/>
      </c>
      <c r="F30" s="108" t="str">
        <f t="shared" si="1"/>
        <v/>
      </c>
      <c r="G30" s="196" t="str">
        <f t="shared" si="2"/>
        <v>否</v>
      </c>
    </row>
    <row r="31" ht="24" customHeight="1" spans="1:7">
      <c r="A31" s="255" t="s">
        <v>1696</v>
      </c>
      <c r="B31" s="112">
        <f>SUM(B5,B22,B25,B28,B30)</f>
        <v>5000</v>
      </c>
      <c r="C31" s="112">
        <f>SUM(C5,C22,C25,C28,C30)</f>
        <v>2000</v>
      </c>
      <c r="D31" s="112">
        <f>SUM(D5,D22,D25,D28,D30)</f>
        <v>3042</v>
      </c>
      <c r="E31" s="675">
        <f t="shared" si="0"/>
        <v>-0.3916</v>
      </c>
      <c r="F31" s="108">
        <f t="shared" si="1"/>
        <v>1.521</v>
      </c>
      <c r="G31" s="196" t="str">
        <f t="shared" si="2"/>
        <v>是</v>
      </c>
    </row>
    <row r="32" ht="24" customHeight="1" spans="1:7">
      <c r="A32" s="256" t="s">
        <v>1649</v>
      </c>
      <c r="B32" s="112">
        <v>47</v>
      </c>
      <c r="C32" s="257">
        <v>47</v>
      </c>
      <c r="D32" s="257">
        <v>47</v>
      </c>
      <c r="E32" s="675">
        <f t="shared" si="0"/>
        <v>0</v>
      </c>
      <c r="F32" s="108">
        <f t="shared" si="1"/>
        <v>1</v>
      </c>
      <c r="G32" s="196" t="str">
        <f t="shared" si="2"/>
        <v>是</v>
      </c>
    </row>
    <row r="33" ht="24" hidden="1" customHeight="1" spans="1:7">
      <c r="A33" s="256" t="s">
        <v>1650</v>
      </c>
      <c r="B33" s="158">
        <v>0</v>
      </c>
      <c r="C33" s="257"/>
      <c r="D33" s="257"/>
      <c r="E33" s="676" t="str">
        <f t="shared" si="0"/>
        <v/>
      </c>
      <c r="F33" s="114" t="str">
        <f t="shared" si="1"/>
        <v/>
      </c>
      <c r="G33" s="196" t="str">
        <f t="shared" si="2"/>
        <v>否</v>
      </c>
    </row>
    <row r="34" ht="24" hidden="1" customHeight="1" spans="1:7">
      <c r="A34" s="256" t="s">
        <v>1651</v>
      </c>
      <c r="B34" s="158">
        <v>0</v>
      </c>
      <c r="C34" s="258"/>
      <c r="D34" s="258"/>
      <c r="E34" s="676" t="str">
        <f t="shared" si="0"/>
        <v/>
      </c>
      <c r="F34" s="114" t="str">
        <f t="shared" si="1"/>
        <v/>
      </c>
      <c r="G34" s="196" t="str">
        <f t="shared" si="2"/>
        <v>否</v>
      </c>
    </row>
    <row r="35" ht="24" customHeight="1" spans="1:7">
      <c r="A35" s="232" t="s">
        <v>174</v>
      </c>
      <c r="B35" s="112">
        <f>SUM(B31:B34)</f>
        <v>5047</v>
      </c>
      <c r="C35" s="112">
        <f>SUM(C31:C34)</f>
        <v>2047</v>
      </c>
      <c r="D35" s="112">
        <f>SUM(D31:D34)</f>
        <v>3089</v>
      </c>
      <c r="E35" s="675">
        <f t="shared" si="0"/>
        <v>-0.387953239548247</v>
      </c>
      <c r="F35" s="108">
        <f t="shared" si="1"/>
        <v>1.50903761602345</v>
      </c>
      <c r="G35" s="196" t="str">
        <f t="shared" si="2"/>
        <v>是</v>
      </c>
    </row>
    <row r="36" ht="24" customHeight="1" spans="2:2">
      <c r="B36" s="259"/>
    </row>
    <row r="37" spans="2:2">
      <c r="B37" s="260"/>
    </row>
    <row r="38" spans="2:2">
      <c r="B38" s="259"/>
    </row>
    <row r="39" spans="2:2">
      <c r="B39" s="260"/>
    </row>
    <row r="40" spans="2:2">
      <c r="B40" s="259"/>
    </row>
    <row r="41" spans="2:2">
      <c r="B41" s="259"/>
    </row>
    <row r="42" spans="2:2">
      <c r="B42" s="260"/>
    </row>
    <row r="43" spans="2:2">
      <c r="B43" s="259"/>
    </row>
    <row r="44" spans="2:2">
      <c r="B44" s="259"/>
    </row>
    <row r="45" spans="2:2">
      <c r="B45" s="259"/>
    </row>
    <row r="46" spans="2:2">
      <c r="B46" s="259"/>
    </row>
    <row r="47" spans="2:2">
      <c r="B47" s="260"/>
    </row>
    <row r="48" spans="2:2">
      <c r="B48" s="259"/>
    </row>
  </sheetData>
  <autoFilter ref="A4:G35">
    <filterColumn colId="6">
      <customFilters>
        <customFilter operator="equal" val="是"/>
      </customFilters>
    </filterColumn>
    <extLst/>
  </autoFilter>
  <mergeCells count="5">
    <mergeCell ref="A1:F1"/>
    <mergeCell ref="C3:D3"/>
    <mergeCell ref="E3:F3"/>
    <mergeCell ref="A3:A4"/>
    <mergeCell ref="B3:B4"/>
  </mergeCells>
  <conditionalFormatting sqref="G4:G35">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4" fitToHeight="0" orientation="portrait"/>
  <headerFooter alignWithMargins="0">
    <oddFooter>&amp;C&amp;16- &amp;P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7">
    <tabColor rgb="FF00B050"/>
    <pageSetUpPr fitToPage="1"/>
  </sheetPr>
  <dimension ref="A1:G33"/>
  <sheetViews>
    <sheetView showGridLines="0" showZeros="0" view="pageBreakPreview" zoomScale="80" zoomScaleNormal="100" workbookViewId="0">
      <pane ySplit="4" topLeftCell="A5" activePane="bottomLeft" state="frozen"/>
      <selection/>
      <selection pane="bottomLeft" activeCell="J21" sqref="J21"/>
    </sheetView>
  </sheetViews>
  <sheetFormatPr defaultColWidth="9" defaultRowHeight="13.5" outlineLevelCol="6"/>
  <cols>
    <col min="1" max="1" width="50.75" style="202" customWidth="1"/>
    <col min="2" max="4" width="17.6583333333333" style="202" customWidth="1"/>
    <col min="5" max="6" width="14.5333333333333" style="202" customWidth="1"/>
    <col min="7" max="7" width="5.38333333333333" style="202" customWidth="1"/>
    <col min="8" max="16384" width="9" style="202"/>
  </cols>
  <sheetData>
    <row r="1" ht="45" customHeight="1" spans="1:6">
      <c r="A1" s="224" t="s">
        <v>32</v>
      </c>
      <c r="B1" s="224"/>
      <c r="C1" s="224"/>
      <c r="D1" s="224"/>
      <c r="E1" s="224"/>
      <c r="F1" s="224"/>
    </row>
    <row r="2" ht="20.1" customHeight="1" spans="1:6">
      <c r="A2" s="205" t="s">
        <v>31</v>
      </c>
      <c r="B2" s="205"/>
      <c r="C2" s="225"/>
      <c r="D2" s="225"/>
      <c r="E2" s="225"/>
      <c r="F2" s="226" t="s">
        <v>103</v>
      </c>
    </row>
    <row r="3" ht="20.1" customHeight="1" spans="1:6">
      <c r="A3" s="227" t="s">
        <v>1697</v>
      </c>
      <c r="B3" s="671" t="s">
        <v>106</v>
      </c>
      <c r="C3" s="672" t="s">
        <v>107</v>
      </c>
      <c r="D3" s="672"/>
      <c r="E3" s="674" t="s">
        <v>108</v>
      </c>
      <c r="F3" s="672"/>
    </row>
    <row r="4" ht="45" customHeight="1" spans="1:7">
      <c r="A4" s="227"/>
      <c r="B4" s="671"/>
      <c r="C4" s="672" t="s">
        <v>109</v>
      </c>
      <c r="D4" s="672" t="s">
        <v>110</v>
      </c>
      <c r="E4" s="674" t="s">
        <v>111</v>
      </c>
      <c r="F4" s="398" t="s">
        <v>112</v>
      </c>
      <c r="G4" s="202" t="s">
        <v>113</v>
      </c>
    </row>
    <row r="5" ht="36" customHeight="1" spans="1:7">
      <c r="A5" s="228" t="s">
        <v>1652</v>
      </c>
      <c r="B5" s="229">
        <f>SUM(B6:B7)</f>
        <v>829</v>
      </c>
      <c r="C5" s="229">
        <f>SUM(C6:C7)</f>
        <v>245</v>
      </c>
      <c r="D5" s="229">
        <f>SUM(D6:D7)</f>
        <v>223</v>
      </c>
      <c r="E5" s="679">
        <f>IFERROR((D5-B5)/B5,"")</f>
        <v>-0.731001206272618</v>
      </c>
      <c r="F5" s="108">
        <f>IFERROR(D5/C5,"")</f>
        <v>0.910204081632653</v>
      </c>
      <c r="G5" s="196" t="str">
        <f>IF(A5&lt;&gt;"",IF(SUM(B5:D5)&lt;&gt;0,"是","否"),"是")</f>
        <v>是</v>
      </c>
    </row>
    <row r="6" ht="36" hidden="1" customHeight="1" spans="1:7">
      <c r="A6" s="230" t="s">
        <v>1698</v>
      </c>
      <c r="B6" s="231">
        <v>0</v>
      </c>
      <c r="C6" s="231"/>
      <c r="D6" s="231"/>
      <c r="E6" s="680" t="str">
        <f t="shared" ref="E6:E20" si="0">IFERROR((D6-B6)/B6,"")</f>
        <v/>
      </c>
      <c r="F6" s="114" t="str">
        <f t="shared" ref="F6:F20" si="1">IFERROR(D6/C6,"")</f>
        <v/>
      </c>
      <c r="G6" s="196" t="str">
        <f t="shared" ref="G6:G20" si="2">IF(A6&lt;&gt;"",IF(SUM(B6:D6)&lt;&gt;0,"是","否"),"是")</f>
        <v>否</v>
      </c>
    </row>
    <row r="7" ht="36" customHeight="1" spans="1:7">
      <c r="A7" s="230" t="s">
        <v>1658</v>
      </c>
      <c r="B7" s="231">
        <v>829</v>
      </c>
      <c r="C7" s="231">
        <v>245</v>
      </c>
      <c r="D7" s="231">
        <v>223</v>
      </c>
      <c r="E7" s="680">
        <f t="shared" si="0"/>
        <v>-0.731001206272618</v>
      </c>
      <c r="F7" s="114">
        <f t="shared" si="1"/>
        <v>0.910204081632653</v>
      </c>
      <c r="G7" s="196" t="str">
        <f t="shared" si="2"/>
        <v>是</v>
      </c>
    </row>
    <row r="8" ht="36" customHeight="1" spans="1:7">
      <c r="A8" s="228" t="s">
        <v>1659</v>
      </c>
      <c r="B8" s="229">
        <f>SUM(B9:B10)</f>
        <v>405</v>
      </c>
      <c r="C8" s="229">
        <f>SUM(C9:C10)</f>
        <v>0</v>
      </c>
      <c r="D8" s="229">
        <f>SUM(D9:D10)</f>
        <v>0</v>
      </c>
      <c r="E8" s="679">
        <f t="shared" si="0"/>
        <v>-1</v>
      </c>
      <c r="F8" s="108" t="str">
        <f t="shared" si="1"/>
        <v/>
      </c>
      <c r="G8" s="196" t="str">
        <f t="shared" si="2"/>
        <v>是</v>
      </c>
    </row>
    <row r="9" ht="36" hidden="1" customHeight="1" spans="1:7">
      <c r="A9" s="230" t="s">
        <v>1660</v>
      </c>
      <c r="B9" s="231">
        <v>0</v>
      </c>
      <c r="C9" s="231"/>
      <c r="D9" s="231"/>
      <c r="E9" s="680" t="str">
        <f t="shared" si="0"/>
        <v/>
      </c>
      <c r="F9" s="114" t="str">
        <f t="shared" si="1"/>
        <v/>
      </c>
      <c r="G9" s="196" t="str">
        <f t="shared" si="2"/>
        <v>否</v>
      </c>
    </row>
    <row r="10" ht="36" customHeight="1" spans="1:7">
      <c r="A10" s="230" t="s">
        <v>1664</v>
      </c>
      <c r="B10" s="231">
        <v>405</v>
      </c>
      <c r="C10" s="231"/>
      <c r="D10" s="231"/>
      <c r="E10" s="680">
        <f t="shared" si="0"/>
        <v>-1</v>
      </c>
      <c r="F10" s="114" t="str">
        <f t="shared" si="1"/>
        <v/>
      </c>
      <c r="G10" s="196" t="str">
        <f t="shared" si="2"/>
        <v>是</v>
      </c>
    </row>
    <row r="11" ht="36" hidden="1" customHeight="1" spans="1:7">
      <c r="A11" s="228" t="s">
        <v>1665</v>
      </c>
      <c r="B11" s="229">
        <f>B12</f>
        <v>0</v>
      </c>
      <c r="C11" s="229">
        <f>C12</f>
        <v>0</v>
      </c>
      <c r="D11" s="229">
        <f>D12</f>
        <v>0</v>
      </c>
      <c r="E11" s="679" t="str">
        <f t="shared" si="0"/>
        <v/>
      </c>
      <c r="F11" s="108" t="str">
        <f t="shared" si="1"/>
        <v/>
      </c>
      <c r="G11" s="196" t="str">
        <f t="shared" si="2"/>
        <v>否</v>
      </c>
    </row>
    <row r="12" ht="36" hidden="1" customHeight="1" spans="1:7">
      <c r="A12" s="230" t="s">
        <v>1666</v>
      </c>
      <c r="B12" s="231">
        <v>0</v>
      </c>
      <c r="C12" s="231"/>
      <c r="D12" s="231"/>
      <c r="E12" s="680" t="str">
        <f t="shared" si="0"/>
        <v/>
      </c>
      <c r="F12" s="114" t="str">
        <f t="shared" si="1"/>
        <v/>
      </c>
      <c r="G12" s="196" t="str">
        <f t="shared" si="2"/>
        <v>否</v>
      </c>
    </row>
    <row r="13" ht="36" customHeight="1" spans="1:7">
      <c r="A13" s="228" t="s">
        <v>1669</v>
      </c>
      <c r="B13" s="229">
        <f>B14</f>
        <v>0</v>
      </c>
      <c r="C13" s="229">
        <f>C14</f>
        <v>167</v>
      </c>
      <c r="D13" s="229">
        <f>D14</f>
        <v>103</v>
      </c>
      <c r="E13" s="679" t="str">
        <f t="shared" si="0"/>
        <v/>
      </c>
      <c r="F13" s="108">
        <f t="shared" si="1"/>
        <v>0.616766467065868</v>
      </c>
      <c r="G13" s="196" t="str">
        <f t="shared" si="2"/>
        <v>是</v>
      </c>
    </row>
    <row r="14" ht="36" customHeight="1" spans="1:7">
      <c r="A14" s="230" t="s">
        <v>1670</v>
      </c>
      <c r="B14" s="231">
        <v>0</v>
      </c>
      <c r="C14" s="231">
        <v>167</v>
      </c>
      <c r="D14" s="231">
        <v>103</v>
      </c>
      <c r="E14" s="680" t="str">
        <f t="shared" si="0"/>
        <v/>
      </c>
      <c r="F14" s="114">
        <f t="shared" si="1"/>
        <v>0.616766467065868</v>
      </c>
      <c r="G14" s="196" t="str">
        <f t="shared" si="2"/>
        <v>是</v>
      </c>
    </row>
    <row r="15" ht="36" customHeight="1" spans="1:7">
      <c r="A15" s="232" t="s">
        <v>1699</v>
      </c>
      <c r="B15" s="229">
        <f>B5+B8+B11+B13</f>
        <v>1234</v>
      </c>
      <c r="C15" s="229">
        <f>C5+C8+C11+C13</f>
        <v>412</v>
      </c>
      <c r="D15" s="229">
        <f>D5+D8+D11+D13</f>
        <v>326</v>
      </c>
      <c r="E15" s="679">
        <f t="shared" si="0"/>
        <v>-0.73581847649919</v>
      </c>
      <c r="F15" s="108">
        <f t="shared" si="1"/>
        <v>0.79126213592233</v>
      </c>
      <c r="G15" s="196" t="str">
        <f t="shared" si="2"/>
        <v>是</v>
      </c>
    </row>
    <row r="16" ht="36" customHeight="1" spans="1:7">
      <c r="A16" s="233" t="s">
        <v>201</v>
      </c>
      <c r="B16" s="229">
        <f>SUM(B17:B18)</f>
        <v>3813</v>
      </c>
      <c r="C16" s="229">
        <f>SUM(C17:C18)</f>
        <v>1635</v>
      </c>
      <c r="D16" s="229">
        <f>SUM(D17:D18)</f>
        <v>2763</v>
      </c>
      <c r="E16" s="679">
        <f t="shared" si="0"/>
        <v>-0.27537372147915</v>
      </c>
      <c r="F16" s="108">
        <f t="shared" si="1"/>
        <v>1.68990825688073</v>
      </c>
      <c r="G16" s="196" t="str">
        <f t="shared" si="2"/>
        <v>是</v>
      </c>
    </row>
    <row r="17" ht="36" customHeight="1" spans="1:7">
      <c r="A17" s="234" t="s">
        <v>1672</v>
      </c>
      <c r="B17" s="231">
        <v>74</v>
      </c>
      <c r="C17" s="231">
        <v>74</v>
      </c>
      <c r="D17" s="231">
        <v>74</v>
      </c>
      <c r="E17" s="680">
        <f t="shared" si="0"/>
        <v>0</v>
      </c>
      <c r="F17" s="114">
        <f t="shared" si="1"/>
        <v>1</v>
      </c>
      <c r="G17" s="196" t="str">
        <f t="shared" si="2"/>
        <v>是</v>
      </c>
    </row>
    <row r="18" ht="36" customHeight="1" spans="1:7">
      <c r="A18" s="234" t="s">
        <v>1700</v>
      </c>
      <c r="B18" s="231">
        <v>3739</v>
      </c>
      <c r="C18" s="235">
        <v>1561</v>
      </c>
      <c r="D18" s="235">
        <v>2689</v>
      </c>
      <c r="E18" s="680">
        <f t="shared" si="0"/>
        <v>-0.280823749665686</v>
      </c>
      <c r="F18" s="114">
        <f t="shared" si="1"/>
        <v>1.72261370916079</v>
      </c>
      <c r="G18" s="196" t="str">
        <f t="shared" si="2"/>
        <v>是</v>
      </c>
    </row>
    <row r="19" ht="36" hidden="1" customHeight="1" spans="1:7">
      <c r="A19" s="236" t="s">
        <v>1674</v>
      </c>
      <c r="B19" s="229">
        <v>0</v>
      </c>
      <c r="C19" s="229"/>
      <c r="D19" s="229"/>
      <c r="E19" s="680" t="str">
        <f t="shared" si="0"/>
        <v/>
      </c>
      <c r="F19" s="114" t="str">
        <f t="shared" si="1"/>
        <v/>
      </c>
      <c r="G19" s="196" t="str">
        <f t="shared" si="2"/>
        <v>否</v>
      </c>
    </row>
    <row r="20" ht="36" customHeight="1" spans="1:7">
      <c r="A20" s="232" t="s">
        <v>209</v>
      </c>
      <c r="B20" s="229">
        <f>B15+B16+B19</f>
        <v>5047</v>
      </c>
      <c r="C20" s="229">
        <f>C15+C16+C19</f>
        <v>2047</v>
      </c>
      <c r="D20" s="229">
        <f>D15+D16+D19</f>
        <v>3089</v>
      </c>
      <c r="E20" s="679">
        <f t="shared" si="0"/>
        <v>-0.387953239548247</v>
      </c>
      <c r="F20" s="108">
        <f t="shared" si="1"/>
        <v>1.50903761602345</v>
      </c>
      <c r="G20" s="196" t="str">
        <f t="shared" si="2"/>
        <v>是</v>
      </c>
    </row>
    <row r="21" ht="36" customHeight="1" spans="2:2">
      <c r="B21" s="237"/>
    </row>
    <row r="22" ht="36" customHeight="1" spans="2:5">
      <c r="B22" s="238"/>
      <c r="C22" s="238"/>
      <c r="D22" s="238"/>
      <c r="E22" s="238"/>
    </row>
    <row r="23" spans="2:2">
      <c r="B23" s="237"/>
    </row>
    <row r="24" spans="2:5">
      <c r="B24" s="238"/>
      <c r="C24" s="238"/>
      <c r="D24" s="238"/>
      <c r="E24" s="238"/>
    </row>
    <row r="25" spans="2:2">
      <c r="B25" s="237"/>
    </row>
    <row r="26" spans="2:2">
      <c r="B26" s="237"/>
    </row>
    <row r="27" spans="2:5">
      <c r="B27" s="238"/>
      <c r="C27" s="238"/>
      <c r="D27" s="238"/>
      <c r="E27" s="238"/>
    </row>
    <row r="28" spans="2:2">
      <c r="B28" s="237"/>
    </row>
    <row r="29" spans="2:2">
      <c r="B29" s="237"/>
    </row>
    <row r="30" spans="2:2">
      <c r="B30" s="237"/>
    </row>
    <row r="31" spans="2:2">
      <c r="B31" s="237"/>
    </row>
    <row r="32" spans="2:5">
      <c r="B32" s="238"/>
      <c r="C32" s="238"/>
      <c r="D32" s="238"/>
      <c r="E32" s="238"/>
    </row>
    <row r="33" spans="2:2">
      <c r="B33" s="237"/>
    </row>
  </sheetData>
  <autoFilter ref="A4:G20">
    <filterColumn colId="6">
      <customFilters>
        <customFilter operator="equal" val="是"/>
      </customFilters>
    </filterColumn>
    <extLst/>
  </autoFilter>
  <mergeCells count="5">
    <mergeCell ref="A1:F1"/>
    <mergeCell ref="C3:D3"/>
    <mergeCell ref="E3:F3"/>
    <mergeCell ref="A3:A4"/>
    <mergeCell ref="B3:B4"/>
  </mergeCells>
  <conditionalFormatting sqref="G4:G20">
    <cfRule type="cellIs" dxfId="3" priority="2" stopIfTrue="1" operator="lessThanOrEqual">
      <formula>-1</formula>
    </cfRule>
  </conditionalFormatting>
  <conditionalFormatting sqref="G5:G20">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6" fitToHeight="0" orientation="portrait"/>
  <headerFooter alignWithMargins="0">
    <oddFooter>&amp;C&amp;16- &amp;P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8">
    <tabColor rgb="FFFF0000"/>
    <pageSetUpPr fitToPage="1"/>
  </sheetPr>
  <dimension ref="A1:G41"/>
  <sheetViews>
    <sheetView showGridLines="0" showZeros="0" view="pageBreakPreview" zoomScale="80" zoomScaleNormal="115" workbookViewId="0">
      <pane ySplit="4" topLeftCell="A5" activePane="bottomLeft" state="frozen"/>
      <selection/>
      <selection pane="bottomLeft" activeCell="J19" sqref="J19"/>
    </sheetView>
  </sheetViews>
  <sheetFormatPr defaultColWidth="9" defaultRowHeight="14.25" outlineLevelCol="6"/>
  <cols>
    <col min="1" max="1" width="46.5" style="165" customWidth="1"/>
    <col min="2" max="4" width="19.0583333333333" style="165" customWidth="1"/>
    <col min="5" max="6" width="14.6833333333333" style="165" customWidth="1"/>
    <col min="7" max="7" width="5.38333333333333" style="165" customWidth="1"/>
    <col min="8" max="16384" width="9" style="165"/>
  </cols>
  <sheetData>
    <row r="1" ht="35.25" spans="1:6">
      <c r="A1" s="166" t="s">
        <v>34</v>
      </c>
      <c r="B1" s="166"/>
      <c r="C1" s="166"/>
      <c r="D1" s="166"/>
      <c r="E1" s="166"/>
      <c r="F1" s="166"/>
    </row>
    <row r="2" s="189" customFormat="1" ht="20.1" customHeight="1" spans="1:6">
      <c r="A2" s="190" t="s">
        <v>33</v>
      </c>
      <c r="B2" s="191"/>
      <c r="C2" s="192"/>
      <c r="D2" s="192"/>
      <c r="E2" s="192"/>
      <c r="F2" s="193" t="s">
        <v>103</v>
      </c>
    </row>
    <row r="3" s="189" customFormat="1" ht="20.1" customHeight="1" spans="1:6">
      <c r="A3" s="194" t="s">
        <v>1701</v>
      </c>
      <c r="B3" s="672" t="s">
        <v>106</v>
      </c>
      <c r="C3" s="672" t="s">
        <v>107</v>
      </c>
      <c r="D3" s="672"/>
      <c r="E3" s="674" t="s">
        <v>108</v>
      </c>
      <c r="F3" s="672"/>
    </row>
    <row r="4" ht="37.5" spans="1:7">
      <c r="A4" s="194"/>
      <c r="B4" s="672"/>
      <c r="C4" s="672" t="s">
        <v>109</v>
      </c>
      <c r="D4" s="672" t="s">
        <v>110</v>
      </c>
      <c r="E4" s="674" t="s">
        <v>111</v>
      </c>
      <c r="F4" s="398" t="s">
        <v>112</v>
      </c>
      <c r="G4" s="189" t="s">
        <v>113</v>
      </c>
    </row>
    <row r="5" ht="24" hidden="1" customHeight="1" spans="1:7">
      <c r="A5" s="177" t="s">
        <v>1702</v>
      </c>
      <c r="B5" s="178">
        <v>0</v>
      </c>
      <c r="C5" s="157"/>
      <c r="D5" s="157"/>
      <c r="E5" s="677" t="str">
        <f>IFERROR((D5-B5)/B5,"")</f>
        <v/>
      </c>
      <c r="F5" s="108" t="str">
        <f>IFERROR(D5/C5,"")</f>
        <v/>
      </c>
      <c r="G5" s="196" t="str">
        <f>IF(A5&lt;&gt;"",IF(SUM(B5:D5)&lt;&gt;0,"是","否"),"是")</f>
        <v>否</v>
      </c>
    </row>
    <row r="6" ht="24" hidden="1" customHeight="1" spans="1:7">
      <c r="A6" s="179" t="s">
        <v>1703</v>
      </c>
      <c r="B6" s="178">
        <v>0</v>
      </c>
      <c r="C6" s="182"/>
      <c r="D6" s="182"/>
      <c r="E6" s="678" t="str">
        <f t="shared" ref="E6:E37" si="0">IFERROR((D6-B6)/B6,"")</f>
        <v/>
      </c>
      <c r="F6" s="114" t="str">
        <f t="shared" ref="F6:F37" si="1">IFERROR(D6/C6,"")</f>
        <v/>
      </c>
      <c r="G6" s="196" t="str">
        <f t="shared" ref="G6:G37" si="2">IF(A6&lt;&gt;"",IF(SUM(B6:D6)&lt;&gt;0,"是","否"),"是")</f>
        <v>否</v>
      </c>
    </row>
    <row r="7" ht="24" hidden="1" customHeight="1" spans="1:7">
      <c r="A7" s="179" t="s">
        <v>1704</v>
      </c>
      <c r="B7" s="178">
        <v>0</v>
      </c>
      <c r="C7" s="156"/>
      <c r="D7" s="156"/>
      <c r="E7" s="678" t="str">
        <f t="shared" si="0"/>
        <v/>
      </c>
      <c r="F7" s="114" t="str">
        <f t="shared" si="1"/>
        <v/>
      </c>
      <c r="G7" s="196" t="str">
        <f t="shared" si="2"/>
        <v>否</v>
      </c>
    </row>
    <row r="8" s="164" customFormat="1" ht="24" hidden="1" customHeight="1" spans="1:7">
      <c r="A8" s="179" t="s">
        <v>1705</v>
      </c>
      <c r="B8" s="178">
        <v>0</v>
      </c>
      <c r="C8" s="156"/>
      <c r="D8" s="156"/>
      <c r="E8" s="678" t="str">
        <f t="shared" si="0"/>
        <v/>
      </c>
      <c r="F8" s="114" t="str">
        <f t="shared" si="1"/>
        <v/>
      </c>
      <c r="G8" s="196" t="str">
        <f t="shared" si="2"/>
        <v>否</v>
      </c>
    </row>
    <row r="9" ht="24" customHeight="1" spans="1:7">
      <c r="A9" s="177" t="s">
        <v>1706</v>
      </c>
      <c r="B9" s="181">
        <v>117263</v>
      </c>
      <c r="C9" s="181">
        <v>121773</v>
      </c>
      <c r="D9" s="195">
        <v>122397</v>
      </c>
      <c r="E9" s="677">
        <f t="shared" si="0"/>
        <v>0.0437819260977461</v>
      </c>
      <c r="F9" s="108">
        <f t="shared" si="1"/>
        <v>1.00512428863541</v>
      </c>
      <c r="G9" s="196" t="str">
        <f t="shared" si="2"/>
        <v>是</v>
      </c>
    </row>
    <row r="10" ht="24" customHeight="1" spans="1:7">
      <c r="A10" s="179" t="s">
        <v>1703</v>
      </c>
      <c r="B10" s="156">
        <v>100263</v>
      </c>
      <c r="C10" s="156">
        <v>100073</v>
      </c>
      <c r="D10" s="155">
        <v>101419</v>
      </c>
      <c r="E10" s="678">
        <f t="shared" si="0"/>
        <v>0.0115296769496225</v>
      </c>
      <c r="F10" s="114">
        <f t="shared" si="1"/>
        <v>1.0134501813676</v>
      </c>
      <c r="G10" s="196" t="str">
        <f t="shared" si="2"/>
        <v>是</v>
      </c>
    </row>
    <row r="11" ht="24" customHeight="1" spans="1:7">
      <c r="A11" s="179" t="s">
        <v>1704</v>
      </c>
      <c r="B11" s="156">
        <v>1732</v>
      </c>
      <c r="C11" s="156">
        <v>3514</v>
      </c>
      <c r="D11" s="155">
        <v>2941</v>
      </c>
      <c r="E11" s="678">
        <f t="shared" si="0"/>
        <v>0.698036951501155</v>
      </c>
      <c r="F11" s="114">
        <f t="shared" si="1"/>
        <v>0.83693796243597</v>
      </c>
      <c r="G11" s="196" t="str">
        <f t="shared" si="2"/>
        <v>是</v>
      </c>
    </row>
    <row r="12" ht="24" customHeight="1" spans="1:7">
      <c r="A12" s="179" t="s">
        <v>1705</v>
      </c>
      <c r="B12" s="156">
        <v>13750</v>
      </c>
      <c r="C12" s="156">
        <v>17007</v>
      </c>
      <c r="D12" s="155">
        <v>16141</v>
      </c>
      <c r="E12" s="678">
        <f t="shared" si="0"/>
        <v>0.173890909090909</v>
      </c>
      <c r="F12" s="114">
        <f t="shared" si="1"/>
        <v>0.949079790674428</v>
      </c>
      <c r="G12" s="196" t="str">
        <f t="shared" si="2"/>
        <v>是</v>
      </c>
    </row>
    <row r="13" ht="24" hidden="1" customHeight="1" spans="1:7">
      <c r="A13" s="177" t="s">
        <v>1707</v>
      </c>
      <c r="B13" s="178"/>
      <c r="C13" s="157"/>
      <c r="D13" s="157"/>
      <c r="E13" s="677" t="str">
        <f t="shared" si="0"/>
        <v/>
      </c>
      <c r="F13" s="108" t="str">
        <f t="shared" si="1"/>
        <v/>
      </c>
      <c r="G13" s="196" t="str">
        <f t="shared" si="2"/>
        <v>否</v>
      </c>
    </row>
    <row r="14" ht="24" hidden="1" customHeight="1" spans="1:7">
      <c r="A14" s="179" t="s">
        <v>1703</v>
      </c>
      <c r="B14" s="178">
        <v>0</v>
      </c>
      <c r="C14" s="156"/>
      <c r="D14" s="156"/>
      <c r="E14" s="678" t="str">
        <f t="shared" si="0"/>
        <v/>
      </c>
      <c r="F14" s="114" t="str">
        <f t="shared" si="1"/>
        <v/>
      </c>
      <c r="G14" s="196" t="str">
        <f t="shared" si="2"/>
        <v>否</v>
      </c>
    </row>
    <row r="15" ht="24" hidden="1" customHeight="1" spans="1:7">
      <c r="A15" s="179" t="s">
        <v>1704</v>
      </c>
      <c r="B15" s="178">
        <v>0</v>
      </c>
      <c r="C15" s="156"/>
      <c r="D15" s="156"/>
      <c r="E15" s="678" t="str">
        <f t="shared" si="0"/>
        <v/>
      </c>
      <c r="F15" s="114" t="str">
        <f t="shared" si="1"/>
        <v/>
      </c>
      <c r="G15" s="196" t="str">
        <f t="shared" si="2"/>
        <v>否</v>
      </c>
    </row>
    <row r="16" ht="24" hidden="1" customHeight="1" spans="1:7">
      <c r="A16" s="179" t="s">
        <v>1705</v>
      </c>
      <c r="B16" s="178">
        <v>0</v>
      </c>
      <c r="C16" s="156"/>
      <c r="D16" s="156"/>
      <c r="E16" s="678" t="str">
        <f t="shared" si="0"/>
        <v/>
      </c>
      <c r="F16" s="114" t="str">
        <f t="shared" si="1"/>
        <v/>
      </c>
      <c r="G16" s="196" t="str">
        <f t="shared" si="2"/>
        <v>否</v>
      </c>
    </row>
    <row r="17" ht="24" customHeight="1" spans="1:7">
      <c r="A17" s="177" t="s">
        <v>1708</v>
      </c>
      <c r="B17" s="157">
        <v>96167</v>
      </c>
      <c r="C17" s="157">
        <v>102281</v>
      </c>
      <c r="D17" s="159">
        <v>106622</v>
      </c>
      <c r="E17" s="677">
        <f t="shared" si="0"/>
        <v>0.108717127496958</v>
      </c>
      <c r="F17" s="108">
        <f t="shared" si="1"/>
        <v>1.04244190025518</v>
      </c>
      <c r="G17" s="196" t="str">
        <f t="shared" si="2"/>
        <v>是</v>
      </c>
    </row>
    <row r="18" ht="24" customHeight="1" spans="1:7">
      <c r="A18" s="179" t="s">
        <v>1703</v>
      </c>
      <c r="B18" s="156">
        <v>92326</v>
      </c>
      <c r="C18" s="156">
        <v>95089</v>
      </c>
      <c r="D18" s="155">
        <v>96947</v>
      </c>
      <c r="E18" s="678">
        <f t="shared" si="0"/>
        <v>0.0500509065701969</v>
      </c>
      <c r="F18" s="114">
        <f t="shared" si="1"/>
        <v>1.01953958922693</v>
      </c>
      <c r="G18" s="196" t="str">
        <f t="shared" si="2"/>
        <v>是</v>
      </c>
    </row>
    <row r="19" ht="24" customHeight="1" spans="1:7">
      <c r="A19" s="179" t="s">
        <v>1704</v>
      </c>
      <c r="B19" s="156">
        <v>1267</v>
      </c>
      <c r="C19" s="156">
        <v>6800</v>
      </c>
      <c r="D19" s="155">
        <v>6634</v>
      </c>
      <c r="E19" s="678">
        <f t="shared" si="0"/>
        <v>4.23599052880821</v>
      </c>
      <c r="F19" s="114">
        <f t="shared" si="1"/>
        <v>0.975588235294118</v>
      </c>
      <c r="G19" s="196" t="str">
        <f t="shared" si="2"/>
        <v>是</v>
      </c>
    </row>
    <row r="20" ht="24" customHeight="1" spans="1:7">
      <c r="A20" s="179" t="s">
        <v>1705</v>
      </c>
      <c r="B20" s="156">
        <v>87</v>
      </c>
      <c r="C20" s="156">
        <v>5</v>
      </c>
      <c r="D20" s="155">
        <v>23</v>
      </c>
      <c r="E20" s="678">
        <f t="shared" si="0"/>
        <v>-0.735632183908046</v>
      </c>
      <c r="F20" s="114">
        <f t="shared" si="1"/>
        <v>4.6</v>
      </c>
      <c r="G20" s="196" t="str">
        <f t="shared" si="2"/>
        <v>是</v>
      </c>
    </row>
    <row r="21" ht="24" hidden="1" customHeight="1" spans="1:7">
      <c r="A21" s="177" t="s">
        <v>1709</v>
      </c>
      <c r="B21" s="178">
        <v>0</v>
      </c>
      <c r="C21" s="157"/>
      <c r="D21" s="157"/>
      <c r="E21" s="677" t="str">
        <f t="shared" si="0"/>
        <v/>
      </c>
      <c r="F21" s="108" t="str">
        <f t="shared" si="1"/>
        <v/>
      </c>
      <c r="G21" s="196" t="str">
        <f t="shared" si="2"/>
        <v>否</v>
      </c>
    </row>
    <row r="22" ht="24" hidden="1" customHeight="1" spans="1:7">
      <c r="A22" s="179" t="s">
        <v>1703</v>
      </c>
      <c r="B22" s="178">
        <v>0</v>
      </c>
      <c r="C22" s="156"/>
      <c r="D22" s="156"/>
      <c r="E22" s="678" t="str">
        <f t="shared" si="0"/>
        <v/>
      </c>
      <c r="F22" s="114" t="str">
        <f t="shared" si="1"/>
        <v/>
      </c>
      <c r="G22" s="196" t="str">
        <f t="shared" si="2"/>
        <v>否</v>
      </c>
    </row>
    <row r="23" ht="24" hidden="1" customHeight="1" spans="1:7">
      <c r="A23" s="179" t="s">
        <v>1704</v>
      </c>
      <c r="B23" s="178">
        <v>0</v>
      </c>
      <c r="C23" s="182"/>
      <c r="D23" s="182"/>
      <c r="E23" s="678" t="str">
        <f t="shared" si="0"/>
        <v/>
      </c>
      <c r="F23" s="114" t="str">
        <f t="shared" si="1"/>
        <v/>
      </c>
      <c r="G23" s="196" t="str">
        <f t="shared" si="2"/>
        <v>否</v>
      </c>
    </row>
    <row r="24" ht="24" hidden="1" customHeight="1" spans="1:7">
      <c r="A24" s="179" t="s">
        <v>1705</v>
      </c>
      <c r="B24" s="178">
        <v>0</v>
      </c>
      <c r="C24" s="156"/>
      <c r="D24" s="156"/>
      <c r="E24" s="678" t="str">
        <f t="shared" si="0"/>
        <v/>
      </c>
      <c r="F24" s="114" t="str">
        <f t="shared" si="1"/>
        <v/>
      </c>
      <c r="G24" s="196" t="str">
        <f t="shared" si="2"/>
        <v>否</v>
      </c>
    </row>
    <row r="25" ht="24" customHeight="1" spans="1:7">
      <c r="A25" s="177" t="s">
        <v>1710</v>
      </c>
      <c r="B25" s="182">
        <v>55537</v>
      </c>
      <c r="C25" s="157">
        <v>55554</v>
      </c>
      <c r="D25" s="159">
        <v>60463</v>
      </c>
      <c r="E25" s="677">
        <f t="shared" si="0"/>
        <v>0.0886976250067523</v>
      </c>
      <c r="F25" s="108">
        <f t="shared" si="1"/>
        <v>1.08836447420528</v>
      </c>
      <c r="G25" s="196" t="str">
        <f t="shared" si="2"/>
        <v>是</v>
      </c>
    </row>
    <row r="26" ht="24" customHeight="1" spans="1:7">
      <c r="A26" s="179" t="s">
        <v>1703</v>
      </c>
      <c r="B26" s="182">
        <v>17486</v>
      </c>
      <c r="C26" s="182">
        <v>15946</v>
      </c>
      <c r="D26" s="160">
        <v>16885</v>
      </c>
      <c r="E26" s="678">
        <f t="shared" si="0"/>
        <v>-0.0343703534255976</v>
      </c>
      <c r="F26" s="114">
        <f t="shared" si="1"/>
        <v>1.05888624106359</v>
      </c>
      <c r="G26" s="196" t="str">
        <f t="shared" si="2"/>
        <v>是</v>
      </c>
    </row>
    <row r="27" ht="24" customHeight="1" spans="1:7">
      <c r="A27" s="179" t="s">
        <v>1704</v>
      </c>
      <c r="B27" s="182">
        <v>2870</v>
      </c>
      <c r="C27" s="182">
        <v>1228</v>
      </c>
      <c r="D27" s="160">
        <v>1458</v>
      </c>
      <c r="E27" s="678">
        <f t="shared" si="0"/>
        <v>-0.49198606271777</v>
      </c>
      <c r="F27" s="114">
        <f t="shared" si="1"/>
        <v>1.18729641693811</v>
      </c>
      <c r="G27" s="196" t="str">
        <f t="shared" si="2"/>
        <v>是</v>
      </c>
    </row>
    <row r="28" ht="24" customHeight="1" spans="1:7">
      <c r="A28" s="179" t="s">
        <v>1705</v>
      </c>
      <c r="B28" s="182">
        <v>30727</v>
      </c>
      <c r="C28" s="182">
        <v>35856</v>
      </c>
      <c r="D28" s="160">
        <v>36669</v>
      </c>
      <c r="E28" s="678">
        <f t="shared" si="0"/>
        <v>0.193380414619065</v>
      </c>
      <c r="F28" s="114">
        <f t="shared" si="1"/>
        <v>1.02267402945114</v>
      </c>
      <c r="G28" s="196" t="str">
        <f t="shared" si="2"/>
        <v>是</v>
      </c>
    </row>
    <row r="29" ht="24" customHeight="1" spans="1:7">
      <c r="A29" s="177" t="s">
        <v>1711</v>
      </c>
      <c r="B29" s="157">
        <v>115545</v>
      </c>
      <c r="C29" s="157">
        <v>114726</v>
      </c>
      <c r="D29" s="159">
        <v>114124</v>
      </c>
      <c r="E29" s="677">
        <f t="shared" si="0"/>
        <v>-0.0122982387814271</v>
      </c>
      <c r="F29" s="108">
        <f t="shared" si="1"/>
        <v>0.994752715164828</v>
      </c>
      <c r="G29" s="196" t="str">
        <f t="shared" si="2"/>
        <v>是</v>
      </c>
    </row>
    <row r="30" ht="24" customHeight="1" spans="1:7">
      <c r="A30" s="179" t="s">
        <v>1703</v>
      </c>
      <c r="B30" s="162">
        <v>40987</v>
      </c>
      <c r="C30" s="162">
        <v>42541</v>
      </c>
      <c r="D30" s="161">
        <v>41323</v>
      </c>
      <c r="E30" s="678">
        <f t="shared" si="0"/>
        <v>0.00819772122868227</v>
      </c>
      <c r="F30" s="114">
        <f t="shared" si="1"/>
        <v>0.971368797160386</v>
      </c>
      <c r="G30" s="196" t="str">
        <f t="shared" si="2"/>
        <v>是</v>
      </c>
    </row>
    <row r="31" ht="24" customHeight="1" spans="1:7">
      <c r="A31" s="179" t="s">
        <v>1704</v>
      </c>
      <c r="B31" s="162">
        <v>1347</v>
      </c>
      <c r="C31" s="182">
        <v>704</v>
      </c>
      <c r="D31" s="160">
        <v>868</v>
      </c>
      <c r="E31" s="678">
        <f t="shared" si="0"/>
        <v>-0.355605048255382</v>
      </c>
      <c r="F31" s="114">
        <f t="shared" si="1"/>
        <v>1.23295454545455</v>
      </c>
      <c r="G31" s="196" t="str">
        <f t="shared" si="2"/>
        <v>是</v>
      </c>
    </row>
    <row r="32" ht="24" customHeight="1" spans="1:7">
      <c r="A32" s="179" t="s">
        <v>1705</v>
      </c>
      <c r="B32" s="162">
        <v>68418</v>
      </c>
      <c r="C32" s="182">
        <v>70903</v>
      </c>
      <c r="D32" s="160">
        <v>70386</v>
      </c>
      <c r="E32" s="678">
        <f t="shared" si="0"/>
        <v>0.028764360256073</v>
      </c>
      <c r="F32" s="114">
        <f t="shared" si="1"/>
        <v>0.992708348024766</v>
      </c>
      <c r="G32" s="196" t="str">
        <f t="shared" si="2"/>
        <v>是</v>
      </c>
    </row>
    <row r="33" ht="24" customHeight="1" spans="1:7">
      <c r="A33" s="138" t="s">
        <v>1712</v>
      </c>
      <c r="B33" s="181">
        <f t="shared" ref="B33:B36" si="3">B5+B9+B13+B17+B21+B25+B29</f>
        <v>384512</v>
      </c>
      <c r="C33" s="181">
        <f t="shared" ref="C33:C36" si="4">C5+C9+C13+C17+C21+C25+C29</f>
        <v>394334</v>
      </c>
      <c r="D33" s="181">
        <f>D5+D9+D13+D17+D21+D25+D29</f>
        <v>403606</v>
      </c>
      <c r="E33" s="677">
        <f t="shared" si="0"/>
        <v>0.0496577480026631</v>
      </c>
      <c r="F33" s="108">
        <f t="shared" si="1"/>
        <v>1.02351306253075</v>
      </c>
      <c r="G33" s="196" t="str">
        <f t="shared" si="2"/>
        <v>是</v>
      </c>
    </row>
    <row r="34" ht="24" customHeight="1" spans="1:7">
      <c r="A34" s="179" t="s">
        <v>1713</v>
      </c>
      <c r="B34" s="182">
        <f t="shared" si="3"/>
        <v>251062</v>
      </c>
      <c r="C34" s="182">
        <f t="shared" si="4"/>
        <v>253649</v>
      </c>
      <c r="D34" s="182">
        <f>D6+D10+D14+D18+D22+D26+D30</f>
        <v>256574</v>
      </c>
      <c r="E34" s="678">
        <f t="shared" si="0"/>
        <v>0.0219547362802814</v>
      </c>
      <c r="F34" s="114">
        <f t="shared" si="1"/>
        <v>1.01153168354695</v>
      </c>
      <c r="G34" s="196" t="str">
        <f t="shared" si="2"/>
        <v>是</v>
      </c>
    </row>
    <row r="35" ht="24" customHeight="1" spans="1:7">
      <c r="A35" s="179" t="s">
        <v>1714</v>
      </c>
      <c r="B35" s="182">
        <f t="shared" si="3"/>
        <v>7216</v>
      </c>
      <c r="C35" s="182">
        <f t="shared" si="4"/>
        <v>12246</v>
      </c>
      <c r="D35" s="182">
        <f>D7+D11+D15+D19+D23+D27+D31</f>
        <v>11901</v>
      </c>
      <c r="E35" s="678">
        <f t="shared" si="0"/>
        <v>0.649251662971175</v>
      </c>
      <c r="F35" s="114">
        <f t="shared" si="1"/>
        <v>0.971827535521803</v>
      </c>
      <c r="G35" s="196" t="str">
        <f t="shared" si="2"/>
        <v>是</v>
      </c>
    </row>
    <row r="36" ht="24" customHeight="1" spans="1:7">
      <c r="A36" s="179" t="s">
        <v>1715</v>
      </c>
      <c r="B36" s="182">
        <f t="shared" si="3"/>
        <v>112982</v>
      </c>
      <c r="C36" s="182">
        <f t="shared" si="4"/>
        <v>123771</v>
      </c>
      <c r="D36" s="182">
        <f>D8+D12+D16+D20+D24+D28+D32</f>
        <v>123219</v>
      </c>
      <c r="E36" s="678">
        <f t="shared" si="0"/>
        <v>0.0906073533837248</v>
      </c>
      <c r="F36" s="114">
        <f t="shared" si="1"/>
        <v>0.995540150762295</v>
      </c>
      <c r="G36" s="196" t="str">
        <f t="shared" si="2"/>
        <v>是</v>
      </c>
    </row>
    <row r="37" ht="24" customHeight="1" spans="1:7">
      <c r="A37" s="138" t="s">
        <v>1716</v>
      </c>
      <c r="B37" s="181">
        <f>B33</f>
        <v>384512</v>
      </c>
      <c r="C37" s="181">
        <f>C33</f>
        <v>394334</v>
      </c>
      <c r="D37" s="181">
        <f>D33</f>
        <v>403606</v>
      </c>
      <c r="E37" s="677">
        <f t="shared" si="0"/>
        <v>0.0496577480026631</v>
      </c>
      <c r="F37" s="108">
        <f t="shared" si="1"/>
        <v>1.02351306253075</v>
      </c>
      <c r="G37" s="196" t="str">
        <f t="shared" si="2"/>
        <v>是</v>
      </c>
    </row>
    <row r="38" spans="2:5">
      <c r="B38" s="174"/>
      <c r="C38" s="174"/>
      <c r="D38" s="174"/>
      <c r="E38" s="174"/>
    </row>
    <row r="39" spans="2:5">
      <c r="B39" s="174"/>
      <c r="C39" s="174"/>
      <c r="D39" s="174"/>
      <c r="E39" s="174"/>
    </row>
    <row r="40" spans="2:5">
      <c r="B40" s="174"/>
      <c r="C40" s="174"/>
      <c r="D40" s="174"/>
      <c r="E40" s="174"/>
    </row>
    <row r="41" spans="2:5">
      <c r="B41" s="174"/>
      <c r="C41" s="174"/>
      <c r="D41" s="174"/>
      <c r="E41" s="174"/>
    </row>
  </sheetData>
  <autoFilter ref="A4:G37">
    <filterColumn colId="6">
      <customFilters>
        <customFilter operator="equal" val="是"/>
      </customFilters>
    </filterColumn>
    <extLst/>
  </autoFilter>
  <mergeCells count="5">
    <mergeCell ref="A1:F1"/>
    <mergeCell ref="C3:D3"/>
    <mergeCell ref="E3:F3"/>
    <mergeCell ref="A3:A4"/>
    <mergeCell ref="B3:B4"/>
  </mergeCells>
  <conditionalFormatting sqref="C30">
    <cfRule type="cellIs" dxfId="3" priority="7" stopIfTrue="1" operator="lessThanOrEqual">
      <formula>-1</formula>
    </cfRule>
  </conditionalFormatting>
  <conditionalFormatting sqref="D30">
    <cfRule type="cellIs" dxfId="3" priority="1" stopIfTrue="1" operator="lessThanOrEqual">
      <formula>-1</formula>
    </cfRule>
  </conditionalFormatting>
  <conditionalFormatting sqref="B10:B12">
    <cfRule type="cellIs" dxfId="3" priority="6" stopIfTrue="1" operator="lessThanOrEqual">
      <formula>-1</formula>
    </cfRule>
  </conditionalFormatting>
  <conditionalFormatting sqref="B18:B20">
    <cfRule type="cellIs" dxfId="3" priority="4" stopIfTrue="1" operator="lessThanOrEqual">
      <formula>-1</formula>
    </cfRule>
  </conditionalFormatting>
  <conditionalFormatting sqref="B30:B32">
    <cfRule type="cellIs" dxfId="3" priority="2" stopIfTrue="1" operator="lessThanOrEqual">
      <formula>-1</formula>
    </cfRule>
  </conditionalFormatting>
  <conditionalFormatting sqref="C10:C12">
    <cfRule type="cellIs" dxfId="3" priority="9" stopIfTrue="1" operator="lessThanOrEqual">
      <formula>-1</formula>
    </cfRule>
  </conditionalFormatting>
  <conditionalFormatting sqref="C18:C20">
    <cfRule type="cellIs" dxfId="3" priority="8" stopIfTrue="1" operator="lessThanOrEqual">
      <formula>-1</formula>
    </cfRule>
  </conditionalFormatting>
  <conditionalFormatting sqref="D10:D12">
    <cfRule type="cellIs" dxfId="3" priority="5" stopIfTrue="1" operator="lessThanOrEqual">
      <formula>-1</formula>
    </cfRule>
  </conditionalFormatting>
  <conditionalFormatting sqref="D18:D20">
    <cfRule type="cellIs" dxfId="3" priority="3" stopIfTrue="1" operator="lessThanOrEqual">
      <formula>-1</formula>
    </cfRule>
  </conditionalFormatting>
  <conditionalFormatting sqref="G5:G37">
    <cfRule type="cellIs" dxfId="3" priority="12" stopIfTrue="1" operator="lessThanOrEqual">
      <formula>-1</formula>
    </cfRule>
  </conditionalFormatting>
  <conditionalFormatting sqref="C24:D24 C14:D16 C7:D8">
    <cfRule type="cellIs" dxfId="3" priority="10"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6" fitToHeight="0" orientation="portrait"/>
  <headerFooter alignWithMargins="0">
    <oddFooter>&amp;C&amp;16- &amp;P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0000"/>
    <pageSetUpPr fitToPage="1"/>
  </sheetPr>
  <dimension ref="A1:G25"/>
  <sheetViews>
    <sheetView showGridLines="0" showZeros="0" view="pageBreakPreview" zoomScale="70" zoomScaleNormal="100" workbookViewId="0">
      <pane ySplit="4" topLeftCell="A8" activePane="bottomLeft" state="frozen"/>
      <selection/>
      <selection pane="bottomLeft" activeCell="F19" sqref="F19"/>
    </sheetView>
  </sheetViews>
  <sheetFormatPr defaultColWidth="9" defaultRowHeight="14.25" outlineLevelCol="6"/>
  <cols>
    <col min="1" max="1" width="50.75" style="165" customWidth="1"/>
    <col min="2" max="4" width="17.85" style="165" customWidth="1"/>
    <col min="5" max="6" width="14.6333333333333" style="165" customWidth="1"/>
    <col min="7" max="7" width="12.75" style="165" customWidth="1"/>
    <col min="8" max="16384" width="9" style="165"/>
  </cols>
  <sheetData>
    <row r="1" ht="35.25" spans="1:6">
      <c r="A1" s="166" t="s">
        <v>36</v>
      </c>
      <c r="B1" s="166"/>
      <c r="C1" s="166"/>
      <c r="D1" s="166"/>
      <c r="E1" s="166"/>
      <c r="F1" s="166"/>
    </row>
    <row r="2" ht="20.1" customHeight="1" spans="1:6">
      <c r="A2" s="185" t="s">
        <v>35</v>
      </c>
      <c r="B2" s="186"/>
      <c r="C2" s="187"/>
      <c r="D2" s="187"/>
      <c r="E2" s="187"/>
      <c r="F2" s="188" t="s">
        <v>1717</v>
      </c>
    </row>
    <row r="3" ht="20.1" customHeight="1" spans="1:6">
      <c r="A3" s="129" t="s">
        <v>1718</v>
      </c>
      <c r="B3" s="671" t="s">
        <v>106</v>
      </c>
      <c r="C3" s="672" t="s">
        <v>107</v>
      </c>
      <c r="D3" s="672"/>
      <c r="E3" s="674" t="s">
        <v>108</v>
      </c>
      <c r="F3" s="672"/>
    </row>
    <row r="4" ht="40" customHeight="1" spans="1:7">
      <c r="A4" s="129"/>
      <c r="B4" s="671"/>
      <c r="C4" s="672" t="s">
        <v>109</v>
      </c>
      <c r="D4" s="672" t="s">
        <v>110</v>
      </c>
      <c r="E4" s="674" t="s">
        <v>111</v>
      </c>
      <c r="F4" s="398" t="s">
        <v>112</v>
      </c>
      <c r="G4" s="175" t="s">
        <v>113</v>
      </c>
    </row>
    <row r="5" ht="40" customHeight="1" spans="1:7">
      <c r="A5" s="130" t="s">
        <v>1719</v>
      </c>
      <c r="B5" s="183"/>
      <c r="C5" s="112"/>
      <c r="D5" s="112"/>
      <c r="E5" s="675" t="str">
        <f>IFERROR((D5-B5)/B5,"")</f>
        <v/>
      </c>
      <c r="F5" s="108" t="str">
        <f>IFERROR(D5/C5,"")</f>
        <v/>
      </c>
      <c r="G5" s="176" t="str">
        <f>IF(A5&lt;&gt;"",IF(SUM(B5:D5)&lt;&gt;0,"是","否"),"是")</f>
        <v>否</v>
      </c>
    </row>
    <row r="6" ht="40" customHeight="1" spans="1:7">
      <c r="A6" s="132" t="s">
        <v>1720</v>
      </c>
      <c r="B6" s="183"/>
      <c r="C6" s="158"/>
      <c r="D6" s="158"/>
      <c r="E6" s="676" t="str">
        <f t="shared" ref="E6:E21" si="0">IFERROR((D6-B6)/B6,"")</f>
        <v/>
      </c>
      <c r="F6" s="114" t="str">
        <f t="shared" ref="F6:F21" si="1">IFERROR(D6/C6,"")</f>
        <v/>
      </c>
      <c r="G6" s="176" t="str">
        <f t="shared" ref="G6:G21" si="2">IF(A6&lt;&gt;"",IF(SUM(B6:D6)&lt;&gt;0,"是","否"),"是")</f>
        <v>否</v>
      </c>
    </row>
    <row r="7" ht="40" customHeight="1" spans="1:7">
      <c r="A7" s="130" t="s">
        <v>1721</v>
      </c>
      <c r="B7" s="112">
        <v>114523</v>
      </c>
      <c r="C7" s="112">
        <v>123081</v>
      </c>
      <c r="D7" s="111">
        <v>124617</v>
      </c>
      <c r="E7" s="675">
        <f t="shared" si="0"/>
        <v>0.0881395003623726</v>
      </c>
      <c r="F7" s="108">
        <f t="shared" si="1"/>
        <v>1.01247958661369</v>
      </c>
      <c r="G7" s="176" t="str">
        <f t="shared" si="2"/>
        <v>是</v>
      </c>
    </row>
    <row r="8" ht="40" customHeight="1" spans="1:7">
      <c r="A8" s="132" t="s">
        <v>1720</v>
      </c>
      <c r="B8" s="112">
        <v>114361</v>
      </c>
      <c r="C8" s="134">
        <v>122948</v>
      </c>
      <c r="D8" s="135">
        <v>124050</v>
      </c>
      <c r="E8" s="676">
        <f t="shared" si="0"/>
        <v>0.0847229387640892</v>
      </c>
      <c r="F8" s="114">
        <f t="shared" si="1"/>
        <v>1.00896313888799</v>
      </c>
      <c r="G8" s="176" t="str">
        <f t="shared" si="2"/>
        <v>是</v>
      </c>
    </row>
    <row r="9" s="164" customFormat="1" ht="40" customHeight="1" spans="1:7">
      <c r="A9" s="130" t="s">
        <v>1722</v>
      </c>
      <c r="B9" s="183"/>
      <c r="C9" s="112"/>
      <c r="D9" s="111"/>
      <c r="E9" s="675" t="str">
        <f t="shared" si="0"/>
        <v/>
      </c>
      <c r="F9" s="108" t="str">
        <f t="shared" si="1"/>
        <v/>
      </c>
      <c r="G9" s="176" t="str">
        <f t="shared" si="2"/>
        <v>否</v>
      </c>
    </row>
    <row r="10" s="164" customFormat="1" ht="40" customHeight="1" spans="1:7">
      <c r="A10" s="132" t="s">
        <v>1720</v>
      </c>
      <c r="B10" s="183"/>
      <c r="C10" s="134"/>
      <c r="D10" s="135"/>
      <c r="E10" s="676" t="str">
        <f t="shared" si="0"/>
        <v/>
      </c>
      <c r="F10" s="114" t="str">
        <f t="shared" si="1"/>
        <v/>
      </c>
      <c r="G10" s="176" t="str">
        <f t="shared" si="2"/>
        <v>否</v>
      </c>
    </row>
    <row r="11" s="164" customFormat="1" ht="40" customHeight="1" spans="1:7">
      <c r="A11" s="130" t="s">
        <v>1723</v>
      </c>
      <c r="B11" s="112">
        <v>81351</v>
      </c>
      <c r="C11" s="112">
        <v>85474</v>
      </c>
      <c r="D11" s="111">
        <v>79951</v>
      </c>
      <c r="E11" s="675">
        <f t="shared" si="0"/>
        <v>-0.0172093766517928</v>
      </c>
      <c r="F11" s="108">
        <f t="shared" si="1"/>
        <v>0.935383859419239</v>
      </c>
      <c r="G11" s="176" t="str">
        <f t="shared" si="2"/>
        <v>是</v>
      </c>
    </row>
    <row r="12" s="164" customFormat="1" ht="40" customHeight="1" spans="1:7">
      <c r="A12" s="132" t="s">
        <v>1720</v>
      </c>
      <c r="B12" s="110">
        <v>79923</v>
      </c>
      <c r="C12" s="110">
        <v>83935</v>
      </c>
      <c r="D12" s="113">
        <v>78080</v>
      </c>
      <c r="E12" s="676">
        <f t="shared" si="0"/>
        <v>-0.0230596949563955</v>
      </c>
      <c r="F12" s="114">
        <f t="shared" si="1"/>
        <v>0.930243640912611</v>
      </c>
      <c r="G12" s="176" t="str">
        <f t="shared" si="2"/>
        <v>是</v>
      </c>
    </row>
    <row r="13" s="164" customFormat="1" ht="40" customHeight="1" spans="1:7">
      <c r="A13" s="130" t="s">
        <v>1724</v>
      </c>
      <c r="B13" s="183"/>
      <c r="C13" s="112"/>
      <c r="D13" s="111"/>
      <c r="E13" s="675" t="str">
        <f t="shared" si="0"/>
        <v/>
      </c>
      <c r="F13" s="108" t="str">
        <f t="shared" si="1"/>
        <v/>
      </c>
      <c r="G13" s="176" t="str">
        <f t="shared" si="2"/>
        <v>否</v>
      </c>
    </row>
    <row r="14" s="164" customFormat="1" ht="40" customHeight="1" spans="1:7">
      <c r="A14" s="132" t="s">
        <v>1720</v>
      </c>
      <c r="B14" s="183"/>
      <c r="C14" s="110"/>
      <c r="D14" s="113"/>
      <c r="E14" s="676" t="str">
        <f t="shared" si="0"/>
        <v/>
      </c>
      <c r="F14" s="114" t="str">
        <f t="shared" si="1"/>
        <v/>
      </c>
      <c r="G14" s="176" t="str">
        <f t="shared" si="2"/>
        <v>否</v>
      </c>
    </row>
    <row r="15" s="164" customFormat="1" ht="40" customHeight="1" spans="1:7">
      <c r="A15" s="130" t="s">
        <v>1725</v>
      </c>
      <c r="B15" s="112">
        <v>35472</v>
      </c>
      <c r="C15" s="112">
        <v>40976</v>
      </c>
      <c r="D15" s="111">
        <v>42486</v>
      </c>
      <c r="E15" s="675">
        <f t="shared" si="0"/>
        <v>0.197733423545332</v>
      </c>
      <c r="F15" s="108">
        <f t="shared" si="1"/>
        <v>1.03685083951581</v>
      </c>
      <c r="G15" s="176" t="str">
        <f t="shared" si="2"/>
        <v>是</v>
      </c>
    </row>
    <row r="16" ht="40" customHeight="1" spans="1:7">
      <c r="A16" s="132" t="s">
        <v>1720</v>
      </c>
      <c r="B16" s="112">
        <v>35405</v>
      </c>
      <c r="C16" s="134">
        <v>40907</v>
      </c>
      <c r="D16" s="135">
        <v>42398</v>
      </c>
      <c r="E16" s="676">
        <f t="shared" si="0"/>
        <v>0.197514475356588</v>
      </c>
      <c r="F16" s="114">
        <f t="shared" si="1"/>
        <v>1.03644852959151</v>
      </c>
      <c r="G16" s="176" t="str">
        <f t="shared" si="2"/>
        <v>是</v>
      </c>
    </row>
    <row r="17" ht="40" customHeight="1" spans="1:7">
      <c r="A17" s="130" t="s">
        <v>1726</v>
      </c>
      <c r="B17" s="112">
        <v>104925</v>
      </c>
      <c r="C17" s="112">
        <v>107211</v>
      </c>
      <c r="D17" s="111">
        <v>101954</v>
      </c>
      <c r="E17" s="675">
        <f t="shared" si="0"/>
        <v>-0.0283154634262569</v>
      </c>
      <c r="F17" s="108">
        <f t="shared" si="1"/>
        <v>0.95096585238455</v>
      </c>
      <c r="G17" s="176" t="str">
        <f t="shared" si="2"/>
        <v>是</v>
      </c>
    </row>
    <row r="18" ht="40" customHeight="1" spans="1:7">
      <c r="A18" s="132" t="s">
        <v>1720</v>
      </c>
      <c r="B18" s="137">
        <v>93608</v>
      </c>
      <c r="C18" s="137">
        <v>95865</v>
      </c>
      <c r="D18" s="136">
        <v>84341</v>
      </c>
      <c r="E18" s="676">
        <f t="shared" si="0"/>
        <v>-0.098997948893257</v>
      </c>
      <c r="F18" s="114">
        <f t="shared" si="1"/>
        <v>0.879789287018203</v>
      </c>
      <c r="G18" s="176" t="str">
        <f t="shared" si="2"/>
        <v>是</v>
      </c>
    </row>
    <row r="19" ht="40" customHeight="1" spans="1:7">
      <c r="A19" s="138" t="s">
        <v>1727</v>
      </c>
      <c r="B19" s="112">
        <f>B5+B7+B9+B11+B13+B15+B17</f>
        <v>336271</v>
      </c>
      <c r="C19" s="112">
        <f>C5+C7+C9+C11+C13+C15+C17</f>
        <v>356742</v>
      </c>
      <c r="D19" s="112">
        <f>D5+D7+D9+D11+D13+D15+D17</f>
        <v>349008</v>
      </c>
      <c r="E19" s="675">
        <f t="shared" si="0"/>
        <v>0.0378771883391669</v>
      </c>
      <c r="F19" s="108">
        <f t="shared" si="1"/>
        <v>0.97832046689204</v>
      </c>
      <c r="G19" s="176" t="str">
        <f t="shared" si="2"/>
        <v>是</v>
      </c>
    </row>
    <row r="20" ht="40" customHeight="1" spans="1:7">
      <c r="A20" s="132" t="s">
        <v>1728</v>
      </c>
      <c r="B20" s="158">
        <f>B6+B8+B10+B12+B14+B16+B18</f>
        <v>323297</v>
      </c>
      <c r="C20" s="158">
        <f>C6+C8+C10+C12+C14+C16+C18</f>
        <v>343655</v>
      </c>
      <c r="D20" s="158">
        <f>D6+D8+D10+D12+D14+D16+D18</f>
        <v>328869</v>
      </c>
      <c r="E20" s="676">
        <f t="shared" si="0"/>
        <v>0.0172349263989459</v>
      </c>
      <c r="F20" s="114">
        <f t="shared" si="1"/>
        <v>0.956974291076807</v>
      </c>
      <c r="G20" s="176" t="str">
        <f t="shared" si="2"/>
        <v>是</v>
      </c>
    </row>
    <row r="21" ht="40" customHeight="1" spans="1:7">
      <c r="A21" s="138" t="s">
        <v>1195</v>
      </c>
      <c r="B21" s="112">
        <f>B19</f>
        <v>336271</v>
      </c>
      <c r="C21" s="112">
        <f>C19</f>
        <v>356742</v>
      </c>
      <c r="D21" s="112">
        <f>D19</f>
        <v>349008</v>
      </c>
      <c r="E21" s="675">
        <f t="shared" si="0"/>
        <v>0.0378771883391669</v>
      </c>
      <c r="F21" s="108">
        <f t="shared" si="1"/>
        <v>0.97832046689204</v>
      </c>
      <c r="G21" s="176" t="str">
        <f t="shared" si="2"/>
        <v>是</v>
      </c>
    </row>
    <row r="22" spans="2:5">
      <c r="B22" s="174"/>
      <c r="C22" s="174"/>
      <c r="D22" s="174"/>
      <c r="E22" s="174"/>
    </row>
    <row r="23" spans="2:5">
      <c r="B23" s="174"/>
      <c r="C23" s="174"/>
      <c r="D23" s="174"/>
      <c r="E23" s="174"/>
    </row>
    <row r="24" spans="2:5">
      <c r="B24" s="174"/>
      <c r="C24" s="174"/>
      <c r="D24" s="174"/>
      <c r="E24" s="174"/>
    </row>
    <row r="25" spans="2:5">
      <c r="B25" s="174"/>
      <c r="C25" s="174"/>
      <c r="D25" s="174"/>
      <c r="E25" s="174"/>
    </row>
  </sheetData>
  <autoFilter ref="A4:G21">
    <extLst/>
  </autoFilter>
  <mergeCells count="5">
    <mergeCell ref="A1:F1"/>
    <mergeCell ref="C3:D3"/>
    <mergeCell ref="E3:F3"/>
    <mergeCell ref="A3:A4"/>
    <mergeCell ref="B3:B4"/>
  </mergeCells>
  <conditionalFormatting sqref="G5:G21">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6" fitToHeight="0" orientation="portrait"/>
  <headerFooter alignWithMargins="0">
    <oddFooter>&amp;C&amp;16- &amp;P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0000"/>
    <pageSetUpPr fitToPage="1"/>
  </sheetPr>
  <dimension ref="A1:G24"/>
  <sheetViews>
    <sheetView showGridLines="0" showZeros="0" view="pageBreakPreview" zoomScale="80" zoomScaleNormal="100" workbookViewId="0">
      <pane ySplit="4" topLeftCell="A9" activePane="bottomLeft" state="frozen"/>
      <selection/>
      <selection pane="bottomLeft" activeCell="E18" sqref="E18:F18"/>
    </sheetView>
  </sheetViews>
  <sheetFormatPr defaultColWidth="9" defaultRowHeight="14.25" outlineLevelCol="6"/>
  <cols>
    <col min="1" max="1" width="45.6333333333333" style="165" customWidth="1"/>
    <col min="2" max="4" width="18.75" style="165" customWidth="1"/>
    <col min="5" max="6" width="14.375" style="165" customWidth="1"/>
    <col min="7" max="16374" width="9" style="165"/>
  </cols>
  <sheetData>
    <row r="1" ht="35.25" spans="1:6">
      <c r="A1" s="166" t="s">
        <v>38</v>
      </c>
      <c r="B1" s="166"/>
      <c r="C1" s="166"/>
      <c r="D1" s="166"/>
      <c r="E1" s="166"/>
      <c r="F1" s="166"/>
    </row>
    <row r="2" ht="20.1" customHeight="1" spans="1:6">
      <c r="A2" s="125" t="s">
        <v>37</v>
      </c>
      <c r="B2" s="167"/>
      <c r="C2" s="168"/>
      <c r="D2" s="168"/>
      <c r="E2" s="168"/>
      <c r="F2" s="128" t="s">
        <v>1612</v>
      </c>
    </row>
    <row r="3" ht="20.1" customHeight="1" spans="1:6">
      <c r="A3" s="169" t="s">
        <v>1718</v>
      </c>
      <c r="B3" s="671" t="s">
        <v>106</v>
      </c>
      <c r="C3" s="672" t="s">
        <v>107</v>
      </c>
      <c r="D3" s="672"/>
      <c r="E3" s="674" t="s">
        <v>108</v>
      </c>
      <c r="F3" s="672"/>
    </row>
    <row r="4" ht="40" customHeight="1" spans="1:7">
      <c r="A4" s="169"/>
      <c r="B4" s="671"/>
      <c r="C4" s="672" t="s">
        <v>109</v>
      </c>
      <c r="D4" s="672" t="s">
        <v>110</v>
      </c>
      <c r="E4" s="674" t="s">
        <v>111</v>
      </c>
      <c r="F4" s="398" t="s">
        <v>112</v>
      </c>
      <c r="G4" s="175" t="s">
        <v>113</v>
      </c>
    </row>
    <row r="5" ht="40" customHeight="1" spans="1:7">
      <c r="A5" s="170" t="s">
        <v>1729</v>
      </c>
      <c r="B5" s="171"/>
      <c r="C5" s="107"/>
      <c r="D5" s="107"/>
      <c r="E5" s="660" t="str">
        <f>IFERROR((D5-B5)/B5,"")</f>
        <v/>
      </c>
      <c r="F5" s="108" t="str">
        <f>IFERROR(D5/C5,"")</f>
        <v/>
      </c>
      <c r="G5" s="176" t="str">
        <f>IF(A5&lt;&gt;"",IF(SUM(B5:D5)&lt;&gt;0,"是","否"),"是")</f>
        <v>否</v>
      </c>
    </row>
    <row r="6" ht="40" customHeight="1" spans="1:7">
      <c r="A6" s="172" t="s">
        <v>1730</v>
      </c>
      <c r="B6" s="171"/>
      <c r="C6" s="110"/>
      <c r="D6" s="110"/>
      <c r="E6" s="660" t="str">
        <f t="shared" ref="E6:E20" si="0">IFERROR((D6-B6)/B6,"")</f>
        <v/>
      </c>
      <c r="F6" s="108" t="str">
        <f t="shared" ref="F6:F20" si="1">IFERROR(D6/C6,"")</f>
        <v/>
      </c>
      <c r="G6" s="176" t="str">
        <f t="shared" ref="G6:G20" si="2">IF(A6&lt;&gt;"",IF(SUM(B6:D6)&lt;&gt;0,"是","否"),"是")</f>
        <v>否</v>
      </c>
    </row>
    <row r="7" ht="40" customHeight="1" spans="1:7">
      <c r="A7" s="170" t="s">
        <v>1731</v>
      </c>
      <c r="B7" s="115">
        <v>2740</v>
      </c>
      <c r="C7" s="107">
        <v>-1307</v>
      </c>
      <c r="D7" s="115">
        <v>-2220</v>
      </c>
      <c r="E7" s="660">
        <f t="shared" si="0"/>
        <v>-1.81021897810219</v>
      </c>
      <c r="F7" s="108">
        <f t="shared" si="1"/>
        <v>1.69854628921194</v>
      </c>
      <c r="G7" s="176" t="str">
        <f t="shared" si="2"/>
        <v>是</v>
      </c>
    </row>
    <row r="8" ht="40" customHeight="1" spans="1:7">
      <c r="A8" s="172" t="s">
        <v>1732</v>
      </c>
      <c r="B8" s="113">
        <v>122986</v>
      </c>
      <c r="C8" s="110">
        <v>123479</v>
      </c>
      <c r="D8" s="113">
        <v>120766</v>
      </c>
      <c r="E8" s="661">
        <f t="shared" si="0"/>
        <v>-0.0180508350543964</v>
      </c>
      <c r="F8" s="114">
        <f t="shared" si="1"/>
        <v>0.978028652645389</v>
      </c>
      <c r="G8" s="176" t="str">
        <f t="shared" si="2"/>
        <v>是</v>
      </c>
    </row>
    <row r="9" s="164" customFormat="1" ht="40" customHeight="1" spans="1:7">
      <c r="A9" s="170" t="s">
        <v>1733</v>
      </c>
      <c r="B9" s="673"/>
      <c r="C9" s="107"/>
      <c r="D9" s="115"/>
      <c r="E9" s="660" t="str">
        <f t="shared" si="0"/>
        <v/>
      </c>
      <c r="F9" s="108" t="str">
        <f t="shared" si="1"/>
        <v/>
      </c>
      <c r="G9" s="176" t="str">
        <f t="shared" si="2"/>
        <v>否</v>
      </c>
    </row>
    <row r="10" s="164" customFormat="1" ht="40" customHeight="1" spans="1:7">
      <c r="A10" s="172" t="s">
        <v>1734</v>
      </c>
      <c r="B10" s="673"/>
      <c r="C10" s="110"/>
      <c r="D10" s="113"/>
      <c r="E10" s="660" t="str">
        <f t="shared" si="0"/>
        <v/>
      </c>
      <c r="F10" s="108" t="str">
        <f t="shared" si="1"/>
        <v/>
      </c>
      <c r="G10" s="176" t="str">
        <f t="shared" si="2"/>
        <v>否</v>
      </c>
    </row>
    <row r="11" s="164" customFormat="1" ht="40" customHeight="1" spans="1:7">
      <c r="A11" s="170" t="s">
        <v>1735</v>
      </c>
      <c r="B11" s="115">
        <v>14816</v>
      </c>
      <c r="C11" s="107">
        <v>16807</v>
      </c>
      <c r="D11" s="115">
        <v>26671</v>
      </c>
      <c r="E11" s="660">
        <f t="shared" si="0"/>
        <v>0.80014848812095</v>
      </c>
      <c r="F11" s="108">
        <f t="shared" si="1"/>
        <v>1.58689831617778</v>
      </c>
      <c r="G11" s="176" t="str">
        <f t="shared" si="2"/>
        <v>是</v>
      </c>
    </row>
    <row r="12" s="164" customFormat="1" ht="40" customHeight="1" spans="1:7">
      <c r="A12" s="172" t="s">
        <v>1736</v>
      </c>
      <c r="B12" s="113">
        <v>257151</v>
      </c>
      <c r="C12" s="110">
        <v>272658</v>
      </c>
      <c r="D12" s="113">
        <v>283822</v>
      </c>
      <c r="E12" s="661">
        <f t="shared" si="0"/>
        <v>0.103717271175302</v>
      </c>
      <c r="F12" s="114">
        <f t="shared" si="1"/>
        <v>1.04094506671361</v>
      </c>
      <c r="G12" s="176" t="str">
        <f t="shared" si="2"/>
        <v>是</v>
      </c>
    </row>
    <row r="13" s="164" customFormat="1" ht="40" customHeight="1" spans="1:7">
      <c r="A13" s="170" t="s">
        <v>1737</v>
      </c>
      <c r="B13" s="673"/>
      <c r="C13" s="112"/>
      <c r="D13" s="111"/>
      <c r="E13" s="660" t="str">
        <f t="shared" si="0"/>
        <v/>
      </c>
      <c r="F13" s="108" t="str">
        <f t="shared" si="1"/>
        <v/>
      </c>
      <c r="G13" s="176" t="str">
        <f t="shared" si="2"/>
        <v>否</v>
      </c>
    </row>
    <row r="14" s="164" customFormat="1" ht="40" customHeight="1" spans="1:7">
      <c r="A14" s="172" t="s">
        <v>1738</v>
      </c>
      <c r="B14" s="113"/>
      <c r="C14" s="110"/>
      <c r="D14" s="113"/>
      <c r="E14" s="660" t="str">
        <f t="shared" si="0"/>
        <v/>
      </c>
      <c r="F14" s="108" t="str">
        <f t="shared" si="1"/>
        <v/>
      </c>
      <c r="G14" s="176" t="str">
        <f t="shared" si="2"/>
        <v>否</v>
      </c>
    </row>
    <row r="15" s="164" customFormat="1" ht="40" customHeight="1" spans="1:7">
      <c r="A15" s="170" t="s">
        <v>1739</v>
      </c>
      <c r="B15" s="115">
        <v>20065</v>
      </c>
      <c r="C15" s="107">
        <v>14577</v>
      </c>
      <c r="D15" s="115">
        <v>17977</v>
      </c>
      <c r="E15" s="660">
        <f t="shared" si="0"/>
        <v>-0.104061799152754</v>
      </c>
      <c r="F15" s="108">
        <f t="shared" si="1"/>
        <v>1.2332441517459</v>
      </c>
      <c r="G15" s="176" t="str">
        <f t="shared" si="2"/>
        <v>是</v>
      </c>
    </row>
    <row r="16" s="164" customFormat="1" ht="40" customHeight="1" spans="1:7">
      <c r="A16" s="172" t="s">
        <v>1740</v>
      </c>
      <c r="B16" s="113">
        <v>176747</v>
      </c>
      <c r="C16" s="110">
        <v>188423</v>
      </c>
      <c r="D16" s="113">
        <v>194724</v>
      </c>
      <c r="E16" s="661">
        <f t="shared" si="0"/>
        <v>0.101710354348306</v>
      </c>
      <c r="F16" s="114">
        <f t="shared" si="1"/>
        <v>1.03344071583618</v>
      </c>
      <c r="G16" s="176" t="str">
        <f t="shared" si="2"/>
        <v>是</v>
      </c>
    </row>
    <row r="17" s="164" customFormat="1" ht="40" customHeight="1" spans="1:7">
      <c r="A17" s="170" t="s">
        <v>1741</v>
      </c>
      <c r="B17" s="115">
        <v>10621</v>
      </c>
      <c r="C17" s="107">
        <v>7515</v>
      </c>
      <c r="D17" s="115">
        <v>12170</v>
      </c>
      <c r="E17" s="660">
        <f t="shared" si="0"/>
        <v>0.14584314094718</v>
      </c>
      <c r="F17" s="108">
        <f t="shared" si="1"/>
        <v>1.61942781104458</v>
      </c>
      <c r="G17" s="176" t="str">
        <f t="shared" si="2"/>
        <v>是</v>
      </c>
    </row>
    <row r="18" s="164" customFormat="1" ht="40" customHeight="1" spans="1:7">
      <c r="A18" s="172" t="s">
        <v>1742</v>
      </c>
      <c r="B18" s="113">
        <v>91406</v>
      </c>
      <c r="C18" s="110">
        <v>93027</v>
      </c>
      <c r="D18" s="113">
        <v>103576</v>
      </c>
      <c r="E18" s="661">
        <f t="shared" si="0"/>
        <v>0.133142244491609</v>
      </c>
      <c r="F18" s="114">
        <f t="shared" si="1"/>
        <v>1.11339718576327</v>
      </c>
      <c r="G18" s="176" t="str">
        <f t="shared" si="2"/>
        <v>是</v>
      </c>
    </row>
    <row r="19" s="164" customFormat="1" ht="40" customHeight="1" spans="1:7">
      <c r="A19" s="173" t="s">
        <v>1743</v>
      </c>
      <c r="B19" s="171">
        <f>B5+B7+B9+B11+B13+B15+B17</f>
        <v>48242</v>
      </c>
      <c r="C19" s="171">
        <f>C5+C7+C9+C11+C13+C15+C17</f>
        <v>37592</v>
      </c>
      <c r="D19" s="171">
        <f>D5+D7+D9+D11+D13+D15+D17</f>
        <v>54598</v>
      </c>
      <c r="E19" s="660">
        <f t="shared" si="0"/>
        <v>0.131752414908171</v>
      </c>
      <c r="F19" s="108">
        <f t="shared" si="1"/>
        <v>1.45238348584805</v>
      </c>
      <c r="G19" s="176" t="str">
        <f t="shared" si="2"/>
        <v>是</v>
      </c>
    </row>
    <row r="20" s="164" customFormat="1" ht="40" customHeight="1" spans="1:7">
      <c r="A20" s="173" t="s">
        <v>1744</v>
      </c>
      <c r="B20" s="171">
        <f>B6+B8+B10+B12+B14+B16+B18</f>
        <v>648290</v>
      </c>
      <c r="C20" s="171">
        <f>C6+C8+C10+C12+C14+C16+C18</f>
        <v>677587</v>
      </c>
      <c r="D20" s="171">
        <f>D6+D8+D10+D12+D14+D16+D18</f>
        <v>702888</v>
      </c>
      <c r="E20" s="660">
        <f t="shared" si="0"/>
        <v>0.0842184824692653</v>
      </c>
      <c r="F20" s="108">
        <f t="shared" si="1"/>
        <v>1.03733985451315</v>
      </c>
      <c r="G20" s="176" t="str">
        <f t="shared" si="2"/>
        <v>是</v>
      </c>
    </row>
    <row r="21" spans="2:5">
      <c r="B21" s="174"/>
      <c r="C21" s="174"/>
      <c r="D21" s="174"/>
      <c r="E21" s="174"/>
    </row>
    <row r="22" spans="2:5">
      <c r="B22" s="174"/>
      <c r="C22" s="174"/>
      <c r="D22" s="174"/>
      <c r="E22" s="174"/>
    </row>
    <row r="23" spans="2:5">
      <c r="B23" s="174"/>
      <c r="C23" s="174"/>
      <c r="D23" s="174"/>
      <c r="E23" s="174"/>
    </row>
    <row r="24" spans="2:5">
      <c r="B24" s="174"/>
      <c r="C24" s="174"/>
      <c r="D24" s="174"/>
      <c r="E24" s="174"/>
    </row>
  </sheetData>
  <autoFilter ref="A4:G20">
    <extLst/>
  </autoFilter>
  <mergeCells count="5">
    <mergeCell ref="A1:F1"/>
    <mergeCell ref="C3:D3"/>
    <mergeCell ref="E3:F3"/>
    <mergeCell ref="A3:A4"/>
    <mergeCell ref="B3:B4"/>
  </mergeCells>
  <conditionalFormatting sqref="G5:G20">
    <cfRule type="cellIs" dxfId="3" priority="2"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67" fitToHeight="0" orientation="portrait"/>
  <headerFooter alignWithMargins="0">
    <oddFooter>&amp;C&amp;16- &amp;P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FF0000"/>
    <pageSetUpPr fitToPage="1"/>
  </sheetPr>
  <dimension ref="A1:H41"/>
  <sheetViews>
    <sheetView showGridLines="0" showZeros="0" view="pageBreakPreview" zoomScale="70" zoomScaleNormal="100" workbookViewId="0">
      <pane ySplit="4" topLeftCell="A16" activePane="bottomLeft" state="frozen"/>
      <selection/>
      <selection pane="bottomLeft" activeCell="G34" sqref="G34:G36"/>
    </sheetView>
  </sheetViews>
  <sheetFormatPr defaultColWidth="9" defaultRowHeight="14.25" outlineLevelCol="7"/>
  <cols>
    <col min="1" max="1" width="50.75" style="143" customWidth="1"/>
    <col min="2" max="5" width="16.0583333333333" style="143" customWidth="1"/>
    <col min="6" max="7" width="13.7416666666667" style="143" customWidth="1"/>
    <col min="8" max="8" width="5" style="143" customWidth="1"/>
    <col min="9" max="16384" width="9" style="143"/>
  </cols>
  <sheetData>
    <row r="1" ht="45" customHeight="1" spans="1:7">
      <c r="A1" s="144" t="s">
        <v>40</v>
      </c>
      <c r="B1" s="144"/>
      <c r="C1" s="144"/>
      <c r="D1" s="144"/>
      <c r="E1" s="144"/>
      <c r="F1" s="144"/>
      <c r="G1" s="144"/>
    </row>
    <row r="2" ht="20.1" customHeight="1" spans="1:7">
      <c r="A2" s="145" t="s">
        <v>39</v>
      </c>
      <c r="B2" s="145"/>
      <c r="C2" s="147"/>
      <c r="D2" s="147"/>
      <c r="E2" s="147"/>
      <c r="F2" s="147"/>
      <c r="G2" s="666" t="s">
        <v>1745</v>
      </c>
    </row>
    <row r="3" ht="20.1" customHeight="1" spans="1:7">
      <c r="A3" s="149" t="s">
        <v>1701</v>
      </c>
      <c r="B3" s="321" t="s">
        <v>106</v>
      </c>
      <c r="C3" s="321" t="s">
        <v>107</v>
      </c>
      <c r="D3" s="321"/>
      <c r="E3" s="321"/>
      <c r="F3" s="521" t="s">
        <v>108</v>
      </c>
      <c r="G3" s="521"/>
    </row>
    <row r="4" ht="37.5" spans="1:8">
      <c r="A4" s="149"/>
      <c r="B4" s="321"/>
      <c r="C4" s="321" t="s">
        <v>109</v>
      </c>
      <c r="D4" s="321" t="s">
        <v>1196</v>
      </c>
      <c r="E4" s="321" t="s">
        <v>110</v>
      </c>
      <c r="F4" s="321" t="s">
        <v>111</v>
      </c>
      <c r="G4" s="321" t="s">
        <v>112</v>
      </c>
      <c r="H4" s="122" t="s">
        <v>113</v>
      </c>
    </row>
    <row r="5" ht="24" customHeight="1" spans="1:8">
      <c r="A5" s="150" t="s">
        <v>1702</v>
      </c>
      <c r="B5" s="150"/>
      <c r="C5" s="152"/>
      <c r="D5" s="104"/>
      <c r="E5" s="152"/>
      <c r="F5" s="667" t="str">
        <f>IFERROR((E5-B5)/B5,"")</f>
        <v/>
      </c>
      <c r="G5" s="668" t="str">
        <f>IFERROR(E5/C5,"")</f>
        <v/>
      </c>
      <c r="H5" s="122" t="str">
        <f>IF(A5&lt;&gt;"",IF(SUM(B5:E5)&lt;&gt;0,"是","否"),"是")</f>
        <v>否</v>
      </c>
    </row>
    <row r="6" ht="24" customHeight="1" spans="1:8">
      <c r="A6" s="153" t="s">
        <v>1703</v>
      </c>
      <c r="B6" s="153"/>
      <c r="C6" s="152"/>
      <c r="D6" s="152"/>
      <c r="E6" s="152"/>
      <c r="F6" s="667" t="str">
        <f t="shared" ref="F6:F37" si="0">IFERROR((E6-B6)/B6,"")</f>
        <v/>
      </c>
      <c r="G6" s="669" t="str">
        <f t="shared" ref="G6:G37" si="1">IFERROR(E6/C6,"")</f>
        <v/>
      </c>
      <c r="H6" s="122" t="str">
        <f t="shared" ref="H6:H37" si="2">IF(A6&lt;&gt;"",IF(SUM(B6:E6)&lt;&gt;0,"是","否"),"是")</f>
        <v>否</v>
      </c>
    </row>
    <row r="7" ht="24" customHeight="1" spans="1:8">
      <c r="A7" s="153" t="s">
        <v>1704</v>
      </c>
      <c r="B7" s="153"/>
      <c r="C7" s="152"/>
      <c r="D7" s="152"/>
      <c r="E7" s="152"/>
      <c r="F7" s="667" t="str">
        <f t="shared" si="0"/>
        <v/>
      </c>
      <c r="G7" s="669" t="str">
        <f t="shared" si="1"/>
        <v/>
      </c>
      <c r="H7" s="122" t="str">
        <f t="shared" si="2"/>
        <v>否</v>
      </c>
    </row>
    <row r="8" s="142" customFormat="1" ht="24" customHeight="1" spans="1:8">
      <c r="A8" s="153" t="s">
        <v>1705</v>
      </c>
      <c r="B8" s="153"/>
      <c r="C8" s="154"/>
      <c r="D8" s="154"/>
      <c r="E8" s="154"/>
      <c r="F8" s="667" t="str">
        <f t="shared" si="0"/>
        <v/>
      </c>
      <c r="G8" s="669" t="str">
        <f t="shared" si="1"/>
        <v/>
      </c>
      <c r="H8" s="122" t="str">
        <f t="shared" si="2"/>
        <v>否</v>
      </c>
    </row>
    <row r="9" s="142" customFormat="1" ht="24" customHeight="1" spans="1:8">
      <c r="A9" s="150" t="s">
        <v>1706</v>
      </c>
      <c r="B9" s="664">
        <v>20828</v>
      </c>
      <c r="C9" s="107">
        <v>21223</v>
      </c>
      <c r="D9" s="107">
        <v>21223</v>
      </c>
      <c r="E9" s="115">
        <v>21523</v>
      </c>
      <c r="F9" s="670">
        <f t="shared" si="0"/>
        <v>0.0333685423468408</v>
      </c>
      <c r="G9" s="668">
        <f t="shared" si="1"/>
        <v>1.01413560759553</v>
      </c>
      <c r="H9" s="122" t="str">
        <f t="shared" si="2"/>
        <v>是</v>
      </c>
    </row>
    <row r="10" s="142" customFormat="1" ht="24" customHeight="1" spans="1:8">
      <c r="A10" s="153" t="s">
        <v>1703</v>
      </c>
      <c r="B10" s="665">
        <v>18166</v>
      </c>
      <c r="C10" s="156">
        <v>17987</v>
      </c>
      <c r="D10" s="110">
        <v>17987</v>
      </c>
      <c r="E10" s="155">
        <v>17910</v>
      </c>
      <c r="F10" s="667">
        <f t="shared" si="0"/>
        <v>-0.0140922602664318</v>
      </c>
      <c r="G10" s="669">
        <f t="shared" si="1"/>
        <v>0.995719130483127</v>
      </c>
      <c r="H10" s="122" t="str">
        <f t="shared" si="2"/>
        <v>是</v>
      </c>
    </row>
    <row r="11" s="142" customFormat="1" ht="24" customHeight="1" spans="1:8">
      <c r="A11" s="153" t="s">
        <v>1704</v>
      </c>
      <c r="B11" s="665">
        <v>381</v>
      </c>
      <c r="C11" s="156">
        <v>1225</v>
      </c>
      <c r="D11" s="110">
        <v>1225</v>
      </c>
      <c r="E11" s="155">
        <v>1261</v>
      </c>
      <c r="F11" s="667">
        <f t="shared" si="0"/>
        <v>2.30971128608924</v>
      </c>
      <c r="G11" s="669">
        <f t="shared" si="1"/>
        <v>1.02938775510204</v>
      </c>
      <c r="H11" s="122" t="str">
        <f t="shared" si="2"/>
        <v>是</v>
      </c>
    </row>
    <row r="12" s="142" customFormat="1" ht="24" customHeight="1" spans="1:8">
      <c r="A12" s="153" t="s">
        <v>1705</v>
      </c>
      <c r="B12" s="665">
        <v>1875</v>
      </c>
      <c r="C12" s="156">
        <v>1685</v>
      </c>
      <c r="D12" s="110">
        <v>1685</v>
      </c>
      <c r="E12" s="155">
        <v>1801</v>
      </c>
      <c r="F12" s="667">
        <f t="shared" si="0"/>
        <v>-0.0394666666666667</v>
      </c>
      <c r="G12" s="669">
        <f t="shared" si="1"/>
        <v>1.06884272997033</v>
      </c>
      <c r="H12" s="122" t="str">
        <f t="shared" si="2"/>
        <v>是</v>
      </c>
    </row>
    <row r="13" s="142" customFormat="1" ht="24" customHeight="1" spans="1:8">
      <c r="A13" s="150" t="s">
        <v>1707</v>
      </c>
      <c r="B13" s="664"/>
      <c r="C13" s="157"/>
      <c r="D13" s="107">
        <v>0</v>
      </c>
      <c r="E13" s="157"/>
      <c r="F13" s="667" t="str">
        <f t="shared" si="0"/>
        <v/>
      </c>
      <c r="G13" s="668" t="str">
        <f t="shared" si="1"/>
        <v/>
      </c>
      <c r="H13" s="122" t="str">
        <f t="shared" si="2"/>
        <v>否</v>
      </c>
    </row>
    <row r="14" ht="24" customHeight="1" spans="1:8">
      <c r="A14" s="153" t="s">
        <v>1703</v>
      </c>
      <c r="B14" s="665"/>
      <c r="C14" s="156"/>
      <c r="D14" s="107">
        <v>0</v>
      </c>
      <c r="E14" s="156"/>
      <c r="F14" s="667" t="str">
        <f t="shared" si="0"/>
        <v/>
      </c>
      <c r="G14" s="668" t="str">
        <f t="shared" si="1"/>
        <v/>
      </c>
      <c r="H14" s="122" t="str">
        <f t="shared" si="2"/>
        <v>否</v>
      </c>
    </row>
    <row r="15" ht="24" customHeight="1" spans="1:8">
      <c r="A15" s="153" t="s">
        <v>1704</v>
      </c>
      <c r="B15" s="665"/>
      <c r="C15" s="156"/>
      <c r="D15" s="107">
        <v>0</v>
      </c>
      <c r="E15" s="156"/>
      <c r="F15" s="667" t="str">
        <f t="shared" si="0"/>
        <v/>
      </c>
      <c r="G15" s="668" t="str">
        <f t="shared" si="1"/>
        <v/>
      </c>
      <c r="H15" s="122" t="str">
        <f t="shared" si="2"/>
        <v>否</v>
      </c>
    </row>
    <row r="16" ht="24" customHeight="1" spans="1:8">
      <c r="A16" s="153" t="s">
        <v>1705</v>
      </c>
      <c r="B16" s="665"/>
      <c r="C16" s="158"/>
      <c r="D16" s="107">
        <v>0</v>
      </c>
      <c r="E16" s="158"/>
      <c r="F16" s="667" t="str">
        <f t="shared" si="0"/>
        <v/>
      </c>
      <c r="G16" s="668" t="str">
        <f t="shared" si="1"/>
        <v/>
      </c>
      <c r="H16" s="122" t="str">
        <f t="shared" si="2"/>
        <v>否</v>
      </c>
    </row>
    <row r="17" ht="24" customHeight="1" spans="1:8">
      <c r="A17" s="150" t="s">
        <v>1708</v>
      </c>
      <c r="B17" s="664" t="s">
        <v>1746</v>
      </c>
      <c r="C17" s="157">
        <v>102281</v>
      </c>
      <c r="D17" s="107">
        <v>102281</v>
      </c>
      <c r="E17" s="159">
        <v>106622</v>
      </c>
      <c r="F17" s="670">
        <f t="shared" si="0"/>
        <v>0.108717127496958</v>
      </c>
      <c r="G17" s="668">
        <f t="shared" si="1"/>
        <v>1.04244190025518</v>
      </c>
      <c r="H17" s="122" t="str">
        <f t="shared" si="2"/>
        <v>是</v>
      </c>
    </row>
    <row r="18" ht="24" customHeight="1" spans="1:8">
      <c r="A18" s="153" t="s">
        <v>1703</v>
      </c>
      <c r="B18" s="665">
        <v>92326</v>
      </c>
      <c r="C18" s="156">
        <v>95089</v>
      </c>
      <c r="D18" s="107">
        <v>95089</v>
      </c>
      <c r="E18" s="155">
        <v>96947</v>
      </c>
      <c r="F18" s="667">
        <f t="shared" si="0"/>
        <v>0.0500509065701969</v>
      </c>
      <c r="G18" s="669">
        <f t="shared" si="1"/>
        <v>1.01953958922693</v>
      </c>
      <c r="H18" s="122" t="str">
        <f t="shared" si="2"/>
        <v>是</v>
      </c>
    </row>
    <row r="19" ht="24" customHeight="1" spans="1:8">
      <c r="A19" s="153" t="s">
        <v>1704</v>
      </c>
      <c r="B19" s="665">
        <v>1267</v>
      </c>
      <c r="C19" s="156">
        <v>6800</v>
      </c>
      <c r="D19" s="107">
        <v>6800</v>
      </c>
      <c r="E19" s="155">
        <v>6634</v>
      </c>
      <c r="F19" s="667">
        <f t="shared" si="0"/>
        <v>4.23599052880821</v>
      </c>
      <c r="G19" s="669">
        <f t="shared" si="1"/>
        <v>0.975588235294118</v>
      </c>
      <c r="H19" s="122" t="str">
        <f t="shared" si="2"/>
        <v>是</v>
      </c>
    </row>
    <row r="20" ht="24" customHeight="1" spans="1:8">
      <c r="A20" s="153" t="s">
        <v>1705</v>
      </c>
      <c r="B20" s="665">
        <v>87</v>
      </c>
      <c r="C20" s="156">
        <v>5</v>
      </c>
      <c r="D20" s="107">
        <v>5</v>
      </c>
      <c r="E20" s="155">
        <v>23</v>
      </c>
      <c r="F20" s="667">
        <f t="shared" si="0"/>
        <v>-0.735632183908046</v>
      </c>
      <c r="G20" s="669">
        <f t="shared" si="1"/>
        <v>4.6</v>
      </c>
      <c r="H20" s="122" t="str">
        <f t="shared" si="2"/>
        <v>是</v>
      </c>
    </row>
    <row r="21" ht="24" customHeight="1" spans="1:8">
      <c r="A21" s="150" t="s">
        <v>1709</v>
      </c>
      <c r="B21" s="664"/>
      <c r="C21" s="157"/>
      <c r="D21" s="107">
        <v>0</v>
      </c>
      <c r="E21" s="159"/>
      <c r="F21" s="667" t="str">
        <f t="shared" si="0"/>
        <v/>
      </c>
      <c r="G21" s="668" t="str">
        <f t="shared" si="1"/>
        <v/>
      </c>
      <c r="H21" s="122" t="str">
        <f t="shared" si="2"/>
        <v>否</v>
      </c>
    </row>
    <row r="22" ht="24" customHeight="1" spans="1:8">
      <c r="A22" s="153" t="s">
        <v>1703</v>
      </c>
      <c r="B22" s="665"/>
      <c r="C22" s="110"/>
      <c r="D22" s="107">
        <v>0</v>
      </c>
      <c r="E22" s="155"/>
      <c r="F22" s="667" t="str">
        <f t="shared" si="0"/>
        <v/>
      </c>
      <c r="G22" s="669" t="str">
        <f t="shared" si="1"/>
        <v/>
      </c>
      <c r="H22" s="122" t="str">
        <f t="shared" si="2"/>
        <v>否</v>
      </c>
    </row>
    <row r="23" ht="24" customHeight="1" spans="1:8">
      <c r="A23" s="153" t="s">
        <v>1704</v>
      </c>
      <c r="B23" s="665"/>
      <c r="C23" s="156"/>
      <c r="D23" s="107">
        <v>0</v>
      </c>
      <c r="E23" s="160"/>
      <c r="F23" s="667" t="str">
        <f t="shared" si="0"/>
        <v/>
      </c>
      <c r="G23" s="669" t="str">
        <f t="shared" si="1"/>
        <v/>
      </c>
      <c r="H23" s="122" t="str">
        <f t="shared" si="2"/>
        <v>否</v>
      </c>
    </row>
    <row r="24" ht="24" customHeight="1" spans="1:8">
      <c r="A24" s="153" t="s">
        <v>1705</v>
      </c>
      <c r="B24" s="665"/>
      <c r="C24" s="110"/>
      <c r="D24" s="107">
        <v>0</v>
      </c>
      <c r="E24" s="155"/>
      <c r="F24" s="667" t="str">
        <f t="shared" si="0"/>
        <v/>
      </c>
      <c r="G24" s="669" t="str">
        <f t="shared" si="1"/>
        <v/>
      </c>
      <c r="H24" s="122" t="str">
        <f t="shared" si="2"/>
        <v>否</v>
      </c>
    </row>
    <row r="25" ht="24" customHeight="1" spans="1:8">
      <c r="A25" s="150" t="s">
        <v>1710</v>
      </c>
      <c r="B25" s="664">
        <v>55537</v>
      </c>
      <c r="C25" s="107">
        <v>55554</v>
      </c>
      <c r="D25" s="107">
        <v>56989</v>
      </c>
      <c r="E25" s="159">
        <v>60463</v>
      </c>
      <c r="F25" s="670">
        <f t="shared" si="0"/>
        <v>0.0886976250067523</v>
      </c>
      <c r="G25" s="668">
        <f t="shared" si="1"/>
        <v>1.08836447420528</v>
      </c>
      <c r="H25" s="122" t="str">
        <f t="shared" si="2"/>
        <v>是</v>
      </c>
    </row>
    <row r="26" ht="24" customHeight="1" spans="1:8">
      <c r="A26" s="153" t="s">
        <v>1703</v>
      </c>
      <c r="B26" s="665">
        <v>17486</v>
      </c>
      <c r="C26" s="110">
        <v>15946</v>
      </c>
      <c r="D26" s="110">
        <v>14370</v>
      </c>
      <c r="E26" s="160">
        <v>16885</v>
      </c>
      <c r="F26" s="667">
        <f t="shared" si="0"/>
        <v>-0.0343703534255976</v>
      </c>
      <c r="G26" s="669">
        <f t="shared" si="1"/>
        <v>1.05888624106359</v>
      </c>
      <c r="H26" s="122" t="str">
        <f t="shared" si="2"/>
        <v>是</v>
      </c>
    </row>
    <row r="27" ht="24" customHeight="1" spans="1:8">
      <c r="A27" s="153" t="s">
        <v>1704</v>
      </c>
      <c r="B27" s="665">
        <v>2870</v>
      </c>
      <c r="C27" s="110">
        <v>1228</v>
      </c>
      <c r="D27" s="110">
        <v>1527</v>
      </c>
      <c r="E27" s="160">
        <v>1458</v>
      </c>
      <c r="F27" s="667">
        <f t="shared" si="0"/>
        <v>-0.49198606271777</v>
      </c>
      <c r="G27" s="669">
        <f t="shared" si="1"/>
        <v>1.18729641693811</v>
      </c>
      <c r="H27" s="122" t="str">
        <f t="shared" si="2"/>
        <v>是</v>
      </c>
    </row>
    <row r="28" ht="24" customHeight="1" spans="1:8">
      <c r="A28" s="153" t="s">
        <v>1705</v>
      </c>
      <c r="B28" s="665">
        <v>30727</v>
      </c>
      <c r="C28" s="110">
        <v>35856</v>
      </c>
      <c r="D28" s="110">
        <v>38549</v>
      </c>
      <c r="E28" s="160">
        <v>36669</v>
      </c>
      <c r="F28" s="667">
        <f t="shared" si="0"/>
        <v>0.193380414619065</v>
      </c>
      <c r="G28" s="669">
        <f t="shared" si="1"/>
        <v>1.02267402945114</v>
      </c>
      <c r="H28" s="122" t="str">
        <f t="shared" si="2"/>
        <v>是</v>
      </c>
    </row>
    <row r="29" ht="24" customHeight="1" spans="1:8">
      <c r="A29" s="150" t="s">
        <v>1711</v>
      </c>
      <c r="B29" s="664">
        <v>115545</v>
      </c>
      <c r="C29" s="157">
        <v>114726</v>
      </c>
      <c r="D29" s="107">
        <v>114726</v>
      </c>
      <c r="E29" s="159">
        <v>114124</v>
      </c>
      <c r="F29" s="670">
        <f t="shared" si="0"/>
        <v>-0.0122982387814271</v>
      </c>
      <c r="G29" s="668">
        <f t="shared" si="1"/>
        <v>0.994752715164828</v>
      </c>
      <c r="H29" s="122" t="str">
        <f t="shared" si="2"/>
        <v>是</v>
      </c>
    </row>
    <row r="30" ht="24" customHeight="1" spans="1:8">
      <c r="A30" s="153" t="s">
        <v>1703</v>
      </c>
      <c r="B30" s="665">
        <v>40987</v>
      </c>
      <c r="C30" s="162">
        <v>42541</v>
      </c>
      <c r="D30" s="110">
        <v>42541</v>
      </c>
      <c r="E30" s="161">
        <v>41323</v>
      </c>
      <c r="F30" s="667">
        <f t="shared" si="0"/>
        <v>0.00819772122868227</v>
      </c>
      <c r="G30" s="669">
        <f t="shared" si="1"/>
        <v>0.971368797160386</v>
      </c>
      <c r="H30" s="122" t="str">
        <f t="shared" si="2"/>
        <v>是</v>
      </c>
    </row>
    <row r="31" ht="24" customHeight="1" spans="1:8">
      <c r="A31" s="153" t="s">
        <v>1704</v>
      </c>
      <c r="B31" s="665">
        <v>1347</v>
      </c>
      <c r="C31" s="162">
        <v>704</v>
      </c>
      <c r="D31" s="110">
        <v>704</v>
      </c>
      <c r="E31" s="160">
        <v>868</v>
      </c>
      <c r="F31" s="667">
        <f t="shared" si="0"/>
        <v>-0.355605048255382</v>
      </c>
      <c r="G31" s="669">
        <f t="shared" si="1"/>
        <v>1.23295454545455</v>
      </c>
      <c r="H31" s="122" t="str">
        <f t="shared" si="2"/>
        <v>是</v>
      </c>
    </row>
    <row r="32" ht="24" customHeight="1" spans="1:8">
      <c r="A32" s="153" t="s">
        <v>1705</v>
      </c>
      <c r="B32" s="665">
        <v>68418</v>
      </c>
      <c r="C32" s="162">
        <v>70903</v>
      </c>
      <c r="D32" s="110">
        <v>70903</v>
      </c>
      <c r="E32" s="160">
        <v>70386</v>
      </c>
      <c r="F32" s="667">
        <f t="shared" si="0"/>
        <v>0.028764360256073</v>
      </c>
      <c r="G32" s="669">
        <f t="shared" si="1"/>
        <v>0.992708348024766</v>
      </c>
      <c r="H32" s="122" t="str">
        <f t="shared" si="2"/>
        <v>是</v>
      </c>
    </row>
    <row r="33" ht="24" customHeight="1" spans="1:8">
      <c r="A33" s="138" t="s">
        <v>1712</v>
      </c>
      <c r="B33" s="157">
        <f t="shared" ref="B33:B36" si="3">B5+B9+B13+B17+B21+B25+B29</f>
        <v>288077</v>
      </c>
      <c r="C33" s="157">
        <f t="shared" ref="C33:C36" si="4">C5+C9+C13+C17+C21+C25+C29</f>
        <v>293784</v>
      </c>
      <c r="D33" s="157">
        <f>D5+D9+D13+D17+D21+D25+D29</f>
        <v>295219</v>
      </c>
      <c r="E33" s="157">
        <f>E5+E9+E13+E17+E21+E25+E29</f>
        <v>302732</v>
      </c>
      <c r="F33" s="670">
        <f t="shared" si="0"/>
        <v>0.0508718155215446</v>
      </c>
      <c r="G33" s="668">
        <f t="shared" si="1"/>
        <v>1.03045775127304</v>
      </c>
      <c r="H33" s="122" t="str">
        <f t="shared" si="2"/>
        <v>是</v>
      </c>
    </row>
    <row r="34" ht="24" customHeight="1" spans="1:8">
      <c r="A34" s="153" t="s">
        <v>1713</v>
      </c>
      <c r="B34" s="156">
        <f t="shared" si="3"/>
        <v>168965</v>
      </c>
      <c r="C34" s="156">
        <f t="shared" si="4"/>
        <v>171563</v>
      </c>
      <c r="D34" s="156">
        <f>D6+D10+D14+D18+D22+D26+D30</f>
        <v>169987</v>
      </c>
      <c r="E34" s="156">
        <f>E6+E10+E14+E18+E22+E26+E30</f>
        <v>173065</v>
      </c>
      <c r="F34" s="667">
        <f t="shared" si="0"/>
        <v>0.0242653804042257</v>
      </c>
      <c r="G34" s="669">
        <f t="shared" si="1"/>
        <v>1.0087548014432</v>
      </c>
      <c r="H34" s="122" t="str">
        <f t="shared" si="2"/>
        <v>是</v>
      </c>
    </row>
    <row r="35" ht="24" customHeight="1" spans="1:8">
      <c r="A35" s="153" t="s">
        <v>1714</v>
      </c>
      <c r="B35" s="156">
        <f t="shared" si="3"/>
        <v>5865</v>
      </c>
      <c r="C35" s="156">
        <f t="shared" si="4"/>
        <v>9957</v>
      </c>
      <c r="D35" s="156">
        <f>D7+D11+D15+D19+D23+D27+D31</f>
        <v>10256</v>
      </c>
      <c r="E35" s="156">
        <f>E7+E11+E15+E19+E23+E27+E31</f>
        <v>10221</v>
      </c>
      <c r="F35" s="667">
        <f t="shared" si="0"/>
        <v>0.742710997442455</v>
      </c>
      <c r="G35" s="669">
        <f t="shared" si="1"/>
        <v>1.02651401024405</v>
      </c>
      <c r="H35" s="122" t="str">
        <f t="shared" si="2"/>
        <v>是</v>
      </c>
    </row>
    <row r="36" ht="24" customHeight="1" spans="1:8">
      <c r="A36" s="153" t="s">
        <v>1715</v>
      </c>
      <c r="B36" s="156">
        <f t="shared" si="3"/>
        <v>101107</v>
      </c>
      <c r="C36" s="156">
        <f t="shared" si="4"/>
        <v>108449</v>
      </c>
      <c r="D36" s="156">
        <f>D8+D12+D16+D20+D24+D28+D32</f>
        <v>111142</v>
      </c>
      <c r="E36" s="156">
        <f>E8+E12+E16+E20+E24+E28+E32</f>
        <v>108879</v>
      </c>
      <c r="F36" s="667">
        <f t="shared" si="0"/>
        <v>0.0768690595112109</v>
      </c>
      <c r="G36" s="669">
        <f t="shared" si="1"/>
        <v>1.00396499737204</v>
      </c>
      <c r="H36" s="122" t="str">
        <f t="shared" si="2"/>
        <v>是</v>
      </c>
    </row>
    <row r="37" ht="24" customHeight="1" spans="1:8">
      <c r="A37" s="138" t="s">
        <v>1716</v>
      </c>
      <c r="B37" s="157">
        <f>B33</f>
        <v>288077</v>
      </c>
      <c r="C37" s="157">
        <f>C33</f>
        <v>293784</v>
      </c>
      <c r="D37" s="157">
        <f>D33</f>
        <v>295219</v>
      </c>
      <c r="E37" s="157">
        <f>E33</f>
        <v>302732</v>
      </c>
      <c r="F37" s="670">
        <f t="shared" si="0"/>
        <v>0.0508718155215446</v>
      </c>
      <c r="G37" s="668">
        <f t="shared" si="1"/>
        <v>1.03045775127304</v>
      </c>
      <c r="H37" s="122" t="str">
        <f t="shared" si="2"/>
        <v>是</v>
      </c>
    </row>
    <row r="38" spans="3:7">
      <c r="C38" s="163"/>
      <c r="D38" s="163"/>
      <c r="E38" s="163"/>
      <c r="F38" s="163"/>
      <c r="G38" s="163"/>
    </row>
    <row r="39" spans="3:7">
      <c r="C39" s="163"/>
      <c r="D39" s="163"/>
      <c r="E39" s="163"/>
      <c r="F39" s="163"/>
      <c r="G39" s="163"/>
    </row>
    <row r="40" spans="3:7">
      <c r="C40" s="163"/>
      <c r="D40" s="163"/>
      <c r="E40" s="163"/>
      <c r="F40" s="163"/>
      <c r="G40" s="163"/>
    </row>
    <row r="41" spans="3:7">
      <c r="C41" s="163"/>
      <c r="D41" s="163"/>
      <c r="E41" s="163"/>
      <c r="F41" s="163"/>
      <c r="G41" s="163"/>
    </row>
  </sheetData>
  <autoFilter ref="A4:H37">
    <extLst/>
  </autoFilter>
  <mergeCells count="5">
    <mergeCell ref="A1:G1"/>
    <mergeCell ref="C3:E3"/>
    <mergeCell ref="F3:G3"/>
    <mergeCell ref="A3:A4"/>
    <mergeCell ref="B3:B4"/>
  </mergeCells>
  <conditionalFormatting sqref="E24">
    <cfRule type="cellIs" dxfId="3" priority="3" stopIfTrue="1" operator="lessThanOrEqual">
      <formula>-1</formula>
    </cfRule>
  </conditionalFormatting>
  <conditionalFormatting sqref="E30">
    <cfRule type="cellIs" dxfId="3" priority="1" stopIfTrue="1" operator="lessThanOrEqual">
      <formula>-1</formula>
    </cfRule>
  </conditionalFormatting>
  <conditionalFormatting sqref="E18:E20">
    <cfRule type="cellIs" dxfId="3" priority="2" stopIfTrue="1" operator="lessThanOrEqual">
      <formula>-1</formula>
    </cfRule>
  </conditionalFormatting>
  <printOptions horizontalCentered="1"/>
  <pageMargins left="0" right="0" top="0.550694444444444" bottom="0.550694444444444" header="0.314583333333333" footer="0.314583333333333"/>
  <pageSetup paperSize="9" scale="66" fitToHeight="0" orientation="portrait" horizontalDpi="600"/>
  <headerFooter alignWithMargins="0">
    <oddFooter>&amp;C&amp;16- &amp;P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FF0000"/>
    <pageSetUpPr fitToPage="1"/>
  </sheetPr>
  <dimension ref="A1:H25"/>
  <sheetViews>
    <sheetView showGridLines="0" showZeros="0" view="pageBreakPreview" zoomScale="70" zoomScaleNormal="100" workbookViewId="0">
      <pane ySplit="4" topLeftCell="A5" activePane="bottomLeft" state="frozen"/>
      <selection/>
      <selection pane="bottomLeft" activeCell="G18" sqref="G18"/>
    </sheetView>
  </sheetViews>
  <sheetFormatPr defaultColWidth="9" defaultRowHeight="14.25" outlineLevelCol="7"/>
  <cols>
    <col min="1" max="1" width="50.75" style="97" customWidth="1"/>
    <col min="2" max="5" width="16.425" style="123" customWidth="1"/>
    <col min="6" max="6" width="14.9916666666667" style="123" customWidth="1"/>
    <col min="7" max="7" width="14.9916666666667" style="97" customWidth="1"/>
    <col min="8" max="8" width="5.13333333333333" style="97" customWidth="1"/>
    <col min="9" max="10" width="12.6333333333333" style="97"/>
    <col min="11" max="249" width="9" style="97"/>
    <col min="250" max="250" width="41.6333333333333" style="97" customWidth="1"/>
    <col min="251" max="252" width="14.5" style="97" customWidth="1"/>
    <col min="253" max="253" width="13.8833333333333" style="97" customWidth="1"/>
    <col min="254" max="256" width="9" style="97"/>
    <col min="257" max="258" width="10.5" style="97" customWidth="1"/>
    <col min="259" max="505" width="9" style="97"/>
    <col min="506" max="506" width="41.6333333333333" style="97" customWidth="1"/>
    <col min="507" max="508" width="14.5" style="97" customWidth="1"/>
    <col min="509" max="509" width="13.8833333333333" style="97" customWidth="1"/>
    <col min="510" max="512" width="9" style="97"/>
    <col min="513" max="514" width="10.5" style="97" customWidth="1"/>
    <col min="515" max="761" width="9" style="97"/>
    <col min="762" max="762" width="41.6333333333333" style="97" customWidth="1"/>
    <col min="763" max="764" width="14.5" style="97" customWidth="1"/>
    <col min="765" max="765" width="13.8833333333333" style="97" customWidth="1"/>
    <col min="766" max="768" width="9" style="97"/>
    <col min="769" max="770" width="10.5" style="97" customWidth="1"/>
    <col min="771" max="1017" width="9" style="97"/>
    <col min="1018" max="1018" width="41.6333333333333" style="97" customWidth="1"/>
    <col min="1019" max="1020" width="14.5" style="97" customWidth="1"/>
    <col min="1021" max="1021" width="13.8833333333333" style="97" customWidth="1"/>
    <col min="1022" max="1024" width="9" style="97"/>
    <col min="1025" max="1026" width="10.5" style="97" customWidth="1"/>
    <col min="1027" max="1273" width="9" style="97"/>
    <col min="1274" max="1274" width="41.6333333333333" style="97" customWidth="1"/>
    <col min="1275" max="1276" width="14.5" style="97" customWidth="1"/>
    <col min="1277" max="1277" width="13.8833333333333" style="97" customWidth="1"/>
    <col min="1278" max="1280" width="9" style="97"/>
    <col min="1281" max="1282" width="10.5" style="97" customWidth="1"/>
    <col min="1283" max="1529" width="9" style="97"/>
    <col min="1530" max="1530" width="41.6333333333333" style="97" customWidth="1"/>
    <col min="1531" max="1532" width="14.5" style="97" customWidth="1"/>
    <col min="1533" max="1533" width="13.8833333333333" style="97" customWidth="1"/>
    <col min="1534" max="1536" width="9" style="97"/>
    <col min="1537" max="1538" width="10.5" style="97" customWidth="1"/>
    <col min="1539" max="1785" width="9" style="97"/>
    <col min="1786" max="1786" width="41.6333333333333" style="97" customWidth="1"/>
    <col min="1787" max="1788" width="14.5" style="97" customWidth="1"/>
    <col min="1789" max="1789" width="13.8833333333333" style="97" customWidth="1"/>
    <col min="1790" max="1792" width="9" style="97"/>
    <col min="1793" max="1794" width="10.5" style="97" customWidth="1"/>
    <col min="1795" max="2041" width="9" style="97"/>
    <col min="2042" max="2042" width="41.6333333333333" style="97" customWidth="1"/>
    <col min="2043" max="2044" width="14.5" style="97" customWidth="1"/>
    <col min="2045" max="2045" width="13.8833333333333" style="97" customWidth="1"/>
    <col min="2046" max="2048" width="9" style="97"/>
    <col min="2049" max="2050" width="10.5" style="97" customWidth="1"/>
    <col min="2051" max="2297" width="9" style="97"/>
    <col min="2298" max="2298" width="41.6333333333333" style="97" customWidth="1"/>
    <col min="2299" max="2300" width="14.5" style="97" customWidth="1"/>
    <col min="2301" max="2301" width="13.8833333333333" style="97" customWidth="1"/>
    <col min="2302" max="2304" width="9" style="97"/>
    <col min="2305" max="2306" width="10.5" style="97" customWidth="1"/>
    <col min="2307" max="2553" width="9" style="97"/>
    <col min="2554" max="2554" width="41.6333333333333" style="97" customWidth="1"/>
    <col min="2555" max="2556" width="14.5" style="97" customWidth="1"/>
    <col min="2557" max="2557" width="13.8833333333333" style="97" customWidth="1"/>
    <col min="2558" max="2560" width="9" style="97"/>
    <col min="2561" max="2562" width="10.5" style="97" customWidth="1"/>
    <col min="2563" max="2809" width="9" style="97"/>
    <col min="2810" max="2810" width="41.6333333333333" style="97" customWidth="1"/>
    <col min="2811" max="2812" width="14.5" style="97" customWidth="1"/>
    <col min="2813" max="2813" width="13.8833333333333" style="97" customWidth="1"/>
    <col min="2814" max="2816" width="9" style="97"/>
    <col min="2817" max="2818" width="10.5" style="97" customWidth="1"/>
    <col min="2819" max="3065" width="9" style="97"/>
    <col min="3066" max="3066" width="41.6333333333333" style="97" customWidth="1"/>
    <col min="3067" max="3068" width="14.5" style="97" customWidth="1"/>
    <col min="3069" max="3069" width="13.8833333333333" style="97" customWidth="1"/>
    <col min="3070" max="3072" width="9" style="97"/>
    <col min="3073" max="3074" width="10.5" style="97" customWidth="1"/>
    <col min="3075" max="3321" width="9" style="97"/>
    <col min="3322" max="3322" width="41.6333333333333" style="97" customWidth="1"/>
    <col min="3323" max="3324" width="14.5" style="97" customWidth="1"/>
    <col min="3325" max="3325" width="13.8833333333333" style="97" customWidth="1"/>
    <col min="3326" max="3328" width="9" style="97"/>
    <col min="3329" max="3330" width="10.5" style="97" customWidth="1"/>
    <col min="3331" max="3577" width="9" style="97"/>
    <col min="3578" max="3578" width="41.6333333333333" style="97" customWidth="1"/>
    <col min="3579" max="3580" width="14.5" style="97" customWidth="1"/>
    <col min="3581" max="3581" width="13.8833333333333" style="97" customWidth="1"/>
    <col min="3582" max="3584" width="9" style="97"/>
    <col min="3585" max="3586" width="10.5" style="97" customWidth="1"/>
    <col min="3587" max="3833" width="9" style="97"/>
    <col min="3834" max="3834" width="41.6333333333333" style="97" customWidth="1"/>
    <col min="3835" max="3836" width="14.5" style="97" customWidth="1"/>
    <col min="3837" max="3837" width="13.8833333333333" style="97" customWidth="1"/>
    <col min="3838" max="3840" width="9" style="97"/>
    <col min="3841" max="3842" width="10.5" style="97" customWidth="1"/>
    <col min="3843" max="4089" width="9" style="97"/>
    <col min="4090" max="4090" width="41.6333333333333" style="97" customWidth="1"/>
    <col min="4091" max="4092" width="14.5" style="97" customWidth="1"/>
    <col min="4093" max="4093" width="13.8833333333333" style="97" customWidth="1"/>
    <col min="4094" max="4096" width="9" style="97"/>
    <col min="4097" max="4098" width="10.5" style="97" customWidth="1"/>
    <col min="4099" max="4345" width="9" style="97"/>
    <col min="4346" max="4346" width="41.6333333333333" style="97" customWidth="1"/>
    <col min="4347" max="4348" width="14.5" style="97" customWidth="1"/>
    <col min="4349" max="4349" width="13.8833333333333" style="97" customWidth="1"/>
    <col min="4350" max="4352" width="9" style="97"/>
    <col min="4353" max="4354" width="10.5" style="97" customWidth="1"/>
    <col min="4355" max="4601" width="9" style="97"/>
    <col min="4602" max="4602" width="41.6333333333333" style="97" customWidth="1"/>
    <col min="4603" max="4604" width="14.5" style="97" customWidth="1"/>
    <col min="4605" max="4605" width="13.8833333333333" style="97" customWidth="1"/>
    <col min="4606" max="4608" width="9" style="97"/>
    <col min="4609" max="4610" width="10.5" style="97" customWidth="1"/>
    <col min="4611" max="4857" width="9" style="97"/>
    <col min="4858" max="4858" width="41.6333333333333" style="97" customWidth="1"/>
    <col min="4859" max="4860" width="14.5" style="97" customWidth="1"/>
    <col min="4861" max="4861" width="13.8833333333333" style="97" customWidth="1"/>
    <col min="4862" max="4864" width="9" style="97"/>
    <col min="4865" max="4866" width="10.5" style="97" customWidth="1"/>
    <col min="4867" max="5113" width="9" style="97"/>
    <col min="5114" max="5114" width="41.6333333333333" style="97" customWidth="1"/>
    <col min="5115" max="5116" width="14.5" style="97" customWidth="1"/>
    <col min="5117" max="5117" width="13.8833333333333" style="97" customWidth="1"/>
    <col min="5118" max="5120" width="9" style="97"/>
    <col min="5121" max="5122" width="10.5" style="97" customWidth="1"/>
    <col min="5123" max="5369" width="9" style="97"/>
    <col min="5370" max="5370" width="41.6333333333333" style="97" customWidth="1"/>
    <col min="5371" max="5372" width="14.5" style="97" customWidth="1"/>
    <col min="5373" max="5373" width="13.8833333333333" style="97" customWidth="1"/>
    <col min="5374" max="5376" width="9" style="97"/>
    <col min="5377" max="5378" width="10.5" style="97" customWidth="1"/>
    <col min="5379" max="5625" width="9" style="97"/>
    <col min="5626" max="5626" width="41.6333333333333" style="97" customWidth="1"/>
    <col min="5627" max="5628" width="14.5" style="97" customWidth="1"/>
    <col min="5629" max="5629" width="13.8833333333333" style="97" customWidth="1"/>
    <col min="5630" max="5632" width="9" style="97"/>
    <col min="5633" max="5634" width="10.5" style="97" customWidth="1"/>
    <col min="5635" max="5881" width="9" style="97"/>
    <col min="5882" max="5882" width="41.6333333333333" style="97" customWidth="1"/>
    <col min="5883" max="5884" width="14.5" style="97" customWidth="1"/>
    <col min="5885" max="5885" width="13.8833333333333" style="97" customWidth="1"/>
    <col min="5886" max="5888" width="9" style="97"/>
    <col min="5889" max="5890" width="10.5" style="97" customWidth="1"/>
    <col min="5891" max="6137" width="9" style="97"/>
    <col min="6138" max="6138" width="41.6333333333333" style="97" customWidth="1"/>
    <col min="6139" max="6140" width="14.5" style="97" customWidth="1"/>
    <col min="6141" max="6141" width="13.8833333333333" style="97" customWidth="1"/>
    <col min="6142" max="6144" width="9" style="97"/>
    <col min="6145" max="6146" width="10.5" style="97" customWidth="1"/>
    <col min="6147" max="6393" width="9" style="97"/>
    <col min="6394" max="6394" width="41.6333333333333" style="97" customWidth="1"/>
    <col min="6395" max="6396" width="14.5" style="97" customWidth="1"/>
    <col min="6397" max="6397" width="13.8833333333333" style="97" customWidth="1"/>
    <col min="6398" max="6400" width="9" style="97"/>
    <col min="6401" max="6402" width="10.5" style="97" customWidth="1"/>
    <col min="6403" max="6649" width="9" style="97"/>
    <col min="6650" max="6650" width="41.6333333333333" style="97" customWidth="1"/>
    <col min="6651" max="6652" width="14.5" style="97" customWidth="1"/>
    <col min="6653" max="6653" width="13.8833333333333" style="97" customWidth="1"/>
    <col min="6654" max="6656" width="9" style="97"/>
    <col min="6657" max="6658" width="10.5" style="97" customWidth="1"/>
    <col min="6659" max="6905" width="9" style="97"/>
    <col min="6906" max="6906" width="41.6333333333333" style="97" customWidth="1"/>
    <col min="6907" max="6908" width="14.5" style="97" customWidth="1"/>
    <col min="6909" max="6909" width="13.8833333333333" style="97" customWidth="1"/>
    <col min="6910" max="6912" width="9" style="97"/>
    <col min="6913" max="6914" width="10.5" style="97" customWidth="1"/>
    <col min="6915" max="7161" width="9" style="97"/>
    <col min="7162" max="7162" width="41.6333333333333" style="97" customWidth="1"/>
    <col min="7163" max="7164" width="14.5" style="97" customWidth="1"/>
    <col min="7165" max="7165" width="13.8833333333333" style="97" customWidth="1"/>
    <col min="7166" max="7168" width="9" style="97"/>
    <col min="7169" max="7170" width="10.5" style="97" customWidth="1"/>
    <col min="7171" max="7417" width="9" style="97"/>
    <col min="7418" max="7418" width="41.6333333333333" style="97" customWidth="1"/>
    <col min="7419" max="7420" width="14.5" style="97" customWidth="1"/>
    <col min="7421" max="7421" width="13.8833333333333" style="97" customWidth="1"/>
    <col min="7422" max="7424" width="9" style="97"/>
    <col min="7425" max="7426" width="10.5" style="97" customWidth="1"/>
    <col min="7427" max="7673" width="9" style="97"/>
    <col min="7674" max="7674" width="41.6333333333333" style="97" customWidth="1"/>
    <col min="7675" max="7676" width="14.5" style="97" customWidth="1"/>
    <col min="7677" max="7677" width="13.8833333333333" style="97" customWidth="1"/>
    <col min="7678" max="7680" width="9" style="97"/>
    <col min="7681" max="7682" width="10.5" style="97" customWidth="1"/>
    <col min="7683" max="7929" width="9" style="97"/>
    <col min="7930" max="7930" width="41.6333333333333" style="97" customWidth="1"/>
    <col min="7931" max="7932" width="14.5" style="97" customWidth="1"/>
    <col min="7933" max="7933" width="13.8833333333333" style="97" customWidth="1"/>
    <col min="7934" max="7936" width="9" style="97"/>
    <col min="7937" max="7938" width="10.5" style="97" customWidth="1"/>
    <col min="7939" max="8185" width="9" style="97"/>
    <col min="8186" max="8186" width="41.6333333333333" style="97" customWidth="1"/>
    <col min="8187" max="8188" width="14.5" style="97" customWidth="1"/>
    <col min="8189" max="8189" width="13.8833333333333" style="97" customWidth="1"/>
    <col min="8190" max="8192" width="9" style="97"/>
    <col min="8193" max="8194" width="10.5" style="97" customWidth="1"/>
    <col min="8195" max="8441" width="9" style="97"/>
    <col min="8442" max="8442" width="41.6333333333333" style="97" customWidth="1"/>
    <col min="8443" max="8444" width="14.5" style="97" customWidth="1"/>
    <col min="8445" max="8445" width="13.8833333333333" style="97" customWidth="1"/>
    <col min="8446" max="8448" width="9" style="97"/>
    <col min="8449" max="8450" width="10.5" style="97" customWidth="1"/>
    <col min="8451" max="8697" width="9" style="97"/>
    <col min="8698" max="8698" width="41.6333333333333" style="97" customWidth="1"/>
    <col min="8699" max="8700" width="14.5" style="97" customWidth="1"/>
    <col min="8701" max="8701" width="13.8833333333333" style="97" customWidth="1"/>
    <col min="8702" max="8704" width="9" style="97"/>
    <col min="8705" max="8706" width="10.5" style="97" customWidth="1"/>
    <col min="8707" max="8953" width="9" style="97"/>
    <col min="8954" max="8954" width="41.6333333333333" style="97" customWidth="1"/>
    <col min="8955" max="8956" width="14.5" style="97" customWidth="1"/>
    <col min="8957" max="8957" width="13.8833333333333" style="97" customWidth="1"/>
    <col min="8958" max="8960" width="9" style="97"/>
    <col min="8961" max="8962" width="10.5" style="97" customWidth="1"/>
    <col min="8963" max="9209" width="9" style="97"/>
    <col min="9210" max="9210" width="41.6333333333333" style="97" customWidth="1"/>
    <col min="9211" max="9212" width="14.5" style="97" customWidth="1"/>
    <col min="9213" max="9213" width="13.8833333333333" style="97" customWidth="1"/>
    <col min="9214" max="9216" width="9" style="97"/>
    <col min="9217" max="9218" width="10.5" style="97" customWidth="1"/>
    <col min="9219" max="9465" width="9" style="97"/>
    <col min="9466" max="9466" width="41.6333333333333" style="97" customWidth="1"/>
    <col min="9467" max="9468" width="14.5" style="97" customWidth="1"/>
    <col min="9469" max="9469" width="13.8833333333333" style="97" customWidth="1"/>
    <col min="9470" max="9472" width="9" style="97"/>
    <col min="9473" max="9474" width="10.5" style="97" customWidth="1"/>
    <col min="9475" max="9721" width="9" style="97"/>
    <col min="9722" max="9722" width="41.6333333333333" style="97" customWidth="1"/>
    <col min="9723" max="9724" width="14.5" style="97" customWidth="1"/>
    <col min="9725" max="9725" width="13.8833333333333" style="97" customWidth="1"/>
    <col min="9726" max="9728" width="9" style="97"/>
    <col min="9729" max="9730" width="10.5" style="97" customWidth="1"/>
    <col min="9731" max="9977" width="9" style="97"/>
    <col min="9978" max="9978" width="41.6333333333333" style="97" customWidth="1"/>
    <col min="9979" max="9980" width="14.5" style="97" customWidth="1"/>
    <col min="9981" max="9981" width="13.8833333333333" style="97" customWidth="1"/>
    <col min="9982" max="9984" width="9" style="97"/>
    <col min="9985" max="9986" width="10.5" style="97" customWidth="1"/>
    <col min="9987" max="10233" width="9" style="97"/>
    <col min="10234" max="10234" width="41.6333333333333" style="97" customWidth="1"/>
    <col min="10235" max="10236" width="14.5" style="97" customWidth="1"/>
    <col min="10237" max="10237" width="13.8833333333333" style="97" customWidth="1"/>
    <col min="10238" max="10240" width="9" style="97"/>
    <col min="10241" max="10242" width="10.5" style="97" customWidth="1"/>
    <col min="10243" max="10489" width="9" style="97"/>
    <col min="10490" max="10490" width="41.6333333333333" style="97" customWidth="1"/>
    <col min="10491" max="10492" width="14.5" style="97" customWidth="1"/>
    <col min="10493" max="10493" width="13.8833333333333" style="97" customWidth="1"/>
    <col min="10494" max="10496" width="9" style="97"/>
    <col min="10497" max="10498" width="10.5" style="97" customWidth="1"/>
    <col min="10499" max="10745" width="9" style="97"/>
    <col min="10746" max="10746" width="41.6333333333333" style="97" customWidth="1"/>
    <col min="10747" max="10748" width="14.5" style="97" customWidth="1"/>
    <col min="10749" max="10749" width="13.8833333333333" style="97" customWidth="1"/>
    <col min="10750" max="10752" width="9" style="97"/>
    <col min="10753" max="10754" width="10.5" style="97" customWidth="1"/>
    <col min="10755" max="11001" width="9" style="97"/>
    <col min="11002" max="11002" width="41.6333333333333" style="97" customWidth="1"/>
    <col min="11003" max="11004" width="14.5" style="97" customWidth="1"/>
    <col min="11005" max="11005" width="13.8833333333333" style="97" customWidth="1"/>
    <col min="11006" max="11008" width="9" style="97"/>
    <col min="11009" max="11010" width="10.5" style="97" customWidth="1"/>
    <col min="11011" max="11257" width="9" style="97"/>
    <col min="11258" max="11258" width="41.6333333333333" style="97" customWidth="1"/>
    <col min="11259" max="11260" width="14.5" style="97" customWidth="1"/>
    <col min="11261" max="11261" width="13.8833333333333" style="97" customWidth="1"/>
    <col min="11262" max="11264" width="9" style="97"/>
    <col min="11265" max="11266" width="10.5" style="97" customWidth="1"/>
    <col min="11267" max="11513" width="9" style="97"/>
    <col min="11514" max="11514" width="41.6333333333333" style="97" customWidth="1"/>
    <col min="11515" max="11516" width="14.5" style="97" customWidth="1"/>
    <col min="11517" max="11517" width="13.8833333333333" style="97" customWidth="1"/>
    <col min="11518" max="11520" width="9" style="97"/>
    <col min="11521" max="11522" width="10.5" style="97" customWidth="1"/>
    <col min="11523" max="11769" width="9" style="97"/>
    <col min="11770" max="11770" width="41.6333333333333" style="97" customWidth="1"/>
    <col min="11771" max="11772" width="14.5" style="97" customWidth="1"/>
    <col min="11773" max="11773" width="13.8833333333333" style="97" customWidth="1"/>
    <col min="11774" max="11776" width="9" style="97"/>
    <col min="11777" max="11778" width="10.5" style="97" customWidth="1"/>
    <col min="11779" max="12025" width="9" style="97"/>
    <col min="12026" max="12026" width="41.6333333333333" style="97" customWidth="1"/>
    <col min="12027" max="12028" width="14.5" style="97" customWidth="1"/>
    <col min="12029" max="12029" width="13.8833333333333" style="97" customWidth="1"/>
    <col min="12030" max="12032" width="9" style="97"/>
    <col min="12033" max="12034" width="10.5" style="97" customWidth="1"/>
    <col min="12035" max="12281" width="9" style="97"/>
    <col min="12282" max="12282" width="41.6333333333333" style="97" customWidth="1"/>
    <col min="12283" max="12284" width="14.5" style="97" customWidth="1"/>
    <col min="12285" max="12285" width="13.8833333333333" style="97" customWidth="1"/>
    <col min="12286" max="12288" width="9" style="97"/>
    <col min="12289" max="12290" width="10.5" style="97" customWidth="1"/>
    <col min="12291" max="12537" width="9" style="97"/>
    <col min="12538" max="12538" width="41.6333333333333" style="97" customWidth="1"/>
    <col min="12539" max="12540" width="14.5" style="97" customWidth="1"/>
    <col min="12541" max="12541" width="13.8833333333333" style="97" customWidth="1"/>
    <col min="12542" max="12544" width="9" style="97"/>
    <col min="12545" max="12546" width="10.5" style="97" customWidth="1"/>
    <col min="12547" max="12793" width="9" style="97"/>
    <col min="12794" max="12794" width="41.6333333333333" style="97" customWidth="1"/>
    <col min="12795" max="12796" width="14.5" style="97" customWidth="1"/>
    <col min="12797" max="12797" width="13.8833333333333" style="97" customWidth="1"/>
    <col min="12798" max="12800" width="9" style="97"/>
    <col min="12801" max="12802" width="10.5" style="97" customWidth="1"/>
    <col min="12803" max="13049" width="9" style="97"/>
    <col min="13050" max="13050" width="41.6333333333333" style="97" customWidth="1"/>
    <col min="13051" max="13052" width="14.5" style="97" customWidth="1"/>
    <col min="13053" max="13053" width="13.8833333333333" style="97" customWidth="1"/>
    <col min="13054" max="13056" width="9" style="97"/>
    <col min="13057" max="13058" width="10.5" style="97" customWidth="1"/>
    <col min="13059" max="13305" width="9" style="97"/>
    <col min="13306" max="13306" width="41.6333333333333" style="97" customWidth="1"/>
    <col min="13307" max="13308" width="14.5" style="97" customWidth="1"/>
    <col min="13309" max="13309" width="13.8833333333333" style="97" customWidth="1"/>
    <col min="13310" max="13312" width="9" style="97"/>
    <col min="13313" max="13314" width="10.5" style="97" customWidth="1"/>
    <col min="13315" max="13561" width="9" style="97"/>
    <col min="13562" max="13562" width="41.6333333333333" style="97" customWidth="1"/>
    <col min="13563" max="13564" width="14.5" style="97" customWidth="1"/>
    <col min="13565" max="13565" width="13.8833333333333" style="97" customWidth="1"/>
    <col min="13566" max="13568" width="9" style="97"/>
    <col min="13569" max="13570" width="10.5" style="97" customWidth="1"/>
    <col min="13571" max="13817" width="9" style="97"/>
    <col min="13818" max="13818" width="41.6333333333333" style="97" customWidth="1"/>
    <col min="13819" max="13820" width="14.5" style="97" customWidth="1"/>
    <col min="13821" max="13821" width="13.8833333333333" style="97" customWidth="1"/>
    <col min="13822" max="13824" width="9" style="97"/>
    <col min="13825" max="13826" width="10.5" style="97" customWidth="1"/>
    <col min="13827" max="14073" width="9" style="97"/>
    <col min="14074" max="14074" width="41.6333333333333" style="97" customWidth="1"/>
    <col min="14075" max="14076" width="14.5" style="97" customWidth="1"/>
    <col min="14077" max="14077" width="13.8833333333333" style="97" customWidth="1"/>
    <col min="14078" max="14080" width="9" style="97"/>
    <col min="14081" max="14082" width="10.5" style="97" customWidth="1"/>
    <col min="14083" max="14329" width="9" style="97"/>
    <col min="14330" max="14330" width="41.6333333333333" style="97" customWidth="1"/>
    <col min="14331" max="14332" width="14.5" style="97" customWidth="1"/>
    <col min="14333" max="14333" width="13.8833333333333" style="97" customWidth="1"/>
    <col min="14334" max="14336" width="9" style="97"/>
    <col min="14337" max="14338" width="10.5" style="97" customWidth="1"/>
    <col min="14339" max="14585" width="9" style="97"/>
    <col min="14586" max="14586" width="41.6333333333333" style="97" customWidth="1"/>
    <col min="14587" max="14588" width="14.5" style="97" customWidth="1"/>
    <col min="14589" max="14589" width="13.8833333333333" style="97" customWidth="1"/>
    <col min="14590" max="14592" width="9" style="97"/>
    <col min="14593" max="14594" width="10.5" style="97" customWidth="1"/>
    <col min="14595" max="14841" width="9" style="97"/>
    <col min="14842" max="14842" width="41.6333333333333" style="97" customWidth="1"/>
    <col min="14843" max="14844" width="14.5" style="97" customWidth="1"/>
    <col min="14845" max="14845" width="13.8833333333333" style="97" customWidth="1"/>
    <col min="14846" max="14848" width="9" style="97"/>
    <col min="14849" max="14850" width="10.5" style="97" customWidth="1"/>
    <col min="14851" max="15097" width="9" style="97"/>
    <col min="15098" max="15098" width="41.6333333333333" style="97" customWidth="1"/>
    <col min="15099" max="15100" width="14.5" style="97" customWidth="1"/>
    <col min="15101" max="15101" width="13.8833333333333" style="97" customWidth="1"/>
    <col min="15102" max="15104" width="9" style="97"/>
    <col min="15105" max="15106" width="10.5" style="97" customWidth="1"/>
    <col min="15107" max="15353" width="9" style="97"/>
    <col min="15354" max="15354" width="41.6333333333333" style="97" customWidth="1"/>
    <col min="15355" max="15356" width="14.5" style="97" customWidth="1"/>
    <col min="15357" max="15357" width="13.8833333333333" style="97" customWidth="1"/>
    <col min="15358" max="15360" width="9" style="97"/>
    <col min="15361" max="15362" width="10.5" style="97" customWidth="1"/>
    <col min="15363" max="15609" width="9" style="97"/>
    <col min="15610" max="15610" width="41.6333333333333" style="97" customWidth="1"/>
    <col min="15611" max="15612" width="14.5" style="97" customWidth="1"/>
    <col min="15613" max="15613" width="13.8833333333333" style="97" customWidth="1"/>
    <col min="15614" max="15616" width="9" style="97"/>
    <col min="15617" max="15618" width="10.5" style="97" customWidth="1"/>
    <col min="15619" max="15865" width="9" style="97"/>
    <col min="15866" max="15866" width="41.6333333333333" style="97" customWidth="1"/>
    <col min="15867" max="15868" width="14.5" style="97" customWidth="1"/>
    <col min="15869" max="15869" width="13.8833333333333" style="97" customWidth="1"/>
    <col min="15870" max="15872" width="9" style="97"/>
    <col min="15873" max="15874" width="10.5" style="97" customWidth="1"/>
    <col min="15875" max="16121" width="9" style="97"/>
    <col min="16122" max="16122" width="41.6333333333333" style="97" customWidth="1"/>
    <col min="16123" max="16124" width="14.5" style="97" customWidth="1"/>
    <col min="16125" max="16125" width="13.8833333333333" style="97" customWidth="1"/>
    <col min="16126" max="16128" width="9" style="97"/>
    <col min="16129" max="16130" width="10.5" style="97" customWidth="1"/>
    <col min="16131" max="16384" width="9" style="97"/>
  </cols>
  <sheetData>
    <row r="1" ht="45" customHeight="1" spans="1:7">
      <c r="A1" s="98" t="s">
        <v>42</v>
      </c>
      <c r="B1" s="124"/>
      <c r="C1" s="124"/>
      <c r="D1" s="124"/>
      <c r="E1" s="124"/>
      <c r="F1" s="124"/>
      <c r="G1" s="98"/>
    </row>
    <row r="2" ht="20.1" customHeight="1" spans="1:7">
      <c r="A2" s="125" t="s">
        <v>41</v>
      </c>
      <c r="B2" s="126"/>
      <c r="C2" s="127"/>
      <c r="D2" s="127"/>
      <c r="E2" s="127"/>
      <c r="F2" s="127"/>
      <c r="G2" s="128" t="s">
        <v>1612</v>
      </c>
    </row>
    <row r="3" ht="20.1" customHeight="1" spans="1:7">
      <c r="A3" s="129" t="s">
        <v>1718</v>
      </c>
      <c r="B3" s="321" t="s">
        <v>106</v>
      </c>
      <c r="C3" s="321" t="s">
        <v>107</v>
      </c>
      <c r="D3" s="321"/>
      <c r="E3" s="321"/>
      <c r="F3" s="521" t="s">
        <v>108</v>
      </c>
      <c r="G3" s="521"/>
    </row>
    <row r="4" ht="45" customHeight="1" spans="1:8">
      <c r="A4" s="129"/>
      <c r="B4" s="321"/>
      <c r="C4" s="321" t="s">
        <v>109</v>
      </c>
      <c r="D4" s="321" t="s">
        <v>1196</v>
      </c>
      <c r="E4" s="321" t="s">
        <v>110</v>
      </c>
      <c r="F4" s="321" t="s">
        <v>111</v>
      </c>
      <c r="G4" s="321" t="s">
        <v>112</v>
      </c>
      <c r="H4" s="122" t="s">
        <v>113</v>
      </c>
    </row>
    <row r="5" ht="36" customHeight="1" spans="1:8">
      <c r="A5" s="130" t="s">
        <v>1719</v>
      </c>
      <c r="B5" s="131"/>
      <c r="C5" s="107"/>
      <c r="D5" s="107">
        <v>0</v>
      </c>
      <c r="E5" s="107"/>
      <c r="F5" s="660" t="str">
        <f>IFERROR((E5-B5)/B5,"")</f>
        <v/>
      </c>
      <c r="G5" s="108" t="str">
        <f>IFERROR(E5/C5,"")</f>
        <v/>
      </c>
      <c r="H5" s="122" t="str">
        <f>IF(A5&lt;&gt;"",IF(SUM(B5:E5)&lt;&gt;0,"是","否"),"是")</f>
        <v>否</v>
      </c>
    </row>
    <row r="6" ht="36" customHeight="1" spans="1:8">
      <c r="A6" s="132" t="s">
        <v>1720</v>
      </c>
      <c r="B6" s="131"/>
      <c r="C6" s="133"/>
      <c r="D6" s="133">
        <v>0</v>
      </c>
      <c r="E6" s="133"/>
      <c r="F6" s="660" t="str">
        <f t="shared" ref="F6:F21" si="0">IFERROR((E6-B6)/B6,"")</f>
        <v/>
      </c>
      <c r="G6" s="108" t="str">
        <f t="shared" ref="G6:G21" si="1">IFERROR(E6/C6,"")</f>
        <v/>
      </c>
      <c r="H6" s="122" t="str">
        <f t="shared" ref="H6:H21" si="2">IF(A6&lt;&gt;"",IF(SUM(B6:E6)&lt;&gt;0,"是","否"),"是")</f>
        <v>否</v>
      </c>
    </row>
    <row r="7" ht="36" customHeight="1" spans="1:8">
      <c r="A7" s="130" t="s">
        <v>1721</v>
      </c>
      <c r="B7" s="131">
        <v>18865</v>
      </c>
      <c r="C7" s="107">
        <v>19496</v>
      </c>
      <c r="D7" s="107">
        <v>20752</v>
      </c>
      <c r="E7" s="115">
        <v>20832</v>
      </c>
      <c r="F7" s="660">
        <f t="shared" si="0"/>
        <v>0.104267161410019</v>
      </c>
      <c r="G7" s="108">
        <f t="shared" si="1"/>
        <v>1.06852687730817</v>
      </c>
      <c r="H7" s="122" t="str">
        <f t="shared" si="2"/>
        <v>是</v>
      </c>
    </row>
    <row r="8" ht="36" customHeight="1" spans="1:8">
      <c r="A8" s="132" t="s">
        <v>1720</v>
      </c>
      <c r="B8" s="663">
        <v>18816</v>
      </c>
      <c r="C8" s="110">
        <v>19443</v>
      </c>
      <c r="D8" s="110">
        <v>20699</v>
      </c>
      <c r="E8" s="113">
        <v>20323</v>
      </c>
      <c r="F8" s="661">
        <f t="shared" si="0"/>
        <v>0.0800914115646258</v>
      </c>
      <c r="G8" s="114">
        <f t="shared" si="1"/>
        <v>1.04526050506609</v>
      </c>
      <c r="H8" s="122" t="str">
        <f t="shared" si="2"/>
        <v>是</v>
      </c>
    </row>
    <row r="9" ht="36" customHeight="1" spans="1:8">
      <c r="A9" s="130" t="s">
        <v>1722</v>
      </c>
      <c r="B9" s="131"/>
      <c r="C9" s="112"/>
      <c r="D9" s="112">
        <v>0</v>
      </c>
      <c r="E9" s="112"/>
      <c r="F9" s="660" t="str">
        <f t="shared" si="0"/>
        <v/>
      </c>
      <c r="G9" s="108" t="str">
        <f t="shared" si="1"/>
        <v/>
      </c>
      <c r="H9" s="122" t="str">
        <f t="shared" si="2"/>
        <v>否</v>
      </c>
    </row>
    <row r="10" ht="36" customHeight="1" spans="1:8">
      <c r="A10" s="132" t="s">
        <v>1720</v>
      </c>
      <c r="B10" s="131"/>
      <c r="C10" s="134"/>
      <c r="D10" s="134">
        <v>0</v>
      </c>
      <c r="E10" s="134"/>
      <c r="F10" s="660" t="str">
        <f t="shared" si="0"/>
        <v/>
      </c>
      <c r="G10" s="108" t="str">
        <f t="shared" si="1"/>
        <v/>
      </c>
      <c r="H10" s="122" t="str">
        <f t="shared" si="2"/>
        <v>否</v>
      </c>
    </row>
    <row r="11" ht="36" customHeight="1" spans="1:8">
      <c r="A11" s="130" t="s">
        <v>1723</v>
      </c>
      <c r="B11" s="131">
        <v>81351</v>
      </c>
      <c r="C11" s="112">
        <v>85474</v>
      </c>
      <c r="D11" s="112">
        <v>82074</v>
      </c>
      <c r="E11" s="111">
        <v>79951</v>
      </c>
      <c r="F11" s="660">
        <f t="shared" si="0"/>
        <v>-0.0172093766517928</v>
      </c>
      <c r="G11" s="108">
        <f t="shared" si="1"/>
        <v>0.935383859419239</v>
      </c>
      <c r="H11" s="122" t="str">
        <f t="shared" si="2"/>
        <v>是</v>
      </c>
    </row>
    <row r="12" ht="36" customHeight="1" spans="1:8">
      <c r="A12" s="132" t="s">
        <v>1720</v>
      </c>
      <c r="B12" s="663">
        <v>79923</v>
      </c>
      <c r="C12" s="110">
        <v>83935</v>
      </c>
      <c r="D12" s="110">
        <v>80535</v>
      </c>
      <c r="E12" s="113">
        <v>78080</v>
      </c>
      <c r="F12" s="661">
        <f t="shared" si="0"/>
        <v>-0.0230596949563955</v>
      </c>
      <c r="G12" s="114">
        <f t="shared" si="1"/>
        <v>0.930243640912611</v>
      </c>
      <c r="H12" s="122" t="str">
        <f t="shared" si="2"/>
        <v>是</v>
      </c>
    </row>
    <row r="13" ht="36" customHeight="1" spans="1:8">
      <c r="A13" s="130" t="s">
        <v>1724</v>
      </c>
      <c r="B13" s="131"/>
      <c r="C13" s="107"/>
      <c r="D13" s="107">
        <v>0</v>
      </c>
      <c r="E13" s="111"/>
      <c r="F13" s="660" t="str">
        <f t="shared" si="0"/>
        <v/>
      </c>
      <c r="G13" s="108" t="str">
        <f t="shared" si="1"/>
        <v/>
      </c>
      <c r="H13" s="122" t="str">
        <f t="shared" si="2"/>
        <v>否</v>
      </c>
    </row>
    <row r="14" ht="36" customHeight="1" spans="1:8">
      <c r="A14" s="132" t="s">
        <v>1720</v>
      </c>
      <c r="B14" s="131"/>
      <c r="C14" s="110"/>
      <c r="D14" s="110">
        <v>0</v>
      </c>
      <c r="E14" s="113"/>
      <c r="F14" s="661" t="str">
        <f t="shared" si="0"/>
        <v/>
      </c>
      <c r="G14" s="114" t="str">
        <f t="shared" si="1"/>
        <v/>
      </c>
      <c r="H14" s="122" t="str">
        <f t="shared" si="2"/>
        <v>否</v>
      </c>
    </row>
    <row r="15" s="96" customFormat="1" ht="36" customHeight="1" spans="1:8">
      <c r="A15" s="130" t="s">
        <v>1725</v>
      </c>
      <c r="B15" s="131">
        <v>35472</v>
      </c>
      <c r="C15" s="107">
        <v>40976</v>
      </c>
      <c r="D15" s="107">
        <v>43759</v>
      </c>
      <c r="E15" s="111">
        <v>42486</v>
      </c>
      <c r="F15" s="660">
        <f t="shared" si="0"/>
        <v>0.197733423545332</v>
      </c>
      <c r="G15" s="108">
        <f t="shared" si="1"/>
        <v>1.03685083951581</v>
      </c>
      <c r="H15" s="122" t="str">
        <f t="shared" si="2"/>
        <v>是</v>
      </c>
    </row>
    <row r="16" ht="36" customHeight="1" spans="1:8">
      <c r="A16" s="132" t="s">
        <v>1720</v>
      </c>
      <c r="B16" s="663">
        <v>35405</v>
      </c>
      <c r="C16" s="110">
        <v>40907</v>
      </c>
      <c r="D16" s="110">
        <v>43680</v>
      </c>
      <c r="E16" s="135">
        <v>42398</v>
      </c>
      <c r="F16" s="661">
        <f t="shared" si="0"/>
        <v>0.197514475356588</v>
      </c>
      <c r="G16" s="114">
        <f t="shared" si="1"/>
        <v>1.03644852959151</v>
      </c>
      <c r="H16" s="122" t="str">
        <f t="shared" si="2"/>
        <v>是</v>
      </c>
    </row>
    <row r="17" ht="36" customHeight="1" spans="1:8">
      <c r="A17" s="130" t="s">
        <v>1726</v>
      </c>
      <c r="B17" s="131">
        <v>104925</v>
      </c>
      <c r="C17" s="112">
        <v>107211</v>
      </c>
      <c r="D17" s="112">
        <v>107211</v>
      </c>
      <c r="E17" s="111">
        <v>101954</v>
      </c>
      <c r="F17" s="660">
        <f t="shared" si="0"/>
        <v>-0.0283154634262569</v>
      </c>
      <c r="G17" s="108">
        <f t="shared" si="1"/>
        <v>0.95096585238455</v>
      </c>
      <c r="H17" s="122" t="str">
        <f t="shared" si="2"/>
        <v>是</v>
      </c>
    </row>
    <row r="18" ht="36" customHeight="1" spans="1:8">
      <c r="A18" s="132" t="s">
        <v>1720</v>
      </c>
      <c r="B18" s="663">
        <v>93608</v>
      </c>
      <c r="C18" s="137">
        <v>95865</v>
      </c>
      <c r="D18" s="137">
        <v>95865</v>
      </c>
      <c r="E18" s="136">
        <v>84341</v>
      </c>
      <c r="F18" s="661">
        <f t="shared" si="0"/>
        <v>-0.098997948893257</v>
      </c>
      <c r="G18" s="114">
        <f t="shared" si="1"/>
        <v>0.879789287018203</v>
      </c>
      <c r="H18" s="122" t="str">
        <f t="shared" si="2"/>
        <v>是</v>
      </c>
    </row>
    <row r="19" ht="36" customHeight="1" spans="1:8">
      <c r="A19" s="138" t="s">
        <v>1727</v>
      </c>
      <c r="B19" s="139">
        <f>B5+B7+B9+B11+B13+B15+B17</f>
        <v>240613</v>
      </c>
      <c r="C19" s="139">
        <f>C5+C7+C9+C11+C13+C15+C17</f>
        <v>253157</v>
      </c>
      <c r="D19" s="139">
        <f>D5+D7+D9+D11+D13+D15+D17</f>
        <v>253796</v>
      </c>
      <c r="E19" s="139">
        <f>E5+E7+E9+E11+E13+E15+E17</f>
        <v>245223</v>
      </c>
      <c r="F19" s="660">
        <f t="shared" si="0"/>
        <v>0.0191593970400602</v>
      </c>
      <c r="G19" s="108">
        <f t="shared" si="1"/>
        <v>0.96865976449397</v>
      </c>
      <c r="H19" s="122" t="str">
        <f t="shared" si="2"/>
        <v>是</v>
      </c>
    </row>
    <row r="20" ht="36" customHeight="1" spans="1:8">
      <c r="A20" s="132" t="s">
        <v>1728</v>
      </c>
      <c r="B20" s="140">
        <f>B6+B8+B10+B12+B14+B16+B18</f>
        <v>227752</v>
      </c>
      <c r="C20" s="140">
        <f>C6+C8+C10+C12+C14+C16+C18</f>
        <v>240150</v>
      </c>
      <c r="D20" s="140">
        <f>D6+D8+D10+D12+D14+D16+D18</f>
        <v>240779</v>
      </c>
      <c r="E20" s="140">
        <f>E6+E8+E10+E12+E14+E16+E18</f>
        <v>225142</v>
      </c>
      <c r="F20" s="661">
        <f t="shared" si="0"/>
        <v>-0.0114598335031086</v>
      </c>
      <c r="G20" s="114">
        <f t="shared" si="1"/>
        <v>0.937505725588174</v>
      </c>
      <c r="H20" s="122" t="str">
        <f t="shared" si="2"/>
        <v>是</v>
      </c>
    </row>
    <row r="21" ht="36" customHeight="1" spans="1:8">
      <c r="A21" s="138" t="s">
        <v>1195</v>
      </c>
      <c r="B21" s="139">
        <f>B19</f>
        <v>240613</v>
      </c>
      <c r="C21" s="139">
        <f>C19</f>
        <v>253157</v>
      </c>
      <c r="D21" s="139">
        <f>D19</f>
        <v>253796</v>
      </c>
      <c r="E21" s="139">
        <f>E19</f>
        <v>245223</v>
      </c>
      <c r="F21" s="660">
        <f t="shared" si="0"/>
        <v>0.0191593970400602</v>
      </c>
      <c r="G21" s="108">
        <f t="shared" si="1"/>
        <v>0.96865976449397</v>
      </c>
      <c r="H21" s="122" t="str">
        <f t="shared" si="2"/>
        <v>是</v>
      </c>
    </row>
    <row r="22" spans="2:6">
      <c r="B22" s="141"/>
      <c r="C22" s="141"/>
      <c r="D22" s="141"/>
      <c r="E22" s="141"/>
      <c r="F22" s="141"/>
    </row>
    <row r="23" spans="2:6">
      <c r="B23" s="141"/>
      <c r="C23" s="141"/>
      <c r="D23" s="141"/>
      <c r="E23" s="141"/>
      <c r="F23" s="141"/>
    </row>
    <row r="24" spans="2:6">
      <c r="B24" s="141"/>
      <c r="C24" s="141"/>
      <c r="D24" s="141"/>
      <c r="E24" s="141"/>
      <c r="F24" s="141"/>
    </row>
    <row r="25" spans="2:6">
      <c r="B25" s="141"/>
      <c r="C25" s="141"/>
      <c r="D25" s="141"/>
      <c r="E25" s="141"/>
      <c r="F25" s="141"/>
    </row>
  </sheetData>
  <autoFilter ref="A4:I21">
    <extLst/>
  </autoFilter>
  <mergeCells count="5">
    <mergeCell ref="A1:G1"/>
    <mergeCell ref="C3:E3"/>
    <mergeCell ref="F3:G3"/>
    <mergeCell ref="A3:A4"/>
    <mergeCell ref="B3:B4"/>
  </mergeCells>
  <conditionalFormatting sqref="I17">
    <cfRule type="cellIs" dxfId="4" priority="2" stopIfTrue="1" operator="lessThan">
      <formula>0</formula>
    </cfRule>
  </conditionalFormatting>
  <conditionalFormatting sqref="B19:E21">
    <cfRule type="cellIs" dxfId="4" priority="1" stopIfTrue="1" operator="lessThan">
      <formula>0</formula>
    </cfRule>
  </conditionalFormatting>
  <printOptions horizontalCentered="1"/>
  <pageMargins left="0.471527777777778" right="0.393055555555556" top="0.747916666666667" bottom="0.747916666666667" header="0.313888888888889" footer="0.313888888888889"/>
  <pageSetup paperSize="9" scale="60" fitToHeight="0" orientation="portrait"/>
  <headerFooter alignWithMargins="0">
    <oddFooter>&amp;C&amp;16- &amp;P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0000"/>
    <pageSetUpPr fitToPage="1"/>
  </sheetPr>
  <dimension ref="A1:J24"/>
  <sheetViews>
    <sheetView showGridLines="0" showZeros="0" view="pageBreakPreview" zoomScale="70" zoomScaleNormal="100" workbookViewId="0">
      <selection activeCell="M13" sqref="M13"/>
    </sheetView>
  </sheetViews>
  <sheetFormatPr defaultColWidth="9" defaultRowHeight="14.25"/>
  <cols>
    <col min="1" max="1" width="50.75" style="97" customWidth="1"/>
    <col min="2" max="5" width="18.9083333333333" style="97" customWidth="1"/>
    <col min="6" max="7" width="15.1583333333333" style="97" customWidth="1"/>
    <col min="8" max="8" width="5.25" style="97" customWidth="1"/>
    <col min="9" max="249" width="9" style="97"/>
    <col min="250" max="250" width="46.25" style="97" customWidth="1"/>
    <col min="251" max="252" width="17" style="97" customWidth="1"/>
    <col min="253" max="253" width="15" style="97" customWidth="1"/>
    <col min="254" max="505" width="9" style="97"/>
    <col min="506" max="506" width="46.25" style="97" customWidth="1"/>
    <col min="507" max="508" width="17" style="97" customWidth="1"/>
    <col min="509" max="509" width="15" style="97" customWidth="1"/>
    <col min="510" max="761" width="9" style="97"/>
    <col min="762" max="762" width="46.25" style="97" customWidth="1"/>
    <col min="763" max="764" width="17" style="97" customWidth="1"/>
    <col min="765" max="765" width="15" style="97" customWidth="1"/>
    <col min="766" max="1017" width="9" style="97"/>
    <col min="1018" max="1018" width="46.25" style="97" customWidth="1"/>
    <col min="1019" max="1020" width="17" style="97" customWidth="1"/>
    <col min="1021" max="1021" width="15" style="97" customWidth="1"/>
    <col min="1022" max="1273" width="9" style="97"/>
    <col min="1274" max="1274" width="46.25" style="97" customWidth="1"/>
    <col min="1275" max="1276" width="17" style="97" customWidth="1"/>
    <col min="1277" max="1277" width="15" style="97" customWidth="1"/>
    <col min="1278" max="1529" width="9" style="97"/>
    <col min="1530" max="1530" width="46.25" style="97" customWidth="1"/>
    <col min="1531" max="1532" width="17" style="97" customWidth="1"/>
    <col min="1533" max="1533" width="15" style="97" customWidth="1"/>
    <col min="1534" max="1785" width="9" style="97"/>
    <col min="1786" max="1786" width="46.25" style="97" customWidth="1"/>
    <col min="1787" max="1788" width="17" style="97" customWidth="1"/>
    <col min="1789" max="1789" width="15" style="97" customWidth="1"/>
    <col min="1790" max="2041" width="9" style="97"/>
    <col min="2042" max="2042" width="46.25" style="97" customWidth="1"/>
    <col min="2043" max="2044" width="17" style="97" customWidth="1"/>
    <col min="2045" max="2045" width="15" style="97" customWidth="1"/>
    <col min="2046" max="2297" width="9" style="97"/>
    <col min="2298" max="2298" width="46.25" style="97" customWidth="1"/>
    <col min="2299" max="2300" width="17" style="97" customWidth="1"/>
    <col min="2301" max="2301" width="15" style="97" customWidth="1"/>
    <col min="2302" max="2553" width="9" style="97"/>
    <col min="2554" max="2554" width="46.25" style="97" customWidth="1"/>
    <col min="2555" max="2556" width="17" style="97" customWidth="1"/>
    <col min="2557" max="2557" width="15" style="97" customWidth="1"/>
    <col min="2558" max="2809" width="9" style="97"/>
    <col min="2810" max="2810" width="46.25" style="97" customWidth="1"/>
    <col min="2811" max="2812" width="17" style="97" customWidth="1"/>
    <col min="2813" max="2813" width="15" style="97" customWidth="1"/>
    <col min="2814" max="3065" width="9" style="97"/>
    <col min="3066" max="3066" width="46.25" style="97" customWidth="1"/>
    <col min="3067" max="3068" width="17" style="97" customWidth="1"/>
    <col min="3069" max="3069" width="15" style="97" customWidth="1"/>
    <col min="3070" max="3321" width="9" style="97"/>
    <col min="3322" max="3322" width="46.25" style="97" customWidth="1"/>
    <col min="3323" max="3324" width="17" style="97" customWidth="1"/>
    <col min="3325" max="3325" width="15" style="97" customWidth="1"/>
    <col min="3326" max="3577" width="9" style="97"/>
    <col min="3578" max="3578" width="46.25" style="97" customWidth="1"/>
    <col min="3579" max="3580" width="17" style="97" customWidth="1"/>
    <col min="3581" max="3581" width="15" style="97" customWidth="1"/>
    <col min="3582" max="3833" width="9" style="97"/>
    <col min="3834" max="3834" width="46.25" style="97" customWidth="1"/>
    <col min="3835" max="3836" width="17" style="97" customWidth="1"/>
    <col min="3837" max="3837" width="15" style="97" customWidth="1"/>
    <col min="3838" max="4089" width="9" style="97"/>
    <col min="4090" max="4090" width="46.25" style="97" customWidth="1"/>
    <col min="4091" max="4092" width="17" style="97" customWidth="1"/>
    <col min="4093" max="4093" width="15" style="97" customWidth="1"/>
    <col min="4094" max="4345" width="9" style="97"/>
    <col min="4346" max="4346" width="46.25" style="97" customWidth="1"/>
    <col min="4347" max="4348" width="17" style="97" customWidth="1"/>
    <col min="4349" max="4349" width="15" style="97" customWidth="1"/>
    <col min="4350" max="4601" width="9" style="97"/>
    <col min="4602" max="4602" width="46.25" style="97" customWidth="1"/>
    <col min="4603" max="4604" width="17" style="97" customWidth="1"/>
    <col min="4605" max="4605" width="15" style="97" customWidth="1"/>
    <col min="4606" max="4857" width="9" style="97"/>
    <col min="4858" max="4858" width="46.25" style="97" customWidth="1"/>
    <col min="4859" max="4860" width="17" style="97" customWidth="1"/>
    <col min="4861" max="4861" width="15" style="97" customWidth="1"/>
    <col min="4862" max="5113" width="9" style="97"/>
    <col min="5114" max="5114" width="46.25" style="97" customWidth="1"/>
    <col min="5115" max="5116" width="17" style="97" customWidth="1"/>
    <col min="5117" max="5117" width="15" style="97" customWidth="1"/>
    <col min="5118" max="5369" width="9" style="97"/>
    <col min="5370" max="5370" width="46.25" style="97" customWidth="1"/>
    <col min="5371" max="5372" width="17" style="97" customWidth="1"/>
    <col min="5373" max="5373" width="15" style="97" customWidth="1"/>
    <col min="5374" max="5625" width="9" style="97"/>
    <col min="5626" max="5626" width="46.25" style="97" customWidth="1"/>
    <col min="5627" max="5628" width="17" style="97" customWidth="1"/>
    <col min="5629" max="5629" width="15" style="97" customWidth="1"/>
    <col min="5630" max="5881" width="9" style="97"/>
    <col min="5882" max="5882" width="46.25" style="97" customWidth="1"/>
    <col min="5883" max="5884" width="17" style="97" customWidth="1"/>
    <col min="5885" max="5885" width="15" style="97" customWidth="1"/>
    <col min="5886" max="6137" width="9" style="97"/>
    <col min="6138" max="6138" width="46.25" style="97" customWidth="1"/>
    <col min="6139" max="6140" width="17" style="97" customWidth="1"/>
    <col min="6141" max="6141" width="15" style="97" customWidth="1"/>
    <col min="6142" max="6393" width="9" style="97"/>
    <col min="6394" max="6394" width="46.25" style="97" customWidth="1"/>
    <col min="6395" max="6396" width="17" style="97" customWidth="1"/>
    <col min="6397" max="6397" width="15" style="97" customWidth="1"/>
    <col min="6398" max="6649" width="9" style="97"/>
    <col min="6650" max="6650" width="46.25" style="97" customWidth="1"/>
    <col min="6651" max="6652" width="17" style="97" customWidth="1"/>
    <col min="6653" max="6653" width="15" style="97" customWidth="1"/>
    <col min="6654" max="6905" width="9" style="97"/>
    <col min="6906" max="6906" width="46.25" style="97" customWidth="1"/>
    <col min="6907" max="6908" width="17" style="97" customWidth="1"/>
    <col min="6909" max="6909" width="15" style="97" customWidth="1"/>
    <col min="6910" max="7161" width="9" style="97"/>
    <col min="7162" max="7162" width="46.25" style="97" customWidth="1"/>
    <col min="7163" max="7164" width="17" style="97" customWidth="1"/>
    <col min="7165" max="7165" width="15" style="97" customWidth="1"/>
    <col min="7166" max="7417" width="9" style="97"/>
    <col min="7418" max="7418" width="46.25" style="97" customWidth="1"/>
    <col min="7419" max="7420" width="17" style="97" customWidth="1"/>
    <col min="7421" max="7421" width="15" style="97" customWidth="1"/>
    <col min="7422" max="7673" width="9" style="97"/>
    <col min="7674" max="7674" width="46.25" style="97" customWidth="1"/>
    <col min="7675" max="7676" width="17" style="97" customWidth="1"/>
    <col min="7677" max="7677" width="15" style="97" customWidth="1"/>
    <col min="7678" max="7929" width="9" style="97"/>
    <col min="7930" max="7930" width="46.25" style="97" customWidth="1"/>
    <col min="7931" max="7932" width="17" style="97" customWidth="1"/>
    <col min="7933" max="7933" width="15" style="97" customWidth="1"/>
    <col min="7934" max="8185" width="9" style="97"/>
    <col min="8186" max="8186" width="46.25" style="97" customWidth="1"/>
    <col min="8187" max="8188" width="17" style="97" customWidth="1"/>
    <col min="8189" max="8189" width="15" style="97" customWidth="1"/>
    <col min="8190" max="8441" width="9" style="97"/>
    <col min="8442" max="8442" width="46.25" style="97" customWidth="1"/>
    <col min="8443" max="8444" width="17" style="97" customWidth="1"/>
    <col min="8445" max="8445" width="15" style="97" customWidth="1"/>
    <col min="8446" max="8697" width="9" style="97"/>
    <col min="8698" max="8698" width="46.25" style="97" customWidth="1"/>
    <col min="8699" max="8700" width="17" style="97" customWidth="1"/>
    <col min="8701" max="8701" width="15" style="97" customWidth="1"/>
    <col min="8702" max="8953" width="9" style="97"/>
    <col min="8954" max="8954" width="46.25" style="97" customWidth="1"/>
    <col min="8955" max="8956" width="17" style="97" customWidth="1"/>
    <col min="8957" max="8957" width="15" style="97" customWidth="1"/>
    <col min="8958" max="9209" width="9" style="97"/>
    <col min="9210" max="9210" width="46.25" style="97" customWidth="1"/>
    <col min="9211" max="9212" width="17" style="97" customWidth="1"/>
    <col min="9213" max="9213" width="15" style="97" customWidth="1"/>
    <col min="9214" max="9465" width="9" style="97"/>
    <col min="9466" max="9466" width="46.25" style="97" customWidth="1"/>
    <col min="9467" max="9468" width="17" style="97" customWidth="1"/>
    <col min="9469" max="9469" width="15" style="97" customWidth="1"/>
    <col min="9470" max="9721" width="9" style="97"/>
    <col min="9722" max="9722" width="46.25" style="97" customWidth="1"/>
    <col min="9723" max="9724" width="17" style="97" customWidth="1"/>
    <col min="9725" max="9725" width="15" style="97" customWidth="1"/>
    <col min="9726" max="9977" width="9" style="97"/>
    <col min="9978" max="9978" width="46.25" style="97" customWidth="1"/>
    <col min="9979" max="9980" width="17" style="97" customWidth="1"/>
    <col min="9981" max="9981" width="15" style="97" customWidth="1"/>
    <col min="9982" max="10233" width="9" style="97"/>
    <col min="10234" max="10234" width="46.25" style="97" customWidth="1"/>
    <col min="10235" max="10236" width="17" style="97" customWidth="1"/>
    <col min="10237" max="10237" width="15" style="97" customWidth="1"/>
    <col min="10238" max="10489" width="9" style="97"/>
    <col min="10490" max="10490" width="46.25" style="97" customWidth="1"/>
    <col min="10491" max="10492" width="17" style="97" customWidth="1"/>
    <col min="10493" max="10493" width="15" style="97" customWidth="1"/>
    <col min="10494" max="10745" width="9" style="97"/>
    <col min="10746" max="10746" width="46.25" style="97" customWidth="1"/>
    <col min="10747" max="10748" width="17" style="97" customWidth="1"/>
    <col min="10749" max="10749" width="15" style="97" customWidth="1"/>
    <col min="10750" max="11001" width="9" style="97"/>
    <col min="11002" max="11002" width="46.25" style="97" customWidth="1"/>
    <col min="11003" max="11004" width="17" style="97" customWidth="1"/>
    <col min="11005" max="11005" width="15" style="97" customWidth="1"/>
    <col min="11006" max="11257" width="9" style="97"/>
    <col min="11258" max="11258" width="46.25" style="97" customWidth="1"/>
    <col min="11259" max="11260" width="17" style="97" customWidth="1"/>
    <col min="11261" max="11261" width="15" style="97" customWidth="1"/>
    <col min="11262" max="11513" width="9" style="97"/>
    <col min="11514" max="11514" width="46.25" style="97" customWidth="1"/>
    <col min="11515" max="11516" width="17" style="97" customWidth="1"/>
    <col min="11517" max="11517" width="15" style="97" customWidth="1"/>
    <col min="11518" max="11769" width="9" style="97"/>
    <col min="11770" max="11770" width="46.25" style="97" customWidth="1"/>
    <col min="11771" max="11772" width="17" style="97" customWidth="1"/>
    <col min="11773" max="11773" width="15" style="97" customWidth="1"/>
    <col min="11774" max="12025" width="9" style="97"/>
    <col min="12026" max="12026" width="46.25" style="97" customWidth="1"/>
    <col min="12027" max="12028" width="17" style="97" customWidth="1"/>
    <col min="12029" max="12029" width="15" style="97" customWidth="1"/>
    <col min="12030" max="12281" width="9" style="97"/>
    <col min="12282" max="12282" width="46.25" style="97" customWidth="1"/>
    <col min="12283" max="12284" width="17" style="97" customWidth="1"/>
    <col min="12285" max="12285" width="15" style="97" customWidth="1"/>
    <col min="12286" max="12537" width="9" style="97"/>
    <col min="12538" max="12538" width="46.25" style="97" customWidth="1"/>
    <col min="12539" max="12540" width="17" style="97" customWidth="1"/>
    <col min="12541" max="12541" width="15" style="97" customWidth="1"/>
    <col min="12542" max="12793" width="9" style="97"/>
    <col min="12794" max="12794" width="46.25" style="97" customWidth="1"/>
    <col min="12795" max="12796" width="17" style="97" customWidth="1"/>
    <col min="12797" max="12797" width="15" style="97" customWidth="1"/>
    <col min="12798" max="13049" width="9" style="97"/>
    <col min="13050" max="13050" width="46.25" style="97" customWidth="1"/>
    <col min="13051" max="13052" width="17" style="97" customWidth="1"/>
    <col min="13053" max="13053" width="15" style="97" customWidth="1"/>
    <col min="13054" max="13305" width="9" style="97"/>
    <col min="13306" max="13306" width="46.25" style="97" customWidth="1"/>
    <col min="13307" max="13308" width="17" style="97" customWidth="1"/>
    <col min="13309" max="13309" width="15" style="97" customWidth="1"/>
    <col min="13310" max="13561" width="9" style="97"/>
    <col min="13562" max="13562" width="46.25" style="97" customWidth="1"/>
    <col min="13563" max="13564" width="17" style="97" customWidth="1"/>
    <col min="13565" max="13565" width="15" style="97" customWidth="1"/>
    <col min="13566" max="13817" width="9" style="97"/>
    <col min="13818" max="13818" width="46.25" style="97" customWidth="1"/>
    <col min="13819" max="13820" width="17" style="97" customWidth="1"/>
    <col min="13821" max="13821" width="15" style="97" customWidth="1"/>
    <col min="13822" max="14073" width="9" style="97"/>
    <col min="14074" max="14074" width="46.25" style="97" customWidth="1"/>
    <col min="14075" max="14076" width="17" style="97" customWidth="1"/>
    <col min="14077" max="14077" width="15" style="97" customWidth="1"/>
    <col min="14078" max="14329" width="9" style="97"/>
    <col min="14330" max="14330" width="46.25" style="97" customWidth="1"/>
    <col min="14331" max="14332" width="17" style="97" customWidth="1"/>
    <col min="14333" max="14333" width="15" style="97" customWidth="1"/>
    <col min="14334" max="14585" width="9" style="97"/>
    <col min="14586" max="14586" width="46.25" style="97" customWidth="1"/>
    <col min="14587" max="14588" width="17" style="97" customWidth="1"/>
    <col min="14589" max="14589" width="15" style="97" customWidth="1"/>
    <col min="14590" max="14841" width="9" style="97"/>
    <col min="14842" max="14842" width="46.25" style="97" customWidth="1"/>
    <col min="14843" max="14844" width="17" style="97" customWidth="1"/>
    <col min="14845" max="14845" width="15" style="97" customWidth="1"/>
    <col min="14846" max="15097" width="9" style="97"/>
    <col min="15098" max="15098" width="46.25" style="97" customWidth="1"/>
    <col min="15099" max="15100" width="17" style="97" customWidth="1"/>
    <col min="15101" max="15101" width="15" style="97" customWidth="1"/>
    <col min="15102" max="15353" width="9" style="97"/>
    <col min="15354" max="15354" width="46.25" style="97" customWidth="1"/>
    <col min="15355" max="15356" width="17" style="97" customWidth="1"/>
    <col min="15357" max="15357" width="15" style="97" customWidth="1"/>
    <col min="15358" max="15609" width="9" style="97"/>
    <col min="15610" max="15610" width="46.25" style="97" customWidth="1"/>
    <col min="15611" max="15612" width="17" style="97" customWidth="1"/>
    <col min="15613" max="15613" width="15" style="97" customWidth="1"/>
    <col min="15614" max="15865" width="9" style="97"/>
    <col min="15866" max="15866" width="46.25" style="97" customWidth="1"/>
    <col min="15867" max="15868" width="17" style="97" customWidth="1"/>
    <col min="15869" max="15869" width="15" style="97" customWidth="1"/>
    <col min="15870" max="16121" width="9" style="97"/>
    <col min="16122" max="16122" width="46.25" style="97" customWidth="1"/>
    <col min="16123" max="16124" width="17" style="97" customWidth="1"/>
    <col min="16125" max="16125" width="15" style="97" customWidth="1"/>
    <col min="16126" max="16384" width="9" style="97"/>
  </cols>
  <sheetData>
    <row r="1" ht="45" customHeight="1" spans="1:7">
      <c r="A1" s="98" t="s">
        <v>44</v>
      </c>
      <c r="B1" s="98"/>
      <c r="C1" s="98"/>
      <c r="D1" s="98"/>
      <c r="E1" s="98"/>
      <c r="F1" s="98"/>
      <c r="G1" s="98"/>
    </row>
    <row r="2" ht="20.1" customHeight="1" spans="1:7">
      <c r="A2" s="99" t="s">
        <v>43</v>
      </c>
      <c r="B2" s="100"/>
      <c r="C2" s="101"/>
      <c r="D2" s="101"/>
      <c r="E2" s="101"/>
      <c r="F2" s="101"/>
      <c r="G2" s="102" t="s">
        <v>1612</v>
      </c>
    </row>
    <row r="3" ht="20.1" customHeight="1" spans="1:7">
      <c r="A3" s="103" t="s">
        <v>1718</v>
      </c>
      <c r="B3" s="658" t="s">
        <v>106</v>
      </c>
      <c r="C3" s="321" t="s">
        <v>107</v>
      </c>
      <c r="D3" s="321"/>
      <c r="E3" s="321"/>
      <c r="F3" s="521" t="s">
        <v>108</v>
      </c>
      <c r="G3" s="521"/>
    </row>
    <row r="4" ht="45" customHeight="1" spans="1:8">
      <c r="A4" s="103"/>
      <c r="B4" s="658"/>
      <c r="C4" s="321" t="s">
        <v>109</v>
      </c>
      <c r="D4" s="321" t="s">
        <v>1196</v>
      </c>
      <c r="E4" s="321" t="s">
        <v>110</v>
      </c>
      <c r="F4" s="321" t="s">
        <v>111</v>
      </c>
      <c r="G4" s="321" t="s">
        <v>112</v>
      </c>
      <c r="H4" s="122" t="s">
        <v>113</v>
      </c>
    </row>
    <row r="5" ht="36" customHeight="1" spans="1:8">
      <c r="A5" s="105" t="s">
        <v>1729</v>
      </c>
      <c r="B5" s="106"/>
      <c r="C5" s="107"/>
      <c r="D5" s="107">
        <v>0</v>
      </c>
      <c r="E5" s="107"/>
      <c r="F5" s="660" t="str">
        <f>IFERROR((E5-B5)/B5,"")</f>
        <v/>
      </c>
      <c r="G5" s="108" t="str">
        <f>IFERROR(E5/C5,"")</f>
        <v/>
      </c>
      <c r="H5" s="122" t="str">
        <f>IF(A5&lt;&gt;"",IF(SUM(B5:E5)&lt;&gt;0,"是","否"),"是")</f>
        <v>否</v>
      </c>
    </row>
    <row r="6" ht="36" customHeight="1" spans="1:8">
      <c r="A6" s="109" t="s">
        <v>1730</v>
      </c>
      <c r="B6" s="106"/>
      <c r="C6" s="110"/>
      <c r="D6" s="110">
        <v>0</v>
      </c>
      <c r="E6" s="110"/>
      <c r="F6" s="660" t="str">
        <f t="shared" ref="F6:F20" si="0">IFERROR((E6-B6)/B6,"")</f>
        <v/>
      </c>
      <c r="G6" s="108" t="str">
        <f t="shared" ref="G6:G20" si="1">IFERROR(E6/C6,"")</f>
        <v/>
      </c>
      <c r="H6" s="122" t="str">
        <f t="shared" ref="H6:H20" si="2">IF(A6&lt;&gt;"",IF(SUM(B6:E6)&lt;&gt;0,"是","否"),"是")</f>
        <v>否</v>
      </c>
    </row>
    <row r="7" ht="36" customHeight="1" spans="1:8">
      <c r="A7" s="105" t="s">
        <v>1747</v>
      </c>
      <c r="B7" s="106">
        <v>1963</v>
      </c>
      <c r="C7" s="112">
        <v>1727</v>
      </c>
      <c r="D7" s="112">
        <v>471</v>
      </c>
      <c r="E7" s="111">
        <v>691</v>
      </c>
      <c r="F7" s="660">
        <f t="shared" si="0"/>
        <v>-0.647987773815588</v>
      </c>
      <c r="G7" s="108">
        <f t="shared" si="1"/>
        <v>0.40011580775912</v>
      </c>
      <c r="H7" s="122" t="str">
        <f t="shared" si="2"/>
        <v>是</v>
      </c>
    </row>
    <row r="8" ht="36" customHeight="1" spans="1:8">
      <c r="A8" s="109" t="s">
        <v>1732</v>
      </c>
      <c r="B8" s="659">
        <v>22470</v>
      </c>
      <c r="C8" s="110">
        <v>24703</v>
      </c>
      <c r="D8" s="110">
        <v>23447</v>
      </c>
      <c r="E8" s="113">
        <v>23161</v>
      </c>
      <c r="F8" s="661">
        <f t="shared" si="0"/>
        <v>0.030752113929684</v>
      </c>
      <c r="G8" s="114">
        <f t="shared" si="1"/>
        <v>0.937578431769421</v>
      </c>
      <c r="H8" s="122" t="str">
        <f t="shared" si="2"/>
        <v>是</v>
      </c>
    </row>
    <row r="9" ht="36" customHeight="1" spans="1:8">
      <c r="A9" s="105" t="s">
        <v>1733</v>
      </c>
      <c r="B9" s="106"/>
      <c r="C9" s="107"/>
      <c r="D9" s="107">
        <v>0</v>
      </c>
      <c r="E9" s="107"/>
      <c r="F9" s="660" t="str">
        <f t="shared" si="0"/>
        <v/>
      </c>
      <c r="G9" s="108" t="str">
        <f t="shared" si="1"/>
        <v/>
      </c>
      <c r="H9" s="122" t="str">
        <f t="shared" si="2"/>
        <v>否</v>
      </c>
    </row>
    <row r="10" ht="36" customHeight="1" spans="1:8">
      <c r="A10" s="109" t="s">
        <v>1734</v>
      </c>
      <c r="B10" s="106"/>
      <c r="C10" s="110"/>
      <c r="D10" s="110">
        <v>0</v>
      </c>
      <c r="E10" s="110"/>
      <c r="F10" s="660" t="str">
        <f t="shared" si="0"/>
        <v/>
      </c>
      <c r="G10" s="108" t="str">
        <f t="shared" si="1"/>
        <v/>
      </c>
      <c r="H10" s="122" t="str">
        <f t="shared" si="2"/>
        <v>否</v>
      </c>
    </row>
    <row r="11" ht="36" customHeight="1" spans="1:8">
      <c r="A11" s="105" t="s">
        <v>1735</v>
      </c>
      <c r="B11" s="106">
        <v>14816</v>
      </c>
      <c r="C11" s="107">
        <v>16807</v>
      </c>
      <c r="D11" s="107">
        <v>20207</v>
      </c>
      <c r="E11" s="115">
        <v>26671</v>
      </c>
      <c r="F11" s="660">
        <f t="shared" si="0"/>
        <v>0.80014848812095</v>
      </c>
      <c r="G11" s="108">
        <f t="shared" si="1"/>
        <v>1.58689831617778</v>
      </c>
      <c r="H11" s="122" t="str">
        <f t="shared" si="2"/>
        <v>是</v>
      </c>
    </row>
    <row r="12" ht="36" customHeight="1" spans="1:8">
      <c r="A12" s="109" t="s">
        <v>1736</v>
      </c>
      <c r="B12" s="659">
        <v>257151</v>
      </c>
      <c r="C12" s="110">
        <v>272657</v>
      </c>
      <c r="D12" s="110">
        <v>276057</v>
      </c>
      <c r="E12" s="113">
        <v>283822</v>
      </c>
      <c r="F12" s="661">
        <f t="shared" si="0"/>
        <v>0.103717271175302</v>
      </c>
      <c r="G12" s="114">
        <f t="shared" si="1"/>
        <v>1.04094888449591</v>
      </c>
      <c r="H12" s="122" t="str">
        <f t="shared" si="2"/>
        <v>是</v>
      </c>
    </row>
    <row r="13" s="96" customFormat="1" ht="36" customHeight="1" spans="1:8">
      <c r="A13" s="105" t="s">
        <v>1748</v>
      </c>
      <c r="B13" s="106"/>
      <c r="C13" s="112"/>
      <c r="D13" s="112">
        <v>0</v>
      </c>
      <c r="E13" s="111"/>
      <c r="F13" s="660" t="str">
        <f t="shared" si="0"/>
        <v/>
      </c>
      <c r="G13" s="108" t="str">
        <f t="shared" si="1"/>
        <v/>
      </c>
      <c r="H13" s="122" t="str">
        <f t="shared" si="2"/>
        <v>否</v>
      </c>
    </row>
    <row r="14" s="96" customFormat="1" ht="36" customHeight="1" spans="1:8">
      <c r="A14" s="109" t="s">
        <v>1738</v>
      </c>
      <c r="B14" s="659"/>
      <c r="C14" s="110"/>
      <c r="D14" s="110">
        <v>0</v>
      </c>
      <c r="E14" s="113"/>
      <c r="F14" s="661" t="str">
        <f t="shared" si="0"/>
        <v/>
      </c>
      <c r="G14" s="114" t="str">
        <f t="shared" si="1"/>
        <v/>
      </c>
      <c r="H14" s="122" t="str">
        <f t="shared" si="2"/>
        <v>否</v>
      </c>
    </row>
    <row r="15" s="96" customFormat="1" ht="36" customHeight="1" spans="1:10">
      <c r="A15" s="116" t="s">
        <v>1749</v>
      </c>
      <c r="B15" s="106">
        <v>20065</v>
      </c>
      <c r="C15" s="107">
        <v>14577</v>
      </c>
      <c r="D15" s="107">
        <v>13229</v>
      </c>
      <c r="E15" s="115">
        <v>17977</v>
      </c>
      <c r="F15" s="660">
        <f t="shared" si="0"/>
        <v>-0.104061799152754</v>
      </c>
      <c r="G15" s="108">
        <f t="shared" si="1"/>
        <v>1.2332441517459</v>
      </c>
      <c r="H15" s="122" t="str">
        <f t="shared" si="2"/>
        <v>是</v>
      </c>
      <c r="J15" s="662"/>
    </row>
    <row r="16" ht="36" customHeight="1" spans="1:8">
      <c r="A16" s="117" t="s">
        <v>1750</v>
      </c>
      <c r="B16" s="659">
        <v>176747</v>
      </c>
      <c r="C16" s="110">
        <v>188422</v>
      </c>
      <c r="D16" s="110">
        <v>187075</v>
      </c>
      <c r="E16" s="113">
        <v>194724</v>
      </c>
      <c r="F16" s="661">
        <f t="shared" si="0"/>
        <v>0.101710354348306</v>
      </c>
      <c r="G16" s="114">
        <f t="shared" si="1"/>
        <v>1.03344620054983</v>
      </c>
      <c r="H16" s="122" t="str">
        <f t="shared" si="2"/>
        <v>是</v>
      </c>
    </row>
    <row r="17" ht="36" customHeight="1" spans="1:8">
      <c r="A17" s="116" t="s">
        <v>1751</v>
      </c>
      <c r="B17" s="106">
        <v>10621</v>
      </c>
      <c r="C17" s="107">
        <v>7515</v>
      </c>
      <c r="D17" s="107">
        <v>7515</v>
      </c>
      <c r="E17" s="115">
        <v>12170</v>
      </c>
      <c r="F17" s="660">
        <f t="shared" si="0"/>
        <v>0.14584314094718</v>
      </c>
      <c r="G17" s="108">
        <f t="shared" si="1"/>
        <v>1.61942781104458</v>
      </c>
      <c r="H17" s="122" t="str">
        <f t="shared" si="2"/>
        <v>是</v>
      </c>
    </row>
    <row r="18" ht="36" customHeight="1" spans="1:8">
      <c r="A18" s="118" t="s">
        <v>1752</v>
      </c>
      <c r="B18" s="659">
        <v>91406</v>
      </c>
      <c r="C18" s="110">
        <v>93027</v>
      </c>
      <c r="D18" s="110">
        <v>93027</v>
      </c>
      <c r="E18" s="113">
        <v>103576</v>
      </c>
      <c r="F18" s="661">
        <f t="shared" si="0"/>
        <v>0.133142244491609</v>
      </c>
      <c r="G18" s="114">
        <f t="shared" si="1"/>
        <v>1.11339718576327</v>
      </c>
      <c r="H18" s="122" t="str">
        <f t="shared" si="2"/>
        <v>是</v>
      </c>
    </row>
    <row r="19" ht="36" customHeight="1" spans="1:8">
      <c r="A19" s="119" t="s">
        <v>1743</v>
      </c>
      <c r="B19" s="112">
        <f>B5+B7+B9+B11+B13+B15+B17</f>
        <v>47465</v>
      </c>
      <c r="C19" s="112">
        <f>C5+C7+C9+C11+C13+C15+C17</f>
        <v>40626</v>
      </c>
      <c r="D19" s="112">
        <f>D5+D7+D9+D11+D13+D15+D17</f>
        <v>41422</v>
      </c>
      <c r="E19" s="112">
        <f>E5+E7+E9+E11+E13+E15+E17</f>
        <v>57509</v>
      </c>
      <c r="F19" s="660">
        <f t="shared" si="0"/>
        <v>0.211608553671126</v>
      </c>
      <c r="G19" s="108">
        <f t="shared" si="1"/>
        <v>1.41557130901393</v>
      </c>
      <c r="H19" s="122" t="str">
        <f t="shared" si="2"/>
        <v>是</v>
      </c>
    </row>
    <row r="20" ht="36" customHeight="1" spans="1:8">
      <c r="A20" s="120" t="s">
        <v>1744</v>
      </c>
      <c r="B20" s="112">
        <f>B6+B8+B10+B12+B14+B16+B18</f>
        <v>547774</v>
      </c>
      <c r="C20" s="112">
        <f>C6+C8+C10+C12+C14+C16+C18</f>
        <v>578809</v>
      </c>
      <c r="D20" s="112">
        <f>D6+D8+D10+D12+D14+D16+D18</f>
        <v>579606</v>
      </c>
      <c r="E20" s="112">
        <f>E6+E8+E10+E12+E14+E16+E18</f>
        <v>605283</v>
      </c>
      <c r="F20" s="660">
        <f t="shared" si="0"/>
        <v>0.104986728103196</v>
      </c>
      <c r="G20" s="108">
        <f t="shared" si="1"/>
        <v>1.04573874974301</v>
      </c>
      <c r="H20" s="122" t="str">
        <f t="shared" si="2"/>
        <v>是</v>
      </c>
    </row>
    <row r="21" spans="2:6">
      <c r="B21" s="121"/>
      <c r="C21" s="121"/>
      <c r="D21" s="121"/>
      <c r="E21" s="121"/>
      <c r="F21" s="121"/>
    </row>
    <row r="22" spans="2:6">
      <c r="B22" s="121"/>
      <c r="C22" s="121"/>
      <c r="D22" s="121"/>
      <c r="E22" s="121"/>
      <c r="F22" s="121"/>
    </row>
    <row r="23" spans="2:6">
      <c r="B23" s="121"/>
      <c r="C23" s="121"/>
      <c r="D23" s="121"/>
      <c r="E23" s="121"/>
      <c r="F23" s="121"/>
    </row>
    <row r="24" spans="2:6">
      <c r="B24" s="121"/>
      <c r="C24" s="121"/>
      <c r="D24" s="121"/>
      <c r="E24" s="121"/>
      <c r="F24" s="121"/>
    </row>
  </sheetData>
  <autoFilter ref="A4:H20">
    <extLst/>
  </autoFilter>
  <mergeCells count="5">
    <mergeCell ref="A1:G1"/>
    <mergeCell ref="C3:E3"/>
    <mergeCell ref="F3:G3"/>
    <mergeCell ref="A3:A4"/>
    <mergeCell ref="B3:B4"/>
  </mergeCells>
  <printOptions horizontalCentered="1"/>
  <pageMargins left="0.471527777777778" right="0.393055555555556" top="0.747916666666667" bottom="0.747916666666667" header="0.313888888888889" footer="0.313888888888889"/>
  <pageSetup paperSize="9" scale="56" fitToHeight="0" orientation="portrait"/>
  <headerFooter alignWithMargins="0">
    <oddFooter>&amp;C&amp;16- &amp;P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rgb="FF00B0F0"/>
    <pageSetUpPr fitToPage="1"/>
  </sheetPr>
  <dimension ref="A1:F53"/>
  <sheetViews>
    <sheetView showGridLines="0" showZeros="0" view="pageBreakPreview" zoomScale="70" zoomScaleNormal="90" workbookViewId="0">
      <pane ySplit="3" topLeftCell="A20" activePane="bottomLeft" state="frozen"/>
      <selection/>
      <selection pane="bottomLeft" activeCell="D36" sqref="D36"/>
    </sheetView>
  </sheetViews>
  <sheetFormatPr defaultColWidth="9" defaultRowHeight="14.25" outlineLevelCol="5"/>
  <cols>
    <col min="1" max="1" width="12.1416666666667" style="444" hidden="1" customWidth="1"/>
    <col min="2" max="2" width="50.75" style="444" customWidth="1"/>
    <col min="3" max="4" width="20.6333333333333" style="444" customWidth="1"/>
    <col min="5" max="5" width="19.2833333333333" style="645" customWidth="1"/>
    <col min="6" max="16384" width="9" style="646"/>
  </cols>
  <sheetData>
    <row r="1" ht="45" customHeight="1" spans="1:5">
      <c r="A1" s="647"/>
      <c r="B1" s="316" t="s">
        <v>46</v>
      </c>
      <c r="C1" s="316"/>
      <c r="D1" s="316"/>
      <c r="E1" s="316"/>
    </row>
    <row r="2" ht="18.95" customHeight="1" spans="1:5">
      <c r="A2" s="313"/>
      <c r="B2" s="648" t="s">
        <v>45</v>
      </c>
      <c r="C2" s="313"/>
      <c r="D2" s="313"/>
      <c r="E2" s="445" t="s">
        <v>103</v>
      </c>
    </row>
    <row r="3" s="642" customFormat="1" ht="37.5" spans="1:6">
      <c r="A3" s="623" t="s">
        <v>104</v>
      </c>
      <c r="B3" s="600" t="s">
        <v>105</v>
      </c>
      <c r="C3" s="421" t="s">
        <v>1753</v>
      </c>
      <c r="D3" s="421" t="s">
        <v>1754</v>
      </c>
      <c r="E3" s="446" t="s">
        <v>1755</v>
      </c>
      <c r="F3" s="657" t="s">
        <v>113</v>
      </c>
    </row>
    <row r="4" ht="24" customHeight="1" spans="1:6">
      <c r="A4" s="592" t="s">
        <v>114</v>
      </c>
      <c r="B4" s="593" t="s">
        <v>115</v>
      </c>
      <c r="C4" s="649">
        <f>SUM(C5:C19)</f>
        <v>288755</v>
      </c>
      <c r="D4" s="649">
        <f>SUM(D5:D19)</f>
        <v>294530</v>
      </c>
      <c r="E4" s="582">
        <f t="shared" ref="E4:E40" si="0">IFERROR((D4-C4)/C4,"")</f>
        <v>0.0199996536856505</v>
      </c>
      <c r="F4" s="609" t="str">
        <f t="shared" ref="F4:F40" si="1">IF(LEN(A4)=3,"是",IF(B4&lt;&gt;"",IF(SUM(C4:D4)&lt;&gt;0,"是","否"),"是"))</f>
        <v>是</v>
      </c>
    </row>
    <row r="5" ht="24" customHeight="1" spans="1:6">
      <c r="A5" s="594" t="s">
        <v>116</v>
      </c>
      <c r="B5" s="362" t="s">
        <v>117</v>
      </c>
      <c r="C5" s="595">
        <f>'01-1 '!F6</f>
        <v>118670</v>
      </c>
      <c r="D5" s="595">
        <v>122963</v>
      </c>
      <c r="E5" s="581">
        <f t="shared" si="0"/>
        <v>0.0361759501137608</v>
      </c>
      <c r="F5" s="609" t="str">
        <f t="shared" si="1"/>
        <v>是</v>
      </c>
    </row>
    <row r="6" ht="24" customHeight="1" spans="1:6">
      <c r="A6" s="594" t="s">
        <v>118</v>
      </c>
      <c r="B6" s="362" t="s">
        <v>119</v>
      </c>
      <c r="C6" s="595">
        <f>'01-1 '!F7</f>
        <v>11823</v>
      </c>
      <c r="D6" s="595">
        <v>11630</v>
      </c>
      <c r="E6" s="581">
        <f t="shared" si="0"/>
        <v>-0.0163241140150554</v>
      </c>
      <c r="F6" s="609" t="str">
        <f t="shared" si="1"/>
        <v>是</v>
      </c>
    </row>
    <row r="7" ht="24" customHeight="1" spans="1:6">
      <c r="A7" s="594" t="s">
        <v>120</v>
      </c>
      <c r="B7" s="362" t="s">
        <v>121</v>
      </c>
      <c r="C7" s="595">
        <f>'01-1 '!F8</f>
        <v>4342</v>
      </c>
      <c r="D7" s="595">
        <v>4300</v>
      </c>
      <c r="E7" s="581">
        <f t="shared" si="0"/>
        <v>-0.00967296176877015</v>
      </c>
      <c r="F7" s="609" t="str">
        <f t="shared" si="1"/>
        <v>是</v>
      </c>
    </row>
    <row r="8" ht="24" customHeight="1" spans="1:6">
      <c r="A8" s="594" t="s">
        <v>122</v>
      </c>
      <c r="B8" s="362" t="s">
        <v>123</v>
      </c>
      <c r="C8" s="595">
        <f>'01-1 '!F9</f>
        <v>28214</v>
      </c>
      <c r="D8" s="595">
        <v>28685</v>
      </c>
      <c r="E8" s="581">
        <f t="shared" si="0"/>
        <v>0.0166938399376196</v>
      </c>
      <c r="F8" s="609" t="str">
        <f t="shared" si="1"/>
        <v>是</v>
      </c>
    </row>
    <row r="9" ht="24" customHeight="1" spans="1:6">
      <c r="A9" s="594" t="s">
        <v>124</v>
      </c>
      <c r="B9" s="362" t="s">
        <v>125</v>
      </c>
      <c r="C9" s="595">
        <f>'01-1 '!F10</f>
        <v>14184</v>
      </c>
      <c r="D9" s="595">
        <v>14600</v>
      </c>
      <c r="E9" s="581">
        <f t="shared" si="0"/>
        <v>0.0293288212069938</v>
      </c>
      <c r="F9" s="609" t="str">
        <f t="shared" si="1"/>
        <v>是</v>
      </c>
    </row>
    <row r="10" ht="24" customHeight="1" spans="1:6">
      <c r="A10" s="594" t="s">
        <v>126</v>
      </c>
      <c r="B10" s="362" t="s">
        <v>127</v>
      </c>
      <c r="C10" s="595">
        <f>'01-1 '!F11</f>
        <v>13926</v>
      </c>
      <c r="D10" s="595">
        <v>14000</v>
      </c>
      <c r="E10" s="581">
        <f t="shared" si="0"/>
        <v>0.00531380152233233</v>
      </c>
      <c r="F10" s="609" t="str">
        <f t="shared" si="1"/>
        <v>是</v>
      </c>
    </row>
    <row r="11" ht="24" customHeight="1" spans="1:6">
      <c r="A11" s="594" t="s">
        <v>128</v>
      </c>
      <c r="B11" s="362" t="s">
        <v>129</v>
      </c>
      <c r="C11" s="595">
        <f>'01-1 '!F12</f>
        <v>2757</v>
      </c>
      <c r="D11" s="595">
        <v>2800</v>
      </c>
      <c r="E11" s="581">
        <f t="shared" si="0"/>
        <v>0.0155966630395357</v>
      </c>
      <c r="F11" s="609" t="str">
        <f t="shared" si="1"/>
        <v>是</v>
      </c>
    </row>
    <row r="12" ht="24" customHeight="1" spans="1:6">
      <c r="A12" s="594" t="s">
        <v>130</v>
      </c>
      <c r="B12" s="362" t="s">
        <v>131</v>
      </c>
      <c r="C12" s="595">
        <f>'01-1 '!F13</f>
        <v>10454</v>
      </c>
      <c r="D12" s="595">
        <v>10586</v>
      </c>
      <c r="E12" s="581">
        <f t="shared" si="0"/>
        <v>0.0126267457432562</v>
      </c>
      <c r="F12" s="609" t="str">
        <f t="shared" si="1"/>
        <v>是</v>
      </c>
    </row>
    <row r="13" ht="24" customHeight="1" spans="1:6">
      <c r="A13" s="594" t="s">
        <v>132</v>
      </c>
      <c r="B13" s="362" t="s">
        <v>133</v>
      </c>
      <c r="C13" s="595">
        <f>'01-1 '!F14</f>
        <v>10748</v>
      </c>
      <c r="D13" s="595">
        <v>11000</v>
      </c>
      <c r="E13" s="581">
        <f t="shared" si="0"/>
        <v>0.0234462225530331</v>
      </c>
      <c r="F13" s="609" t="str">
        <f t="shared" si="1"/>
        <v>是</v>
      </c>
    </row>
    <row r="14" ht="24" customHeight="1" spans="1:6">
      <c r="A14" s="594" t="s">
        <v>134</v>
      </c>
      <c r="B14" s="362" t="s">
        <v>135</v>
      </c>
      <c r="C14" s="595">
        <f>'01-1 '!F15</f>
        <v>8371</v>
      </c>
      <c r="D14" s="595">
        <v>8300</v>
      </c>
      <c r="E14" s="581">
        <f t="shared" si="0"/>
        <v>-0.00848166288376538</v>
      </c>
      <c r="F14" s="609" t="str">
        <f t="shared" si="1"/>
        <v>是</v>
      </c>
    </row>
    <row r="15" ht="24" customHeight="1" spans="1:6">
      <c r="A15" s="594" t="s">
        <v>136</v>
      </c>
      <c r="B15" s="362" t="s">
        <v>137</v>
      </c>
      <c r="C15" s="595">
        <f>'01-1 '!F16</f>
        <v>21925</v>
      </c>
      <c r="D15" s="595">
        <v>22158</v>
      </c>
      <c r="E15" s="581">
        <f t="shared" si="0"/>
        <v>0.0106271379703535</v>
      </c>
      <c r="F15" s="609" t="str">
        <f t="shared" si="1"/>
        <v>是</v>
      </c>
    </row>
    <row r="16" ht="24" customHeight="1" spans="1:6">
      <c r="A16" s="594" t="s">
        <v>138</v>
      </c>
      <c r="B16" s="362" t="s">
        <v>139</v>
      </c>
      <c r="C16" s="595">
        <f>'01-1 '!F17</f>
        <v>21104</v>
      </c>
      <c r="D16" s="595">
        <v>21258</v>
      </c>
      <c r="E16" s="581">
        <f t="shared" si="0"/>
        <v>0.00729719484457923</v>
      </c>
      <c r="F16" s="609" t="str">
        <f t="shared" si="1"/>
        <v>是</v>
      </c>
    </row>
    <row r="17" ht="24" customHeight="1" spans="1:6">
      <c r="A17" s="594" t="s">
        <v>140</v>
      </c>
      <c r="B17" s="362" t="s">
        <v>141</v>
      </c>
      <c r="C17" s="595">
        <f>'01-1 '!F18</f>
        <v>20809</v>
      </c>
      <c r="D17" s="595">
        <v>21000</v>
      </c>
      <c r="E17" s="581">
        <f t="shared" si="0"/>
        <v>0.00917872074583113</v>
      </c>
      <c r="F17" s="609" t="str">
        <f t="shared" si="1"/>
        <v>是</v>
      </c>
    </row>
    <row r="18" ht="24" customHeight="1" spans="1:6">
      <c r="A18" s="594" t="s">
        <v>142</v>
      </c>
      <c r="B18" s="362" t="s">
        <v>143</v>
      </c>
      <c r="C18" s="595">
        <f>'01-1 '!F19</f>
        <v>1259</v>
      </c>
      <c r="D18" s="595">
        <v>1250</v>
      </c>
      <c r="E18" s="581">
        <f t="shared" si="0"/>
        <v>-0.00714853057982526</v>
      </c>
      <c r="F18" s="609" t="str">
        <f t="shared" si="1"/>
        <v>是</v>
      </c>
    </row>
    <row r="19" ht="24" customHeight="1" spans="1:6">
      <c r="A19" s="757" t="s">
        <v>144</v>
      </c>
      <c r="B19" s="362" t="s">
        <v>145</v>
      </c>
      <c r="C19" s="595">
        <f>'01-1 '!F20</f>
        <v>169</v>
      </c>
      <c r="D19" s="595"/>
      <c r="E19" s="581">
        <f t="shared" si="0"/>
        <v>-1</v>
      </c>
      <c r="F19" s="609" t="str">
        <f t="shared" si="1"/>
        <v>是</v>
      </c>
    </row>
    <row r="20" ht="24" customHeight="1" spans="1:6">
      <c r="A20" s="650" t="s">
        <v>146</v>
      </c>
      <c r="B20" s="593" t="s">
        <v>147</v>
      </c>
      <c r="C20" s="649">
        <f>SUM(C21:C28)</f>
        <v>279000</v>
      </c>
      <c r="D20" s="649">
        <f>SUM(D21:D28)</f>
        <v>284580</v>
      </c>
      <c r="E20" s="582">
        <f t="shared" si="0"/>
        <v>0.02</v>
      </c>
      <c r="F20" s="609" t="str">
        <f t="shared" si="1"/>
        <v>是</v>
      </c>
    </row>
    <row r="21" ht="24" customHeight="1" spans="1:6">
      <c r="A21" s="651" t="s">
        <v>148</v>
      </c>
      <c r="B21" s="362" t="s">
        <v>149</v>
      </c>
      <c r="C21" s="595">
        <f>'01-1 '!F22</f>
        <v>14801</v>
      </c>
      <c r="D21" s="595">
        <v>15523</v>
      </c>
      <c r="E21" s="581">
        <f t="shared" si="0"/>
        <v>0.0487804878048781</v>
      </c>
      <c r="F21" s="609" t="str">
        <f t="shared" si="1"/>
        <v>是</v>
      </c>
    </row>
    <row r="22" ht="24" customHeight="1" spans="1:6">
      <c r="A22" s="594" t="s">
        <v>150</v>
      </c>
      <c r="B22" s="652" t="s">
        <v>151</v>
      </c>
      <c r="C22" s="595">
        <f>'01-1 '!F23</f>
        <v>41771</v>
      </c>
      <c r="D22" s="595">
        <v>41256</v>
      </c>
      <c r="E22" s="581">
        <f t="shared" si="0"/>
        <v>-0.012329127863829</v>
      </c>
      <c r="F22" s="609" t="str">
        <f t="shared" si="1"/>
        <v>是</v>
      </c>
    </row>
    <row r="23" ht="24" customHeight="1" spans="1:6">
      <c r="A23" s="594" t="s">
        <v>152</v>
      </c>
      <c r="B23" s="362" t="s">
        <v>153</v>
      </c>
      <c r="C23" s="595">
        <f>'01-1 '!F24</f>
        <v>19234</v>
      </c>
      <c r="D23" s="595">
        <v>22946</v>
      </c>
      <c r="E23" s="581">
        <f t="shared" si="0"/>
        <v>0.192991577414994</v>
      </c>
      <c r="F23" s="609" t="str">
        <f t="shared" si="1"/>
        <v>是</v>
      </c>
    </row>
    <row r="24" ht="24" customHeight="1" spans="1:6">
      <c r="A24" s="594" t="s">
        <v>154</v>
      </c>
      <c r="B24" s="362" t="s">
        <v>155</v>
      </c>
      <c r="C24" s="595">
        <f>'01-1 '!F25</f>
        <v>0</v>
      </c>
      <c r="D24" s="595"/>
      <c r="E24" s="581" t="str">
        <f t="shared" si="0"/>
        <v/>
      </c>
      <c r="F24" s="609" t="str">
        <f t="shared" si="1"/>
        <v>否</v>
      </c>
    </row>
    <row r="25" ht="24" customHeight="1" spans="1:6">
      <c r="A25" s="594" t="s">
        <v>156</v>
      </c>
      <c r="B25" s="362" t="s">
        <v>157</v>
      </c>
      <c r="C25" s="595">
        <f>'01-1 '!F26</f>
        <v>194578</v>
      </c>
      <c r="D25" s="595">
        <v>195890</v>
      </c>
      <c r="E25" s="581">
        <f t="shared" si="0"/>
        <v>0.00674279723298626</v>
      </c>
      <c r="F25" s="609" t="str">
        <f t="shared" si="1"/>
        <v>是</v>
      </c>
    </row>
    <row r="26" ht="24" customHeight="1" spans="1:6">
      <c r="A26" s="594" t="s">
        <v>158</v>
      </c>
      <c r="B26" s="362" t="s">
        <v>159</v>
      </c>
      <c r="C26" s="595">
        <f>'01-1 '!F27</f>
        <v>6</v>
      </c>
      <c r="D26" s="595"/>
      <c r="E26" s="581">
        <f t="shared" si="0"/>
        <v>-1</v>
      </c>
      <c r="F26" s="609" t="str">
        <f t="shared" si="1"/>
        <v>是</v>
      </c>
    </row>
    <row r="27" ht="24" customHeight="1" spans="1:6">
      <c r="A27" s="594" t="s">
        <v>160</v>
      </c>
      <c r="B27" s="362" t="s">
        <v>161</v>
      </c>
      <c r="C27" s="595">
        <f>'01-1 '!F28</f>
        <v>8601</v>
      </c>
      <c r="D27" s="595">
        <v>8965</v>
      </c>
      <c r="E27" s="581">
        <f t="shared" si="0"/>
        <v>0.0423206603883269</v>
      </c>
      <c r="F27" s="609" t="str">
        <f t="shared" si="1"/>
        <v>是</v>
      </c>
    </row>
    <row r="28" ht="24" customHeight="1" spans="1:6">
      <c r="A28" s="594" t="s">
        <v>162</v>
      </c>
      <c r="B28" s="362" t="s">
        <v>163</v>
      </c>
      <c r="C28" s="595">
        <f>'01-1 '!F29</f>
        <v>9</v>
      </c>
      <c r="D28" s="595"/>
      <c r="E28" s="581">
        <f t="shared" si="0"/>
        <v>-1</v>
      </c>
      <c r="F28" s="609" t="str">
        <f t="shared" si="1"/>
        <v>是</v>
      </c>
    </row>
    <row r="29" ht="24" customHeight="1" spans="1:6">
      <c r="A29" s="594"/>
      <c r="B29" s="362"/>
      <c r="C29" s="595"/>
      <c r="D29" s="595"/>
      <c r="E29" s="582" t="str">
        <f t="shared" si="0"/>
        <v/>
      </c>
      <c r="F29" s="609" t="str">
        <f t="shared" si="1"/>
        <v>是</v>
      </c>
    </row>
    <row r="30" s="643" customFormat="1" ht="24" customHeight="1" spans="1:6">
      <c r="A30" s="653"/>
      <c r="B30" s="562" t="s">
        <v>164</v>
      </c>
      <c r="C30" s="649">
        <f>SUM(C20,C4)</f>
        <v>567755</v>
      </c>
      <c r="D30" s="649">
        <f>SUM(D20,D4)</f>
        <v>579110</v>
      </c>
      <c r="E30" s="582">
        <f t="shared" si="0"/>
        <v>0.0199998238676894</v>
      </c>
      <c r="F30" s="609" t="str">
        <f t="shared" si="1"/>
        <v>是</v>
      </c>
    </row>
    <row r="31" ht="24" customHeight="1" spans="1:6">
      <c r="A31" s="650">
        <v>105</v>
      </c>
      <c r="B31" s="361" t="s">
        <v>165</v>
      </c>
      <c r="C31" s="595">
        <f>'01-1 '!F32</f>
        <v>237945</v>
      </c>
      <c r="D31" s="595">
        <v>215000</v>
      </c>
      <c r="E31" s="581">
        <f t="shared" si="0"/>
        <v>-0.0964298472336044</v>
      </c>
      <c r="F31" s="609" t="str">
        <f t="shared" si="1"/>
        <v>是</v>
      </c>
    </row>
    <row r="32" ht="24" customHeight="1" spans="1:6">
      <c r="A32" s="592">
        <v>110</v>
      </c>
      <c r="B32" s="593" t="s">
        <v>166</v>
      </c>
      <c r="C32" s="649">
        <f>SUM(C33:C39)</f>
        <v>1275374</v>
      </c>
      <c r="D32" s="649">
        <f>SUM(D33:D39)</f>
        <v>1303621</v>
      </c>
      <c r="E32" s="582">
        <f t="shared" si="0"/>
        <v>0.0221480130534259</v>
      </c>
      <c r="F32" s="609" t="str">
        <f t="shared" si="1"/>
        <v>是</v>
      </c>
    </row>
    <row r="33" ht="24" customHeight="1" spans="1:6">
      <c r="A33" s="594">
        <v>11001</v>
      </c>
      <c r="B33" s="362" t="s">
        <v>167</v>
      </c>
      <c r="C33" s="595">
        <f>'01-1 '!F34</f>
        <v>44029</v>
      </c>
      <c r="D33" s="595">
        <v>42859</v>
      </c>
      <c r="E33" s="581">
        <f t="shared" si="0"/>
        <v>-0.0265733948079675</v>
      </c>
      <c r="F33" s="609" t="str">
        <f t="shared" si="1"/>
        <v>是</v>
      </c>
    </row>
    <row r="34" ht="24" customHeight="1" spans="1:6">
      <c r="A34" s="594"/>
      <c r="B34" s="362" t="s">
        <v>168</v>
      </c>
      <c r="C34" s="595">
        <f>'01-1 '!F35</f>
        <v>997380</v>
      </c>
      <c r="D34" s="595">
        <v>1011510</v>
      </c>
      <c r="E34" s="581">
        <f t="shared" si="0"/>
        <v>0.0141671178487638</v>
      </c>
      <c r="F34" s="609" t="str">
        <f t="shared" si="1"/>
        <v>是</v>
      </c>
    </row>
    <row r="35" ht="24" customHeight="1" spans="1:6">
      <c r="A35" s="594"/>
      <c r="B35" s="362" t="s">
        <v>169</v>
      </c>
      <c r="C35" s="595">
        <f>'01-1 '!F36</f>
        <v>144850</v>
      </c>
      <c r="D35" s="595">
        <v>154497</v>
      </c>
      <c r="E35" s="581">
        <f t="shared" si="0"/>
        <v>0.0665999309630652</v>
      </c>
      <c r="F35" s="609" t="str">
        <f t="shared" si="1"/>
        <v>是</v>
      </c>
    </row>
    <row r="36" ht="24" customHeight="1" spans="1:6">
      <c r="A36" s="594">
        <v>11008</v>
      </c>
      <c r="B36" s="362" t="s">
        <v>170</v>
      </c>
      <c r="C36" s="595">
        <f>'01-1 '!F37</f>
        <v>48541</v>
      </c>
      <c r="D36" s="595">
        <v>45807</v>
      </c>
      <c r="E36" s="581">
        <f t="shared" si="0"/>
        <v>-0.0563235203230259</v>
      </c>
      <c r="F36" s="609" t="str">
        <f t="shared" si="1"/>
        <v>是</v>
      </c>
    </row>
    <row r="37" ht="24" customHeight="1" spans="1:6">
      <c r="A37" s="594">
        <v>11009</v>
      </c>
      <c r="B37" s="362" t="s">
        <v>171</v>
      </c>
      <c r="C37" s="595">
        <f>'01-1 '!F38</f>
        <v>34108</v>
      </c>
      <c r="D37" s="595">
        <v>48948</v>
      </c>
      <c r="E37" s="581">
        <f t="shared" si="0"/>
        <v>0.435088542277472</v>
      </c>
      <c r="F37" s="609" t="str">
        <f t="shared" si="1"/>
        <v>是</v>
      </c>
    </row>
    <row r="38" s="644" customFormat="1" ht="24" customHeight="1" spans="1:6">
      <c r="A38" s="596">
        <v>11015</v>
      </c>
      <c r="B38" s="365" t="s">
        <v>172</v>
      </c>
      <c r="C38" s="595">
        <f>'01-1 '!F39</f>
        <v>6330</v>
      </c>
      <c r="D38" s="595"/>
      <c r="E38" s="581">
        <f t="shared" si="0"/>
        <v>-1</v>
      </c>
      <c r="F38" s="609" t="str">
        <f t="shared" si="1"/>
        <v>是</v>
      </c>
    </row>
    <row r="39" s="644" customFormat="1" ht="24" customHeight="1" spans="1:6">
      <c r="A39" s="596">
        <v>11021</v>
      </c>
      <c r="B39" s="365" t="s">
        <v>173</v>
      </c>
      <c r="C39" s="595">
        <f>'01-1 '!F40</f>
        <v>136</v>
      </c>
      <c r="D39" s="595"/>
      <c r="E39" s="581">
        <f t="shared" si="0"/>
        <v>-1</v>
      </c>
      <c r="F39" s="609" t="str">
        <f t="shared" si="1"/>
        <v>是</v>
      </c>
    </row>
    <row r="40" ht="24" customHeight="1" spans="1:6">
      <c r="A40" s="654"/>
      <c r="B40" s="655" t="s">
        <v>174</v>
      </c>
      <c r="C40" s="649">
        <f>SUM(C30:C31,C32)</f>
        <v>2081074</v>
      </c>
      <c r="D40" s="649">
        <f>SUM(D30:D31,D32)</f>
        <v>2097731</v>
      </c>
      <c r="E40" s="582">
        <f t="shared" si="0"/>
        <v>0.00800404022153946</v>
      </c>
      <c r="F40" s="609" t="str">
        <f t="shared" si="1"/>
        <v>是</v>
      </c>
    </row>
    <row r="41" spans="3:4">
      <c r="C41" s="656"/>
      <c r="D41" s="656"/>
    </row>
    <row r="42" spans="3:4">
      <c r="C42" s="656"/>
      <c r="D42" s="656"/>
    </row>
    <row r="43" spans="3:4">
      <c r="C43" s="656"/>
      <c r="D43" s="656"/>
    </row>
    <row r="44" spans="3:4">
      <c r="C44" s="656"/>
      <c r="D44" s="656"/>
    </row>
    <row r="45" spans="3:4">
      <c r="C45" s="656"/>
      <c r="D45" s="656"/>
    </row>
    <row r="46" spans="3:4">
      <c r="C46" s="656"/>
      <c r="D46" s="656"/>
    </row>
    <row r="47" spans="3:4">
      <c r="C47" s="656"/>
      <c r="D47" s="656"/>
    </row>
    <row r="48" spans="3:4">
      <c r="C48" s="656"/>
      <c r="D48" s="656"/>
    </row>
    <row r="49" spans="3:4">
      <c r="C49" s="656"/>
      <c r="D49" s="656"/>
    </row>
    <row r="50" spans="3:4">
      <c r="C50" s="656"/>
      <c r="D50" s="656"/>
    </row>
    <row r="51" spans="3:4">
      <c r="C51" s="656"/>
      <c r="D51" s="656"/>
    </row>
    <row r="52" spans="3:4">
      <c r="C52" s="656"/>
      <c r="D52" s="656"/>
    </row>
    <row r="53" spans="3:4">
      <c r="C53" s="656"/>
      <c r="D53" s="656"/>
    </row>
  </sheetData>
  <autoFilter ref="A3:F40">
    <extLst/>
  </autoFilter>
  <mergeCells count="1">
    <mergeCell ref="B1:E1"/>
  </mergeCells>
  <conditionalFormatting sqref="A31:B31">
    <cfRule type="expression" dxfId="0" priority="33" stopIfTrue="1">
      <formula>"len($A:$A)=3"</formula>
    </cfRule>
  </conditionalFormatting>
  <conditionalFormatting sqref="C31:D31">
    <cfRule type="expression" dxfId="0" priority="6" stopIfTrue="1">
      <formula>"len($A:$A)=3"</formula>
    </cfRule>
    <cfRule type="expression" dxfId="0" priority="5" stopIfTrue="1">
      <formula>"len($A:$A)=3"</formula>
    </cfRule>
  </conditionalFormatting>
  <conditionalFormatting sqref="C32:D32">
    <cfRule type="expression" dxfId="0" priority="12" stopIfTrue="1">
      <formula>"len($A:$A)=3"</formula>
    </cfRule>
    <cfRule type="expression" dxfId="0" priority="11" stopIfTrue="1">
      <formula>"len($A:$A)=3"</formula>
    </cfRule>
  </conditionalFormatting>
  <conditionalFormatting sqref="B38">
    <cfRule type="expression" dxfId="0" priority="1" stopIfTrue="1">
      <formula>"len($A:$A)=3"</formula>
    </cfRule>
  </conditionalFormatting>
  <conditionalFormatting sqref="B39">
    <cfRule type="expression" dxfId="0" priority="4" stopIfTrue="1">
      <formula>"len($A:$A)=3"</formula>
    </cfRule>
  </conditionalFormatting>
  <conditionalFormatting sqref="B40">
    <cfRule type="expression" dxfId="0" priority="14" stopIfTrue="1">
      <formula>"len($A:$A)=3"</formula>
    </cfRule>
    <cfRule type="expression" dxfId="0" priority="13" stopIfTrue="1">
      <formula>"len($A:$A)=3"</formula>
    </cfRule>
  </conditionalFormatting>
  <conditionalFormatting sqref="C40:D40">
    <cfRule type="expression" dxfId="0" priority="30" stopIfTrue="1">
      <formula>"len($A:$A)=3"</formula>
    </cfRule>
    <cfRule type="expression" dxfId="0" priority="28" stopIfTrue="1">
      <formula>"len($A:$A)=3"</formula>
    </cfRule>
  </conditionalFormatting>
  <conditionalFormatting sqref="B7:B8">
    <cfRule type="expression" dxfId="0" priority="35" stopIfTrue="1">
      <formula>"len($A:$A)=3"</formula>
    </cfRule>
  </conditionalFormatting>
  <conditionalFormatting sqref="B32:B35">
    <cfRule type="expression" dxfId="0" priority="18" stopIfTrue="1">
      <formula>"len($A:$A)=3"</formula>
    </cfRule>
  </conditionalFormatting>
  <conditionalFormatting sqref="B38:B39">
    <cfRule type="expression" dxfId="0" priority="3" stopIfTrue="1">
      <formula>"len($A:$A)=3"</formula>
    </cfRule>
    <cfRule type="expression" dxfId="0" priority="2" stopIfTrue="1">
      <formula>"len($A:$A)=3"</formula>
    </cfRule>
  </conditionalFormatting>
  <conditionalFormatting sqref="C21:C28">
    <cfRule type="expression" dxfId="0" priority="9" stopIfTrue="1">
      <formula>"len($A:$A)=3"</formula>
    </cfRule>
  </conditionalFormatting>
  <conditionalFormatting sqref="C33:C39">
    <cfRule type="expression" dxfId="0" priority="8" stopIfTrue="1">
      <formula>"len($A:$A)=3"</formula>
    </cfRule>
    <cfRule type="expression" dxfId="0" priority="7" stopIfTrue="1">
      <formula>"len($A:$A)=3"</formula>
    </cfRule>
  </conditionalFormatting>
  <conditionalFormatting sqref="D5:D19">
    <cfRule type="expression" dxfId="0" priority="10" stopIfTrue="1">
      <formula>"len($A:$A)=3"</formula>
    </cfRule>
  </conditionalFormatting>
  <conditionalFormatting sqref="D33:D35">
    <cfRule type="expression" dxfId="0" priority="29" stopIfTrue="1">
      <formula>"len($A:$A)=3"</formula>
    </cfRule>
    <cfRule type="expression" dxfId="0" priority="27" stopIfTrue="1">
      <formula>"len($A:$A)=3"</formula>
    </cfRule>
    <cfRule type="expression" dxfId="0" priority="20" stopIfTrue="1">
      <formula>"len($A:$A)=3"</formula>
    </cfRule>
    <cfRule type="expression" dxfId="0" priority="25" stopIfTrue="1">
      <formula>"len($A:$A)=3"</formula>
    </cfRule>
  </conditionalFormatting>
  <conditionalFormatting sqref="D36:D37">
    <cfRule type="expression" dxfId="0" priority="19" stopIfTrue="1">
      <formula>"len($A:$A)=3"</formula>
    </cfRule>
  </conditionalFormatting>
  <conditionalFormatting sqref="F4:F40">
    <cfRule type="cellIs" dxfId="1" priority="32" stopIfTrue="1" operator="lessThan">
      <formula>0</formula>
    </cfRule>
    <cfRule type="cellIs" dxfId="1" priority="31" stopIfTrue="1" operator="lessThan">
      <formula>0</formula>
    </cfRule>
  </conditionalFormatting>
  <conditionalFormatting sqref="A4:B29">
    <cfRule type="expression" dxfId="0" priority="34" stopIfTrue="1">
      <formula>"len($A:$A)=3"</formula>
    </cfRule>
  </conditionalFormatting>
  <conditionalFormatting sqref="B4:B6 B31 B40">
    <cfRule type="expression" dxfId="0" priority="37" stopIfTrue="1">
      <formula>"len($A:$A)=3"</formula>
    </cfRule>
  </conditionalFormatting>
  <conditionalFormatting sqref="C4:D4 C5:C19">
    <cfRule type="expression" dxfId="0" priority="24" stopIfTrue="1">
      <formula>"len($A:$A)=3"</formula>
    </cfRule>
  </conditionalFormatting>
  <conditionalFormatting sqref="C4:D29">
    <cfRule type="expression" dxfId="0" priority="22" stopIfTrue="1">
      <formula>"len($A:$A)=3"</formula>
    </cfRule>
  </conditionalFormatting>
  <conditionalFormatting sqref="A32:B35 B40">
    <cfRule type="expression" dxfId="0" priority="17" stopIfTrue="1">
      <formula>"len($A:$A)=3"</formula>
    </cfRule>
  </conditionalFormatting>
  <conditionalFormatting sqref="A33:B35">
    <cfRule type="expression" dxfId="0" priority="16" stopIfTrue="1">
      <formula>"len($A:$A)=3"</formula>
    </cfRule>
  </conditionalFormatting>
  <conditionalFormatting sqref="B40 A36:B36 D36">
    <cfRule type="expression" dxfId="0" priority="36" stopIfTrue="1">
      <formula>"len($A:$A)=3"</formula>
    </cfRule>
  </conditionalFormatting>
  <conditionalFormatting sqref="A36:B37">
    <cfRule type="expression" dxfId="0" priority="15" stopIfTrue="1">
      <formula>"len($A:$A)=3"</formula>
    </cfRule>
  </conditionalFormatting>
  <conditionalFormatting sqref="D38:D39 C40:D40">
    <cfRule type="expression" dxfId="0" priority="26" stopIfTrue="1">
      <formula>"len($A:$A)=3"</formula>
    </cfRule>
  </conditionalFormatting>
  <conditionalFormatting sqref="D39 C40:D40">
    <cfRule type="expression" dxfId="0" priority="23" stopIfTrue="1">
      <formula>"len($A:$A)=3"</formula>
    </cfRule>
  </conditionalFormatting>
  <printOptions horizontalCentered="1"/>
  <pageMargins left="0.472222222222222" right="0.393055555555556" top="0.550694444444444" bottom="0.550694444444444" header="0.314583333333333" footer="0.314583333333333"/>
  <pageSetup paperSize="9" scale="70" orientation="portrait" horizontalDpi="600"/>
  <headerFooter alignWithMargins="0">
    <oddFooter>&amp;C&amp;16- &amp;P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00B0F0"/>
  </sheetPr>
  <dimension ref="A1:F52"/>
  <sheetViews>
    <sheetView showGridLines="0" showZeros="0" view="pageBreakPreview" zoomScale="70" zoomScaleNormal="90" workbookViewId="0">
      <pane ySplit="3" topLeftCell="A4" activePane="bottomLeft" state="frozen"/>
      <selection/>
      <selection pane="bottomLeft" activeCell="D37" sqref="D37"/>
    </sheetView>
  </sheetViews>
  <sheetFormatPr defaultColWidth="9" defaultRowHeight="14.25" outlineLevelCol="5"/>
  <cols>
    <col min="1" max="1" width="13.75" style="553" hidden="1" customWidth="1"/>
    <col min="2" max="2" width="43.6333333333333" style="553" customWidth="1"/>
    <col min="3" max="4" width="18.7416666666667" style="553" customWidth="1"/>
    <col min="5" max="5" width="18.925" style="553" customWidth="1"/>
    <col min="6" max="6" width="9.13333333333333" style="553" customWidth="1"/>
    <col min="7" max="16384" width="9" style="553"/>
  </cols>
  <sheetData>
    <row r="1" ht="45" customHeight="1" spans="2:5">
      <c r="B1" s="618" t="s">
        <v>46</v>
      </c>
      <c r="C1" s="618"/>
      <c r="D1" s="618"/>
      <c r="E1" s="618"/>
    </row>
    <row r="2" ht="18.95" customHeight="1" spans="1:5">
      <c r="A2" s="619"/>
      <c r="B2" s="620" t="s">
        <v>45</v>
      </c>
      <c r="C2" s="621"/>
      <c r="D2" s="622"/>
      <c r="E2" s="637" t="s">
        <v>103</v>
      </c>
    </row>
    <row r="3" s="550" customFormat="1" ht="37.5" spans="1:6">
      <c r="A3" s="623" t="s">
        <v>104</v>
      </c>
      <c r="B3" s="600" t="s">
        <v>105</v>
      </c>
      <c r="C3" s="421" t="s">
        <v>1753</v>
      </c>
      <c r="D3" s="421" t="s">
        <v>1754</v>
      </c>
      <c r="E3" s="446" t="s">
        <v>1755</v>
      </c>
      <c r="F3" s="638" t="s">
        <v>113</v>
      </c>
    </row>
    <row r="4" ht="24" customHeight="1" spans="1:6">
      <c r="A4" s="624">
        <v>201</v>
      </c>
      <c r="B4" s="625" t="s">
        <v>175</v>
      </c>
      <c r="C4" s="137">
        <f>'01-2'!F5</f>
        <v>149662</v>
      </c>
      <c r="D4" s="137">
        <f>'21'!D4</f>
        <v>154393</v>
      </c>
      <c r="E4" s="639">
        <f t="shared" ref="E4:E39" si="0">IFERROR((D4-C4)/C4,"")</f>
        <v>0.0316112306397081</v>
      </c>
      <c r="F4" s="640" t="str">
        <f t="shared" ref="F4:F39" si="1">IF(LEN(A4)=3,"是",IF(B4&lt;&gt;"",IF(SUM(C4:D4)&lt;&gt;0,"是","否"),"是"))</f>
        <v>是</v>
      </c>
    </row>
    <row r="5" ht="24" customHeight="1" spans="1:6">
      <c r="A5" s="624">
        <v>202</v>
      </c>
      <c r="B5" s="626" t="s">
        <v>176</v>
      </c>
      <c r="C5" s="137">
        <f>'01-2'!F6</f>
        <v>0</v>
      </c>
      <c r="D5" s="137">
        <f>'21'!D252</f>
        <v>0</v>
      </c>
      <c r="E5" s="639" t="str">
        <f t="shared" si="0"/>
        <v/>
      </c>
      <c r="F5" s="640" t="str">
        <f t="shared" si="1"/>
        <v>是</v>
      </c>
    </row>
    <row r="6" ht="24" customHeight="1" spans="1:6">
      <c r="A6" s="624">
        <v>203</v>
      </c>
      <c r="B6" s="626" t="s">
        <v>177</v>
      </c>
      <c r="C6" s="137">
        <f>'01-2'!F7</f>
        <v>2580</v>
      </c>
      <c r="D6" s="137">
        <f>'21'!D292</f>
        <v>2582</v>
      </c>
      <c r="E6" s="639">
        <f t="shared" si="0"/>
        <v>0.000775193798449612</v>
      </c>
      <c r="F6" s="640" t="str">
        <f t="shared" si="1"/>
        <v>是</v>
      </c>
    </row>
    <row r="7" ht="24" customHeight="1" spans="1:6">
      <c r="A7" s="588">
        <v>204</v>
      </c>
      <c r="B7" s="626" t="s">
        <v>178</v>
      </c>
      <c r="C7" s="137">
        <f>'01-2'!F8</f>
        <v>75378</v>
      </c>
      <c r="D7" s="137">
        <f>'21'!D311</f>
        <v>75589</v>
      </c>
      <c r="E7" s="639">
        <f t="shared" si="0"/>
        <v>0.00279922523813314</v>
      </c>
      <c r="F7" s="640" t="str">
        <f t="shared" si="1"/>
        <v>是</v>
      </c>
    </row>
    <row r="8" ht="24" customHeight="1" spans="1:6">
      <c r="A8" s="624">
        <v>205</v>
      </c>
      <c r="B8" s="626" t="s">
        <v>179</v>
      </c>
      <c r="C8" s="137">
        <f>'01-2'!F9</f>
        <v>272444</v>
      </c>
      <c r="D8" s="137">
        <f>'21'!D401</f>
        <v>275516</v>
      </c>
      <c r="E8" s="639">
        <f t="shared" si="0"/>
        <v>0.0112757117058919</v>
      </c>
      <c r="F8" s="640" t="str">
        <f t="shared" si="1"/>
        <v>是</v>
      </c>
    </row>
    <row r="9" ht="24" customHeight="1" spans="1:6">
      <c r="A9" s="624">
        <v>206</v>
      </c>
      <c r="B9" s="626" t="s">
        <v>180</v>
      </c>
      <c r="C9" s="137">
        <f>'01-2'!F10</f>
        <v>6843</v>
      </c>
      <c r="D9" s="137">
        <f>'21'!D453</f>
        <v>6938</v>
      </c>
      <c r="E9" s="639">
        <f t="shared" si="0"/>
        <v>0.0138827999415461</v>
      </c>
      <c r="F9" s="640" t="str">
        <f t="shared" si="1"/>
        <v>是</v>
      </c>
    </row>
    <row r="10" ht="24" customHeight="1" spans="1:6">
      <c r="A10" s="624">
        <v>207</v>
      </c>
      <c r="B10" s="626" t="s">
        <v>181</v>
      </c>
      <c r="C10" s="137">
        <f>'01-2'!F11</f>
        <v>22563</v>
      </c>
      <c r="D10" s="137">
        <f>'21'!D509</f>
        <v>22644</v>
      </c>
      <c r="E10" s="639">
        <f t="shared" si="0"/>
        <v>0.00358994814519346</v>
      </c>
      <c r="F10" s="640" t="str">
        <f t="shared" si="1"/>
        <v>是</v>
      </c>
    </row>
    <row r="11" ht="24" customHeight="1" spans="1:6">
      <c r="A11" s="624">
        <v>208</v>
      </c>
      <c r="B11" s="626" t="s">
        <v>182</v>
      </c>
      <c r="C11" s="137">
        <f>'01-2'!F12</f>
        <v>292685</v>
      </c>
      <c r="D11" s="137">
        <f>'21'!D565</f>
        <v>297208</v>
      </c>
      <c r="E11" s="639">
        <f t="shared" si="0"/>
        <v>0.0154534738712267</v>
      </c>
      <c r="F11" s="640" t="str">
        <f t="shared" si="1"/>
        <v>是</v>
      </c>
    </row>
    <row r="12" ht="24" customHeight="1" spans="1:6">
      <c r="A12" s="624">
        <v>210</v>
      </c>
      <c r="B12" s="626" t="s">
        <v>183</v>
      </c>
      <c r="C12" s="137">
        <f>'01-2'!F13</f>
        <v>214985</v>
      </c>
      <c r="D12" s="137">
        <f>'21'!D694</f>
        <v>218613</v>
      </c>
      <c r="E12" s="639">
        <f t="shared" si="0"/>
        <v>0.016875595971812</v>
      </c>
      <c r="F12" s="640" t="str">
        <f t="shared" si="1"/>
        <v>是</v>
      </c>
    </row>
    <row r="13" ht="24" customHeight="1" spans="1:6">
      <c r="A13" s="624">
        <v>211</v>
      </c>
      <c r="B13" s="626" t="s">
        <v>184</v>
      </c>
      <c r="C13" s="137">
        <f>'01-2'!F14</f>
        <v>109450</v>
      </c>
      <c r="D13" s="137">
        <f>'21'!D778</f>
        <v>106384</v>
      </c>
      <c r="E13" s="639">
        <f t="shared" si="0"/>
        <v>-0.0280127912288716</v>
      </c>
      <c r="F13" s="640" t="str">
        <f t="shared" si="1"/>
        <v>是</v>
      </c>
    </row>
    <row r="14" ht="24" customHeight="1" spans="1:6">
      <c r="A14" s="624">
        <v>212</v>
      </c>
      <c r="B14" s="626" t="s">
        <v>185</v>
      </c>
      <c r="C14" s="137">
        <f>'01-2'!F15</f>
        <v>73971</v>
      </c>
      <c r="D14" s="137">
        <f>'21'!D850</f>
        <v>75139</v>
      </c>
      <c r="E14" s="639">
        <f t="shared" si="0"/>
        <v>0.0157899717456841</v>
      </c>
      <c r="F14" s="640" t="str">
        <f t="shared" si="1"/>
        <v>是</v>
      </c>
    </row>
    <row r="15" ht="24" customHeight="1" spans="1:6">
      <c r="A15" s="624">
        <v>213</v>
      </c>
      <c r="B15" s="626" t="s">
        <v>186</v>
      </c>
      <c r="C15" s="137">
        <f>'01-2'!F16</f>
        <v>239253</v>
      </c>
      <c r="D15" s="137">
        <f>'21'!D873</f>
        <v>244052</v>
      </c>
      <c r="E15" s="639">
        <f t="shared" si="0"/>
        <v>0.0200582646821565</v>
      </c>
      <c r="F15" s="640" t="str">
        <f t="shared" si="1"/>
        <v>是</v>
      </c>
    </row>
    <row r="16" ht="24" customHeight="1" spans="1:6">
      <c r="A16" s="624">
        <v>214</v>
      </c>
      <c r="B16" s="626" t="s">
        <v>187</v>
      </c>
      <c r="C16" s="137">
        <f>'01-2'!F17</f>
        <v>66230</v>
      </c>
      <c r="D16" s="137">
        <f>'21'!D976</f>
        <v>66499</v>
      </c>
      <c r="E16" s="639">
        <f t="shared" si="0"/>
        <v>0.00406160350294428</v>
      </c>
      <c r="F16" s="640" t="str">
        <f t="shared" si="1"/>
        <v>是</v>
      </c>
    </row>
    <row r="17" ht="24" customHeight="1" spans="1:6">
      <c r="A17" s="624">
        <v>215</v>
      </c>
      <c r="B17" s="626" t="s">
        <v>188</v>
      </c>
      <c r="C17" s="137">
        <f>'01-2'!F18</f>
        <v>76311</v>
      </c>
      <c r="D17" s="137">
        <f>'21'!D1028</f>
        <v>73506</v>
      </c>
      <c r="E17" s="639">
        <f t="shared" si="0"/>
        <v>-0.0367574792624916</v>
      </c>
      <c r="F17" s="640" t="str">
        <f t="shared" si="1"/>
        <v>是</v>
      </c>
    </row>
    <row r="18" ht="24" customHeight="1" spans="1:6">
      <c r="A18" s="624">
        <v>216</v>
      </c>
      <c r="B18" s="626" t="s">
        <v>189</v>
      </c>
      <c r="C18" s="137">
        <f>'01-2'!F19</f>
        <v>2905</v>
      </c>
      <c r="D18" s="137">
        <f>'21'!D1092</f>
        <v>2781</v>
      </c>
      <c r="E18" s="639">
        <f t="shared" si="0"/>
        <v>-0.0426850258175559</v>
      </c>
      <c r="F18" s="640" t="str">
        <f t="shared" si="1"/>
        <v>是</v>
      </c>
    </row>
    <row r="19" ht="24" customHeight="1" spans="1:6">
      <c r="A19" s="624">
        <v>217</v>
      </c>
      <c r="B19" s="626" t="s">
        <v>190</v>
      </c>
      <c r="C19" s="137">
        <f>'01-2'!F20</f>
        <v>1711</v>
      </c>
      <c r="D19" s="137">
        <f>'21'!D1112</f>
        <v>1673</v>
      </c>
      <c r="E19" s="639">
        <f t="shared" si="0"/>
        <v>-0.0222092343658679</v>
      </c>
      <c r="F19" s="640" t="str">
        <f t="shared" si="1"/>
        <v>是</v>
      </c>
    </row>
    <row r="20" ht="24" customHeight="1" spans="1:6">
      <c r="A20" s="624">
        <v>219</v>
      </c>
      <c r="B20" s="626" t="s">
        <v>191</v>
      </c>
      <c r="C20" s="137">
        <f>'01-2'!F21</f>
        <v>0</v>
      </c>
      <c r="D20" s="137">
        <f>'21'!D1142</f>
        <v>0</v>
      </c>
      <c r="E20" s="639" t="str">
        <f t="shared" si="0"/>
        <v/>
      </c>
      <c r="F20" s="640" t="str">
        <f t="shared" si="1"/>
        <v>是</v>
      </c>
    </row>
    <row r="21" ht="24" customHeight="1" spans="1:6">
      <c r="A21" s="624">
        <v>220</v>
      </c>
      <c r="B21" s="626" t="s">
        <v>192</v>
      </c>
      <c r="C21" s="137">
        <f>'01-2'!F22</f>
        <v>21460</v>
      </c>
      <c r="D21" s="137">
        <f>'21'!D1152</f>
        <v>21841</v>
      </c>
      <c r="E21" s="639">
        <f t="shared" si="0"/>
        <v>0.0177539608574091</v>
      </c>
      <c r="F21" s="640" t="str">
        <f t="shared" si="1"/>
        <v>是</v>
      </c>
    </row>
    <row r="22" ht="24" customHeight="1" spans="1:6">
      <c r="A22" s="624">
        <v>221</v>
      </c>
      <c r="B22" s="626" t="s">
        <v>193</v>
      </c>
      <c r="C22" s="137">
        <f>'01-2'!F23</f>
        <v>61136</v>
      </c>
      <c r="D22" s="137">
        <f>'21'!D1197</f>
        <v>60337</v>
      </c>
      <c r="E22" s="639">
        <f t="shared" si="0"/>
        <v>-0.0130692227165663</v>
      </c>
      <c r="F22" s="640" t="str">
        <f t="shared" si="1"/>
        <v>是</v>
      </c>
    </row>
    <row r="23" ht="24" customHeight="1" spans="1:6">
      <c r="A23" s="624">
        <v>222</v>
      </c>
      <c r="B23" s="626" t="s">
        <v>194</v>
      </c>
      <c r="C23" s="137">
        <f>'01-2'!F24</f>
        <v>2085</v>
      </c>
      <c r="D23" s="137">
        <f>'21'!D1216</f>
        <v>2063</v>
      </c>
      <c r="E23" s="639">
        <f t="shared" si="0"/>
        <v>-0.0105515587529976</v>
      </c>
      <c r="F23" s="640" t="str">
        <f t="shared" si="1"/>
        <v>是</v>
      </c>
    </row>
    <row r="24" ht="24" customHeight="1" spans="1:6">
      <c r="A24" s="624">
        <v>224</v>
      </c>
      <c r="B24" s="626" t="s">
        <v>195</v>
      </c>
      <c r="C24" s="137">
        <f>'01-2'!F25</f>
        <v>21135</v>
      </c>
      <c r="D24" s="137">
        <f>'21'!D1261</f>
        <v>20403</v>
      </c>
      <c r="E24" s="639">
        <f t="shared" si="0"/>
        <v>-0.0346344925479063</v>
      </c>
      <c r="F24" s="640" t="str">
        <f t="shared" si="1"/>
        <v>是</v>
      </c>
    </row>
    <row r="25" ht="24" customHeight="1" spans="1:6">
      <c r="A25" s="624">
        <v>227</v>
      </c>
      <c r="B25" s="626" t="s">
        <v>196</v>
      </c>
      <c r="C25" s="137">
        <f>'01-2'!F26</f>
        <v>0</v>
      </c>
      <c r="D25" s="137">
        <f>'21'!D1311</f>
        <v>17900</v>
      </c>
      <c r="E25" s="639" t="str">
        <f t="shared" si="0"/>
        <v/>
      </c>
      <c r="F25" s="640" t="str">
        <f t="shared" si="1"/>
        <v>是</v>
      </c>
    </row>
    <row r="26" ht="24" customHeight="1" spans="1:6">
      <c r="A26" s="624">
        <v>232</v>
      </c>
      <c r="B26" s="626" t="s">
        <v>197</v>
      </c>
      <c r="C26" s="137">
        <f>'01-2'!F27</f>
        <v>46367</v>
      </c>
      <c r="D26" s="137">
        <f>'21'!D1312</f>
        <v>42819</v>
      </c>
      <c r="E26" s="639">
        <f t="shared" si="0"/>
        <v>-0.0765199387495417</v>
      </c>
      <c r="F26" s="640" t="str">
        <f t="shared" si="1"/>
        <v>是</v>
      </c>
    </row>
    <row r="27" s="202" customFormat="1" ht="24" customHeight="1" spans="1:6">
      <c r="A27" s="624">
        <v>233</v>
      </c>
      <c r="B27" s="626" t="s">
        <v>198</v>
      </c>
      <c r="C27" s="137">
        <f>'01-2'!F28</f>
        <v>238</v>
      </c>
      <c r="D27" s="137">
        <f>'21'!D1318</f>
        <v>800</v>
      </c>
      <c r="E27" s="639">
        <f t="shared" si="0"/>
        <v>2.36134453781513</v>
      </c>
      <c r="F27" s="640" t="str">
        <f t="shared" si="1"/>
        <v>是</v>
      </c>
    </row>
    <row r="28" s="551" customFormat="1" ht="24" customHeight="1" spans="1:6">
      <c r="A28" s="624">
        <v>229</v>
      </c>
      <c r="B28" s="626" t="s">
        <v>199</v>
      </c>
      <c r="C28" s="137">
        <f>'01-2'!F29</f>
        <v>3839</v>
      </c>
      <c r="D28" s="137">
        <f>'21'!D1320</f>
        <v>0</v>
      </c>
      <c r="E28" s="639">
        <f t="shared" si="0"/>
        <v>-1</v>
      </c>
      <c r="F28" s="640" t="str">
        <f t="shared" si="1"/>
        <v>是</v>
      </c>
    </row>
    <row r="29" s="551" customFormat="1" ht="24" customHeight="1" spans="1:6">
      <c r="A29" s="588"/>
      <c r="B29" s="626"/>
      <c r="C29" s="137"/>
      <c r="D29" s="137"/>
      <c r="E29" s="639" t="str">
        <f t="shared" si="0"/>
        <v/>
      </c>
      <c r="F29" s="640" t="str">
        <f t="shared" si="1"/>
        <v>是</v>
      </c>
    </row>
    <row r="30" ht="24" customHeight="1" spans="1:6">
      <c r="A30" s="627"/>
      <c r="B30" s="628" t="s">
        <v>200</v>
      </c>
      <c r="C30" s="629">
        <f>SUM(C4:C28)</f>
        <v>1763231</v>
      </c>
      <c r="D30" s="629">
        <f>SUM(D4:D28)</f>
        <v>1789680</v>
      </c>
      <c r="E30" s="641">
        <f t="shared" si="0"/>
        <v>0.0150003034202552</v>
      </c>
      <c r="F30" s="640" t="str">
        <f t="shared" si="1"/>
        <v>是</v>
      </c>
    </row>
    <row r="31" ht="24" customHeight="1" spans="1:6">
      <c r="A31" s="574">
        <v>230</v>
      </c>
      <c r="B31" s="630" t="s">
        <v>201</v>
      </c>
      <c r="C31" s="631">
        <f>SUM(C32:C35)</f>
        <v>37977</v>
      </c>
      <c r="D31" s="631">
        <f>SUM(D32:D35)</f>
        <v>35440</v>
      </c>
      <c r="E31" s="641">
        <f t="shared" si="0"/>
        <v>-0.0668035916475762</v>
      </c>
      <c r="F31" s="640" t="str">
        <f t="shared" si="1"/>
        <v>是</v>
      </c>
    </row>
    <row r="32" ht="24" customHeight="1" spans="1:6">
      <c r="A32" s="624">
        <v>23006</v>
      </c>
      <c r="B32" s="569" t="s">
        <v>202</v>
      </c>
      <c r="C32" s="137">
        <f>'01-2'!F33</f>
        <v>35218</v>
      </c>
      <c r="D32" s="570">
        <v>35440</v>
      </c>
      <c r="E32" s="639">
        <f t="shared" si="0"/>
        <v>0.00630359475268329</v>
      </c>
      <c r="F32" s="640" t="str">
        <f t="shared" si="1"/>
        <v>是</v>
      </c>
    </row>
    <row r="33" ht="24" customHeight="1" spans="1:6">
      <c r="A33" s="588">
        <v>23008</v>
      </c>
      <c r="B33" s="569" t="s">
        <v>203</v>
      </c>
      <c r="C33" s="137">
        <f>'01-2'!F34</f>
        <v>0</v>
      </c>
      <c r="D33" s="570"/>
      <c r="E33" s="639" t="str">
        <f t="shared" si="0"/>
        <v/>
      </c>
      <c r="F33" s="640" t="str">
        <f t="shared" si="1"/>
        <v>否</v>
      </c>
    </row>
    <row r="34" ht="24" customHeight="1" spans="1:6">
      <c r="A34" s="632">
        <v>23015</v>
      </c>
      <c r="B34" s="572" t="s">
        <v>204</v>
      </c>
      <c r="C34" s="137">
        <f>'01-2'!F35</f>
        <v>2759</v>
      </c>
      <c r="D34" s="570"/>
      <c r="E34" s="639">
        <f t="shared" si="0"/>
        <v>-1</v>
      </c>
      <c r="F34" s="640" t="str">
        <f t="shared" si="1"/>
        <v>是</v>
      </c>
    </row>
    <row r="35" ht="24" customHeight="1" spans="1:6">
      <c r="A35" s="632">
        <v>23016</v>
      </c>
      <c r="B35" s="572" t="s">
        <v>205</v>
      </c>
      <c r="C35" s="137">
        <f>'01-2'!F36</f>
        <v>0</v>
      </c>
      <c r="D35" s="633"/>
      <c r="E35" s="639" t="str">
        <f t="shared" si="0"/>
        <v/>
      </c>
      <c r="F35" s="640" t="str">
        <f t="shared" si="1"/>
        <v>否</v>
      </c>
    </row>
    <row r="36" ht="24" customHeight="1" spans="1:6">
      <c r="A36" s="574">
        <v>231</v>
      </c>
      <c r="B36" s="236" t="s">
        <v>206</v>
      </c>
      <c r="C36" s="629">
        <f>'01-2'!F37</f>
        <v>234021</v>
      </c>
      <c r="D36" s="576">
        <v>232500</v>
      </c>
      <c r="E36" s="641">
        <f t="shared" si="0"/>
        <v>-0.0064994167190124</v>
      </c>
      <c r="F36" s="640" t="str">
        <f t="shared" si="1"/>
        <v>是</v>
      </c>
    </row>
    <row r="37" ht="24" customHeight="1" spans="1:6">
      <c r="A37" s="574">
        <v>23021</v>
      </c>
      <c r="B37" s="236" t="s">
        <v>207</v>
      </c>
      <c r="C37" s="629">
        <f>'01-2'!F38</f>
        <v>38</v>
      </c>
      <c r="D37" s="576"/>
      <c r="E37" s="641">
        <f t="shared" si="0"/>
        <v>-1</v>
      </c>
      <c r="F37" s="640" t="str">
        <f t="shared" si="1"/>
        <v>是</v>
      </c>
    </row>
    <row r="38" ht="24" customHeight="1" spans="1:6">
      <c r="A38" s="574">
        <v>23009</v>
      </c>
      <c r="B38" s="575" t="s">
        <v>208</v>
      </c>
      <c r="C38" s="629">
        <f>'01-2'!F39</f>
        <v>45807</v>
      </c>
      <c r="D38" s="576">
        <v>40111</v>
      </c>
      <c r="E38" s="641">
        <f t="shared" si="0"/>
        <v>-0.124347807103718</v>
      </c>
      <c r="F38" s="640" t="str">
        <f t="shared" si="1"/>
        <v>是</v>
      </c>
    </row>
    <row r="39" ht="24" customHeight="1" spans="1:6">
      <c r="A39" s="627"/>
      <c r="B39" s="634" t="s">
        <v>209</v>
      </c>
      <c r="C39" s="635">
        <f>SUM(C30:C31,C36:C38)</f>
        <v>2081074</v>
      </c>
      <c r="D39" s="635">
        <f>SUM(D30:D31,D36:D38)</f>
        <v>2097731</v>
      </c>
      <c r="E39" s="641">
        <f t="shared" si="0"/>
        <v>0.00800404022153946</v>
      </c>
      <c r="F39" s="640" t="str">
        <f t="shared" si="1"/>
        <v>是</v>
      </c>
    </row>
    <row r="40" spans="3:4">
      <c r="C40" s="636"/>
      <c r="D40" s="636"/>
    </row>
    <row r="42" spans="3:4">
      <c r="C42" s="636"/>
      <c r="D42" s="636"/>
    </row>
    <row r="44" spans="3:4">
      <c r="C44" s="636"/>
      <c r="D44" s="636"/>
    </row>
    <row r="45" spans="3:4">
      <c r="C45" s="636"/>
      <c r="D45" s="636"/>
    </row>
    <row r="47" spans="3:4">
      <c r="C47" s="636"/>
      <c r="D47" s="636"/>
    </row>
    <row r="48" spans="3:4">
      <c r="C48" s="636"/>
      <c r="D48" s="636"/>
    </row>
    <row r="49" spans="3:4">
      <c r="C49" s="636"/>
      <c r="D49" s="636"/>
    </row>
    <row r="50" spans="3:4">
      <c r="C50" s="636"/>
      <c r="D50" s="636"/>
    </row>
    <row r="52" spans="3:4">
      <c r="C52" s="636"/>
      <c r="D52" s="636"/>
    </row>
  </sheetData>
  <autoFilter ref="A3:F39">
    <extLst/>
  </autoFilter>
  <mergeCells count="1">
    <mergeCell ref="B1:E1"/>
  </mergeCells>
  <conditionalFormatting sqref="D32">
    <cfRule type="cellIs" dxfId="2" priority="2" stopIfTrue="1" operator="lessThanOrEqual">
      <formula>-1</formula>
    </cfRule>
  </conditionalFormatting>
  <conditionalFormatting sqref="D38">
    <cfRule type="cellIs" dxfId="2" priority="1" stopIfTrue="1" operator="lessThanOrEqual">
      <formula>-1</formula>
    </cfRule>
  </conditionalFormatting>
  <conditionalFormatting sqref="D33:D34">
    <cfRule type="cellIs" dxfId="2" priority="4" stopIfTrue="1" operator="lessThanOrEqual">
      <formula>-1</formula>
    </cfRule>
  </conditionalFormatting>
  <conditionalFormatting sqref="A34:B35 A39:B39">
    <cfRule type="expression" dxfId="0" priority="3" stopIfTrue="1">
      <formula>"len($A:$A)=3"</formula>
    </cfRule>
  </conditionalFormatting>
  <printOptions horizontalCentered="1"/>
  <pageMargins left="0.472222222222222" right="0.393055555555556" top="0.472222222222222" bottom="0.472222222222222" header="0.314583333333333" footer="0.314583333333333"/>
  <pageSetup paperSize="9" scale="68" orientation="portrait" horizontalDpi="600"/>
  <headerFooter alignWithMargins="0">
    <oddFooter>&amp;C&amp;16- &amp;P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6">
    <tabColor rgb="FF00B0F0"/>
  </sheetPr>
  <dimension ref="A1:H1388"/>
  <sheetViews>
    <sheetView showZeros="0" view="pageBreakPreview" zoomScale="70" zoomScaleNormal="100" workbookViewId="0">
      <pane ySplit="3" topLeftCell="A4" activePane="bottomLeft" state="frozen"/>
      <selection/>
      <selection pane="bottomLeft" activeCell="A58" sqref="$A58:$XFD58"/>
    </sheetView>
  </sheetViews>
  <sheetFormatPr defaultColWidth="9" defaultRowHeight="14.25" outlineLevelCol="7"/>
  <cols>
    <col min="1" max="1" width="16.775" style="312" hidden="1" customWidth="1"/>
    <col min="2" max="2" width="52.25" style="312" customWidth="1"/>
    <col min="3" max="3" width="20.7083333333333" style="417" customWidth="1"/>
    <col min="4" max="4" width="20.7083333333333" style="508" customWidth="1"/>
    <col min="5" max="5" width="19.275" style="312" customWidth="1"/>
    <col min="6" max="6" width="4.38333333333333" style="312" customWidth="1"/>
    <col min="7" max="7" width="9" style="312" customWidth="1"/>
    <col min="8" max="16384" width="9" style="312"/>
  </cols>
  <sheetData>
    <row r="1" s="504" customFormat="1" ht="45" customHeight="1" spans="2:5">
      <c r="B1" s="509" t="s">
        <v>48</v>
      </c>
      <c r="C1" s="509"/>
      <c r="D1" s="518"/>
      <c r="E1" s="509"/>
    </row>
    <row r="2" s="504" customFormat="1" ht="20.1" customHeight="1" spans="1:5">
      <c r="A2" s="511"/>
      <c r="B2" s="512" t="s">
        <v>47</v>
      </c>
      <c r="C2" s="520"/>
      <c r="D2" s="519"/>
      <c r="E2" s="520" t="s">
        <v>103</v>
      </c>
    </row>
    <row r="3" s="505" customFormat="1" ht="39" customHeight="1" spans="1:7">
      <c r="A3" s="599" t="s">
        <v>104</v>
      </c>
      <c r="B3" s="600" t="s">
        <v>105</v>
      </c>
      <c r="C3" s="421" t="s">
        <v>1753</v>
      </c>
      <c r="D3" s="421" t="s">
        <v>1754</v>
      </c>
      <c r="E3" s="446" t="s">
        <v>1755</v>
      </c>
      <c r="F3" s="604" t="s">
        <v>113</v>
      </c>
      <c r="G3" s="505" t="s">
        <v>210</v>
      </c>
    </row>
    <row r="4" ht="24" customHeight="1" spans="1:7">
      <c r="A4" s="329">
        <v>201</v>
      </c>
      <c r="B4" s="377" t="s">
        <v>175</v>
      </c>
      <c r="C4" s="601">
        <f>C5+C17+C26+C36+C47+C58+C69+C77+C86+C99+C108+C119+C131+C138+C146+C152+C159+C166+C173+C180+C187+C195+C201+C207+C214+C229+C236+C249</f>
        <v>149662</v>
      </c>
      <c r="D4" s="601">
        <f>D5+D17+D26+D36+D47+D58+D69+D77+D86+D99+D108+D119+D131+D138+D146+D152+D159+D166+D173+D180+D187+D195+D201+D207+D214+D229+D236+D249</f>
        <v>154393</v>
      </c>
      <c r="E4" s="605">
        <f t="shared" ref="E4:E67" si="0">IFERROR((D4-C4)/C4,"")</f>
        <v>0.0316112306397081</v>
      </c>
      <c r="F4" s="524" t="str">
        <f t="shared" ref="F4:F67" si="1">IF(LEN(A4)=3,"是",IF(B4&lt;&gt;"",IF(SUM(C4:D4)&lt;&gt;0,"是","否"),"是"))</f>
        <v>是</v>
      </c>
      <c r="G4" s="312" t="str">
        <f t="shared" ref="G4:G67" si="2">IF(LEN(A4)=3,"类",IF(LEN(A4)=5,"款","项"))</f>
        <v>类</v>
      </c>
    </row>
    <row r="5" ht="24" customHeight="1" spans="1:7">
      <c r="A5" s="330">
        <v>20101</v>
      </c>
      <c r="B5" s="379" t="s">
        <v>211</v>
      </c>
      <c r="C5" s="602">
        <f>SUM(C6:C16)</f>
        <v>5903</v>
      </c>
      <c r="D5" s="602">
        <f>SUM(D6:D16)</f>
        <v>6007</v>
      </c>
      <c r="E5" s="606">
        <f t="shared" si="0"/>
        <v>0.0176181602574962</v>
      </c>
      <c r="F5" s="524" t="str">
        <f t="shared" si="1"/>
        <v>是</v>
      </c>
      <c r="G5" s="312" t="str">
        <f t="shared" si="2"/>
        <v>款</v>
      </c>
    </row>
    <row r="6" s="372" customFormat="1" ht="24" hidden="1" customHeight="1" spans="1:7">
      <c r="A6" s="330">
        <v>2010101</v>
      </c>
      <c r="B6" s="379" t="s">
        <v>212</v>
      </c>
      <c r="C6" s="602">
        <f>'02'!E7</f>
        <v>4990</v>
      </c>
      <c r="D6" s="603">
        <v>5023</v>
      </c>
      <c r="E6" s="606">
        <f t="shared" si="0"/>
        <v>0.00661322645290581</v>
      </c>
      <c r="F6" s="524" t="str">
        <f t="shared" si="1"/>
        <v>是</v>
      </c>
      <c r="G6" s="312" t="str">
        <f t="shared" si="2"/>
        <v>项</v>
      </c>
    </row>
    <row r="7" s="372" customFormat="1" ht="24" hidden="1" customHeight="1" spans="1:7">
      <c r="A7" s="330">
        <v>2010102</v>
      </c>
      <c r="B7" s="379" t="s">
        <v>213</v>
      </c>
      <c r="C7" s="602">
        <f>'02'!E8</f>
        <v>175</v>
      </c>
      <c r="D7" s="603">
        <v>185</v>
      </c>
      <c r="E7" s="606">
        <f t="shared" si="0"/>
        <v>0.0571428571428571</v>
      </c>
      <c r="F7" s="524" t="str">
        <f t="shared" si="1"/>
        <v>是</v>
      </c>
      <c r="G7" s="312" t="str">
        <f t="shared" si="2"/>
        <v>项</v>
      </c>
    </row>
    <row r="8" s="372" customFormat="1" ht="24" hidden="1" customHeight="1" spans="1:7">
      <c r="A8" s="330">
        <v>2010103</v>
      </c>
      <c r="B8" s="379" t="s">
        <v>214</v>
      </c>
      <c r="C8" s="602">
        <f>'02'!E9</f>
        <v>54</v>
      </c>
      <c r="D8" s="603">
        <v>50</v>
      </c>
      <c r="E8" s="606">
        <f t="shared" si="0"/>
        <v>-0.0740740740740741</v>
      </c>
      <c r="F8" s="524" t="str">
        <f t="shared" si="1"/>
        <v>是</v>
      </c>
      <c r="G8" s="312" t="str">
        <f t="shared" si="2"/>
        <v>项</v>
      </c>
    </row>
    <row r="9" s="372" customFormat="1" ht="24" hidden="1" customHeight="1" spans="1:7">
      <c r="A9" s="330">
        <v>2010104</v>
      </c>
      <c r="B9" s="379" t="s">
        <v>215</v>
      </c>
      <c r="C9" s="602">
        <f>'02'!E10</f>
        <v>312</v>
      </c>
      <c r="D9" s="603">
        <v>314</v>
      </c>
      <c r="E9" s="606">
        <f t="shared" si="0"/>
        <v>0.00641025641025641</v>
      </c>
      <c r="F9" s="524" t="str">
        <f t="shared" si="1"/>
        <v>是</v>
      </c>
      <c r="G9" s="312" t="str">
        <f t="shared" si="2"/>
        <v>项</v>
      </c>
    </row>
    <row r="10" s="372" customFormat="1" ht="24" hidden="1" customHeight="1" spans="1:7">
      <c r="A10" s="330">
        <v>2010105</v>
      </c>
      <c r="B10" s="379" t="s">
        <v>216</v>
      </c>
      <c r="C10" s="602">
        <f>'02'!E11</f>
        <v>4</v>
      </c>
      <c r="D10" s="603">
        <v>4</v>
      </c>
      <c r="E10" s="606">
        <f t="shared" si="0"/>
        <v>0</v>
      </c>
      <c r="F10" s="524" t="str">
        <f t="shared" si="1"/>
        <v>是</v>
      </c>
      <c r="G10" s="312" t="str">
        <f t="shared" si="2"/>
        <v>项</v>
      </c>
    </row>
    <row r="11" s="372" customFormat="1" ht="24" hidden="1" customHeight="1" spans="1:7">
      <c r="A11" s="330">
        <v>2010106</v>
      </c>
      <c r="B11" s="379" t="s">
        <v>217</v>
      </c>
      <c r="C11" s="602">
        <f>'02'!E12</f>
        <v>20</v>
      </c>
      <c r="D11" s="603">
        <v>36</v>
      </c>
      <c r="E11" s="606">
        <f t="shared" si="0"/>
        <v>0.8</v>
      </c>
      <c r="F11" s="524" t="str">
        <f t="shared" si="1"/>
        <v>是</v>
      </c>
      <c r="G11" s="312" t="str">
        <f t="shared" si="2"/>
        <v>项</v>
      </c>
    </row>
    <row r="12" s="372" customFormat="1" ht="24" hidden="1" customHeight="1" spans="1:7">
      <c r="A12" s="330">
        <v>2010107</v>
      </c>
      <c r="B12" s="379" t="s">
        <v>218</v>
      </c>
      <c r="C12" s="602">
        <f>'02'!E13</f>
        <v>94</v>
      </c>
      <c r="D12" s="603">
        <v>128</v>
      </c>
      <c r="E12" s="606">
        <f t="shared" si="0"/>
        <v>0.361702127659574</v>
      </c>
      <c r="F12" s="524" t="str">
        <f t="shared" si="1"/>
        <v>是</v>
      </c>
      <c r="G12" s="312" t="str">
        <f t="shared" si="2"/>
        <v>项</v>
      </c>
    </row>
    <row r="13" s="372" customFormat="1" ht="24" hidden="1" customHeight="1" spans="1:7">
      <c r="A13" s="330">
        <v>2010108</v>
      </c>
      <c r="B13" s="379" t="s">
        <v>219</v>
      </c>
      <c r="C13" s="602">
        <f>'02'!E14</f>
        <v>84</v>
      </c>
      <c r="D13" s="603">
        <v>72</v>
      </c>
      <c r="E13" s="606">
        <f t="shared" si="0"/>
        <v>-0.142857142857143</v>
      </c>
      <c r="F13" s="524" t="str">
        <f t="shared" si="1"/>
        <v>是</v>
      </c>
      <c r="G13" s="312" t="str">
        <f t="shared" si="2"/>
        <v>项</v>
      </c>
    </row>
    <row r="14" s="372" customFormat="1" ht="24" hidden="1" customHeight="1" spans="1:7">
      <c r="A14" s="330">
        <v>2010109</v>
      </c>
      <c r="B14" s="379" t="s">
        <v>220</v>
      </c>
      <c r="C14" s="602">
        <f>'02'!E15</f>
        <v>0</v>
      </c>
      <c r="D14" s="603">
        <v>0</v>
      </c>
      <c r="E14" s="606" t="str">
        <f t="shared" si="0"/>
        <v/>
      </c>
      <c r="F14" s="524" t="str">
        <f t="shared" si="1"/>
        <v>否</v>
      </c>
      <c r="G14" s="312" t="str">
        <f t="shared" si="2"/>
        <v>项</v>
      </c>
    </row>
    <row r="15" s="372" customFormat="1" ht="24" hidden="1" customHeight="1" spans="1:7">
      <c r="A15" s="330">
        <v>2010150</v>
      </c>
      <c r="B15" s="379" t="s">
        <v>221</v>
      </c>
      <c r="C15" s="602">
        <f>'02'!E16</f>
        <v>0</v>
      </c>
      <c r="D15" s="603">
        <v>0</v>
      </c>
      <c r="E15" s="606" t="str">
        <f t="shared" si="0"/>
        <v/>
      </c>
      <c r="F15" s="524" t="str">
        <f t="shared" si="1"/>
        <v>否</v>
      </c>
      <c r="G15" s="312" t="str">
        <f t="shared" si="2"/>
        <v>项</v>
      </c>
    </row>
    <row r="16" s="372" customFormat="1" ht="24" hidden="1" customHeight="1" spans="1:7">
      <c r="A16" s="330">
        <v>2010199</v>
      </c>
      <c r="B16" s="379" t="s">
        <v>222</v>
      </c>
      <c r="C16" s="602">
        <f>'02'!E17</f>
        <v>170</v>
      </c>
      <c r="D16" s="603">
        <v>195</v>
      </c>
      <c r="E16" s="606">
        <f t="shared" si="0"/>
        <v>0.147058823529412</v>
      </c>
      <c r="F16" s="524" t="str">
        <f t="shared" si="1"/>
        <v>是</v>
      </c>
      <c r="G16" s="312" t="str">
        <f t="shared" si="2"/>
        <v>项</v>
      </c>
    </row>
    <row r="17" ht="24" customHeight="1" spans="1:7">
      <c r="A17" s="330">
        <v>20102</v>
      </c>
      <c r="B17" s="379" t="s">
        <v>223</v>
      </c>
      <c r="C17" s="602">
        <f>SUM(C18:C25)</f>
        <v>5289</v>
      </c>
      <c r="D17" s="602">
        <f>SUM(D18:D25)</f>
        <v>5323</v>
      </c>
      <c r="E17" s="606">
        <f t="shared" si="0"/>
        <v>0.00642843637738703</v>
      </c>
      <c r="F17" s="524" t="str">
        <f t="shared" si="1"/>
        <v>是</v>
      </c>
      <c r="G17" s="312" t="str">
        <f t="shared" si="2"/>
        <v>款</v>
      </c>
    </row>
    <row r="18" s="372" customFormat="1" ht="24" hidden="1" customHeight="1" spans="1:7">
      <c r="A18" s="330">
        <v>2010201</v>
      </c>
      <c r="B18" s="379" t="s">
        <v>212</v>
      </c>
      <c r="C18" s="602">
        <f>'02'!E19</f>
        <v>4791</v>
      </c>
      <c r="D18" s="603">
        <v>4812</v>
      </c>
      <c r="E18" s="606">
        <f t="shared" si="0"/>
        <v>0.00438321853475266</v>
      </c>
      <c r="F18" s="524" t="str">
        <f t="shared" si="1"/>
        <v>是</v>
      </c>
      <c r="G18" s="312" t="str">
        <f t="shared" si="2"/>
        <v>项</v>
      </c>
    </row>
    <row r="19" s="372" customFormat="1" ht="24" hidden="1" customHeight="1" spans="1:7">
      <c r="A19" s="330">
        <v>2010202</v>
      </c>
      <c r="B19" s="379" t="s">
        <v>213</v>
      </c>
      <c r="C19" s="602">
        <f>'02'!E20</f>
        <v>110</v>
      </c>
      <c r="D19" s="603">
        <v>101</v>
      </c>
      <c r="E19" s="606">
        <f t="shared" si="0"/>
        <v>-0.0818181818181818</v>
      </c>
      <c r="F19" s="524" t="str">
        <f t="shared" si="1"/>
        <v>是</v>
      </c>
      <c r="G19" s="312" t="str">
        <f t="shared" si="2"/>
        <v>项</v>
      </c>
    </row>
    <row r="20" s="372" customFormat="1" ht="24" hidden="1" customHeight="1" spans="1:7">
      <c r="A20" s="330">
        <v>2010203</v>
      </c>
      <c r="B20" s="379" t="s">
        <v>214</v>
      </c>
      <c r="C20" s="602">
        <f>'02'!E21</f>
        <v>0</v>
      </c>
      <c r="D20" s="603">
        <v>0</v>
      </c>
      <c r="E20" s="606" t="str">
        <f t="shared" si="0"/>
        <v/>
      </c>
      <c r="F20" s="524" t="str">
        <f t="shared" si="1"/>
        <v>否</v>
      </c>
      <c r="G20" s="312" t="str">
        <f t="shared" si="2"/>
        <v>项</v>
      </c>
    </row>
    <row r="21" s="372" customFormat="1" ht="24" hidden="1" customHeight="1" spans="1:7">
      <c r="A21" s="330">
        <v>2010204</v>
      </c>
      <c r="B21" s="379" t="s">
        <v>224</v>
      </c>
      <c r="C21" s="602">
        <f>'02'!E22</f>
        <v>137</v>
      </c>
      <c r="D21" s="603">
        <v>155</v>
      </c>
      <c r="E21" s="606">
        <f t="shared" si="0"/>
        <v>0.131386861313869</v>
      </c>
      <c r="F21" s="524" t="str">
        <f t="shared" si="1"/>
        <v>是</v>
      </c>
      <c r="G21" s="312" t="str">
        <f t="shared" si="2"/>
        <v>项</v>
      </c>
    </row>
    <row r="22" s="372" customFormat="1" ht="24" hidden="1" customHeight="1" spans="1:7">
      <c r="A22" s="330">
        <v>2010205</v>
      </c>
      <c r="B22" s="379" t="s">
        <v>225</v>
      </c>
      <c r="C22" s="602">
        <f>'02'!E23</f>
        <v>12</v>
      </c>
      <c r="D22" s="603">
        <v>15</v>
      </c>
      <c r="E22" s="606">
        <f t="shared" si="0"/>
        <v>0.25</v>
      </c>
      <c r="F22" s="524" t="str">
        <f t="shared" si="1"/>
        <v>是</v>
      </c>
      <c r="G22" s="312" t="str">
        <f t="shared" si="2"/>
        <v>项</v>
      </c>
    </row>
    <row r="23" s="372" customFormat="1" ht="24" hidden="1" customHeight="1" spans="1:7">
      <c r="A23" s="330">
        <v>2010206</v>
      </c>
      <c r="B23" s="379" t="s">
        <v>226</v>
      </c>
      <c r="C23" s="602">
        <f>'02'!E24</f>
        <v>14</v>
      </c>
      <c r="D23" s="603">
        <v>5</v>
      </c>
      <c r="E23" s="606">
        <f t="shared" si="0"/>
        <v>-0.642857142857143</v>
      </c>
      <c r="F23" s="524" t="str">
        <f t="shared" si="1"/>
        <v>是</v>
      </c>
      <c r="G23" s="312" t="str">
        <f t="shared" si="2"/>
        <v>项</v>
      </c>
    </row>
    <row r="24" s="372" customFormat="1" ht="24" hidden="1" customHeight="1" spans="1:7">
      <c r="A24" s="330">
        <v>2010250</v>
      </c>
      <c r="B24" s="379" t="s">
        <v>221</v>
      </c>
      <c r="C24" s="602">
        <f>'02'!E25</f>
        <v>0</v>
      </c>
      <c r="D24" s="603">
        <v>0</v>
      </c>
      <c r="E24" s="606" t="str">
        <f t="shared" si="0"/>
        <v/>
      </c>
      <c r="F24" s="524" t="str">
        <f t="shared" si="1"/>
        <v>否</v>
      </c>
      <c r="G24" s="312" t="str">
        <f t="shared" si="2"/>
        <v>项</v>
      </c>
    </row>
    <row r="25" s="372" customFormat="1" ht="24" hidden="1" customHeight="1" spans="1:7">
      <c r="A25" s="330">
        <v>2010299</v>
      </c>
      <c r="B25" s="379" t="s">
        <v>227</v>
      </c>
      <c r="C25" s="602">
        <f>'02'!E26</f>
        <v>225</v>
      </c>
      <c r="D25" s="603">
        <v>235</v>
      </c>
      <c r="E25" s="606">
        <f t="shared" si="0"/>
        <v>0.0444444444444444</v>
      </c>
      <c r="F25" s="524" t="str">
        <f t="shared" si="1"/>
        <v>是</v>
      </c>
      <c r="G25" s="312" t="str">
        <f t="shared" si="2"/>
        <v>项</v>
      </c>
    </row>
    <row r="26" ht="24" customHeight="1" spans="1:7">
      <c r="A26" s="330">
        <v>20103</v>
      </c>
      <c r="B26" s="379" t="s">
        <v>228</v>
      </c>
      <c r="C26" s="602">
        <f>SUM(C27:C35)</f>
        <v>53527</v>
      </c>
      <c r="D26" s="602">
        <f>SUM(D27:D35)</f>
        <v>54324</v>
      </c>
      <c r="E26" s="606">
        <f t="shared" si="0"/>
        <v>0.0148896818428083</v>
      </c>
      <c r="F26" s="524" t="str">
        <f t="shared" si="1"/>
        <v>是</v>
      </c>
      <c r="G26" s="312" t="str">
        <f t="shared" si="2"/>
        <v>款</v>
      </c>
    </row>
    <row r="27" s="372" customFormat="1" ht="24" hidden="1" customHeight="1" spans="1:7">
      <c r="A27" s="330">
        <v>2010301</v>
      </c>
      <c r="B27" s="379" t="s">
        <v>212</v>
      </c>
      <c r="C27" s="602">
        <f>'02'!E28</f>
        <v>32143</v>
      </c>
      <c r="D27" s="603">
        <v>32353</v>
      </c>
      <c r="E27" s="606">
        <f t="shared" si="0"/>
        <v>0.00653330429642535</v>
      </c>
      <c r="F27" s="524" t="str">
        <f t="shared" si="1"/>
        <v>是</v>
      </c>
      <c r="G27" s="312" t="str">
        <f t="shared" si="2"/>
        <v>项</v>
      </c>
    </row>
    <row r="28" s="372" customFormat="1" ht="24" hidden="1" customHeight="1" spans="1:7">
      <c r="A28" s="330">
        <v>2010302</v>
      </c>
      <c r="B28" s="379" t="s">
        <v>213</v>
      </c>
      <c r="C28" s="602">
        <f>'02'!E29</f>
        <v>1854</v>
      </c>
      <c r="D28" s="603">
        <v>1525</v>
      </c>
      <c r="E28" s="606">
        <f t="shared" si="0"/>
        <v>-0.177454153182309</v>
      </c>
      <c r="F28" s="524" t="str">
        <f t="shared" si="1"/>
        <v>是</v>
      </c>
      <c r="G28" s="312" t="str">
        <f t="shared" si="2"/>
        <v>项</v>
      </c>
    </row>
    <row r="29" s="372" customFormat="1" ht="24" hidden="1" customHeight="1" spans="1:7">
      <c r="A29" s="330">
        <v>2010303</v>
      </c>
      <c r="B29" s="379" t="s">
        <v>214</v>
      </c>
      <c r="C29" s="602">
        <f>'02'!E30</f>
        <v>730</v>
      </c>
      <c r="D29" s="603">
        <v>753</v>
      </c>
      <c r="E29" s="606">
        <f t="shared" si="0"/>
        <v>0.0315068493150685</v>
      </c>
      <c r="F29" s="524" t="str">
        <f t="shared" si="1"/>
        <v>是</v>
      </c>
      <c r="G29" s="312" t="str">
        <f t="shared" si="2"/>
        <v>项</v>
      </c>
    </row>
    <row r="30" s="372" customFormat="1" ht="24" hidden="1" customHeight="1" spans="1:7">
      <c r="A30" s="330">
        <v>2010304</v>
      </c>
      <c r="B30" s="379" t="s">
        <v>229</v>
      </c>
      <c r="C30" s="602">
        <f>'02'!E31</f>
        <v>2</v>
      </c>
      <c r="D30" s="603">
        <v>2</v>
      </c>
      <c r="E30" s="606">
        <f t="shared" si="0"/>
        <v>0</v>
      </c>
      <c r="F30" s="524" t="str">
        <f t="shared" si="1"/>
        <v>是</v>
      </c>
      <c r="G30" s="312" t="str">
        <f t="shared" si="2"/>
        <v>项</v>
      </c>
    </row>
    <row r="31" s="372" customFormat="1" ht="24" hidden="1" customHeight="1" spans="1:7">
      <c r="A31" s="330">
        <v>2010305</v>
      </c>
      <c r="B31" s="379" t="s">
        <v>230</v>
      </c>
      <c r="C31" s="602">
        <f>'02'!E32</f>
        <v>9</v>
      </c>
      <c r="D31" s="603">
        <v>9</v>
      </c>
      <c r="E31" s="606">
        <f t="shared" si="0"/>
        <v>0</v>
      </c>
      <c r="F31" s="524" t="str">
        <f t="shared" si="1"/>
        <v>是</v>
      </c>
      <c r="G31" s="312" t="str">
        <f t="shared" si="2"/>
        <v>项</v>
      </c>
    </row>
    <row r="32" s="372" customFormat="1" ht="24" hidden="1" customHeight="1" spans="1:7">
      <c r="A32" s="330">
        <v>2010306</v>
      </c>
      <c r="B32" s="379" t="s">
        <v>231</v>
      </c>
      <c r="C32" s="602">
        <f>'02'!E33</f>
        <v>0</v>
      </c>
      <c r="D32" s="603">
        <v>0</v>
      </c>
      <c r="E32" s="606" t="str">
        <f t="shared" si="0"/>
        <v/>
      </c>
      <c r="F32" s="524" t="str">
        <f t="shared" si="1"/>
        <v>否</v>
      </c>
      <c r="G32" s="312" t="str">
        <f t="shared" si="2"/>
        <v>项</v>
      </c>
    </row>
    <row r="33" s="372" customFormat="1" ht="24" hidden="1" customHeight="1" spans="1:7">
      <c r="A33" s="330">
        <v>2010309</v>
      </c>
      <c r="B33" s="379" t="s">
        <v>232</v>
      </c>
      <c r="C33" s="602">
        <f>'02'!E34</f>
        <v>9</v>
      </c>
      <c r="D33" s="603">
        <v>11</v>
      </c>
      <c r="E33" s="606">
        <f t="shared" si="0"/>
        <v>0.222222222222222</v>
      </c>
      <c r="F33" s="524" t="str">
        <f t="shared" si="1"/>
        <v>是</v>
      </c>
      <c r="G33" s="312" t="str">
        <f t="shared" si="2"/>
        <v>项</v>
      </c>
    </row>
    <row r="34" s="372" customFormat="1" ht="24" hidden="1" customHeight="1" spans="1:7">
      <c r="A34" s="330">
        <v>2010350</v>
      </c>
      <c r="B34" s="379" t="s">
        <v>221</v>
      </c>
      <c r="C34" s="602">
        <f>'02'!E35</f>
        <v>17719</v>
      </c>
      <c r="D34" s="603">
        <v>17815</v>
      </c>
      <c r="E34" s="606">
        <f t="shared" si="0"/>
        <v>0.00541791297477284</v>
      </c>
      <c r="F34" s="524" t="str">
        <f t="shared" si="1"/>
        <v>是</v>
      </c>
      <c r="G34" s="312" t="str">
        <f t="shared" si="2"/>
        <v>项</v>
      </c>
    </row>
    <row r="35" s="372" customFormat="1" ht="24" hidden="1" customHeight="1" spans="1:7">
      <c r="A35" s="517">
        <v>2010399</v>
      </c>
      <c r="B35" s="379" t="s">
        <v>233</v>
      </c>
      <c r="C35" s="602">
        <f>'02'!E36</f>
        <v>1061</v>
      </c>
      <c r="D35" s="603">
        <v>1856</v>
      </c>
      <c r="E35" s="606">
        <f t="shared" si="0"/>
        <v>0.749293119698398</v>
      </c>
      <c r="F35" s="524" t="str">
        <f t="shared" si="1"/>
        <v>是</v>
      </c>
      <c r="G35" s="312" t="str">
        <f t="shared" si="2"/>
        <v>项</v>
      </c>
    </row>
    <row r="36" ht="24" customHeight="1" spans="1:7">
      <c r="A36" s="330">
        <v>20104</v>
      </c>
      <c r="B36" s="379" t="s">
        <v>234</v>
      </c>
      <c r="C36" s="602">
        <f>SUM(C37:C46)</f>
        <v>7745</v>
      </c>
      <c r="D36" s="602">
        <f>SUM(D37:D46)</f>
        <v>7548</v>
      </c>
      <c r="E36" s="606">
        <f t="shared" si="0"/>
        <v>-0.0254357650096837</v>
      </c>
      <c r="F36" s="524" t="str">
        <f t="shared" si="1"/>
        <v>是</v>
      </c>
      <c r="G36" s="312" t="str">
        <f t="shared" si="2"/>
        <v>款</v>
      </c>
    </row>
    <row r="37" s="372" customFormat="1" ht="24" hidden="1" customHeight="1" spans="1:7">
      <c r="A37" s="330">
        <v>2010401</v>
      </c>
      <c r="B37" s="379" t="s">
        <v>212</v>
      </c>
      <c r="C37" s="602">
        <f>'02'!E38</f>
        <v>3194</v>
      </c>
      <c r="D37" s="603">
        <v>3235</v>
      </c>
      <c r="E37" s="606">
        <f t="shared" si="0"/>
        <v>0.0128365685660614</v>
      </c>
      <c r="F37" s="524" t="str">
        <f t="shared" si="1"/>
        <v>是</v>
      </c>
      <c r="G37" s="312" t="str">
        <f t="shared" si="2"/>
        <v>项</v>
      </c>
    </row>
    <row r="38" s="372" customFormat="1" ht="24" hidden="1" customHeight="1" spans="1:7">
      <c r="A38" s="330">
        <v>2010402</v>
      </c>
      <c r="B38" s="379" t="s">
        <v>213</v>
      </c>
      <c r="C38" s="602">
        <f>'02'!E39</f>
        <v>117</v>
      </c>
      <c r="D38" s="603">
        <v>79</v>
      </c>
      <c r="E38" s="606">
        <f t="shared" si="0"/>
        <v>-0.324786324786325</v>
      </c>
      <c r="F38" s="524" t="str">
        <f t="shared" si="1"/>
        <v>是</v>
      </c>
      <c r="G38" s="312" t="str">
        <f t="shared" si="2"/>
        <v>项</v>
      </c>
    </row>
    <row r="39" s="372" customFormat="1" ht="24" hidden="1" customHeight="1" spans="1:7">
      <c r="A39" s="330">
        <v>2010403</v>
      </c>
      <c r="B39" s="379" t="s">
        <v>214</v>
      </c>
      <c r="C39" s="602">
        <f>'02'!E40</f>
        <v>0</v>
      </c>
      <c r="D39" s="603">
        <v>0</v>
      </c>
      <c r="E39" s="606" t="str">
        <f t="shared" si="0"/>
        <v/>
      </c>
      <c r="F39" s="524" t="str">
        <f t="shared" si="1"/>
        <v>否</v>
      </c>
      <c r="G39" s="312" t="str">
        <f t="shared" si="2"/>
        <v>项</v>
      </c>
    </row>
    <row r="40" s="372" customFormat="1" ht="24" hidden="1" customHeight="1" spans="1:7">
      <c r="A40" s="330">
        <v>2010404</v>
      </c>
      <c r="B40" s="379" t="s">
        <v>235</v>
      </c>
      <c r="C40" s="602">
        <f>'02'!E41</f>
        <v>634</v>
      </c>
      <c r="D40" s="603">
        <v>655</v>
      </c>
      <c r="E40" s="606">
        <f t="shared" si="0"/>
        <v>0.0331230283911672</v>
      </c>
      <c r="F40" s="524" t="str">
        <f t="shared" si="1"/>
        <v>是</v>
      </c>
      <c r="G40" s="312" t="str">
        <f t="shared" si="2"/>
        <v>项</v>
      </c>
    </row>
    <row r="41" s="372" customFormat="1" ht="24" hidden="1" customHeight="1" spans="1:7">
      <c r="A41" s="330">
        <v>2010405</v>
      </c>
      <c r="B41" s="379" t="s">
        <v>236</v>
      </c>
      <c r="C41" s="602">
        <f>'02'!E42</f>
        <v>0</v>
      </c>
      <c r="D41" s="603">
        <v>0</v>
      </c>
      <c r="E41" s="606" t="str">
        <f t="shared" si="0"/>
        <v/>
      </c>
      <c r="F41" s="524" t="str">
        <f t="shared" si="1"/>
        <v>否</v>
      </c>
      <c r="G41" s="312" t="str">
        <f t="shared" si="2"/>
        <v>项</v>
      </c>
    </row>
    <row r="42" s="372" customFormat="1" ht="24" hidden="1" customHeight="1" spans="1:7">
      <c r="A42" s="330">
        <v>2010406</v>
      </c>
      <c r="B42" s="379" t="s">
        <v>237</v>
      </c>
      <c r="C42" s="602">
        <f>'02'!E43</f>
        <v>218</v>
      </c>
      <c r="D42" s="603">
        <v>192</v>
      </c>
      <c r="E42" s="606">
        <f t="shared" si="0"/>
        <v>-0.119266055045872</v>
      </c>
      <c r="F42" s="524" t="str">
        <f t="shared" si="1"/>
        <v>是</v>
      </c>
      <c r="G42" s="312" t="str">
        <f t="shared" si="2"/>
        <v>项</v>
      </c>
    </row>
    <row r="43" s="372" customFormat="1" ht="24" hidden="1" customHeight="1" spans="1:7">
      <c r="A43" s="330">
        <v>2010407</v>
      </c>
      <c r="B43" s="379" t="s">
        <v>238</v>
      </c>
      <c r="C43" s="602">
        <f>'02'!E44</f>
        <v>0</v>
      </c>
      <c r="D43" s="603">
        <v>0</v>
      </c>
      <c r="E43" s="606" t="str">
        <f t="shared" si="0"/>
        <v/>
      </c>
      <c r="F43" s="524" t="str">
        <f t="shared" si="1"/>
        <v>否</v>
      </c>
      <c r="G43" s="312" t="str">
        <f t="shared" si="2"/>
        <v>项</v>
      </c>
    </row>
    <row r="44" s="372" customFormat="1" ht="24" hidden="1" customHeight="1" spans="1:7">
      <c r="A44" s="330">
        <v>2010408</v>
      </c>
      <c r="B44" s="379" t="s">
        <v>239</v>
      </c>
      <c r="C44" s="602">
        <f>'02'!E45</f>
        <v>7</v>
      </c>
      <c r="D44" s="603">
        <v>11</v>
      </c>
      <c r="E44" s="606">
        <f t="shared" si="0"/>
        <v>0.571428571428571</v>
      </c>
      <c r="F44" s="524" t="str">
        <f t="shared" si="1"/>
        <v>是</v>
      </c>
      <c r="G44" s="312" t="str">
        <f t="shared" si="2"/>
        <v>项</v>
      </c>
    </row>
    <row r="45" s="372" customFormat="1" ht="24" hidden="1" customHeight="1" spans="1:7">
      <c r="A45" s="330">
        <v>2010450</v>
      </c>
      <c r="B45" s="379" t="s">
        <v>221</v>
      </c>
      <c r="C45" s="602">
        <f>'02'!E46</f>
        <v>937</v>
      </c>
      <c r="D45" s="603">
        <v>951</v>
      </c>
      <c r="E45" s="606">
        <f t="shared" si="0"/>
        <v>0.0149413020277481</v>
      </c>
      <c r="F45" s="524" t="str">
        <f t="shared" si="1"/>
        <v>是</v>
      </c>
      <c r="G45" s="312" t="str">
        <f t="shared" si="2"/>
        <v>项</v>
      </c>
    </row>
    <row r="46" s="372" customFormat="1" ht="24" hidden="1" customHeight="1" spans="1:7">
      <c r="A46" s="330">
        <v>2010499</v>
      </c>
      <c r="B46" s="379" t="s">
        <v>240</v>
      </c>
      <c r="C46" s="602">
        <f>'02'!E47</f>
        <v>2638</v>
      </c>
      <c r="D46" s="603">
        <v>2425</v>
      </c>
      <c r="E46" s="606">
        <f t="shared" si="0"/>
        <v>-0.0807429871114481</v>
      </c>
      <c r="F46" s="524" t="str">
        <f t="shared" si="1"/>
        <v>是</v>
      </c>
      <c r="G46" s="312" t="str">
        <f t="shared" si="2"/>
        <v>项</v>
      </c>
    </row>
    <row r="47" ht="24" customHeight="1" spans="1:7">
      <c r="A47" s="330">
        <v>20105</v>
      </c>
      <c r="B47" s="379" t="s">
        <v>241</v>
      </c>
      <c r="C47" s="602">
        <f>SUM(C48:C57)</f>
        <v>2427</v>
      </c>
      <c r="D47" s="602">
        <f>SUM(D48:D57)</f>
        <v>2401</v>
      </c>
      <c r="E47" s="606">
        <f t="shared" si="0"/>
        <v>-0.0107128141738772</v>
      </c>
      <c r="F47" s="524" t="str">
        <f t="shared" si="1"/>
        <v>是</v>
      </c>
      <c r="G47" s="312" t="str">
        <f t="shared" si="2"/>
        <v>款</v>
      </c>
    </row>
    <row r="48" s="372" customFormat="1" ht="24" hidden="1" customHeight="1" spans="1:7">
      <c r="A48" s="330">
        <v>2010501</v>
      </c>
      <c r="B48" s="379" t="s">
        <v>212</v>
      </c>
      <c r="C48" s="602">
        <f>'02'!E49</f>
        <v>1144</v>
      </c>
      <c r="D48" s="603">
        <v>1145</v>
      </c>
      <c r="E48" s="606">
        <f t="shared" si="0"/>
        <v>0.000874125874125874</v>
      </c>
      <c r="F48" s="524" t="str">
        <f t="shared" si="1"/>
        <v>是</v>
      </c>
      <c r="G48" s="312" t="str">
        <f t="shared" si="2"/>
        <v>项</v>
      </c>
    </row>
    <row r="49" s="372" customFormat="1" ht="24" hidden="1" customHeight="1" spans="1:7">
      <c r="A49" s="330">
        <v>2010502</v>
      </c>
      <c r="B49" s="379" t="s">
        <v>213</v>
      </c>
      <c r="C49" s="602">
        <f>'02'!E50</f>
        <v>40</v>
      </c>
      <c r="D49" s="603">
        <v>21</v>
      </c>
      <c r="E49" s="606">
        <f t="shared" si="0"/>
        <v>-0.475</v>
      </c>
      <c r="F49" s="524" t="str">
        <f t="shared" si="1"/>
        <v>是</v>
      </c>
      <c r="G49" s="312" t="str">
        <f t="shared" si="2"/>
        <v>项</v>
      </c>
    </row>
    <row r="50" s="372" customFormat="1" ht="24" hidden="1" customHeight="1" spans="1:7">
      <c r="A50" s="330">
        <v>2010503</v>
      </c>
      <c r="B50" s="379" t="s">
        <v>214</v>
      </c>
      <c r="C50" s="602">
        <f>'02'!E51</f>
        <v>0</v>
      </c>
      <c r="D50" s="603">
        <v>0</v>
      </c>
      <c r="E50" s="606" t="str">
        <f t="shared" si="0"/>
        <v/>
      </c>
      <c r="F50" s="524" t="str">
        <f t="shared" si="1"/>
        <v>否</v>
      </c>
      <c r="G50" s="312" t="str">
        <f t="shared" si="2"/>
        <v>项</v>
      </c>
    </row>
    <row r="51" s="372" customFormat="1" ht="24" hidden="1" customHeight="1" spans="1:7">
      <c r="A51" s="330">
        <v>2010504</v>
      </c>
      <c r="B51" s="379" t="s">
        <v>242</v>
      </c>
      <c r="C51" s="602">
        <f>'02'!E52</f>
        <v>0</v>
      </c>
      <c r="D51" s="603">
        <v>0</v>
      </c>
      <c r="E51" s="606" t="str">
        <f t="shared" si="0"/>
        <v/>
      </c>
      <c r="F51" s="524" t="str">
        <f t="shared" si="1"/>
        <v>否</v>
      </c>
      <c r="G51" s="312" t="str">
        <f t="shared" si="2"/>
        <v>项</v>
      </c>
    </row>
    <row r="52" s="372" customFormat="1" ht="24" hidden="1" customHeight="1" spans="1:7">
      <c r="A52" s="330">
        <v>2010505</v>
      </c>
      <c r="B52" s="379" t="s">
        <v>243</v>
      </c>
      <c r="C52" s="602">
        <f>'02'!E53</f>
        <v>198</v>
      </c>
      <c r="D52" s="603">
        <v>212</v>
      </c>
      <c r="E52" s="606">
        <f t="shared" si="0"/>
        <v>0.0707070707070707</v>
      </c>
      <c r="F52" s="524" t="str">
        <f t="shared" si="1"/>
        <v>是</v>
      </c>
      <c r="G52" s="312" t="str">
        <f t="shared" si="2"/>
        <v>项</v>
      </c>
    </row>
    <row r="53" s="372" customFormat="1" ht="24" hidden="1" customHeight="1" spans="1:7">
      <c r="A53" s="330">
        <v>2010506</v>
      </c>
      <c r="B53" s="379" t="s">
        <v>244</v>
      </c>
      <c r="C53" s="602">
        <f>'02'!E54</f>
        <v>11</v>
      </c>
      <c r="D53" s="603">
        <v>18</v>
      </c>
      <c r="E53" s="606">
        <f t="shared" si="0"/>
        <v>0.636363636363636</v>
      </c>
      <c r="F53" s="524" t="str">
        <f t="shared" si="1"/>
        <v>是</v>
      </c>
      <c r="G53" s="312" t="str">
        <f t="shared" si="2"/>
        <v>项</v>
      </c>
    </row>
    <row r="54" s="372" customFormat="1" ht="24" hidden="1" customHeight="1" spans="1:7">
      <c r="A54" s="330">
        <v>2010507</v>
      </c>
      <c r="B54" s="379" t="s">
        <v>245</v>
      </c>
      <c r="C54" s="602">
        <f>'02'!E55</f>
        <v>164</v>
      </c>
      <c r="D54" s="603">
        <v>135</v>
      </c>
      <c r="E54" s="606">
        <f t="shared" si="0"/>
        <v>-0.176829268292683</v>
      </c>
      <c r="F54" s="524" t="str">
        <f t="shared" si="1"/>
        <v>是</v>
      </c>
      <c r="G54" s="312" t="str">
        <f t="shared" si="2"/>
        <v>项</v>
      </c>
    </row>
    <row r="55" s="372" customFormat="1" ht="24" hidden="1" customHeight="1" spans="1:7">
      <c r="A55" s="330">
        <v>2010508</v>
      </c>
      <c r="B55" s="379" t="s">
        <v>246</v>
      </c>
      <c r="C55" s="602">
        <f>'02'!E56</f>
        <v>86</v>
      </c>
      <c r="D55" s="603">
        <v>79</v>
      </c>
      <c r="E55" s="606">
        <f t="shared" si="0"/>
        <v>-0.0813953488372093</v>
      </c>
      <c r="F55" s="524" t="str">
        <f t="shared" si="1"/>
        <v>是</v>
      </c>
      <c r="G55" s="312" t="str">
        <f t="shared" si="2"/>
        <v>项</v>
      </c>
    </row>
    <row r="56" s="372" customFormat="1" ht="24" hidden="1" customHeight="1" spans="1:7">
      <c r="A56" s="330">
        <v>2010550</v>
      </c>
      <c r="B56" s="379" t="s">
        <v>221</v>
      </c>
      <c r="C56" s="602">
        <f>'02'!E57</f>
        <v>784</v>
      </c>
      <c r="D56" s="603">
        <v>791</v>
      </c>
      <c r="E56" s="606">
        <f t="shared" si="0"/>
        <v>0.00892857142857143</v>
      </c>
      <c r="F56" s="524" t="str">
        <f t="shared" si="1"/>
        <v>是</v>
      </c>
      <c r="G56" s="312" t="str">
        <f t="shared" si="2"/>
        <v>项</v>
      </c>
    </row>
    <row r="57" s="372" customFormat="1" ht="24" hidden="1" customHeight="1" spans="1:7">
      <c r="A57" s="330">
        <v>2010599</v>
      </c>
      <c r="B57" s="379" t="s">
        <v>247</v>
      </c>
      <c r="C57" s="602">
        <f>'02'!E58</f>
        <v>0</v>
      </c>
      <c r="D57" s="603">
        <v>0</v>
      </c>
      <c r="E57" s="606" t="str">
        <f t="shared" si="0"/>
        <v/>
      </c>
      <c r="F57" s="524" t="str">
        <f t="shared" si="1"/>
        <v>否</v>
      </c>
      <c r="G57" s="312" t="str">
        <f t="shared" si="2"/>
        <v>项</v>
      </c>
    </row>
    <row r="58" ht="24" customHeight="1" spans="1:7">
      <c r="A58" s="330">
        <v>20106</v>
      </c>
      <c r="B58" s="379" t="s">
        <v>248</v>
      </c>
      <c r="C58" s="602">
        <f>SUM(C59:C68)</f>
        <v>8353</v>
      </c>
      <c r="D58" s="602">
        <f>SUM(D59:D68)</f>
        <v>7446</v>
      </c>
      <c r="E58" s="606">
        <f t="shared" si="0"/>
        <v>-0.108583742368011</v>
      </c>
      <c r="F58" s="524" t="str">
        <f t="shared" si="1"/>
        <v>是</v>
      </c>
      <c r="G58" s="312" t="str">
        <f t="shared" si="2"/>
        <v>款</v>
      </c>
    </row>
    <row r="59" s="372" customFormat="1" ht="24" hidden="1" customHeight="1" spans="1:7">
      <c r="A59" s="330">
        <v>2010601</v>
      </c>
      <c r="B59" s="379" t="s">
        <v>212</v>
      </c>
      <c r="C59" s="602">
        <f>'02'!E60</f>
        <v>4703</v>
      </c>
      <c r="D59" s="603">
        <v>4695</v>
      </c>
      <c r="E59" s="606">
        <f t="shared" si="0"/>
        <v>-0.0017010418881565</v>
      </c>
      <c r="F59" s="524" t="str">
        <f t="shared" si="1"/>
        <v>是</v>
      </c>
      <c r="G59" s="312" t="str">
        <f t="shared" si="2"/>
        <v>项</v>
      </c>
    </row>
    <row r="60" s="372" customFormat="1" ht="24" hidden="1" customHeight="1" spans="1:7">
      <c r="A60" s="330">
        <v>2010602</v>
      </c>
      <c r="B60" s="379" t="s">
        <v>213</v>
      </c>
      <c r="C60" s="602">
        <f>'02'!E61</f>
        <v>53</v>
      </c>
      <c r="D60" s="603">
        <v>58</v>
      </c>
      <c r="E60" s="606">
        <f t="shared" si="0"/>
        <v>0.0943396226415094</v>
      </c>
      <c r="F60" s="524" t="str">
        <f t="shared" si="1"/>
        <v>是</v>
      </c>
      <c r="G60" s="312" t="str">
        <f t="shared" si="2"/>
        <v>项</v>
      </c>
    </row>
    <row r="61" s="372" customFormat="1" ht="24" hidden="1" customHeight="1" spans="1:7">
      <c r="A61" s="330">
        <v>2010603</v>
      </c>
      <c r="B61" s="379" t="s">
        <v>214</v>
      </c>
      <c r="C61" s="602">
        <f>'02'!E62</f>
        <v>0</v>
      </c>
      <c r="D61" s="603">
        <v>0</v>
      </c>
      <c r="E61" s="606" t="str">
        <f t="shared" si="0"/>
        <v/>
      </c>
      <c r="F61" s="524" t="str">
        <f t="shared" si="1"/>
        <v>否</v>
      </c>
      <c r="G61" s="312" t="str">
        <f t="shared" si="2"/>
        <v>项</v>
      </c>
    </row>
    <row r="62" s="372" customFormat="1" ht="24" hidden="1" customHeight="1" spans="1:7">
      <c r="A62" s="330">
        <v>2010604</v>
      </c>
      <c r="B62" s="379" t="s">
        <v>249</v>
      </c>
      <c r="C62" s="602">
        <f>'02'!E63</f>
        <v>79</v>
      </c>
      <c r="D62" s="603">
        <v>54</v>
      </c>
      <c r="E62" s="606">
        <f t="shared" si="0"/>
        <v>-0.316455696202532</v>
      </c>
      <c r="F62" s="524" t="str">
        <f t="shared" si="1"/>
        <v>是</v>
      </c>
      <c r="G62" s="312" t="str">
        <f t="shared" si="2"/>
        <v>项</v>
      </c>
    </row>
    <row r="63" s="372" customFormat="1" ht="24" hidden="1" customHeight="1" spans="1:7">
      <c r="A63" s="330">
        <v>2010605</v>
      </c>
      <c r="B63" s="379" t="s">
        <v>250</v>
      </c>
      <c r="C63" s="602">
        <f>'02'!E64</f>
        <v>4</v>
      </c>
      <c r="D63" s="603">
        <v>35</v>
      </c>
      <c r="E63" s="606">
        <f t="shared" si="0"/>
        <v>7.75</v>
      </c>
      <c r="F63" s="524" t="str">
        <f t="shared" si="1"/>
        <v>是</v>
      </c>
      <c r="G63" s="312" t="str">
        <f t="shared" si="2"/>
        <v>项</v>
      </c>
    </row>
    <row r="64" s="372" customFormat="1" ht="24" hidden="1" customHeight="1" spans="1:7">
      <c r="A64" s="330">
        <v>2010606</v>
      </c>
      <c r="B64" s="379" t="s">
        <v>251</v>
      </c>
      <c r="C64" s="602">
        <f>'02'!E65</f>
        <v>0</v>
      </c>
      <c r="D64" s="603">
        <v>0</v>
      </c>
      <c r="E64" s="606" t="str">
        <f t="shared" si="0"/>
        <v/>
      </c>
      <c r="F64" s="524" t="str">
        <f t="shared" si="1"/>
        <v>否</v>
      </c>
      <c r="G64" s="312" t="str">
        <f t="shared" si="2"/>
        <v>项</v>
      </c>
    </row>
    <row r="65" s="372" customFormat="1" ht="24" hidden="1" customHeight="1" spans="1:7">
      <c r="A65" s="330">
        <v>2010607</v>
      </c>
      <c r="B65" s="379" t="s">
        <v>252</v>
      </c>
      <c r="C65" s="602">
        <f>'02'!E66</f>
        <v>428</v>
      </c>
      <c r="D65" s="603">
        <v>256</v>
      </c>
      <c r="E65" s="606">
        <f t="shared" si="0"/>
        <v>-0.401869158878505</v>
      </c>
      <c r="F65" s="524" t="str">
        <f t="shared" si="1"/>
        <v>是</v>
      </c>
      <c r="G65" s="312" t="str">
        <f t="shared" si="2"/>
        <v>项</v>
      </c>
    </row>
    <row r="66" s="372" customFormat="1" ht="24" hidden="1" customHeight="1" spans="1:7">
      <c r="A66" s="330">
        <v>2010608</v>
      </c>
      <c r="B66" s="379" t="s">
        <v>253</v>
      </c>
      <c r="C66" s="602">
        <f>'02'!E67</f>
        <v>285</v>
      </c>
      <c r="D66" s="603">
        <v>285</v>
      </c>
      <c r="E66" s="606">
        <f t="shared" si="0"/>
        <v>0</v>
      </c>
      <c r="F66" s="524" t="str">
        <f t="shared" si="1"/>
        <v>是</v>
      </c>
      <c r="G66" s="312" t="str">
        <f t="shared" si="2"/>
        <v>项</v>
      </c>
    </row>
    <row r="67" s="372" customFormat="1" ht="24" hidden="1" customHeight="1" spans="1:7">
      <c r="A67" s="330">
        <v>2010650</v>
      </c>
      <c r="B67" s="379" t="s">
        <v>221</v>
      </c>
      <c r="C67" s="602">
        <f>'02'!E68</f>
        <v>1433</v>
      </c>
      <c r="D67" s="603">
        <v>1411</v>
      </c>
      <c r="E67" s="606">
        <f t="shared" si="0"/>
        <v>-0.0153524075366364</v>
      </c>
      <c r="F67" s="524" t="str">
        <f t="shared" si="1"/>
        <v>是</v>
      </c>
      <c r="G67" s="312" t="str">
        <f t="shared" si="2"/>
        <v>项</v>
      </c>
    </row>
    <row r="68" s="372" customFormat="1" ht="24" hidden="1" customHeight="1" spans="1:7">
      <c r="A68" s="330">
        <v>2010699</v>
      </c>
      <c r="B68" s="379" t="s">
        <v>254</v>
      </c>
      <c r="C68" s="602">
        <f>'02'!E69</f>
        <v>1368</v>
      </c>
      <c r="D68" s="603">
        <v>652</v>
      </c>
      <c r="E68" s="606">
        <f t="shared" ref="E68:E131" si="3">IFERROR((D68-C68)/C68,"")</f>
        <v>-0.523391812865497</v>
      </c>
      <c r="F68" s="524" t="str">
        <f t="shared" ref="F68:F131" si="4">IF(LEN(A68)=3,"是",IF(B68&lt;&gt;"",IF(SUM(C68:D68)&lt;&gt;0,"是","否"),"是"))</f>
        <v>是</v>
      </c>
      <c r="G68" s="312" t="str">
        <f t="shared" ref="G68:G131" si="5">IF(LEN(A68)=3,"类",IF(LEN(A68)=5,"款","项"))</f>
        <v>项</v>
      </c>
    </row>
    <row r="69" ht="24" customHeight="1" spans="1:7">
      <c r="A69" s="330">
        <v>20107</v>
      </c>
      <c r="B69" s="379" t="s">
        <v>255</v>
      </c>
      <c r="C69" s="602">
        <f>SUM(C70:C76)</f>
        <v>765</v>
      </c>
      <c r="D69" s="602">
        <f>SUM(D70:D76)</f>
        <v>797</v>
      </c>
      <c r="E69" s="606">
        <f t="shared" si="3"/>
        <v>0.0418300653594771</v>
      </c>
      <c r="F69" s="524" t="str">
        <f t="shared" si="4"/>
        <v>是</v>
      </c>
      <c r="G69" s="312" t="str">
        <f t="shared" si="5"/>
        <v>款</v>
      </c>
    </row>
    <row r="70" s="372" customFormat="1" ht="24" hidden="1" customHeight="1" spans="1:7">
      <c r="A70" s="330">
        <v>2010701</v>
      </c>
      <c r="B70" s="379" t="s">
        <v>212</v>
      </c>
      <c r="C70" s="602">
        <f>'02'!E71</f>
        <v>395</v>
      </c>
      <c r="D70" s="603">
        <v>497</v>
      </c>
      <c r="E70" s="606">
        <f t="shared" si="3"/>
        <v>0.258227848101266</v>
      </c>
      <c r="F70" s="524" t="str">
        <f t="shared" si="4"/>
        <v>是</v>
      </c>
      <c r="G70" s="312" t="str">
        <f t="shared" si="5"/>
        <v>项</v>
      </c>
    </row>
    <row r="71" s="372" customFormat="1" ht="24" hidden="1" customHeight="1" spans="1:7">
      <c r="A71" s="330">
        <v>2010702</v>
      </c>
      <c r="B71" s="379" t="s">
        <v>213</v>
      </c>
      <c r="C71" s="602">
        <f>'02'!E72</f>
        <v>106</v>
      </c>
      <c r="D71" s="603">
        <v>100</v>
      </c>
      <c r="E71" s="606">
        <f t="shared" si="3"/>
        <v>-0.0566037735849057</v>
      </c>
      <c r="F71" s="524" t="str">
        <f t="shared" si="4"/>
        <v>是</v>
      </c>
      <c r="G71" s="312" t="str">
        <f t="shared" si="5"/>
        <v>项</v>
      </c>
    </row>
    <row r="72" s="372" customFormat="1" ht="24" hidden="1" customHeight="1" spans="1:7">
      <c r="A72" s="330">
        <v>2010703</v>
      </c>
      <c r="B72" s="379" t="s">
        <v>214</v>
      </c>
      <c r="C72" s="602">
        <f>'02'!E73</f>
        <v>0</v>
      </c>
      <c r="D72" s="603">
        <v>0</v>
      </c>
      <c r="E72" s="606" t="str">
        <f t="shared" si="3"/>
        <v/>
      </c>
      <c r="F72" s="524" t="str">
        <f t="shared" si="4"/>
        <v>否</v>
      </c>
      <c r="G72" s="312" t="str">
        <f t="shared" si="5"/>
        <v>项</v>
      </c>
    </row>
    <row r="73" s="372" customFormat="1" ht="24" hidden="1" customHeight="1" spans="1:7">
      <c r="A73" s="330">
        <v>2010709</v>
      </c>
      <c r="B73" s="379" t="s">
        <v>252</v>
      </c>
      <c r="C73" s="602">
        <f>'02'!E74</f>
        <v>0</v>
      </c>
      <c r="D73" s="603">
        <v>0</v>
      </c>
      <c r="E73" s="606" t="str">
        <f t="shared" si="3"/>
        <v/>
      </c>
      <c r="F73" s="524" t="str">
        <f t="shared" si="4"/>
        <v>否</v>
      </c>
      <c r="G73" s="312" t="str">
        <f t="shared" si="5"/>
        <v>项</v>
      </c>
    </row>
    <row r="74" s="372" customFormat="1" ht="24" hidden="1" customHeight="1" spans="1:7">
      <c r="A74" s="527">
        <v>2010710</v>
      </c>
      <c r="B74" s="379" t="s">
        <v>256</v>
      </c>
      <c r="C74" s="602">
        <f>'02'!E75</f>
        <v>6</v>
      </c>
      <c r="D74" s="603">
        <v>15</v>
      </c>
      <c r="E74" s="606">
        <f t="shared" si="3"/>
        <v>1.5</v>
      </c>
      <c r="F74" s="524" t="str">
        <f t="shared" si="4"/>
        <v>是</v>
      </c>
      <c r="G74" s="312" t="str">
        <f t="shared" si="5"/>
        <v>项</v>
      </c>
    </row>
    <row r="75" s="372" customFormat="1" ht="24" hidden="1" customHeight="1" spans="1:7">
      <c r="A75" s="330">
        <v>2010750</v>
      </c>
      <c r="B75" s="379" t="s">
        <v>221</v>
      </c>
      <c r="C75" s="602">
        <f>'02'!E76</f>
        <v>0</v>
      </c>
      <c r="D75" s="603">
        <v>0</v>
      </c>
      <c r="E75" s="606" t="str">
        <f t="shared" si="3"/>
        <v/>
      </c>
      <c r="F75" s="524" t="str">
        <f t="shared" si="4"/>
        <v>否</v>
      </c>
      <c r="G75" s="312" t="str">
        <f t="shared" si="5"/>
        <v>项</v>
      </c>
    </row>
    <row r="76" s="372" customFormat="1" ht="24" hidden="1" customHeight="1" spans="1:7">
      <c r="A76" s="330">
        <v>2010799</v>
      </c>
      <c r="B76" s="379" t="s">
        <v>257</v>
      </c>
      <c r="C76" s="602">
        <f>'02'!E77</f>
        <v>258</v>
      </c>
      <c r="D76" s="603">
        <v>185</v>
      </c>
      <c r="E76" s="606">
        <f t="shared" si="3"/>
        <v>-0.282945736434109</v>
      </c>
      <c r="F76" s="524" t="str">
        <f t="shared" si="4"/>
        <v>是</v>
      </c>
      <c r="G76" s="312" t="str">
        <f t="shared" si="5"/>
        <v>项</v>
      </c>
    </row>
    <row r="77" s="372" customFormat="1" ht="24" customHeight="1" spans="1:7">
      <c r="A77" s="330">
        <v>20108</v>
      </c>
      <c r="B77" s="379" t="s">
        <v>258</v>
      </c>
      <c r="C77" s="602">
        <f>SUM(C78:C85)</f>
        <v>382</v>
      </c>
      <c r="D77" s="602">
        <f>SUM(D78:D85)</f>
        <v>515</v>
      </c>
      <c r="E77" s="606">
        <f t="shared" si="3"/>
        <v>0.348167539267016</v>
      </c>
      <c r="F77" s="524" t="str">
        <f t="shared" si="4"/>
        <v>是</v>
      </c>
      <c r="G77" s="312" t="str">
        <f t="shared" si="5"/>
        <v>款</v>
      </c>
    </row>
    <row r="78" s="372" customFormat="1" ht="24" hidden="1" customHeight="1" spans="1:7">
      <c r="A78" s="330">
        <v>2010801</v>
      </c>
      <c r="B78" s="379" t="s">
        <v>212</v>
      </c>
      <c r="C78" s="602">
        <f>'02'!E79</f>
        <v>0</v>
      </c>
      <c r="D78" s="603">
        <v>0</v>
      </c>
      <c r="E78" s="606" t="str">
        <f t="shared" si="3"/>
        <v/>
      </c>
      <c r="F78" s="524" t="str">
        <f t="shared" si="4"/>
        <v>否</v>
      </c>
      <c r="G78" s="312" t="str">
        <f t="shared" si="5"/>
        <v>项</v>
      </c>
    </row>
    <row r="79" s="372" customFormat="1" ht="24" hidden="1" customHeight="1" spans="1:7">
      <c r="A79" s="330">
        <v>2010802</v>
      </c>
      <c r="B79" s="379" t="s">
        <v>213</v>
      </c>
      <c r="C79" s="602">
        <f>'02'!E80</f>
        <v>0</v>
      </c>
      <c r="D79" s="603">
        <v>0</v>
      </c>
      <c r="E79" s="606" t="str">
        <f t="shared" si="3"/>
        <v/>
      </c>
      <c r="F79" s="524" t="str">
        <f t="shared" si="4"/>
        <v>否</v>
      </c>
      <c r="G79" s="312" t="str">
        <f t="shared" si="5"/>
        <v>项</v>
      </c>
    </row>
    <row r="80" s="372" customFormat="1" ht="24" hidden="1" customHeight="1" spans="1:7">
      <c r="A80" s="330">
        <v>2010803</v>
      </c>
      <c r="B80" s="379" t="s">
        <v>214</v>
      </c>
      <c r="C80" s="602">
        <f>'02'!E81</f>
        <v>0</v>
      </c>
      <c r="D80" s="603">
        <v>0</v>
      </c>
      <c r="E80" s="606" t="str">
        <f t="shared" si="3"/>
        <v/>
      </c>
      <c r="F80" s="524" t="str">
        <f t="shared" si="4"/>
        <v>否</v>
      </c>
      <c r="G80" s="312" t="str">
        <f t="shared" si="5"/>
        <v>项</v>
      </c>
    </row>
    <row r="81" s="372" customFormat="1" ht="24" hidden="1" customHeight="1" spans="1:7">
      <c r="A81" s="330">
        <v>2010804</v>
      </c>
      <c r="B81" s="379" t="s">
        <v>259</v>
      </c>
      <c r="C81" s="602">
        <f>'02'!E82</f>
        <v>366</v>
      </c>
      <c r="D81" s="603">
        <v>515</v>
      </c>
      <c r="E81" s="606">
        <f t="shared" si="3"/>
        <v>0.407103825136612</v>
      </c>
      <c r="F81" s="524" t="str">
        <f t="shared" si="4"/>
        <v>是</v>
      </c>
      <c r="G81" s="312" t="str">
        <f t="shared" si="5"/>
        <v>项</v>
      </c>
    </row>
    <row r="82" ht="24" hidden="1" customHeight="1" spans="1:7">
      <c r="A82" s="330">
        <v>2010805</v>
      </c>
      <c r="B82" s="379" t="s">
        <v>260</v>
      </c>
      <c r="C82" s="602">
        <f>'02'!E83</f>
        <v>0</v>
      </c>
      <c r="D82" s="603">
        <v>0</v>
      </c>
      <c r="E82" s="606" t="str">
        <f t="shared" si="3"/>
        <v/>
      </c>
      <c r="F82" s="524" t="str">
        <f t="shared" si="4"/>
        <v>否</v>
      </c>
      <c r="G82" s="312" t="str">
        <f t="shared" si="5"/>
        <v>项</v>
      </c>
    </row>
    <row r="83" s="372" customFormat="1" ht="24" hidden="1" customHeight="1" spans="1:7">
      <c r="A83" s="330">
        <v>2010806</v>
      </c>
      <c r="B83" s="379" t="s">
        <v>252</v>
      </c>
      <c r="C83" s="602">
        <f>'02'!E84</f>
        <v>0</v>
      </c>
      <c r="D83" s="603">
        <v>0</v>
      </c>
      <c r="E83" s="606" t="str">
        <f t="shared" si="3"/>
        <v/>
      </c>
      <c r="F83" s="524" t="str">
        <f t="shared" si="4"/>
        <v>否</v>
      </c>
      <c r="G83" s="312" t="str">
        <f t="shared" si="5"/>
        <v>项</v>
      </c>
    </row>
    <row r="84" s="372" customFormat="1" ht="24" hidden="1" customHeight="1" spans="1:7">
      <c r="A84" s="330">
        <v>2010850</v>
      </c>
      <c r="B84" s="379" t="s">
        <v>221</v>
      </c>
      <c r="C84" s="602">
        <f>'02'!E85</f>
        <v>16</v>
      </c>
      <c r="D84" s="603">
        <v>0</v>
      </c>
      <c r="E84" s="606">
        <f t="shared" si="3"/>
        <v>-1</v>
      </c>
      <c r="F84" s="524" t="str">
        <f t="shared" si="4"/>
        <v>是</v>
      </c>
      <c r="G84" s="312" t="str">
        <f t="shared" si="5"/>
        <v>项</v>
      </c>
    </row>
    <row r="85" s="372" customFormat="1" ht="24" hidden="1" customHeight="1" spans="1:7">
      <c r="A85" s="330">
        <v>2010899</v>
      </c>
      <c r="B85" s="379" t="s">
        <v>261</v>
      </c>
      <c r="C85" s="602">
        <f>'02'!E86</f>
        <v>0</v>
      </c>
      <c r="D85" s="603">
        <v>0</v>
      </c>
      <c r="E85" s="606" t="str">
        <f t="shared" si="3"/>
        <v/>
      </c>
      <c r="F85" s="524" t="str">
        <f t="shared" si="4"/>
        <v>否</v>
      </c>
      <c r="G85" s="312" t="str">
        <f t="shared" si="5"/>
        <v>项</v>
      </c>
    </row>
    <row r="86" s="372" customFormat="1" ht="24" customHeight="1" spans="1:7">
      <c r="A86" s="330">
        <v>20109</v>
      </c>
      <c r="B86" s="379" t="s">
        <v>262</v>
      </c>
      <c r="C86" s="602">
        <f>SUM(C87:C98)</f>
        <v>97</v>
      </c>
      <c r="D86" s="602">
        <f>SUM(D87:D98)</f>
        <v>102</v>
      </c>
      <c r="E86" s="606">
        <f t="shared" si="3"/>
        <v>0.0515463917525773</v>
      </c>
      <c r="F86" s="524" t="str">
        <f t="shared" si="4"/>
        <v>是</v>
      </c>
      <c r="G86" s="312" t="str">
        <f t="shared" si="5"/>
        <v>款</v>
      </c>
    </row>
    <row r="87" s="372" customFormat="1" ht="24" hidden="1" customHeight="1" spans="1:7">
      <c r="A87" s="330">
        <v>2010901</v>
      </c>
      <c r="B87" s="379" t="s">
        <v>212</v>
      </c>
      <c r="C87" s="602">
        <f>'02'!E88</f>
        <v>2</v>
      </c>
      <c r="D87" s="603">
        <v>0</v>
      </c>
      <c r="E87" s="606">
        <f t="shared" si="3"/>
        <v>-1</v>
      </c>
      <c r="F87" s="524" t="str">
        <f t="shared" si="4"/>
        <v>是</v>
      </c>
      <c r="G87" s="312" t="str">
        <f t="shared" si="5"/>
        <v>项</v>
      </c>
    </row>
    <row r="88" s="372" customFormat="1" ht="24" hidden="1" customHeight="1" spans="1:7">
      <c r="A88" s="330">
        <v>2010902</v>
      </c>
      <c r="B88" s="379" t="s">
        <v>213</v>
      </c>
      <c r="C88" s="602">
        <f>'02'!E89</f>
        <v>95</v>
      </c>
      <c r="D88" s="607">
        <v>102</v>
      </c>
      <c r="E88" s="606">
        <f t="shared" si="3"/>
        <v>0.0736842105263158</v>
      </c>
      <c r="F88" s="524" t="str">
        <f t="shared" si="4"/>
        <v>是</v>
      </c>
      <c r="G88" s="312" t="str">
        <f t="shared" si="5"/>
        <v>项</v>
      </c>
    </row>
    <row r="89" s="372" customFormat="1" ht="24" hidden="1" customHeight="1" spans="1:7">
      <c r="A89" s="330">
        <v>2010903</v>
      </c>
      <c r="B89" s="379" t="s">
        <v>214</v>
      </c>
      <c r="C89" s="602">
        <f>'02'!E90</f>
        <v>0</v>
      </c>
      <c r="D89" s="603">
        <v>0</v>
      </c>
      <c r="E89" s="606" t="str">
        <f t="shared" si="3"/>
        <v/>
      </c>
      <c r="F89" s="524" t="str">
        <f t="shared" si="4"/>
        <v>否</v>
      </c>
      <c r="G89" s="312" t="str">
        <f t="shared" si="5"/>
        <v>项</v>
      </c>
    </row>
    <row r="90" s="372" customFormat="1" ht="24" hidden="1" customHeight="1" spans="1:7">
      <c r="A90" s="330">
        <v>2010905</v>
      </c>
      <c r="B90" s="379" t="s">
        <v>263</v>
      </c>
      <c r="C90" s="602">
        <f>'02'!E91</f>
        <v>0</v>
      </c>
      <c r="D90" s="603">
        <v>0</v>
      </c>
      <c r="E90" s="606" t="str">
        <f t="shared" si="3"/>
        <v/>
      </c>
      <c r="F90" s="524" t="str">
        <f t="shared" si="4"/>
        <v>否</v>
      </c>
      <c r="G90" s="312" t="str">
        <f t="shared" si="5"/>
        <v>项</v>
      </c>
    </row>
    <row r="91" ht="24" hidden="1" customHeight="1" spans="1:7">
      <c r="A91" s="330">
        <v>2010907</v>
      </c>
      <c r="B91" s="379" t="s">
        <v>264</v>
      </c>
      <c r="C91" s="602">
        <f>'02'!E92</f>
        <v>0</v>
      </c>
      <c r="D91" s="603">
        <v>0</v>
      </c>
      <c r="E91" s="606" t="str">
        <f t="shared" si="3"/>
        <v/>
      </c>
      <c r="F91" s="524" t="str">
        <f t="shared" si="4"/>
        <v>否</v>
      </c>
      <c r="G91" s="312" t="str">
        <f t="shared" si="5"/>
        <v>项</v>
      </c>
    </row>
    <row r="92" s="372" customFormat="1" ht="24" hidden="1" customHeight="1" spans="1:7">
      <c r="A92" s="330">
        <v>2010908</v>
      </c>
      <c r="B92" s="379" t="s">
        <v>252</v>
      </c>
      <c r="C92" s="602">
        <f>'02'!E93</f>
        <v>0</v>
      </c>
      <c r="D92" s="603">
        <v>0</v>
      </c>
      <c r="E92" s="606" t="str">
        <f t="shared" si="3"/>
        <v/>
      </c>
      <c r="F92" s="524" t="str">
        <f t="shared" si="4"/>
        <v>否</v>
      </c>
      <c r="G92" s="312" t="str">
        <f t="shared" si="5"/>
        <v>项</v>
      </c>
    </row>
    <row r="93" s="372" customFormat="1" ht="24" hidden="1" customHeight="1" spans="1:7">
      <c r="A93" s="330">
        <v>2010909</v>
      </c>
      <c r="B93" s="379" t="s">
        <v>265</v>
      </c>
      <c r="C93" s="602">
        <f>'02'!E94</f>
        <v>0</v>
      </c>
      <c r="D93" s="603">
        <v>0</v>
      </c>
      <c r="E93" s="606" t="str">
        <f t="shared" si="3"/>
        <v/>
      </c>
      <c r="F93" s="524" t="str">
        <f t="shared" si="4"/>
        <v>否</v>
      </c>
      <c r="G93" s="312" t="str">
        <f t="shared" si="5"/>
        <v>项</v>
      </c>
    </row>
    <row r="94" s="372" customFormat="1" ht="24" hidden="1" customHeight="1" spans="1:7">
      <c r="A94" s="330">
        <v>2010910</v>
      </c>
      <c r="B94" s="379" t="s">
        <v>266</v>
      </c>
      <c r="C94" s="602">
        <f>'02'!E95</f>
        <v>0</v>
      </c>
      <c r="D94" s="603">
        <v>0</v>
      </c>
      <c r="E94" s="606" t="str">
        <f t="shared" si="3"/>
        <v/>
      </c>
      <c r="F94" s="524" t="str">
        <f t="shared" si="4"/>
        <v>否</v>
      </c>
      <c r="G94" s="312" t="str">
        <f t="shared" si="5"/>
        <v>项</v>
      </c>
    </row>
    <row r="95" s="372" customFormat="1" ht="24" hidden="1" customHeight="1" spans="1:7">
      <c r="A95" s="330">
        <v>2010911</v>
      </c>
      <c r="B95" s="379" t="s">
        <v>267</v>
      </c>
      <c r="C95" s="602">
        <f>'02'!E96</f>
        <v>0</v>
      </c>
      <c r="D95" s="603">
        <v>0</v>
      </c>
      <c r="E95" s="606" t="str">
        <f t="shared" si="3"/>
        <v/>
      </c>
      <c r="F95" s="524" t="str">
        <f t="shared" si="4"/>
        <v>否</v>
      </c>
      <c r="G95" s="312" t="str">
        <f t="shared" si="5"/>
        <v>项</v>
      </c>
    </row>
    <row r="96" s="372" customFormat="1" ht="24" hidden="1" customHeight="1" spans="1:7">
      <c r="A96" s="330">
        <v>2010912</v>
      </c>
      <c r="B96" s="379" t="s">
        <v>268</v>
      </c>
      <c r="C96" s="602">
        <f>'02'!E97</f>
        <v>0</v>
      </c>
      <c r="D96" s="603">
        <v>0</v>
      </c>
      <c r="E96" s="606" t="str">
        <f t="shared" si="3"/>
        <v/>
      </c>
      <c r="F96" s="524" t="str">
        <f t="shared" si="4"/>
        <v>否</v>
      </c>
      <c r="G96" s="312" t="str">
        <f t="shared" si="5"/>
        <v>项</v>
      </c>
    </row>
    <row r="97" s="372" customFormat="1" ht="24" hidden="1" customHeight="1" spans="1:7">
      <c r="A97" s="330">
        <v>2010950</v>
      </c>
      <c r="B97" s="379" t="s">
        <v>221</v>
      </c>
      <c r="C97" s="602">
        <f>'02'!E98</f>
        <v>0</v>
      </c>
      <c r="D97" s="603">
        <v>0</v>
      </c>
      <c r="E97" s="606" t="str">
        <f t="shared" si="3"/>
        <v/>
      </c>
      <c r="F97" s="524" t="str">
        <f t="shared" si="4"/>
        <v>否</v>
      </c>
      <c r="G97" s="312" t="str">
        <f t="shared" si="5"/>
        <v>项</v>
      </c>
    </row>
    <row r="98" s="372" customFormat="1" ht="24" hidden="1" customHeight="1" spans="1:7">
      <c r="A98" s="330">
        <v>2010999</v>
      </c>
      <c r="B98" s="379" t="s">
        <v>269</v>
      </c>
      <c r="C98" s="602">
        <f>'02'!E99</f>
        <v>0</v>
      </c>
      <c r="D98" s="603">
        <v>0</v>
      </c>
      <c r="E98" s="606" t="str">
        <f t="shared" si="3"/>
        <v/>
      </c>
      <c r="F98" s="524" t="str">
        <f t="shared" si="4"/>
        <v>否</v>
      </c>
      <c r="G98" s="312" t="str">
        <f t="shared" si="5"/>
        <v>项</v>
      </c>
    </row>
    <row r="99" s="372" customFormat="1" ht="24" customHeight="1" spans="1:7">
      <c r="A99" s="330">
        <v>20111</v>
      </c>
      <c r="B99" s="379" t="s">
        <v>270</v>
      </c>
      <c r="C99" s="602">
        <f>SUM(C100:C107)</f>
        <v>13479</v>
      </c>
      <c r="D99" s="602">
        <f>SUM(D100:D107)</f>
        <v>15559</v>
      </c>
      <c r="E99" s="606">
        <f t="shared" si="3"/>
        <v>0.154314118258031</v>
      </c>
      <c r="F99" s="524" t="str">
        <f t="shared" si="4"/>
        <v>是</v>
      </c>
      <c r="G99" s="312" t="str">
        <f t="shared" si="5"/>
        <v>款</v>
      </c>
    </row>
    <row r="100" s="372" customFormat="1" ht="24" hidden="1" customHeight="1" spans="1:7">
      <c r="A100" s="330">
        <v>2011101</v>
      </c>
      <c r="B100" s="379" t="s">
        <v>212</v>
      </c>
      <c r="C100" s="602">
        <f>'02'!E101</f>
        <v>10723</v>
      </c>
      <c r="D100" s="603">
        <v>10765</v>
      </c>
      <c r="E100" s="606">
        <f t="shared" si="3"/>
        <v>0.00391681432434953</v>
      </c>
      <c r="F100" s="524" t="str">
        <f t="shared" si="4"/>
        <v>是</v>
      </c>
      <c r="G100" s="312" t="str">
        <f t="shared" si="5"/>
        <v>项</v>
      </c>
    </row>
    <row r="101" s="372" customFormat="1" ht="24" hidden="1" customHeight="1" spans="1:7">
      <c r="A101" s="330">
        <v>2011102</v>
      </c>
      <c r="B101" s="379" t="s">
        <v>213</v>
      </c>
      <c r="C101" s="602">
        <f>'02'!E102</f>
        <v>1756</v>
      </c>
      <c r="D101" s="603">
        <v>1654</v>
      </c>
      <c r="E101" s="606">
        <f t="shared" si="3"/>
        <v>-0.0580865603644647</v>
      </c>
      <c r="F101" s="524" t="str">
        <f t="shared" si="4"/>
        <v>是</v>
      </c>
      <c r="G101" s="312" t="str">
        <f t="shared" si="5"/>
        <v>项</v>
      </c>
    </row>
    <row r="102" s="372" customFormat="1" ht="24" hidden="1" customHeight="1" spans="1:7">
      <c r="A102" s="330">
        <v>2011103</v>
      </c>
      <c r="B102" s="379" t="s">
        <v>214</v>
      </c>
      <c r="C102" s="602">
        <f>'02'!E103</f>
        <v>0</v>
      </c>
      <c r="D102" s="603">
        <v>0</v>
      </c>
      <c r="E102" s="606" t="str">
        <f t="shared" si="3"/>
        <v/>
      </c>
      <c r="F102" s="524" t="str">
        <f t="shared" si="4"/>
        <v>否</v>
      </c>
      <c r="G102" s="312" t="str">
        <f t="shared" si="5"/>
        <v>项</v>
      </c>
    </row>
    <row r="103" s="372" customFormat="1" ht="24" hidden="1" customHeight="1" spans="1:7">
      <c r="A103" s="330">
        <v>2011104</v>
      </c>
      <c r="B103" s="379" t="s">
        <v>271</v>
      </c>
      <c r="C103" s="602">
        <f>'02'!E104</f>
        <v>1002</v>
      </c>
      <c r="D103" s="603">
        <v>874</v>
      </c>
      <c r="E103" s="606">
        <f t="shared" si="3"/>
        <v>-0.127744510978044</v>
      </c>
      <c r="F103" s="524" t="str">
        <f t="shared" si="4"/>
        <v>是</v>
      </c>
      <c r="G103" s="312" t="str">
        <f t="shared" si="5"/>
        <v>项</v>
      </c>
    </row>
    <row r="104" s="372" customFormat="1" ht="24" hidden="1" customHeight="1" spans="1:7">
      <c r="A104" s="330">
        <v>2011105</v>
      </c>
      <c r="B104" s="379" t="s">
        <v>272</v>
      </c>
      <c r="C104" s="602">
        <f>'02'!E105</f>
        <v>77</v>
      </c>
      <c r="D104" s="603">
        <v>85</v>
      </c>
      <c r="E104" s="606">
        <f t="shared" si="3"/>
        <v>0.103896103896104</v>
      </c>
      <c r="F104" s="524" t="str">
        <f t="shared" si="4"/>
        <v>是</v>
      </c>
      <c r="G104" s="312" t="str">
        <f t="shared" si="5"/>
        <v>项</v>
      </c>
    </row>
    <row r="105" s="372" customFormat="1" ht="24" hidden="1" customHeight="1" spans="1:7">
      <c r="A105" s="330">
        <v>2011106</v>
      </c>
      <c r="B105" s="379" t="s">
        <v>273</v>
      </c>
      <c r="C105" s="602">
        <f>'02'!E106</f>
        <v>0</v>
      </c>
      <c r="D105" s="603">
        <v>0</v>
      </c>
      <c r="E105" s="606" t="str">
        <f t="shared" si="3"/>
        <v/>
      </c>
      <c r="F105" s="524" t="str">
        <f t="shared" si="4"/>
        <v>否</v>
      </c>
      <c r="G105" s="312" t="str">
        <f t="shared" si="5"/>
        <v>项</v>
      </c>
    </row>
    <row r="106" s="372" customFormat="1" ht="24" hidden="1" customHeight="1" spans="1:7">
      <c r="A106" s="330">
        <v>2011150</v>
      </c>
      <c r="B106" s="379" t="s">
        <v>221</v>
      </c>
      <c r="C106" s="602">
        <f>'02'!E107</f>
        <v>332</v>
      </c>
      <c r="D106" s="603">
        <v>342</v>
      </c>
      <c r="E106" s="606">
        <f t="shared" si="3"/>
        <v>0.0301204819277108</v>
      </c>
      <c r="F106" s="524" t="str">
        <f t="shared" si="4"/>
        <v>是</v>
      </c>
      <c r="G106" s="312" t="str">
        <f t="shared" si="5"/>
        <v>项</v>
      </c>
    </row>
    <row r="107" s="372" customFormat="1" ht="24" hidden="1" customHeight="1" spans="1:7">
      <c r="A107" s="330">
        <v>2011199</v>
      </c>
      <c r="B107" s="379" t="s">
        <v>274</v>
      </c>
      <c r="C107" s="602">
        <f>'02'!E108</f>
        <v>-411</v>
      </c>
      <c r="D107" s="603">
        <v>1839</v>
      </c>
      <c r="E107" s="606">
        <f>-IFERROR((D107-C107)/C107,"")</f>
        <v>5.47445255474453</v>
      </c>
      <c r="F107" s="524" t="str">
        <f t="shared" si="4"/>
        <v>是</v>
      </c>
      <c r="G107" s="312" t="str">
        <f t="shared" si="5"/>
        <v>项</v>
      </c>
    </row>
    <row r="108" s="372" customFormat="1" ht="24" customHeight="1" spans="1:7">
      <c r="A108" s="330">
        <v>20113</v>
      </c>
      <c r="B108" s="379" t="s">
        <v>275</v>
      </c>
      <c r="C108" s="602">
        <f>SUM(C109:C118)</f>
        <v>2899</v>
      </c>
      <c r="D108" s="602">
        <f>SUM(D109:D118)</f>
        <v>3016</v>
      </c>
      <c r="E108" s="606">
        <f t="shared" si="3"/>
        <v>0.0403587443946188</v>
      </c>
      <c r="F108" s="524" t="str">
        <f t="shared" si="4"/>
        <v>是</v>
      </c>
      <c r="G108" s="312" t="str">
        <f t="shared" si="5"/>
        <v>款</v>
      </c>
    </row>
    <row r="109" s="372" customFormat="1" ht="24" hidden="1" customHeight="1" spans="1:7">
      <c r="A109" s="330">
        <v>2011301</v>
      </c>
      <c r="B109" s="379" t="s">
        <v>212</v>
      </c>
      <c r="C109" s="602">
        <f>'02'!E110</f>
        <v>1649</v>
      </c>
      <c r="D109" s="603">
        <v>1662</v>
      </c>
      <c r="E109" s="606">
        <f t="shared" si="3"/>
        <v>0.007883565797453</v>
      </c>
      <c r="F109" s="524" t="str">
        <f t="shared" si="4"/>
        <v>是</v>
      </c>
      <c r="G109" s="312" t="str">
        <f t="shared" si="5"/>
        <v>项</v>
      </c>
    </row>
    <row r="110" s="372" customFormat="1" ht="24" hidden="1" customHeight="1" spans="1:7">
      <c r="A110" s="330">
        <v>2011302</v>
      </c>
      <c r="B110" s="379" t="s">
        <v>213</v>
      </c>
      <c r="C110" s="602">
        <f>'02'!E111</f>
        <v>156</v>
      </c>
      <c r="D110" s="603">
        <v>148</v>
      </c>
      <c r="E110" s="606">
        <f t="shared" si="3"/>
        <v>-0.0512820512820513</v>
      </c>
      <c r="F110" s="524" t="str">
        <f t="shared" si="4"/>
        <v>是</v>
      </c>
      <c r="G110" s="312" t="str">
        <f t="shared" si="5"/>
        <v>项</v>
      </c>
    </row>
    <row r="111" s="372" customFormat="1" ht="24" hidden="1" customHeight="1" spans="1:7">
      <c r="A111" s="330">
        <v>2011303</v>
      </c>
      <c r="B111" s="379" t="s">
        <v>214</v>
      </c>
      <c r="C111" s="602">
        <f>'02'!E112</f>
        <v>0</v>
      </c>
      <c r="D111" s="603">
        <v>0</v>
      </c>
      <c r="E111" s="606" t="str">
        <f t="shared" si="3"/>
        <v/>
      </c>
      <c r="F111" s="524" t="str">
        <f t="shared" si="4"/>
        <v>否</v>
      </c>
      <c r="G111" s="312" t="str">
        <f t="shared" si="5"/>
        <v>项</v>
      </c>
    </row>
    <row r="112" s="372" customFormat="1" ht="24" hidden="1" customHeight="1" spans="1:7">
      <c r="A112" s="330">
        <v>2011304</v>
      </c>
      <c r="B112" s="379" t="s">
        <v>276</v>
      </c>
      <c r="C112" s="602">
        <f>'02'!E113</f>
        <v>15</v>
      </c>
      <c r="D112" s="603">
        <v>11</v>
      </c>
      <c r="E112" s="606">
        <f t="shared" si="3"/>
        <v>-0.266666666666667</v>
      </c>
      <c r="F112" s="524" t="str">
        <f t="shared" si="4"/>
        <v>是</v>
      </c>
      <c r="G112" s="312" t="str">
        <f t="shared" si="5"/>
        <v>项</v>
      </c>
    </row>
    <row r="113" s="372" customFormat="1" ht="24" hidden="1" customHeight="1" spans="1:7">
      <c r="A113" s="330">
        <v>2011305</v>
      </c>
      <c r="B113" s="379" t="s">
        <v>277</v>
      </c>
      <c r="C113" s="602">
        <f>'02'!E114</f>
        <v>0</v>
      </c>
      <c r="D113" s="603">
        <v>0</v>
      </c>
      <c r="E113" s="606" t="str">
        <f t="shared" si="3"/>
        <v/>
      </c>
      <c r="F113" s="524" t="str">
        <f t="shared" si="4"/>
        <v>否</v>
      </c>
      <c r="G113" s="312" t="str">
        <f t="shared" si="5"/>
        <v>项</v>
      </c>
    </row>
    <row r="114" ht="24" hidden="1" customHeight="1" spans="1:7">
      <c r="A114" s="330">
        <v>2011306</v>
      </c>
      <c r="B114" s="379" t="s">
        <v>278</v>
      </c>
      <c r="C114" s="602">
        <f>'02'!E115</f>
        <v>0</v>
      </c>
      <c r="D114" s="603">
        <v>0</v>
      </c>
      <c r="E114" s="606" t="str">
        <f t="shared" si="3"/>
        <v/>
      </c>
      <c r="F114" s="524" t="str">
        <f t="shared" si="4"/>
        <v>否</v>
      </c>
      <c r="G114" s="312" t="str">
        <f t="shared" si="5"/>
        <v>项</v>
      </c>
    </row>
    <row r="115" s="372" customFormat="1" ht="24" hidden="1" customHeight="1" spans="1:7">
      <c r="A115" s="330">
        <v>2011307</v>
      </c>
      <c r="B115" s="379" t="s">
        <v>279</v>
      </c>
      <c r="C115" s="602">
        <f>'02'!E116</f>
        <v>0</v>
      </c>
      <c r="D115" s="603">
        <v>0</v>
      </c>
      <c r="E115" s="606" t="str">
        <f t="shared" si="3"/>
        <v/>
      </c>
      <c r="F115" s="524" t="str">
        <f t="shared" si="4"/>
        <v>否</v>
      </c>
      <c r="G115" s="312" t="str">
        <f t="shared" si="5"/>
        <v>项</v>
      </c>
    </row>
    <row r="116" s="372" customFormat="1" ht="24" hidden="1" customHeight="1" spans="1:7">
      <c r="A116" s="330">
        <v>2011308</v>
      </c>
      <c r="B116" s="379" t="s">
        <v>280</v>
      </c>
      <c r="C116" s="602">
        <f>'02'!E117</f>
        <v>643</v>
      </c>
      <c r="D116" s="603">
        <v>765</v>
      </c>
      <c r="E116" s="606">
        <f t="shared" si="3"/>
        <v>0.189735614307932</v>
      </c>
      <c r="F116" s="524" t="str">
        <f t="shared" si="4"/>
        <v>是</v>
      </c>
      <c r="G116" s="312" t="str">
        <f t="shared" si="5"/>
        <v>项</v>
      </c>
    </row>
    <row r="117" s="372" customFormat="1" ht="24" hidden="1" customHeight="1" spans="1:7">
      <c r="A117" s="330">
        <v>2011350</v>
      </c>
      <c r="B117" s="379" t="s">
        <v>221</v>
      </c>
      <c r="C117" s="602">
        <f>'02'!E118</f>
        <v>300</v>
      </c>
      <c r="D117" s="603">
        <v>305</v>
      </c>
      <c r="E117" s="606">
        <f t="shared" si="3"/>
        <v>0.0166666666666667</v>
      </c>
      <c r="F117" s="524" t="str">
        <f t="shared" si="4"/>
        <v>是</v>
      </c>
      <c r="G117" s="312" t="str">
        <f t="shared" si="5"/>
        <v>项</v>
      </c>
    </row>
    <row r="118" s="372" customFormat="1" ht="24" hidden="1" customHeight="1" spans="1:7">
      <c r="A118" s="330">
        <v>2011399</v>
      </c>
      <c r="B118" s="379" t="s">
        <v>281</v>
      </c>
      <c r="C118" s="602">
        <f>'02'!E119</f>
        <v>136</v>
      </c>
      <c r="D118" s="603">
        <v>125</v>
      </c>
      <c r="E118" s="606">
        <f t="shared" si="3"/>
        <v>-0.0808823529411765</v>
      </c>
      <c r="F118" s="524" t="str">
        <f t="shared" si="4"/>
        <v>是</v>
      </c>
      <c r="G118" s="312" t="str">
        <f t="shared" si="5"/>
        <v>项</v>
      </c>
    </row>
    <row r="119" s="372" customFormat="1" ht="24" customHeight="1" spans="1:7">
      <c r="A119" s="330">
        <v>20114</v>
      </c>
      <c r="B119" s="379" t="s">
        <v>282</v>
      </c>
      <c r="C119" s="602">
        <f>SUM(C120:C130)</f>
        <v>2</v>
      </c>
      <c r="D119" s="602">
        <f>SUM(D120:D130)</f>
        <v>2</v>
      </c>
      <c r="E119" s="606">
        <f t="shared" si="3"/>
        <v>0</v>
      </c>
      <c r="F119" s="524" t="str">
        <f t="shared" si="4"/>
        <v>是</v>
      </c>
      <c r="G119" s="312" t="str">
        <f t="shared" si="5"/>
        <v>款</v>
      </c>
    </row>
    <row r="120" s="372" customFormat="1" ht="24" hidden="1" customHeight="1" spans="1:7">
      <c r="A120" s="330">
        <v>2011401</v>
      </c>
      <c r="B120" s="379" t="s">
        <v>212</v>
      </c>
      <c r="C120" s="602">
        <f>'02'!E121</f>
        <v>0</v>
      </c>
      <c r="D120" s="603">
        <v>0</v>
      </c>
      <c r="E120" s="606" t="str">
        <f t="shared" si="3"/>
        <v/>
      </c>
      <c r="F120" s="524" t="str">
        <f t="shared" si="4"/>
        <v>否</v>
      </c>
      <c r="G120" s="312" t="str">
        <f t="shared" si="5"/>
        <v>项</v>
      </c>
    </row>
    <row r="121" s="372" customFormat="1" ht="24" hidden="1" customHeight="1" spans="1:7">
      <c r="A121" s="330">
        <v>2011402</v>
      </c>
      <c r="B121" s="379" t="s">
        <v>213</v>
      </c>
      <c r="C121" s="602">
        <f>'02'!E122</f>
        <v>0</v>
      </c>
      <c r="D121" s="603">
        <v>0</v>
      </c>
      <c r="E121" s="606" t="str">
        <f t="shared" si="3"/>
        <v/>
      </c>
      <c r="F121" s="524" t="str">
        <f t="shared" si="4"/>
        <v>否</v>
      </c>
      <c r="G121" s="312" t="str">
        <f t="shared" si="5"/>
        <v>项</v>
      </c>
    </row>
    <row r="122" s="372" customFormat="1" ht="24" hidden="1" customHeight="1" spans="1:7">
      <c r="A122" s="330">
        <v>2011403</v>
      </c>
      <c r="B122" s="379" t="s">
        <v>214</v>
      </c>
      <c r="C122" s="602">
        <f>'02'!E123</f>
        <v>0</v>
      </c>
      <c r="D122" s="603">
        <v>0</v>
      </c>
      <c r="E122" s="606" t="str">
        <f t="shared" si="3"/>
        <v/>
      </c>
      <c r="F122" s="524" t="str">
        <f t="shared" si="4"/>
        <v>否</v>
      </c>
      <c r="G122" s="312" t="str">
        <f t="shared" si="5"/>
        <v>项</v>
      </c>
    </row>
    <row r="123" ht="24" hidden="1" customHeight="1" spans="1:7">
      <c r="A123" s="330">
        <v>2011404</v>
      </c>
      <c r="B123" s="379" t="s">
        <v>283</v>
      </c>
      <c r="C123" s="602">
        <f>'02'!E124</f>
        <v>0</v>
      </c>
      <c r="D123" s="603">
        <v>0</v>
      </c>
      <c r="E123" s="606" t="str">
        <f t="shared" si="3"/>
        <v/>
      </c>
      <c r="F123" s="524" t="str">
        <f t="shared" si="4"/>
        <v>否</v>
      </c>
      <c r="G123" s="312" t="str">
        <f t="shared" si="5"/>
        <v>项</v>
      </c>
    </row>
    <row r="124" s="372" customFormat="1" ht="24" hidden="1" customHeight="1" spans="1:7">
      <c r="A124" s="330">
        <v>2011405</v>
      </c>
      <c r="B124" s="379" t="s">
        <v>284</v>
      </c>
      <c r="C124" s="602">
        <f>'02'!E125</f>
        <v>0</v>
      </c>
      <c r="D124" s="603">
        <v>0</v>
      </c>
      <c r="E124" s="606" t="str">
        <f t="shared" si="3"/>
        <v/>
      </c>
      <c r="F124" s="524" t="str">
        <f t="shared" si="4"/>
        <v>否</v>
      </c>
      <c r="G124" s="312" t="str">
        <f t="shared" si="5"/>
        <v>项</v>
      </c>
    </row>
    <row r="125" s="372" customFormat="1" ht="24" hidden="1" customHeight="1" spans="1:7">
      <c r="A125" s="330">
        <v>2011408</v>
      </c>
      <c r="B125" s="379" t="s">
        <v>285</v>
      </c>
      <c r="C125" s="602">
        <f>'02'!E126</f>
        <v>0</v>
      </c>
      <c r="D125" s="603">
        <v>0</v>
      </c>
      <c r="E125" s="606" t="str">
        <f t="shared" si="3"/>
        <v/>
      </c>
      <c r="F125" s="524" t="str">
        <f t="shared" si="4"/>
        <v>否</v>
      </c>
      <c r="G125" s="312" t="str">
        <f t="shared" si="5"/>
        <v>项</v>
      </c>
    </row>
    <row r="126" s="372" customFormat="1" ht="24" hidden="1" customHeight="1" spans="1:7">
      <c r="A126" s="330">
        <v>2011409</v>
      </c>
      <c r="B126" s="379" t="s">
        <v>286</v>
      </c>
      <c r="C126" s="602">
        <f>'02'!E127</f>
        <v>0</v>
      </c>
      <c r="D126" s="603">
        <v>0</v>
      </c>
      <c r="E126" s="606" t="str">
        <f t="shared" si="3"/>
        <v/>
      </c>
      <c r="F126" s="524" t="str">
        <f t="shared" si="4"/>
        <v>否</v>
      </c>
      <c r="G126" s="312" t="str">
        <f t="shared" si="5"/>
        <v>项</v>
      </c>
    </row>
    <row r="127" s="372" customFormat="1" ht="24" hidden="1" customHeight="1" spans="1:7">
      <c r="A127" s="330">
        <v>2011410</v>
      </c>
      <c r="B127" s="379" t="s">
        <v>287</v>
      </c>
      <c r="C127" s="602">
        <f>'02'!E128</f>
        <v>0</v>
      </c>
      <c r="D127" s="603">
        <v>0</v>
      </c>
      <c r="E127" s="606" t="str">
        <f t="shared" si="3"/>
        <v/>
      </c>
      <c r="F127" s="524" t="str">
        <f t="shared" si="4"/>
        <v>否</v>
      </c>
      <c r="G127" s="312" t="str">
        <f t="shared" si="5"/>
        <v>项</v>
      </c>
    </row>
    <row r="128" s="372" customFormat="1" ht="24" hidden="1" customHeight="1" spans="1:7">
      <c r="A128" s="330">
        <v>2011411</v>
      </c>
      <c r="B128" s="379" t="s">
        <v>288</v>
      </c>
      <c r="C128" s="602">
        <f>'02'!E129</f>
        <v>0</v>
      </c>
      <c r="D128" s="603">
        <v>0</v>
      </c>
      <c r="E128" s="606" t="str">
        <f t="shared" si="3"/>
        <v/>
      </c>
      <c r="F128" s="524" t="str">
        <f t="shared" si="4"/>
        <v>否</v>
      </c>
      <c r="G128" s="312" t="str">
        <f t="shared" si="5"/>
        <v>项</v>
      </c>
    </row>
    <row r="129" s="372" customFormat="1" ht="24" hidden="1" customHeight="1" spans="1:7">
      <c r="A129" s="330">
        <v>2011450</v>
      </c>
      <c r="B129" s="379" t="s">
        <v>221</v>
      </c>
      <c r="C129" s="602">
        <f>'02'!E130</f>
        <v>0</v>
      </c>
      <c r="D129" s="603">
        <v>0</v>
      </c>
      <c r="E129" s="606" t="str">
        <f t="shared" si="3"/>
        <v/>
      </c>
      <c r="F129" s="524" t="str">
        <f t="shared" si="4"/>
        <v>否</v>
      </c>
      <c r="G129" s="312" t="str">
        <f t="shared" si="5"/>
        <v>项</v>
      </c>
    </row>
    <row r="130" s="372" customFormat="1" ht="24" hidden="1" customHeight="1" spans="1:7">
      <c r="A130" s="330">
        <v>2011499</v>
      </c>
      <c r="B130" s="379" t="s">
        <v>289</v>
      </c>
      <c r="C130" s="602">
        <f>'02'!E131</f>
        <v>2</v>
      </c>
      <c r="D130" s="603">
        <v>2</v>
      </c>
      <c r="E130" s="606">
        <f t="shared" si="3"/>
        <v>0</v>
      </c>
      <c r="F130" s="524" t="str">
        <f t="shared" si="4"/>
        <v>是</v>
      </c>
      <c r="G130" s="312" t="str">
        <f t="shared" si="5"/>
        <v>项</v>
      </c>
    </row>
    <row r="131" s="372" customFormat="1" ht="24" customHeight="1" spans="1:7">
      <c r="A131" s="330">
        <v>20123</v>
      </c>
      <c r="B131" s="379" t="s">
        <v>290</v>
      </c>
      <c r="C131" s="602">
        <f>SUM(C132:C137)</f>
        <v>532</v>
      </c>
      <c r="D131" s="602">
        <f>SUM(D132:D137)</f>
        <v>528</v>
      </c>
      <c r="E131" s="606">
        <f t="shared" si="3"/>
        <v>-0.0075187969924812</v>
      </c>
      <c r="F131" s="524" t="str">
        <f t="shared" si="4"/>
        <v>是</v>
      </c>
      <c r="G131" s="312" t="str">
        <f t="shared" si="5"/>
        <v>款</v>
      </c>
    </row>
    <row r="132" s="372" customFormat="1" ht="24" hidden="1" customHeight="1" spans="1:7">
      <c r="A132" s="330">
        <v>2012301</v>
      </c>
      <c r="B132" s="379" t="s">
        <v>212</v>
      </c>
      <c r="C132" s="602">
        <f>'02'!E133</f>
        <v>350</v>
      </c>
      <c r="D132" s="603">
        <v>359</v>
      </c>
      <c r="E132" s="606">
        <f t="shared" ref="E132:E195" si="6">IFERROR((D132-C132)/C132,"")</f>
        <v>0.0257142857142857</v>
      </c>
      <c r="F132" s="524" t="str">
        <f t="shared" ref="F132:F195" si="7">IF(LEN(A132)=3,"是",IF(B132&lt;&gt;"",IF(SUM(C132:D132)&lt;&gt;0,"是","否"),"是"))</f>
        <v>是</v>
      </c>
      <c r="G132" s="312" t="str">
        <f t="shared" ref="G132:G195" si="8">IF(LEN(A132)=3,"类",IF(LEN(A132)=5,"款","项"))</f>
        <v>项</v>
      </c>
    </row>
    <row r="133" s="372" customFormat="1" ht="24" hidden="1" customHeight="1" spans="1:7">
      <c r="A133" s="330">
        <v>2012302</v>
      </c>
      <c r="B133" s="379" t="s">
        <v>213</v>
      </c>
      <c r="C133" s="602">
        <f>'02'!E134</f>
        <v>0</v>
      </c>
      <c r="D133" s="603">
        <v>0</v>
      </c>
      <c r="E133" s="606" t="str">
        <f t="shared" si="6"/>
        <v/>
      </c>
      <c r="F133" s="524" t="str">
        <f t="shared" si="7"/>
        <v>否</v>
      </c>
      <c r="G133" s="312" t="str">
        <f t="shared" si="8"/>
        <v>项</v>
      </c>
    </row>
    <row r="134" ht="24" hidden="1" customHeight="1" spans="1:7">
      <c r="A134" s="330">
        <v>2012303</v>
      </c>
      <c r="B134" s="379" t="s">
        <v>214</v>
      </c>
      <c r="C134" s="602">
        <f>'02'!E135</f>
        <v>0</v>
      </c>
      <c r="D134" s="603">
        <v>0</v>
      </c>
      <c r="E134" s="606" t="str">
        <f t="shared" si="6"/>
        <v/>
      </c>
      <c r="F134" s="524" t="str">
        <f t="shared" si="7"/>
        <v>否</v>
      </c>
      <c r="G134" s="312" t="str">
        <f t="shared" si="8"/>
        <v>项</v>
      </c>
    </row>
    <row r="135" s="372" customFormat="1" ht="24" hidden="1" customHeight="1" spans="1:7">
      <c r="A135" s="330">
        <v>2012304</v>
      </c>
      <c r="B135" s="379" t="s">
        <v>291</v>
      </c>
      <c r="C135" s="602">
        <f>'02'!E136</f>
        <v>0</v>
      </c>
      <c r="D135" s="603">
        <v>0</v>
      </c>
      <c r="E135" s="606" t="str">
        <f t="shared" si="6"/>
        <v/>
      </c>
      <c r="F135" s="524" t="str">
        <f t="shared" si="7"/>
        <v>否</v>
      </c>
      <c r="G135" s="312" t="str">
        <f t="shared" si="8"/>
        <v>项</v>
      </c>
    </row>
    <row r="136" s="372" customFormat="1" ht="24" hidden="1" customHeight="1" spans="1:7">
      <c r="A136" s="330">
        <v>2012350</v>
      </c>
      <c r="B136" s="379" t="s">
        <v>221</v>
      </c>
      <c r="C136" s="602">
        <f>'02'!E137</f>
        <v>0</v>
      </c>
      <c r="D136" s="603">
        <v>0</v>
      </c>
      <c r="E136" s="606" t="str">
        <f t="shared" si="6"/>
        <v/>
      </c>
      <c r="F136" s="524" t="str">
        <f t="shared" si="7"/>
        <v>否</v>
      </c>
      <c r="G136" s="312" t="str">
        <f t="shared" si="8"/>
        <v>项</v>
      </c>
    </row>
    <row r="137" s="372" customFormat="1" ht="24" hidden="1" customHeight="1" spans="1:7">
      <c r="A137" s="330">
        <v>2012399</v>
      </c>
      <c r="B137" s="379" t="s">
        <v>292</v>
      </c>
      <c r="C137" s="602">
        <f>'02'!E138</f>
        <v>182</v>
      </c>
      <c r="D137" s="603">
        <v>169</v>
      </c>
      <c r="E137" s="606">
        <f t="shared" si="6"/>
        <v>-0.0714285714285714</v>
      </c>
      <c r="F137" s="524" t="str">
        <f t="shared" si="7"/>
        <v>是</v>
      </c>
      <c r="G137" s="312" t="str">
        <f t="shared" si="8"/>
        <v>项</v>
      </c>
    </row>
    <row r="138" s="372" customFormat="1" ht="24" hidden="1" customHeight="1" spans="1:7">
      <c r="A138" s="330">
        <v>20125</v>
      </c>
      <c r="B138" s="379" t="s">
        <v>293</v>
      </c>
      <c r="C138" s="602">
        <f>SUM(C139:C145)</f>
        <v>0</v>
      </c>
      <c r="D138" s="602">
        <f>SUM(D139:D145)</f>
        <v>0</v>
      </c>
      <c r="E138" s="606" t="str">
        <f t="shared" si="6"/>
        <v/>
      </c>
      <c r="F138" s="524" t="str">
        <f t="shared" si="7"/>
        <v>否</v>
      </c>
      <c r="G138" s="312" t="str">
        <f t="shared" si="8"/>
        <v>款</v>
      </c>
    </row>
    <row r="139" s="372" customFormat="1" ht="24" hidden="1" customHeight="1" spans="1:7">
      <c r="A139" s="330">
        <v>2012501</v>
      </c>
      <c r="B139" s="379" t="s">
        <v>212</v>
      </c>
      <c r="C139" s="602">
        <f>'02'!E140</f>
        <v>0</v>
      </c>
      <c r="D139" s="603">
        <v>0</v>
      </c>
      <c r="E139" s="606" t="str">
        <f t="shared" si="6"/>
        <v/>
      </c>
      <c r="F139" s="524" t="str">
        <f t="shared" si="7"/>
        <v>否</v>
      </c>
      <c r="G139" s="312" t="str">
        <f t="shared" si="8"/>
        <v>项</v>
      </c>
    </row>
    <row r="140" s="372" customFormat="1" ht="24" hidden="1" customHeight="1" spans="1:7">
      <c r="A140" s="330">
        <v>2012502</v>
      </c>
      <c r="B140" s="379" t="s">
        <v>213</v>
      </c>
      <c r="C140" s="602">
        <f>'02'!E141</f>
        <v>0</v>
      </c>
      <c r="D140" s="603">
        <v>0</v>
      </c>
      <c r="E140" s="606" t="str">
        <f t="shared" si="6"/>
        <v/>
      </c>
      <c r="F140" s="524" t="str">
        <f t="shared" si="7"/>
        <v>否</v>
      </c>
      <c r="G140" s="312" t="str">
        <f t="shared" si="8"/>
        <v>项</v>
      </c>
    </row>
    <row r="141" s="372" customFormat="1" ht="24" hidden="1" customHeight="1" spans="1:7">
      <c r="A141" s="330">
        <v>2012503</v>
      </c>
      <c r="B141" s="379" t="s">
        <v>214</v>
      </c>
      <c r="C141" s="602">
        <f>'02'!E142</f>
        <v>0</v>
      </c>
      <c r="D141" s="603">
        <v>0</v>
      </c>
      <c r="E141" s="606" t="str">
        <f t="shared" si="6"/>
        <v/>
      </c>
      <c r="F141" s="524" t="str">
        <f t="shared" si="7"/>
        <v>否</v>
      </c>
      <c r="G141" s="312" t="str">
        <f t="shared" si="8"/>
        <v>项</v>
      </c>
    </row>
    <row r="142" s="372" customFormat="1" ht="24" hidden="1" customHeight="1" spans="1:7">
      <c r="A142" s="330">
        <v>2012504</v>
      </c>
      <c r="B142" s="379" t="s">
        <v>294</v>
      </c>
      <c r="C142" s="602">
        <f>'02'!E143</f>
        <v>0</v>
      </c>
      <c r="D142" s="603">
        <v>0</v>
      </c>
      <c r="E142" s="606" t="str">
        <f t="shared" si="6"/>
        <v/>
      </c>
      <c r="F142" s="524" t="str">
        <f t="shared" si="7"/>
        <v>否</v>
      </c>
      <c r="G142" s="312" t="str">
        <f t="shared" si="8"/>
        <v>项</v>
      </c>
    </row>
    <row r="143" s="372" customFormat="1" ht="24" hidden="1" customHeight="1" spans="1:7">
      <c r="A143" s="330">
        <v>2012505</v>
      </c>
      <c r="B143" s="379" t="s">
        <v>295</v>
      </c>
      <c r="C143" s="602">
        <f>'02'!E144</f>
        <v>0</v>
      </c>
      <c r="D143" s="603">
        <v>0</v>
      </c>
      <c r="E143" s="606" t="str">
        <f t="shared" si="6"/>
        <v/>
      </c>
      <c r="F143" s="524" t="str">
        <f t="shared" si="7"/>
        <v>否</v>
      </c>
      <c r="G143" s="312" t="str">
        <f t="shared" si="8"/>
        <v>项</v>
      </c>
    </row>
    <row r="144" s="372" customFormat="1" ht="24" hidden="1" customHeight="1" spans="1:7">
      <c r="A144" s="330">
        <v>2012550</v>
      </c>
      <c r="B144" s="379" t="s">
        <v>221</v>
      </c>
      <c r="C144" s="602">
        <f>'02'!E145</f>
        <v>0</v>
      </c>
      <c r="D144" s="603">
        <v>0</v>
      </c>
      <c r="E144" s="606" t="str">
        <f t="shared" si="6"/>
        <v/>
      </c>
      <c r="F144" s="524" t="str">
        <f t="shared" si="7"/>
        <v>否</v>
      </c>
      <c r="G144" s="312" t="str">
        <f t="shared" si="8"/>
        <v>项</v>
      </c>
    </row>
    <row r="145" s="372" customFormat="1" ht="24" hidden="1" customHeight="1" spans="1:7">
      <c r="A145" s="330">
        <v>2012599</v>
      </c>
      <c r="B145" s="379" t="s">
        <v>296</v>
      </c>
      <c r="C145" s="602">
        <f>'02'!E146</f>
        <v>0</v>
      </c>
      <c r="D145" s="603">
        <v>0</v>
      </c>
      <c r="E145" s="606" t="str">
        <f t="shared" si="6"/>
        <v/>
      </c>
      <c r="F145" s="524" t="str">
        <f t="shared" si="7"/>
        <v>否</v>
      </c>
      <c r="G145" s="312" t="str">
        <f t="shared" si="8"/>
        <v>项</v>
      </c>
    </row>
    <row r="146" s="372" customFormat="1" ht="24" customHeight="1" spans="1:7">
      <c r="A146" s="330">
        <v>20126</v>
      </c>
      <c r="B146" s="379" t="s">
        <v>297</v>
      </c>
      <c r="C146" s="602">
        <f>SUM(C147:C151)</f>
        <v>747</v>
      </c>
      <c r="D146" s="602">
        <f>SUM(D147:D151)</f>
        <v>601</v>
      </c>
      <c r="E146" s="606">
        <f t="shared" si="6"/>
        <v>-0.195448460508701</v>
      </c>
      <c r="F146" s="524" t="str">
        <f t="shared" si="7"/>
        <v>是</v>
      </c>
      <c r="G146" s="312" t="str">
        <f t="shared" si="8"/>
        <v>款</v>
      </c>
    </row>
    <row r="147" ht="24" hidden="1" customHeight="1" spans="1:7">
      <c r="A147" s="330">
        <v>2012601</v>
      </c>
      <c r="B147" s="379" t="s">
        <v>212</v>
      </c>
      <c r="C147" s="602">
        <f>'02'!E148</f>
        <v>92</v>
      </c>
      <c r="D147" s="603">
        <v>98</v>
      </c>
      <c r="E147" s="606">
        <f t="shared" si="6"/>
        <v>0.0652173913043478</v>
      </c>
      <c r="F147" s="524" t="str">
        <f t="shared" si="7"/>
        <v>是</v>
      </c>
      <c r="G147" s="312" t="str">
        <f t="shared" si="8"/>
        <v>项</v>
      </c>
    </row>
    <row r="148" s="372" customFormat="1" ht="24" hidden="1" customHeight="1" spans="1:7">
      <c r="A148" s="330">
        <v>2012602</v>
      </c>
      <c r="B148" s="379" t="s">
        <v>213</v>
      </c>
      <c r="C148" s="602">
        <f>'02'!E149</f>
        <v>0</v>
      </c>
      <c r="D148" s="603">
        <v>0</v>
      </c>
      <c r="E148" s="606" t="str">
        <f t="shared" si="6"/>
        <v/>
      </c>
      <c r="F148" s="524" t="str">
        <f t="shared" si="7"/>
        <v>否</v>
      </c>
      <c r="G148" s="312" t="str">
        <f t="shared" si="8"/>
        <v>项</v>
      </c>
    </row>
    <row r="149" s="372" customFormat="1" ht="24" hidden="1" customHeight="1" spans="1:7">
      <c r="A149" s="330">
        <v>2012603</v>
      </c>
      <c r="B149" s="379" t="s">
        <v>214</v>
      </c>
      <c r="C149" s="602">
        <f>'02'!E150</f>
        <v>0</v>
      </c>
      <c r="D149" s="603">
        <v>0</v>
      </c>
      <c r="E149" s="606" t="str">
        <f t="shared" si="6"/>
        <v/>
      </c>
      <c r="F149" s="524" t="str">
        <f t="shared" si="7"/>
        <v>否</v>
      </c>
      <c r="G149" s="312" t="str">
        <f t="shared" si="8"/>
        <v>项</v>
      </c>
    </row>
    <row r="150" s="372" customFormat="1" ht="24" hidden="1" customHeight="1" spans="1:7">
      <c r="A150" s="330">
        <v>2012604</v>
      </c>
      <c r="B150" s="379" t="s">
        <v>298</v>
      </c>
      <c r="C150" s="602">
        <f>'02'!E151</f>
        <v>482</v>
      </c>
      <c r="D150" s="603">
        <v>368</v>
      </c>
      <c r="E150" s="606">
        <f t="shared" si="6"/>
        <v>-0.236514522821577</v>
      </c>
      <c r="F150" s="524" t="str">
        <f t="shared" si="7"/>
        <v>是</v>
      </c>
      <c r="G150" s="312" t="str">
        <f t="shared" si="8"/>
        <v>项</v>
      </c>
    </row>
    <row r="151" s="372" customFormat="1" ht="24" hidden="1" customHeight="1" spans="1:7">
      <c r="A151" s="330">
        <v>2012699</v>
      </c>
      <c r="B151" s="379" t="s">
        <v>299</v>
      </c>
      <c r="C151" s="602">
        <f>'02'!E152</f>
        <v>173</v>
      </c>
      <c r="D151" s="603">
        <v>135</v>
      </c>
      <c r="E151" s="606">
        <f t="shared" si="6"/>
        <v>-0.219653179190751</v>
      </c>
      <c r="F151" s="524" t="str">
        <f t="shared" si="7"/>
        <v>是</v>
      </c>
      <c r="G151" s="312" t="str">
        <f t="shared" si="8"/>
        <v>项</v>
      </c>
    </row>
    <row r="152" s="372" customFormat="1" ht="24" customHeight="1" spans="1:7">
      <c r="A152" s="330">
        <v>20128</v>
      </c>
      <c r="B152" s="379" t="s">
        <v>300</v>
      </c>
      <c r="C152" s="602">
        <f>SUM(C153:C158)</f>
        <v>896</v>
      </c>
      <c r="D152" s="602">
        <f>SUM(D153:D158)</f>
        <v>901</v>
      </c>
      <c r="E152" s="606">
        <f t="shared" si="6"/>
        <v>0.00558035714285714</v>
      </c>
      <c r="F152" s="524" t="str">
        <f t="shared" si="7"/>
        <v>是</v>
      </c>
      <c r="G152" s="312" t="str">
        <f t="shared" si="8"/>
        <v>款</v>
      </c>
    </row>
    <row r="153" s="372" customFormat="1" ht="24" hidden="1" customHeight="1" spans="1:7">
      <c r="A153" s="330">
        <v>2012801</v>
      </c>
      <c r="B153" s="379" t="s">
        <v>212</v>
      </c>
      <c r="C153" s="602">
        <f>'02'!E154</f>
        <v>838</v>
      </c>
      <c r="D153" s="603">
        <v>842</v>
      </c>
      <c r="E153" s="606">
        <f t="shared" si="6"/>
        <v>0.00477326968973747</v>
      </c>
      <c r="F153" s="524" t="str">
        <f t="shared" si="7"/>
        <v>是</v>
      </c>
      <c r="G153" s="312" t="str">
        <f t="shared" si="8"/>
        <v>项</v>
      </c>
    </row>
    <row r="154" ht="24" hidden="1" customHeight="1" spans="1:7">
      <c r="A154" s="330">
        <v>2012802</v>
      </c>
      <c r="B154" s="379" t="s">
        <v>213</v>
      </c>
      <c r="C154" s="602">
        <f>'02'!E155</f>
        <v>40</v>
      </c>
      <c r="D154" s="603">
        <v>37</v>
      </c>
      <c r="E154" s="606">
        <f t="shared" si="6"/>
        <v>-0.075</v>
      </c>
      <c r="F154" s="524" t="str">
        <f t="shared" si="7"/>
        <v>是</v>
      </c>
      <c r="G154" s="312" t="str">
        <f t="shared" si="8"/>
        <v>项</v>
      </c>
    </row>
    <row r="155" s="372" customFormat="1" ht="24" hidden="1" customHeight="1" spans="1:7">
      <c r="A155" s="330">
        <v>2012803</v>
      </c>
      <c r="B155" s="379" t="s">
        <v>214</v>
      </c>
      <c r="C155" s="602">
        <f>'02'!E156</f>
        <v>0</v>
      </c>
      <c r="D155" s="603">
        <v>0</v>
      </c>
      <c r="E155" s="606" t="str">
        <f t="shared" si="6"/>
        <v/>
      </c>
      <c r="F155" s="524" t="str">
        <f t="shared" si="7"/>
        <v>否</v>
      </c>
      <c r="G155" s="312" t="str">
        <f t="shared" si="8"/>
        <v>项</v>
      </c>
    </row>
    <row r="156" s="372" customFormat="1" ht="24" hidden="1" customHeight="1" spans="1:7">
      <c r="A156" s="330">
        <v>2012804</v>
      </c>
      <c r="B156" s="379" t="s">
        <v>226</v>
      </c>
      <c r="C156" s="602">
        <f>'02'!E157</f>
        <v>0</v>
      </c>
      <c r="D156" s="603">
        <v>0</v>
      </c>
      <c r="E156" s="606" t="str">
        <f t="shared" si="6"/>
        <v/>
      </c>
      <c r="F156" s="524" t="str">
        <f t="shared" si="7"/>
        <v>否</v>
      </c>
      <c r="G156" s="312" t="str">
        <f t="shared" si="8"/>
        <v>项</v>
      </c>
    </row>
    <row r="157" s="372" customFormat="1" ht="24" hidden="1" customHeight="1" spans="1:7">
      <c r="A157" s="330">
        <v>2012850</v>
      </c>
      <c r="B157" s="379" t="s">
        <v>221</v>
      </c>
      <c r="C157" s="602">
        <f>'02'!E158</f>
        <v>0</v>
      </c>
      <c r="D157" s="603">
        <v>0</v>
      </c>
      <c r="E157" s="606" t="str">
        <f t="shared" si="6"/>
        <v/>
      </c>
      <c r="F157" s="524" t="str">
        <f t="shared" si="7"/>
        <v>否</v>
      </c>
      <c r="G157" s="312" t="str">
        <f t="shared" si="8"/>
        <v>项</v>
      </c>
    </row>
    <row r="158" s="372" customFormat="1" ht="24" hidden="1" customHeight="1" spans="1:7">
      <c r="A158" s="330">
        <v>2012899</v>
      </c>
      <c r="B158" s="379" t="s">
        <v>301</v>
      </c>
      <c r="C158" s="602">
        <f>'02'!E159</f>
        <v>18</v>
      </c>
      <c r="D158" s="603">
        <v>22</v>
      </c>
      <c r="E158" s="606">
        <f t="shared" si="6"/>
        <v>0.222222222222222</v>
      </c>
      <c r="F158" s="524" t="str">
        <f t="shared" si="7"/>
        <v>是</v>
      </c>
      <c r="G158" s="312" t="str">
        <f t="shared" si="8"/>
        <v>项</v>
      </c>
    </row>
    <row r="159" s="372" customFormat="1" ht="24" customHeight="1" spans="1:7">
      <c r="A159" s="330">
        <v>20129</v>
      </c>
      <c r="B159" s="379" t="s">
        <v>302</v>
      </c>
      <c r="C159" s="602">
        <f>SUM(C160:C165)</f>
        <v>7981</v>
      </c>
      <c r="D159" s="602">
        <f>SUM(D160:D165)</f>
        <v>7622</v>
      </c>
      <c r="E159" s="606">
        <f t="shared" si="6"/>
        <v>-0.0449818318506453</v>
      </c>
      <c r="F159" s="524" t="str">
        <f t="shared" si="7"/>
        <v>是</v>
      </c>
      <c r="G159" s="312" t="str">
        <f t="shared" si="8"/>
        <v>款</v>
      </c>
    </row>
    <row r="160" s="372" customFormat="1" ht="24" hidden="1" customHeight="1" spans="1:7">
      <c r="A160" s="330">
        <v>2012901</v>
      </c>
      <c r="B160" s="379" t="s">
        <v>212</v>
      </c>
      <c r="C160" s="602">
        <f>'02'!E161</f>
        <v>2872</v>
      </c>
      <c r="D160" s="603">
        <v>2782</v>
      </c>
      <c r="E160" s="606">
        <f t="shared" si="6"/>
        <v>-0.0313370473537604</v>
      </c>
      <c r="F160" s="524" t="str">
        <f t="shared" si="7"/>
        <v>是</v>
      </c>
      <c r="G160" s="312" t="str">
        <f t="shared" si="8"/>
        <v>项</v>
      </c>
    </row>
    <row r="161" s="372" customFormat="1" ht="24" hidden="1" customHeight="1" spans="1:7">
      <c r="A161" s="330">
        <v>2012902</v>
      </c>
      <c r="B161" s="379" t="s">
        <v>213</v>
      </c>
      <c r="C161" s="602">
        <f>'02'!E162</f>
        <v>186</v>
      </c>
      <c r="D161" s="603">
        <v>165</v>
      </c>
      <c r="E161" s="606">
        <f t="shared" si="6"/>
        <v>-0.112903225806452</v>
      </c>
      <c r="F161" s="524" t="str">
        <f t="shared" si="7"/>
        <v>是</v>
      </c>
      <c r="G161" s="312" t="str">
        <f t="shared" si="8"/>
        <v>项</v>
      </c>
    </row>
    <row r="162" ht="24" hidden="1" customHeight="1" spans="1:7">
      <c r="A162" s="330">
        <v>2012903</v>
      </c>
      <c r="B162" s="379" t="s">
        <v>214</v>
      </c>
      <c r="C162" s="602">
        <f>'02'!E163</f>
        <v>3</v>
      </c>
      <c r="D162" s="603">
        <v>0</v>
      </c>
      <c r="E162" s="606">
        <f t="shared" si="6"/>
        <v>-1</v>
      </c>
      <c r="F162" s="524" t="str">
        <f t="shared" si="7"/>
        <v>是</v>
      </c>
      <c r="G162" s="312" t="str">
        <f t="shared" si="8"/>
        <v>项</v>
      </c>
    </row>
    <row r="163" s="372" customFormat="1" ht="24" hidden="1" customHeight="1" spans="1:7">
      <c r="A163" s="326">
        <v>2012906</v>
      </c>
      <c r="B163" s="379" t="s">
        <v>303</v>
      </c>
      <c r="C163" s="602">
        <f>'02'!E164</f>
        <v>364</v>
      </c>
      <c r="D163" s="603">
        <v>575</v>
      </c>
      <c r="E163" s="606">
        <f t="shared" si="6"/>
        <v>0.57967032967033</v>
      </c>
      <c r="F163" s="524" t="str">
        <f t="shared" si="7"/>
        <v>是</v>
      </c>
      <c r="G163" s="312" t="str">
        <f t="shared" si="8"/>
        <v>项</v>
      </c>
    </row>
    <row r="164" s="372" customFormat="1" ht="24" hidden="1" customHeight="1" spans="1:7">
      <c r="A164" s="330">
        <v>2012950</v>
      </c>
      <c r="B164" s="379" t="s">
        <v>221</v>
      </c>
      <c r="C164" s="602">
        <f>'02'!E165</f>
        <v>470</v>
      </c>
      <c r="D164" s="603">
        <v>475</v>
      </c>
      <c r="E164" s="606">
        <f t="shared" si="6"/>
        <v>0.0106382978723404</v>
      </c>
      <c r="F164" s="524" t="str">
        <f t="shared" si="7"/>
        <v>是</v>
      </c>
      <c r="G164" s="312" t="str">
        <f t="shared" si="8"/>
        <v>项</v>
      </c>
    </row>
    <row r="165" s="372" customFormat="1" ht="24" hidden="1" customHeight="1" spans="1:7">
      <c r="A165" s="330">
        <v>2012999</v>
      </c>
      <c r="B165" s="379" t="s">
        <v>304</v>
      </c>
      <c r="C165" s="602">
        <f>'02'!E166</f>
        <v>4086</v>
      </c>
      <c r="D165" s="603">
        <v>3625</v>
      </c>
      <c r="E165" s="606">
        <f t="shared" si="6"/>
        <v>-0.112824278022516</v>
      </c>
      <c r="F165" s="524" t="str">
        <f t="shared" si="7"/>
        <v>是</v>
      </c>
      <c r="G165" s="312" t="str">
        <f t="shared" si="8"/>
        <v>项</v>
      </c>
    </row>
    <row r="166" s="372" customFormat="1" ht="24" customHeight="1" spans="1:7">
      <c r="A166" s="330">
        <v>20131</v>
      </c>
      <c r="B166" s="379" t="s">
        <v>305</v>
      </c>
      <c r="C166" s="602">
        <f>SUM(C167:C172)</f>
        <v>9480</v>
      </c>
      <c r="D166" s="602">
        <f>SUM(D167:D172)</f>
        <v>9459</v>
      </c>
      <c r="E166" s="606">
        <f t="shared" si="6"/>
        <v>-0.00221518987341772</v>
      </c>
      <c r="F166" s="524" t="str">
        <f t="shared" si="7"/>
        <v>是</v>
      </c>
      <c r="G166" s="312" t="str">
        <f t="shared" si="8"/>
        <v>款</v>
      </c>
    </row>
    <row r="167" s="372" customFormat="1" ht="24" hidden="1" customHeight="1" spans="1:7">
      <c r="A167" s="330">
        <v>2013101</v>
      </c>
      <c r="B167" s="379" t="s">
        <v>212</v>
      </c>
      <c r="C167" s="602">
        <f>'02'!E168</f>
        <v>7562</v>
      </c>
      <c r="D167" s="603">
        <v>7612</v>
      </c>
      <c r="E167" s="606">
        <f t="shared" si="6"/>
        <v>0.00661200740544829</v>
      </c>
      <c r="F167" s="524" t="str">
        <f t="shared" si="7"/>
        <v>是</v>
      </c>
      <c r="G167" s="312" t="str">
        <f t="shared" si="8"/>
        <v>项</v>
      </c>
    </row>
    <row r="168" ht="24" hidden="1" customHeight="1" spans="1:7">
      <c r="A168" s="330">
        <v>2013102</v>
      </c>
      <c r="B168" s="379" t="s">
        <v>213</v>
      </c>
      <c r="C168" s="602">
        <f>'02'!E169</f>
        <v>706</v>
      </c>
      <c r="D168" s="603">
        <v>668</v>
      </c>
      <c r="E168" s="606">
        <f t="shared" si="6"/>
        <v>-0.0538243626062323</v>
      </c>
      <c r="F168" s="524" t="str">
        <f t="shared" si="7"/>
        <v>是</v>
      </c>
      <c r="G168" s="312" t="str">
        <f t="shared" si="8"/>
        <v>项</v>
      </c>
    </row>
    <row r="169" s="372" customFormat="1" ht="24" hidden="1" customHeight="1" spans="1:7">
      <c r="A169" s="330">
        <v>2013103</v>
      </c>
      <c r="B169" s="379" t="s">
        <v>214</v>
      </c>
      <c r="C169" s="602">
        <f>'02'!E170</f>
        <v>0</v>
      </c>
      <c r="D169" s="603">
        <v>0</v>
      </c>
      <c r="E169" s="606" t="str">
        <f t="shared" si="6"/>
        <v/>
      </c>
      <c r="F169" s="524" t="str">
        <f t="shared" si="7"/>
        <v>否</v>
      </c>
      <c r="G169" s="312" t="str">
        <f t="shared" si="8"/>
        <v>项</v>
      </c>
    </row>
    <row r="170" s="372" customFormat="1" ht="24" hidden="1" customHeight="1" spans="1:7">
      <c r="A170" s="330">
        <v>2013105</v>
      </c>
      <c r="B170" s="379" t="s">
        <v>306</v>
      </c>
      <c r="C170" s="602">
        <f>'02'!E171</f>
        <v>96</v>
      </c>
      <c r="D170" s="603">
        <v>72</v>
      </c>
      <c r="E170" s="606">
        <f t="shared" si="6"/>
        <v>-0.25</v>
      </c>
      <c r="F170" s="524" t="str">
        <f t="shared" si="7"/>
        <v>是</v>
      </c>
      <c r="G170" s="312" t="str">
        <f t="shared" si="8"/>
        <v>项</v>
      </c>
    </row>
    <row r="171" s="372" customFormat="1" ht="24" hidden="1" customHeight="1" spans="1:7">
      <c r="A171" s="330">
        <v>2013150</v>
      </c>
      <c r="B171" s="379" t="s">
        <v>221</v>
      </c>
      <c r="C171" s="602">
        <f>'02'!E172</f>
        <v>921</v>
      </c>
      <c r="D171" s="603">
        <v>929</v>
      </c>
      <c r="E171" s="606">
        <f t="shared" si="6"/>
        <v>0.00868621064060804</v>
      </c>
      <c r="F171" s="524" t="str">
        <f t="shared" si="7"/>
        <v>是</v>
      </c>
      <c r="G171" s="312" t="str">
        <f t="shared" si="8"/>
        <v>项</v>
      </c>
    </row>
    <row r="172" s="372" customFormat="1" ht="24" hidden="1" customHeight="1" spans="1:7">
      <c r="A172" s="330">
        <v>2013199</v>
      </c>
      <c r="B172" s="379" t="s">
        <v>307</v>
      </c>
      <c r="C172" s="602">
        <f>'02'!E173</f>
        <v>195</v>
      </c>
      <c r="D172" s="603">
        <v>178</v>
      </c>
      <c r="E172" s="606">
        <f t="shared" si="6"/>
        <v>-0.0871794871794872</v>
      </c>
      <c r="F172" s="524" t="str">
        <f t="shared" si="7"/>
        <v>是</v>
      </c>
      <c r="G172" s="312" t="str">
        <f t="shared" si="8"/>
        <v>项</v>
      </c>
    </row>
    <row r="173" s="372" customFormat="1" ht="24" customHeight="1" spans="1:7">
      <c r="A173" s="330">
        <v>20132</v>
      </c>
      <c r="B173" s="379" t="s">
        <v>308</v>
      </c>
      <c r="C173" s="602">
        <f>SUM(C174:C179)</f>
        <v>6290</v>
      </c>
      <c r="D173" s="602">
        <f>SUM(D174:D179)</f>
        <v>7501</v>
      </c>
      <c r="E173" s="606">
        <f t="shared" si="6"/>
        <v>0.192527821939587</v>
      </c>
      <c r="F173" s="524" t="str">
        <f t="shared" si="7"/>
        <v>是</v>
      </c>
      <c r="G173" s="312" t="str">
        <f t="shared" si="8"/>
        <v>款</v>
      </c>
    </row>
    <row r="174" s="372" customFormat="1" ht="24" hidden="1" customHeight="1" spans="1:7">
      <c r="A174" s="330">
        <v>2013201</v>
      </c>
      <c r="B174" s="379" t="s">
        <v>212</v>
      </c>
      <c r="C174" s="602">
        <f>'02'!E175</f>
        <v>3546</v>
      </c>
      <c r="D174" s="603">
        <v>3564</v>
      </c>
      <c r="E174" s="606">
        <f t="shared" si="6"/>
        <v>0.0050761421319797</v>
      </c>
      <c r="F174" s="524" t="str">
        <f t="shared" si="7"/>
        <v>是</v>
      </c>
      <c r="G174" s="312" t="str">
        <f t="shared" si="8"/>
        <v>项</v>
      </c>
    </row>
    <row r="175" ht="24" hidden="1" customHeight="1" spans="1:7">
      <c r="A175" s="330">
        <v>2013202</v>
      </c>
      <c r="B175" s="379" t="s">
        <v>213</v>
      </c>
      <c r="C175" s="602">
        <f>'02'!E176</f>
        <v>978</v>
      </c>
      <c r="D175" s="603">
        <v>2415</v>
      </c>
      <c r="E175" s="606">
        <f t="shared" si="6"/>
        <v>1.46932515337423</v>
      </c>
      <c r="F175" s="524" t="str">
        <f t="shared" si="7"/>
        <v>是</v>
      </c>
      <c r="G175" s="312" t="str">
        <f t="shared" si="8"/>
        <v>项</v>
      </c>
    </row>
    <row r="176" s="372" customFormat="1" ht="24" hidden="1" customHeight="1" spans="1:7">
      <c r="A176" s="330">
        <v>2013203</v>
      </c>
      <c r="B176" s="379" t="s">
        <v>214</v>
      </c>
      <c r="C176" s="602">
        <f>'02'!E177</f>
        <v>3</v>
      </c>
      <c r="D176" s="603">
        <v>0</v>
      </c>
      <c r="E176" s="606">
        <f t="shared" si="6"/>
        <v>-1</v>
      </c>
      <c r="F176" s="524" t="str">
        <f t="shared" si="7"/>
        <v>是</v>
      </c>
      <c r="G176" s="312" t="str">
        <f t="shared" si="8"/>
        <v>项</v>
      </c>
    </row>
    <row r="177" s="372" customFormat="1" ht="24" hidden="1" customHeight="1" spans="1:7">
      <c r="A177" s="330">
        <v>2013204</v>
      </c>
      <c r="B177" s="379" t="s">
        <v>309</v>
      </c>
      <c r="C177" s="602">
        <f>'02'!E178</f>
        <v>60</v>
      </c>
      <c r="D177" s="603">
        <v>85</v>
      </c>
      <c r="E177" s="606">
        <f t="shared" si="6"/>
        <v>0.416666666666667</v>
      </c>
      <c r="F177" s="524" t="str">
        <f t="shared" si="7"/>
        <v>是</v>
      </c>
      <c r="G177" s="312" t="str">
        <f t="shared" si="8"/>
        <v>项</v>
      </c>
    </row>
    <row r="178" s="372" customFormat="1" ht="24" hidden="1" customHeight="1" spans="1:7">
      <c r="A178" s="330">
        <v>2013250</v>
      </c>
      <c r="B178" s="379" t="s">
        <v>221</v>
      </c>
      <c r="C178" s="602">
        <f>'02'!E179</f>
        <v>444</v>
      </c>
      <c r="D178" s="603">
        <v>422</v>
      </c>
      <c r="E178" s="606">
        <f t="shared" si="6"/>
        <v>-0.0495495495495496</v>
      </c>
      <c r="F178" s="524" t="str">
        <f t="shared" si="7"/>
        <v>是</v>
      </c>
      <c r="G178" s="312" t="str">
        <f t="shared" si="8"/>
        <v>项</v>
      </c>
    </row>
    <row r="179" s="372" customFormat="1" ht="24" hidden="1" customHeight="1" spans="1:7">
      <c r="A179" s="330">
        <v>2013299</v>
      </c>
      <c r="B179" s="379" t="s">
        <v>310</v>
      </c>
      <c r="C179" s="602">
        <f>'02'!E180</f>
        <v>1259</v>
      </c>
      <c r="D179" s="603">
        <v>1015</v>
      </c>
      <c r="E179" s="606">
        <f t="shared" si="6"/>
        <v>-0.193804606830818</v>
      </c>
      <c r="F179" s="524" t="str">
        <f t="shared" si="7"/>
        <v>是</v>
      </c>
      <c r="G179" s="312" t="str">
        <f t="shared" si="8"/>
        <v>项</v>
      </c>
    </row>
    <row r="180" s="372" customFormat="1" ht="24" customHeight="1" spans="1:7">
      <c r="A180" s="330">
        <v>20133</v>
      </c>
      <c r="B180" s="379" t="s">
        <v>311</v>
      </c>
      <c r="C180" s="602">
        <f>SUM(C181:C186)</f>
        <v>4436</v>
      </c>
      <c r="D180" s="602">
        <f>SUM(D181:D186)</f>
        <v>4455</v>
      </c>
      <c r="E180" s="606">
        <f t="shared" si="6"/>
        <v>0.00428313796212804</v>
      </c>
      <c r="F180" s="524" t="str">
        <f t="shared" si="7"/>
        <v>是</v>
      </c>
      <c r="G180" s="312" t="str">
        <f t="shared" si="8"/>
        <v>款</v>
      </c>
    </row>
    <row r="181" s="372" customFormat="1" ht="24" hidden="1" customHeight="1" spans="1:7">
      <c r="A181" s="330">
        <v>2013301</v>
      </c>
      <c r="B181" s="379" t="s">
        <v>212</v>
      </c>
      <c r="C181" s="602">
        <f>'02'!E182</f>
        <v>2000</v>
      </c>
      <c r="D181" s="603">
        <v>2058</v>
      </c>
      <c r="E181" s="606">
        <f t="shared" si="6"/>
        <v>0.029</v>
      </c>
      <c r="F181" s="524" t="str">
        <f t="shared" si="7"/>
        <v>是</v>
      </c>
      <c r="G181" s="312" t="str">
        <f t="shared" si="8"/>
        <v>项</v>
      </c>
    </row>
    <row r="182" ht="24" hidden="1" customHeight="1" spans="1:7">
      <c r="A182" s="330">
        <v>2013302</v>
      </c>
      <c r="B182" s="379" t="s">
        <v>213</v>
      </c>
      <c r="C182" s="602">
        <f>'02'!E183</f>
        <v>870</v>
      </c>
      <c r="D182" s="603">
        <v>865</v>
      </c>
      <c r="E182" s="606">
        <f t="shared" si="6"/>
        <v>-0.00574712643678161</v>
      </c>
      <c r="F182" s="524" t="str">
        <f t="shared" si="7"/>
        <v>是</v>
      </c>
      <c r="G182" s="312" t="str">
        <f t="shared" si="8"/>
        <v>项</v>
      </c>
    </row>
    <row r="183" s="372" customFormat="1" ht="24" hidden="1" customHeight="1" spans="1:7">
      <c r="A183" s="330">
        <v>2013303</v>
      </c>
      <c r="B183" s="379" t="s">
        <v>214</v>
      </c>
      <c r="C183" s="602">
        <f>'02'!E184</f>
        <v>0</v>
      </c>
      <c r="D183" s="603">
        <v>0</v>
      </c>
      <c r="E183" s="606" t="str">
        <f t="shared" si="6"/>
        <v/>
      </c>
      <c r="F183" s="524" t="str">
        <f t="shared" si="7"/>
        <v>否</v>
      </c>
      <c r="G183" s="312" t="str">
        <f t="shared" si="8"/>
        <v>项</v>
      </c>
    </row>
    <row r="184" s="372" customFormat="1" ht="24" hidden="1" customHeight="1" spans="1:7">
      <c r="A184" s="330">
        <v>2013304</v>
      </c>
      <c r="B184" s="379" t="s">
        <v>312</v>
      </c>
      <c r="C184" s="602">
        <f>'02'!E185</f>
        <v>10</v>
      </c>
      <c r="D184" s="603">
        <v>15</v>
      </c>
      <c r="E184" s="606">
        <f t="shared" si="6"/>
        <v>0.5</v>
      </c>
      <c r="F184" s="524" t="str">
        <f t="shared" si="7"/>
        <v>是</v>
      </c>
      <c r="G184" s="312" t="str">
        <f t="shared" si="8"/>
        <v>项</v>
      </c>
    </row>
    <row r="185" s="372" customFormat="1" ht="24" hidden="1" customHeight="1" spans="1:7">
      <c r="A185" s="330">
        <v>2013350</v>
      </c>
      <c r="B185" s="379" t="s">
        <v>221</v>
      </c>
      <c r="C185" s="602">
        <f>'02'!E186</f>
        <v>766</v>
      </c>
      <c r="D185" s="603">
        <v>782</v>
      </c>
      <c r="E185" s="606">
        <f t="shared" si="6"/>
        <v>0.02088772845953</v>
      </c>
      <c r="F185" s="524" t="str">
        <f t="shared" si="7"/>
        <v>是</v>
      </c>
      <c r="G185" s="312" t="str">
        <f t="shared" si="8"/>
        <v>项</v>
      </c>
    </row>
    <row r="186" s="372" customFormat="1" ht="24" hidden="1" customHeight="1" spans="1:7">
      <c r="A186" s="330">
        <v>2013399</v>
      </c>
      <c r="B186" s="379" t="s">
        <v>313</v>
      </c>
      <c r="C186" s="602">
        <f>'02'!E187</f>
        <v>790</v>
      </c>
      <c r="D186" s="603">
        <v>735</v>
      </c>
      <c r="E186" s="606">
        <f t="shared" si="6"/>
        <v>-0.069620253164557</v>
      </c>
      <c r="F186" s="524" t="str">
        <f t="shared" si="7"/>
        <v>是</v>
      </c>
      <c r="G186" s="312" t="str">
        <f t="shared" si="8"/>
        <v>项</v>
      </c>
    </row>
    <row r="187" s="372" customFormat="1" ht="24" customHeight="1" spans="1:7">
      <c r="A187" s="330">
        <v>20134</v>
      </c>
      <c r="B187" s="379" t="s">
        <v>314</v>
      </c>
      <c r="C187" s="602">
        <f>SUM(C188:C194)</f>
        <v>2631</v>
      </c>
      <c r="D187" s="602">
        <f>SUM(D188:D194)</f>
        <v>2483</v>
      </c>
      <c r="E187" s="606">
        <f t="shared" si="6"/>
        <v>-0.056252375522615</v>
      </c>
      <c r="F187" s="524" t="str">
        <f t="shared" si="7"/>
        <v>是</v>
      </c>
      <c r="G187" s="312" t="str">
        <f t="shared" si="8"/>
        <v>款</v>
      </c>
    </row>
    <row r="188" s="372" customFormat="1" ht="24" hidden="1" customHeight="1" spans="1:7">
      <c r="A188" s="330">
        <v>2013401</v>
      </c>
      <c r="B188" s="379" t="s">
        <v>212</v>
      </c>
      <c r="C188" s="602">
        <f>'02'!E189</f>
        <v>1975</v>
      </c>
      <c r="D188" s="603">
        <v>1885</v>
      </c>
      <c r="E188" s="606">
        <f t="shared" si="6"/>
        <v>-0.0455696202531646</v>
      </c>
      <c r="F188" s="524" t="str">
        <f t="shared" si="7"/>
        <v>是</v>
      </c>
      <c r="G188" s="312" t="str">
        <f t="shared" si="8"/>
        <v>项</v>
      </c>
    </row>
    <row r="189" ht="24" hidden="1" customHeight="1" spans="1:7">
      <c r="A189" s="330">
        <v>2013402</v>
      </c>
      <c r="B189" s="379" t="s">
        <v>213</v>
      </c>
      <c r="C189" s="602">
        <f>'02'!E190</f>
        <v>24</v>
      </c>
      <c r="D189" s="603">
        <v>35</v>
      </c>
      <c r="E189" s="606">
        <f t="shared" si="6"/>
        <v>0.458333333333333</v>
      </c>
      <c r="F189" s="524" t="str">
        <f t="shared" si="7"/>
        <v>是</v>
      </c>
      <c r="G189" s="312" t="str">
        <f t="shared" si="8"/>
        <v>项</v>
      </c>
    </row>
    <row r="190" s="372" customFormat="1" ht="24" hidden="1" customHeight="1" spans="1:7">
      <c r="A190" s="330">
        <v>2013403</v>
      </c>
      <c r="B190" s="379" t="s">
        <v>214</v>
      </c>
      <c r="C190" s="602">
        <f>'02'!E191</f>
        <v>0</v>
      </c>
      <c r="D190" s="603">
        <v>0</v>
      </c>
      <c r="E190" s="606" t="str">
        <f t="shared" si="6"/>
        <v/>
      </c>
      <c r="F190" s="524" t="str">
        <f t="shared" si="7"/>
        <v>否</v>
      </c>
      <c r="G190" s="312" t="str">
        <f t="shared" si="8"/>
        <v>项</v>
      </c>
    </row>
    <row r="191" s="372" customFormat="1" ht="24" hidden="1" customHeight="1" spans="1:7">
      <c r="A191" s="330">
        <v>2013404</v>
      </c>
      <c r="B191" s="379" t="s">
        <v>315</v>
      </c>
      <c r="C191" s="602">
        <f>'02'!E192</f>
        <v>191</v>
      </c>
      <c r="D191" s="603">
        <v>195</v>
      </c>
      <c r="E191" s="606">
        <f t="shared" si="6"/>
        <v>0.0209424083769634</v>
      </c>
      <c r="F191" s="524" t="str">
        <f t="shared" si="7"/>
        <v>是</v>
      </c>
      <c r="G191" s="312" t="str">
        <f t="shared" si="8"/>
        <v>项</v>
      </c>
    </row>
    <row r="192" s="372" customFormat="1" ht="24" hidden="1" customHeight="1" spans="1:7">
      <c r="A192" s="330">
        <v>2013405</v>
      </c>
      <c r="B192" s="379" t="s">
        <v>316</v>
      </c>
      <c r="C192" s="602">
        <f>'02'!E193</f>
        <v>189</v>
      </c>
      <c r="D192" s="603">
        <v>198</v>
      </c>
      <c r="E192" s="606">
        <f t="shared" si="6"/>
        <v>0.0476190476190476</v>
      </c>
      <c r="F192" s="524" t="str">
        <f t="shared" si="7"/>
        <v>是</v>
      </c>
      <c r="G192" s="312" t="str">
        <f t="shared" si="8"/>
        <v>项</v>
      </c>
    </row>
    <row r="193" s="372" customFormat="1" ht="24" hidden="1" customHeight="1" spans="1:7">
      <c r="A193" s="330">
        <v>2013450</v>
      </c>
      <c r="B193" s="379" t="s">
        <v>221</v>
      </c>
      <c r="C193" s="602">
        <f>'02'!E194</f>
        <v>37</v>
      </c>
      <c r="D193" s="603">
        <v>38</v>
      </c>
      <c r="E193" s="606">
        <f t="shared" si="6"/>
        <v>0.027027027027027</v>
      </c>
      <c r="F193" s="524" t="str">
        <f t="shared" si="7"/>
        <v>是</v>
      </c>
      <c r="G193" s="312" t="str">
        <f t="shared" si="8"/>
        <v>项</v>
      </c>
    </row>
    <row r="194" s="372" customFormat="1" ht="24" hidden="1" customHeight="1" spans="1:7">
      <c r="A194" s="330">
        <v>2013499</v>
      </c>
      <c r="B194" s="379" t="s">
        <v>317</v>
      </c>
      <c r="C194" s="602">
        <f>'02'!E195</f>
        <v>215</v>
      </c>
      <c r="D194" s="603">
        <v>132</v>
      </c>
      <c r="E194" s="606">
        <f t="shared" si="6"/>
        <v>-0.386046511627907</v>
      </c>
      <c r="F194" s="524" t="str">
        <f t="shared" si="7"/>
        <v>是</v>
      </c>
      <c r="G194" s="312" t="str">
        <f t="shared" si="8"/>
        <v>项</v>
      </c>
    </row>
    <row r="195" s="372" customFormat="1" ht="24" hidden="1" customHeight="1" spans="1:7">
      <c r="A195" s="330">
        <v>20135</v>
      </c>
      <c r="B195" s="379" t="s">
        <v>318</v>
      </c>
      <c r="C195" s="602">
        <f>SUM(C196:C200)</f>
        <v>0</v>
      </c>
      <c r="D195" s="602">
        <f>SUM(D196:D200)</f>
        <v>0</v>
      </c>
      <c r="E195" s="606" t="str">
        <f t="shared" si="6"/>
        <v/>
      </c>
      <c r="F195" s="524" t="str">
        <f t="shared" si="7"/>
        <v>否</v>
      </c>
      <c r="G195" s="312" t="str">
        <f t="shared" si="8"/>
        <v>款</v>
      </c>
    </row>
    <row r="196" ht="24" hidden="1" customHeight="1" spans="1:7">
      <c r="A196" s="330">
        <v>2013501</v>
      </c>
      <c r="B196" s="379" t="s">
        <v>212</v>
      </c>
      <c r="C196" s="602">
        <f>'02'!E197</f>
        <v>0</v>
      </c>
      <c r="D196" s="603">
        <v>0</v>
      </c>
      <c r="E196" s="606" t="str">
        <f t="shared" ref="E196:E240" si="9">IFERROR((D196-C196)/C196,"")</f>
        <v/>
      </c>
      <c r="F196" s="524" t="str">
        <f t="shared" ref="F196:F259" si="10">IF(LEN(A196)=3,"是",IF(B196&lt;&gt;"",IF(SUM(C196:D196)&lt;&gt;0,"是","否"),"是"))</f>
        <v>否</v>
      </c>
      <c r="G196" s="312" t="str">
        <f t="shared" ref="G196:G259" si="11">IF(LEN(A196)=3,"类",IF(LEN(A196)=5,"款","项"))</f>
        <v>项</v>
      </c>
    </row>
    <row r="197" s="372" customFormat="1" ht="24" hidden="1" customHeight="1" spans="1:7">
      <c r="A197" s="330">
        <v>2013502</v>
      </c>
      <c r="B197" s="379" t="s">
        <v>213</v>
      </c>
      <c r="C197" s="602">
        <f>'02'!E198</f>
        <v>0</v>
      </c>
      <c r="D197" s="603">
        <v>0</v>
      </c>
      <c r="E197" s="606" t="str">
        <f t="shared" si="9"/>
        <v/>
      </c>
      <c r="F197" s="524" t="str">
        <f t="shared" si="10"/>
        <v>否</v>
      </c>
      <c r="G197" s="312" t="str">
        <f t="shared" si="11"/>
        <v>项</v>
      </c>
    </row>
    <row r="198" s="372" customFormat="1" ht="24" hidden="1" customHeight="1" spans="1:7">
      <c r="A198" s="330">
        <v>2013503</v>
      </c>
      <c r="B198" s="379" t="s">
        <v>214</v>
      </c>
      <c r="C198" s="602">
        <f>'02'!E199</f>
        <v>0</v>
      </c>
      <c r="D198" s="603">
        <v>0</v>
      </c>
      <c r="E198" s="606" t="str">
        <f t="shared" si="9"/>
        <v/>
      </c>
      <c r="F198" s="524" t="str">
        <f t="shared" si="10"/>
        <v>否</v>
      </c>
      <c r="G198" s="312" t="str">
        <f t="shared" si="11"/>
        <v>项</v>
      </c>
    </row>
    <row r="199" s="372" customFormat="1" ht="24" hidden="1" customHeight="1" spans="1:7">
      <c r="A199" s="330">
        <v>2013550</v>
      </c>
      <c r="B199" s="379" t="s">
        <v>221</v>
      </c>
      <c r="C199" s="602">
        <f>'02'!E200</f>
        <v>0</v>
      </c>
      <c r="D199" s="603">
        <v>0</v>
      </c>
      <c r="E199" s="606" t="str">
        <f t="shared" si="9"/>
        <v/>
      </c>
      <c r="F199" s="524" t="str">
        <f t="shared" si="10"/>
        <v>否</v>
      </c>
      <c r="G199" s="312" t="str">
        <f t="shared" si="11"/>
        <v>项</v>
      </c>
    </row>
    <row r="200" s="372" customFormat="1" ht="24" hidden="1" customHeight="1" spans="1:7">
      <c r="A200" s="330">
        <v>2013599</v>
      </c>
      <c r="B200" s="379" t="s">
        <v>319</v>
      </c>
      <c r="C200" s="602">
        <f>'02'!E201</f>
        <v>0</v>
      </c>
      <c r="D200" s="603">
        <v>0</v>
      </c>
      <c r="E200" s="606" t="str">
        <f t="shared" si="9"/>
        <v/>
      </c>
      <c r="F200" s="524" t="str">
        <f t="shared" si="10"/>
        <v>否</v>
      </c>
      <c r="G200" s="312" t="str">
        <f t="shared" si="11"/>
        <v>项</v>
      </c>
    </row>
    <row r="201" s="372" customFormat="1" ht="24" customHeight="1" spans="1:7">
      <c r="A201" s="330">
        <v>20136</v>
      </c>
      <c r="B201" s="379" t="s">
        <v>320</v>
      </c>
      <c r="C201" s="602">
        <f>SUM(C202:C206)</f>
        <v>3808</v>
      </c>
      <c r="D201" s="602">
        <f>SUM(D202:D206)</f>
        <v>3663</v>
      </c>
      <c r="E201" s="606">
        <f t="shared" si="9"/>
        <v>-0.038077731092437</v>
      </c>
      <c r="F201" s="524" t="str">
        <f t="shared" si="10"/>
        <v>是</v>
      </c>
      <c r="G201" s="312" t="str">
        <f t="shared" si="11"/>
        <v>款</v>
      </c>
    </row>
    <row r="202" s="372" customFormat="1" ht="24" hidden="1" customHeight="1" spans="1:7">
      <c r="A202" s="330">
        <v>2013601</v>
      </c>
      <c r="B202" s="379" t="s">
        <v>212</v>
      </c>
      <c r="C202" s="602">
        <f>'02'!E203</f>
        <v>2812</v>
      </c>
      <c r="D202" s="603">
        <v>2825</v>
      </c>
      <c r="E202" s="606">
        <f t="shared" si="9"/>
        <v>0.00462304409672831</v>
      </c>
      <c r="F202" s="524" t="str">
        <f t="shared" si="10"/>
        <v>是</v>
      </c>
      <c r="G202" s="312" t="str">
        <f t="shared" si="11"/>
        <v>项</v>
      </c>
    </row>
    <row r="203" ht="24" hidden="1" customHeight="1" spans="1:7">
      <c r="A203" s="330">
        <v>2013602</v>
      </c>
      <c r="B203" s="379" t="s">
        <v>213</v>
      </c>
      <c r="C203" s="602">
        <f>'02'!E204</f>
        <v>592</v>
      </c>
      <c r="D203" s="607">
        <v>418</v>
      </c>
      <c r="E203" s="606">
        <f t="shared" si="9"/>
        <v>-0.293918918918919</v>
      </c>
      <c r="F203" s="524" t="str">
        <f t="shared" si="10"/>
        <v>是</v>
      </c>
      <c r="G203" s="312" t="str">
        <f t="shared" si="11"/>
        <v>项</v>
      </c>
    </row>
    <row r="204" s="372" customFormat="1" ht="24" hidden="1" customHeight="1" spans="1:7">
      <c r="A204" s="330">
        <v>2013603</v>
      </c>
      <c r="B204" s="379" t="s">
        <v>214</v>
      </c>
      <c r="C204" s="602">
        <f>'02'!E205</f>
        <v>0</v>
      </c>
      <c r="D204" s="603">
        <v>0</v>
      </c>
      <c r="E204" s="606" t="str">
        <f t="shared" si="9"/>
        <v/>
      </c>
      <c r="F204" s="524" t="str">
        <f t="shared" si="10"/>
        <v>否</v>
      </c>
      <c r="G204" s="312" t="str">
        <f t="shared" si="11"/>
        <v>项</v>
      </c>
    </row>
    <row r="205" s="372" customFormat="1" ht="24" hidden="1" customHeight="1" spans="1:7">
      <c r="A205" s="330">
        <v>2013650</v>
      </c>
      <c r="B205" s="379" t="s">
        <v>221</v>
      </c>
      <c r="C205" s="602">
        <f>'02'!E206</f>
        <v>236</v>
      </c>
      <c r="D205" s="603">
        <v>245</v>
      </c>
      <c r="E205" s="606">
        <f t="shared" si="9"/>
        <v>0.038135593220339</v>
      </c>
      <c r="F205" s="524" t="str">
        <f t="shared" si="10"/>
        <v>是</v>
      </c>
      <c r="G205" s="312" t="str">
        <f t="shared" si="11"/>
        <v>项</v>
      </c>
    </row>
    <row r="206" s="372" customFormat="1" ht="24" hidden="1" customHeight="1" spans="1:7">
      <c r="A206" s="330">
        <v>2013699</v>
      </c>
      <c r="B206" s="379" t="s">
        <v>321</v>
      </c>
      <c r="C206" s="602">
        <f>'02'!E207</f>
        <v>168</v>
      </c>
      <c r="D206" s="603">
        <v>175</v>
      </c>
      <c r="E206" s="606">
        <f t="shared" si="9"/>
        <v>0.0416666666666667</v>
      </c>
      <c r="F206" s="524" t="str">
        <f t="shared" si="10"/>
        <v>是</v>
      </c>
      <c r="G206" s="312" t="str">
        <f t="shared" si="11"/>
        <v>项</v>
      </c>
    </row>
    <row r="207" s="372" customFormat="1" ht="24" customHeight="1" spans="1:7">
      <c r="A207" s="330">
        <v>20137</v>
      </c>
      <c r="B207" s="379" t="s">
        <v>322</v>
      </c>
      <c r="C207" s="602">
        <f>SUM(C208:C213)</f>
        <v>416</v>
      </c>
      <c r="D207" s="602">
        <f>SUM(D208:D213)</f>
        <v>424</v>
      </c>
      <c r="E207" s="606">
        <f t="shared" si="9"/>
        <v>0.0192307692307692</v>
      </c>
      <c r="F207" s="524" t="str">
        <f t="shared" si="10"/>
        <v>是</v>
      </c>
      <c r="G207" s="312" t="str">
        <f t="shared" si="11"/>
        <v>款</v>
      </c>
    </row>
    <row r="208" s="372" customFormat="1" ht="24" hidden="1" customHeight="1" spans="1:7">
      <c r="A208" s="330">
        <v>2013701</v>
      </c>
      <c r="B208" s="379" t="s">
        <v>212</v>
      </c>
      <c r="C208" s="602">
        <f>'02'!E209</f>
        <v>225</v>
      </c>
      <c r="D208" s="603">
        <v>235</v>
      </c>
      <c r="E208" s="606">
        <f t="shared" si="9"/>
        <v>0.0444444444444444</v>
      </c>
      <c r="F208" s="524" t="str">
        <f t="shared" si="10"/>
        <v>是</v>
      </c>
      <c r="G208" s="312" t="str">
        <f t="shared" si="11"/>
        <v>项</v>
      </c>
    </row>
    <row r="209" s="372" customFormat="1" ht="24" hidden="1" customHeight="1" spans="1:7">
      <c r="A209" s="330">
        <v>2013702</v>
      </c>
      <c r="B209" s="379" t="s">
        <v>213</v>
      </c>
      <c r="C209" s="602">
        <f>'02'!E210</f>
        <v>47</v>
      </c>
      <c r="D209" s="603">
        <v>42</v>
      </c>
      <c r="E209" s="606">
        <f t="shared" si="9"/>
        <v>-0.106382978723404</v>
      </c>
      <c r="F209" s="524" t="str">
        <f t="shared" si="10"/>
        <v>是</v>
      </c>
      <c r="G209" s="312" t="str">
        <f t="shared" si="11"/>
        <v>项</v>
      </c>
    </row>
    <row r="210" s="372" customFormat="1" ht="24" hidden="1" customHeight="1" spans="1:7">
      <c r="A210" s="330">
        <v>2013703</v>
      </c>
      <c r="B210" s="379" t="s">
        <v>214</v>
      </c>
      <c r="C210" s="602">
        <f>'02'!E211</f>
        <v>0</v>
      </c>
      <c r="D210" s="603">
        <v>0</v>
      </c>
      <c r="E210" s="606" t="str">
        <f t="shared" si="9"/>
        <v/>
      </c>
      <c r="F210" s="524" t="str">
        <f t="shared" si="10"/>
        <v>否</v>
      </c>
      <c r="G210" s="312" t="str">
        <f t="shared" si="11"/>
        <v>项</v>
      </c>
    </row>
    <row r="211" ht="24" hidden="1" customHeight="1" spans="1:7">
      <c r="A211" s="330">
        <v>2013704</v>
      </c>
      <c r="B211" s="379" t="s">
        <v>323</v>
      </c>
      <c r="C211" s="602">
        <f>'02'!E212</f>
        <v>0</v>
      </c>
      <c r="D211" s="603">
        <v>0</v>
      </c>
      <c r="E211" s="606" t="str">
        <f t="shared" si="9"/>
        <v/>
      </c>
      <c r="F211" s="524" t="str">
        <f t="shared" si="10"/>
        <v>否</v>
      </c>
      <c r="G211" s="312" t="str">
        <f t="shared" si="11"/>
        <v>项</v>
      </c>
    </row>
    <row r="212" s="372" customFormat="1" ht="24" hidden="1" customHeight="1" spans="1:7">
      <c r="A212" s="330">
        <v>2013750</v>
      </c>
      <c r="B212" s="379" t="s">
        <v>221</v>
      </c>
      <c r="C212" s="602">
        <f>'02'!E213</f>
        <v>142</v>
      </c>
      <c r="D212" s="603">
        <v>146</v>
      </c>
      <c r="E212" s="606">
        <f t="shared" si="9"/>
        <v>0.028169014084507</v>
      </c>
      <c r="F212" s="524" t="str">
        <f t="shared" si="10"/>
        <v>是</v>
      </c>
      <c r="G212" s="312" t="str">
        <f t="shared" si="11"/>
        <v>项</v>
      </c>
    </row>
    <row r="213" s="372" customFormat="1" ht="24" hidden="1" customHeight="1" spans="1:7">
      <c r="A213" s="330">
        <v>2013799</v>
      </c>
      <c r="B213" s="379" t="s">
        <v>324</v>
      </c>
      <c r="C213" s="602">
        <f>'02'!E214</f>
        <v>2</v>
      </c>
      <c r="D213" s="607">
        <v>1</v>
      </c>
      <c r="E213" s="606">
        <f t="shared" si="9"/>
        <v>-0.5</v>
      </c>
      <c r="F213" s="524" t="str">
        <f t="shared" si="10"/>
        <v>是</v>
      </c>
      <c r="G213" s="312" t="str">
        <f t="shared" si="11"/>
        <v>项</v>
      </c>
    </row>
    <row r="214" s="372" customFormat="1" ht="24" customHeight="1" spans="1:7">
      <c r="A214" s="330">
        <v>20138</v>
      </c>
      <c r="B214" s="379" t="s">
        <v>325</v>
      </c>
      <c r="C214" s="602">
        <f>SUM(C215:C228)</f>
        <v>8871</v>
      </c>
      <c r="D214" s="602">
        <f>SUM(D215:D228)</f>
        <v>8804</v>
      </c>
      <c r="E214" s="606">
        <f t="shared" si="9"/>
        <v>-0.00755269980836433</v>
      </c>
      <c r="F214" s="524" t="str">
        <f t="shared" si="10"/>
        <v>是</v>
      </c>
      <c r="G214" s="312" t="str">
        <f t="shared" si="11"/>
        <v>款</v>
      </c>
    </row>
    <row r="215" s="372" customFormat="1" ht="24" hidden="1" customHeight="1" spans="1:7">
      <c r="A215" s="330">
        <v>2013801</v>
      </c>
      <c r="B215" s="379" t="s">
        <v>212</v>
      </c>
      <c r="C215" s="602">
        <f>'02'!E216</f>
        <v>5663</v>
      </c>
      <c r="D215" s="603">
        <v>5726</v>
      </c>
      <c r="E215" s="606">
        <f t="shared" si="9"/>
        <v>0.0111248454882571</v>
      </c>
      <c r="F215" s="524" t="str">
        <f t="shared" si="10"/>
        <v>是</v>
      </c>
      <c r="G215" s="312" t="str">
        <f t="shared" si="11"/>
        <v>项</v>
      </c>
    </row>
    <row r="216" s="372" customFormat="1" ht="24" hidden="1" customHeight="1" spans="1:7">
      <c r="A216" s="330">
        <v>2013802</v>
      </c>
      <c r="B216" s="379" t="s">
        <v>213</v>
      </c>
      <c r="C216" s="602">
        <f>'02'!E217</f>
        <v>274</v>
      </c>
      <c r="D216" s="603">
        <v>245</v>
      </c>
      <c r="E216" s="606">
        <f t="shared" si="9"/>
        <v>-0.105839416058394</v>
      </c>
      <c r="F216" s="524" t="str">
        <f t="shared" si="10"/>
        <v>是</v>
      </c>
      <c r="G216" s="312" t="str">
        <f t="shared" si="11"/>
        <v>项</v>
      </c>
    </row>
    <row r="217" ht="24" hidden="1" customHeight="1" spans="1:7">
      <c r="A217" s="330">
        <v>2013803</v>
      </c>
      <c r="B217" s="379" t="s">
        <v>214</v>
      </c>
      <c r="C217" s="602">
        <f>'02'!E218</f>
        <v>19</v>
      </c>
      <c r="D217" s="603">
        <v>0</v>
      </c>
      <c r="E217" s="606">
        <f t="shared" si="9"/>
        <v>-1</v>
      </c>
      <c r="F217" s="524" t="str">
        <f t="shared" si="10"/>
        <v>是</v>
      </c>
      <c r="G217" s="312" t="str">
        <f t="shared" si="11"/>
        <v>项</v>
      </c>
    </row>
    <row r="218" s="374" customFormat="1" ht="24" hidden="1" customHeight="1" spans="1:7">
      <c r="A218" s="331">
        <v>2013804</v>
      </c>
      <c r="B218" s="327" t="s">
        <v>326</v>
      </c>
      <c r="C218" s="602">
        <f>'02'!E219</f>
        <v>11</v>
      </c>
      <c r="D218" s="603">
        <v>27</v>
      </c>
      <c r="E218" s="606">
        <f t="shared" si="9"/>
        <v>1.45454545454545</v>
      </c>
      <c r="F218" s="609" t="str">
        <f t="shared" si="10"/>
        <v>是</v>
      </c>
      <c r="G218" s="313" t="str">
        <f t="shared" si="11"/>
        <v>项</v>
      </c>
    </row>
    <row r="219" s="372" customFormat="1" ht="24" hidden="1" customHeight="1" spans="1:7">
      <c r="A219" s="330">
        <v>2013805</v>
      </c>
      <c r="B219" s="379" t="s">
        <v>327</v>
      </c>
      <c r="C219" s="602">
        <f>'02'!E220</f>
        <v>121</v>
      </c>
      <c r="D219" s="603">
        <v>97</v>
      </c>
      <c r="E219" s="606">
        <f t="shared" si="9"/>
        <v>-0.198347107438017</v>
      </c>
      <c r="F219" s="524" t="str">
        <f t="shared" si="10"/>
        <v>是</v>
      </c>
      <c r="G219" s="312" t="str">
        <f t="shared" si="11"/>
        <v>项</v>
      </c>
    </row>
    <row r="220" s="372" customFormat="1" ht="24" hidden="1" customHeight="1" spans="1:7">
      <c r="A220" s="330">
        <v>2013808</v>
      </c>
      <c r="B220" s="379" t="s">
        <v>252</v>
      </c>
      <c r="C220" s="602">
        <f>'02'!E221</f>
        <v>0</v>
      </c>
      <c r="D220" s="603">
        <v>0</v>
      </c>
      <c r="E220" s="606" t="str">
        <f t="shared" si="9"/>
        <v/>
      </c>
      <c r="F220" s="524" t="str">
        <f t="shared" si="10"/>
        <v>否</v>
      </c>
      <c r="G220" s="312" t="str">
        <f t="shared" si="11"/>
        <v>项</v>
      </c>
    </row>
    <row r="221" s="372" customFormat="1" ht="24" hidden="1" customHeight="1" spans="1:7">
      <c r="A221" s="330">
        <v>2013810</v>
      </c>
      <c r="B221" s="379" t="s">
        <v>328</v>
      </c>
      <c r="C221" s="602">
        <f>'02'!E222</f>
        <v>226</v>
      </c>
      <c r="D221" s="603">
        <v>222</v>
      </c>
      <c r="E221" s="606">
        <f t="shared" si="9"/>
        <v>-0.0176991150442478</v>
      </c>
      <c r="F221" s="524" t="str">
        <f t="shared" si="10"/>
        <v>是</v>
      </c>
      <c r="G221" s="312" t="str">
        <f t="shared" si="11"/>
        <v>项</v>
      </c>
    </row>
    <row r="222" s="372" customFormat="1" ht="24" hidden="1" customHeight="1" spans="1:7">
      <c r="A222" s="330">
        <v>2013812</v>
      </c>
      <c r="B222" s="379" t="s">
        <v>329</v>
      </c>
      <c r="C222" s="602">
        <f>'02'!E223</f>
        <v>11</v>
      </c>
      <c r="D222" s="603">
        <v>12</v>
      </c>
      <c r="E222" s="606">
        <f t="shared" si="9"/>
        <v>0.0909090909090909</v>
      </c>
      <c r="F222" s="524" t="str">
        <f t="shared" si="10"/>
        <v>是</v>
      </c>
      <c r="G222" s="312" t="str">
        <f t="shared" si="11"/>
        <v>项</v>
      </c>
    </row>
    <row r="223" ht="24" hidden="1" customHeight="1" spans="1:7">
      <c r="A223" s="330">
        <v>2013813</v>
      </c>
      <c r="B223" s="379" t="s">
        <v>330</v>
      </c>
      <c r="C223" s="602">
        <f>'02'!E224</f>
        <v>0</v>
      </c>
      <c r="D223" s="603">
        <v>0</v>
      </c>
      <c r="E223" s="606" t="str">
        <f t="shared" si="9"/>
        <v/>
      </c>
      <c r="F223" s="524" t="str">
        <f t="shared" si="10"/>
        <v>否</v>
      </c>
      <c r="G223" s="312" t="str">
        <f t="shared" si="11"/>
        <v>项</v>
      </c>
    </row>
    <row r="224" s="372" customFormat="1" ht="24" hidden="1" customHeight="1" spans="1:7">
      <c r="A224" s="330">
        <v>2013814</v>
      </c>
      <c r="B224" s="379" t="s">
        <v>331</v>
      </c>
      <c r="C224" s="602">
        <f>'02'!E225</f>
        <v>0</v>
      </c>
      <c r="D224" s="603">
        <v>0</v>
      </c>
      <c r="E224" s="606" t="str">
        <f t="shared" si="9"/>
        <v/>
      </c>
      <c r="F224" s="524" t="str">
        <f t="shared" si="10"/>
        <v>否</v>
      </c>
      <c r="G224" s="312" t="str">
        <f t="shared" si="11"/>
        <v>项</v>
      </c>
    </row>
    <row r="225" s="372" customFormat="1" ht="24" hidden="1" customHeight="1" spans="1:7">
      <c r="A225" s="330">
        <v>2013815</v>
      </c>
      <c r="B225" s="379" t="s">
        <v>332</v>
      </c>
      <c r="C225" s="602">
        <f>'02'!E226</f>
        <v>42</v>
      </c>
      <c r="D225" s="603">
        <v>57</v>
      </c>
      <c r="E225" s="606">
        <f t="shared" si="9"/>
        <v>0.357142857142857</v>
      </c>
      <c r="F225" s="524" t="str">
        <f t="shared" si="10"/>
        <v>是</v>
      </c>
      <c r="G225" s="312" t="str">
        <f t="shared" si="11"/>
        <v>项</v>
      </c>
    </row>
    <row r="226" s="372" customFormat="1" ht="24" hidden="1" customHeight="1" spans="1:7">
      <c r="A226" s="330">
        <v>2013816</v>
      </c>
      <c r="B226" s="379" t="s">
        <v>333</v>
      </c>
      <c r="C226" s="602">
        <f>'02'!E227</f>
        <v>307</v>
      </c>
      <c r="D226" s="603">
        <v>265</v>
      </c>
      <c r="E226" s="606">
        <f t="shared" si="9"/>
        <v>-0.136807817589577</v>
      </c>
      <c r="F226" s="524" t="str">
        <f t="shared" si="10"/>
        <v>是</v>
      </c>
      <c r="G226" s="312" t="str">
        <f t="shared" si="11"/>
        <v>项</v>
      </c>
    </row>
    <row r="227" s="372" customFormat="1" ht="24" hidden="1" customHeight="1" spans="1:7">
      <c r="A227" s="330">
        <v>2013850</v>
      </c>
      <c r="B227" s="379" t="s">
        <v>221</v>
      </c>
      <c r="C227" s="602">
        <f>'02'!E228</f>
        <v>1837</v>
      </c>
      <c r="D227" s="603">
        <v>1895</v>
      </c>
      <c r="E227" s="606">
        <f t="shared" si="9"/>
        <v>0.0315732172019597</v>
      </c>
      <c r="F227" s="524" t="str">
        <f t="shared" si="10"/>
        <v>是</v>
      </c>
      <c r="G227" s="312" t="str">
        <f t="shared" si="11"/>
        <v>项</v>
      </c>
    </row>
    <row r="228" s="372" customFormat="1" ht="24" hidden="1" customHeight="1" spans="1:7">
      <c r="A228" s="330">
        <v>2013899</v>
      </c>
      <c r="B228" s="379" t="s">
        <v>334</v>
      </c>
      <c r="C228" s="602">
        <f>'02'!E229</f>
        <v>360</v>
      </c>
      <c r="D228" s="603">
        <v>258</v>
      </c>
      <c r="E228" s="606">
        <f t="shared" si="9"/>
        <v>-0.283333333333333</v>
      </c>
      <c r="F228" s="524" t="str">
        <f t="shared" si="10"/>
        <v>是</v>
      </c>
      <c r="G228" s="312" t="str">
        <f t="shared" si="11"/>
        <v>项</v>
      </c>
    </row>
    <row r="229" s="372" customFormat="1" ht="24" customHeight="1" spans="1:7">
      <c r="A229" s="330">
        <v>20139</v>
      </c>
      <c r="B229" s="379" t="s">
        <v>335</v>
      </c>
      <c r="C229" s="602">
        <f>SUM(C230:C235)</f>
        <v>4491</v>
      </c>
      <c r="D229" s="602">
        <f>SUM(D230:D235)</f>
        <v>4309</v>
      </c>
      <c r="E229" s="606">
        <f t="shared" si="9"/>
        <v>-0.0405254954353151</v>
      </c>
      <c r="F229" s="524" t="str">
        <f t="shared" si="10"/>
        <v>是</v>
      </c>
      <c r="G229" s="312" t="str">
        <f t="shared" si="11"/>
        <v>款</v>
      </c>
    </row>
    <row r="230" s="372" customFormat="1" ht="24" hidden="1" customHeight="1" spans="1:7">
      <c r="A230" s="330">
        <v>2013901</v>
      </c>
      <c r="B230" s="379" t="s">
        <v>212</v>
      </c>
      <c r="C230" s="602">
        <f>'02'!E231</f>
        <v>895</v>
      </c>
      <c r="D230" s="603">
        <v>912</v>
      </c>
      <c r="E230" s="606">
        <f t="shared" si="9"/>
        <v>0.0189944134078212</v>
      </c>
      <c r="F230" s="524" t="str">
        <f t="shared" si="10"/>
        <v>是</v>
      </c>
      <c r="G230" s="312" t="str">
        <f t="shared" si="11"/>
        <v>项</v>
      </c>
    </row>
    <row r="231" s="372" customFormat="1" ht="24" hidden="1" customHeight="1" spans="1:7">
      <c r="A231" s="330">
        <v>2013902</v>
      </c>
      <c r="B231" s="379" t="s">
        <v>213</v>
      </c>
      <c r="C231" s="602">
        <f>'02'!E232</f>
        <v>69</v>
      </c>
      <c r="D231" s="603">
        <v>72</v>
      </c>
      <c r="E231" s="606">
        <f t="shared" si="9"/>
        <v>0.0434782608695652</v>
      </c>
      <c r="F231" s="524" t="str">
        <f t="shared" si="10"/>
        <v>是</v>
      </c>
      <c r="G231" s="312" t="str">
        <f t="shared" si="11"/>
        <v>项</v>
      </c>
    </row>
    <row r="232" s="372" customFormat="1" ht="24" hidden="1" customHeight="1" spans="1:7">
      <c r="A232" s="330">
        <v>2013903</v>
      </c>
      <c r="B232" s="379" t="s">
        <v>214</v>
      </c>
      <c r="C232" s="602">
        <f>'02'!E233</f>
        <v>0</v>
      </c>
      <c r="D232" s="603">
        <v>0</v>
      </c>
      <c r="E232" s="606" t="str">
        <f t="shared" si="9"/>
        <v/>
      </c>
      <c r="F232" s="524" t="str">
        <f t="shared" si="10"/>
        <v>否</v>
      </c>
      <c r="G232" s="312" t="str">
        <f t="shared" si="11"/>
        <v>项</v>
      </c>
    </row>
    <row r="233" s="372" customFormat="1" ht="24" hidden="1" customHeight="1" spans="1:7">
      <c r="A233" s="330">
        <v>2013904</v>
      </c>
      <c r="B233" s="379" t="s">
        <v>306</v>
      </c>
      <c r="C233" s="602">
        <f>'02'!E234</f>
        <v>3347</v>
      </c>
      <c r="D233" s="603">
        <v>3158</v>
      </c>
      <c r="E233" s="606">
        <f t="shared" si="9"/>
        <v>-0.0564684792351359</v>
      </c>
      <c r="F233" s="524" t="str">
        <f t="shared" si="10"/>
        <v>是</v>
      </c>
      <c r="G233" s="312" t="str">
        <f t="shared" si="11"/>
        <v>项</v>
      </c>
    </row>
    <row r="234" s="372" customFormat="1" ht="24" hidden="1" customHeight="1" spans="1:7">
      <c r="A234" s="330">
        <v>2013950</v>
      </c>
      <c r="B234" s="379" t="s">
        <v>221</v>
      </c>
      <c r="C234" s="602">
        <f>'02'!E235</f>
        <v>142</v>
      </c>
      <c r="D234" s="603">
        <v>147</v>
      </c>
      <c r="E234" s="606">
        <f t="shared" si="9"/>
        <v>0.0352112676056338</v>
      </c>
      <c r="F234" s="524" t="str">
        <f t="shared" si="10"/>
        <v>是</v>
      </c>
      <c r="G234" s="312" t="str">
        <f t="shared" si="11"/>
        <v>项</v>
      </c>
    </row>
    <row r="235" s="372" customFormat="1" ht="24" hidden="1" customHeight="1" spans="1:7">
      <c r="A235" s="330">
        <v>2013999</v>
      </c>
      <c r="B235" s="379" t="s">
        <v>336</v>
      </c>
      <c r="C235" s="602">
        <f>'02'!E236</f>
        <v>38</v>
      </c>
      <c r="D235" s="603">
        <v>20</v>
      </c>
      <c r="E235" s="606">
        <f t="shared" si="9"/>
        <v>-0.473684210526316</v>
      </c>
      <c r="F235" s="524" t="str">
        <f t="shared" si="10"/>
        <v>是</v>
      </c>
      <c r="G235" s="312" t="str">
        <f t="shared" si="11"/>
        <v>项</v>
      </c>
    </row>
    <row r="236" s="372" customFormat="1" ht="24" customHeight="1" spans="1:7">
      <c r="A236" s="330">
        <v>20140</v>
      </c>
      <c r="B236" s="379" t="s">
        <v>337</v>
      </c>
      <c r="C236" s="602">
        <f>SUM(C237:C242)</f>
        <v>628</v>
      </c>
      <c r="D236" s="602">
        <f>SUM(D237:D242)</f>
        <v>603</v>
      </c>
      <c r="E236" s="606">
        <f t="shared" si="9"/>
        <v>-0.0398089171974522</v>
      </c>
      <c r="F236" s="524" t="str">
        <f t="shared" si="10"/>
        <v>是</v>
      </c>
      <c r="G236" s="312" t="str">
        <f t="shared" si="11"/>
        <v>款</v>
      </c>
    </row>
    <row r="237" s="372" customFormat="1" ht="24" hidden="1" customHeight="1" spans="1:7">
      <c r="A237" s="330">
        <v>2014001</v>
      </c>
      <c r="B237" s="379" t="s">
        <v>212</v>
      </c>
      <c r="C237" s="602">
        <f>'02'!E238</f>
        <v>457</v>
      </c>
      <c r="D237" s="603">
        <v>468</v>
      </c>
      <c r="E237" s="606">
        <f t="shared" si="9"/>
        <v>0.0240700218818381</v>
      </c>
      <c r="F237" s="524" t="str">
        <f t="shared" si="10"/>
        <v>是</v>
      </c>
      <c r="G237" s="312" t="str">
        <f t="shared" si="11"/>
        <v>项</v>
      </c>
    </row>
    <row r="238" s="372" customFormat="1" ht="24" hidden="1" customHeight="1" spans="1:7">
      <c r="A238" s="330">
        <v>2014002</v>
      </c>
      <c r="B238" s="379" t="s">
        <v>213</v>
      </c>
      <c r="C238" s="602">
        <f>'02'!E239</f>
        <v>20</v>
      </c>
      <c r="D238" s="603">
        <v>18</v>
      </c>
      <c r="E238" s="606">
        <f t="shared" si="9"/>
        <v>-0.1</v>
      </c>
      <c r="F238" s="524" t="str">
        <f t="shared" si="10"/>
        <v>是</v>
      </c>
      <c r="G238" s="312" t="str">
        <f t="shared" si="11"/>
        <v>项</v>
      </c>
    </row>
    <row r="239" s="372" customFormat="1" ht="24" hidden="1" customHeight="1" spans="1:7">
      <c r="A239" s="330">
        <v>2014003</v>
      </c>
      <c r="B239" s="379" t="s">
        <v>214</v>
      </c>
      <c r="C239" s="602">
        <f>'02'!E240</f>
        <v>0</v>
      </c>
      <c r="D239" s="603">
        <v>0</v>
      </c>
      <c r="E239" s="606" t="str">
        <f t="shared" si="9"/>
        <v/>
      </c>
      <c r="F239" s="524" t="str">
        <f t="shared" si="10"/>
        <v>否</v>
      </c>
      <c r="G239" s="312" t="str">
        <f t="shared" si="11"/>
        <v>项</v>
      </c>
    </row>
    <row r="240" s="372" customFormat="1" ht="24" hidden="1" customHeight="1" spans="1:7">
      <c r="A240" s="330">
        <v>2014004</v>
      </c>
      <c r="B240" s="379" t="s">
        <v>338</v>
      </c>
      <c r="C240" s="602">
        <f>'02'!E241</f>
        <v>71</v>
      </c>
      <c r="D240" s="603">
        <v>67</v>
      </c>
      <c r="E240" s="606">
        <f t="shared" si="9"/>
        <v>-0.0563380281690141</v>
      </c>
      <c r="F240" s="524" t="str">
        <f t="shared" si="10"/>
        <v>是</v>
      </c>
      <c r="G240" s="312" t="str">
        <f t="shared" si="11"/>
        <v>项</v>
      </c>
    </row>
    <row r="241" s="374" customFormat="1" ht="24" hidden="1" customHeight="1" spans="1:7">
      <c r="A241" s="354">
        <v>2014050</v>
      </c>
      <c r="B241" s="327" t="s">
        <v>221</v>
      </c>
      <c r="C241" s="602">
        <f>'02'!E242</f>
        <v>35</v>
      </c>
      <c r="D241" s="603">
        <v>40</v>
      </c>
      <c r="E241" s="606"/>
      <c r="F241" s="609" t="str">
        <f t="shared" si="10"/>
        <v>是</v>
      </c>
      <c r="G241" s="313" t="str">
        <f t="shared" si="11"/>
        <v>项</v>
      </c>
    </row>
    <row r="242" s="374" customFormat="1" ht="24" hidden="1" customHeight="1" spans="1:7">
      <c r="A242" s="331">
        <v>2014099</v>
      </c>
      <c r="B242" s="327" t="s">
        <v>339</v>
      </c>
      <c r="C242" s="602">
        <f>'02'!E243</f>
        <v>45</v>
      </c>
      <c r="D242" s="603">
        <v>10</v>
      </c>
      <c r="E242" s="606">
        <f>IFERROR((D242-C242)/C242,"")</f>
        <v>-0.777777777777778</v>
      </c>
      <c r="F242" s="609" t="str">
        <f t="shared" si="10"/>
        <v>是</v>
      </c>
      <c r="G242" s="313" t="str">
        <f t="shared" si="11"/>
        <v>项</v>
      </c>
    </row>
    <row r="243" s="374" customFormat="1" ht="24" hidden="1" customHeight="1" spans="1:7">
      <c r="A243" s="331">
        <v>20141</v>
      </c>
      <c r="B243" s="327" t="s">
        <v>340</v>
      </c>
      <c r="C243" s="608"/>
      <c r="D243" s="608"/>
      <c r="E243" s="606"/>
      <c r="F243" s="609" t="str">
        <f t="shared" si="10"/>
        <v>否</v>
      </c>
      <c r="G243" s="313" t="str">
        <f t="shared" si="11"/>
        <v>款</v>
      </c>
    </row>
    <row r="244" s="374" customFormat="1" ht="24" hidden="1" customHeight="1" spans="1:7">
      <c r="A244" s="331">
        <v>2014101</v>
      </c>
      <c r="B244" s="530" t="s">
        <v>212</v>
      </c>
      <c r="C244" s="602">
        <f>'02'!E245</f>
        <v>0</v>
      </c>
      <c r="D244" s="603">
        <v>0</v>
      </c>
      <c r="E244" s="606"/>
      <c r="F244" s="609" t="str">
        <f t="shared" si="10"/>
        <v>否</v>
      </c>
      <c r="G244" s="313" t="str">
        <f t="shared" si="11"/>
        <v>项</v>
      </c>
    </row>
    <row r="245" s="374" customFormat="1" ht="24" hidden="1" customHeight="1" spans="1:7">
      <c r="A245" s="331">
        <v>2014102</v>
      </c>
      <c r="B245" s="530" t="s">
        <v>213</v>
      </c>
      <c r="C245" s="602">
        <f>'02'!E246</f>
        <v>0</v>
      </c>
      <c r="D245" s="603">
        <v>0</v>
      </c>
      <c r="E245" s="606"/>
      <c r="F245" s="609" t="str">
        <f t="shared" si="10"/>
        <v>否</v>
      </c>
      <c r="G245" s="313" t="str">
        <f t="shared" si="11"/>
        <v>项</v>
      </c>
    </row>
    <row r="246" s="374" customFormat="1" ht="24" hidden="1" customHeight="1" spans="1:7">
      <c r="A246" s="331">
        <v>2014103</v>
      </c>
      <c r="B246" s="530" t="s">
        <v>214</v>
      </c>
      <c r="C246" s="602">
        <f>'02'!E247</f>
        <v>0</v>
      </c>
      <c r="D246" s="603">
        <v>0</v>
      </c>
      <c r="E246" s="606"/>
      <c r="F246" s="609" t="str">
        <f t="shared" si="10"/>
        <v>否</v>
      </c>
      <c r="G246" s="313" t="str">
        <f t="shared" si="11"/>
        <v>项</v>
      </c>
    </row>
    <row r="247" s="374" customFormat="1" ht="24" hidden="1" customHeight="1" spans="1:7">
      <c r="A247" s="331">
        <v>2014150</v>
      </c>
      <c r="B247" s="530" t="s">
        <v>221</v>
      </c>
      <c r="C247" s="602">
        <f>'02'!E248</f>
        <v>0</v>
      </c>
      <c r="D247" s="603">
        <v>0</v>
      </c>
      <c r="E247" s="606"/>
      <c r="F247" s="609" t="str">
        <f t="shared" si="10"/>
        <v>否</v>
      </c>
      <c r="G247" s="313" t="str">
        <f t="shared" si="11"/>
        <v>项</v>
      </c>
    </row>
    <row r="248" s="374" customFormat="1" ht="24" hidden="1" customHeight="1" spans="1:7">
      <c r="A248" s="331">
        <v>2014199</v>
      </c>
      <c r="B248" s="530" t="s">
        <v>341</v>
      </c>
      <c r="C248" s="602">
        <f>'02'!E249</f>
        <v>0</v>
      </c>
      <c r="D248" s="603">
        <v>0</v>
      </c>
      <c r="E248" s="606"/>
      <c r="F248" s="609" t="str">
        <f t="shared" si="10"/>
        <v>否</v>
      </c>
      <c r="G248" s="313" t="str">
        <f t="shared" si="11"/>
        <v>项</v>
      </c>
    </row>
    <row r="249" s="372" customFormat="1" ht="24" customHeight="1" spans="1:7">
      <c r="A249" s="330">
        <v>20199</v>
      </c>
      <c r="B249" s="379" t="s">
        <v>342</v>
      </c>
      <c r="C249" s="602">
        <f>SUM(C250:C251)</f>
        <v>-2413</v>
      </c>
      <c r="D249" s="602">
        <f>SUM(D250:D251)</f>
        <v>0</v>
      </c>
      <c r="E249" s="606">
        <f>-IFERROR((D249-C249)/C249,"")</f>
        <v>1</v>
      </c>
      <c r="F249" s="524" t="str">
        <f t="shared" si="10"/>
        <v>是</v>
      </c>
      <c r="G249" s="312" t="str">
        <f t="shared" si="11"/>
        <v>款</v>
      </c>
    </row>
    <row r="250" ht="24" hidden="1" customHeight="1" spans="1:7">
      <c r="A250" s="330">
        <v>2019901</v>
      </c>
      <c r="B250" s="379" t="s">
        <v>343</v>
      </c>
      <c r="C250" s="602">
        <f>'02'!E251</f>
        <v>3</v>
      </c>
      <c r="D250" s="603">
        <v>0</v>
      </c>
      <c r="E250" s="606">
        <f t="shared" ref="E249:E312" si="12">IFERROR((D250-C250)/C250,"")</f>
        <v>-1</v>
      </c>
      <c r="F250" s="524" t="str">
        <f t="shared" si="10"/>
        <v>是</v>
      </c>
      <c r="G250" s="312" t="str">
        <f t="shared" si="11"/>
        <v>项</v>
      </c>
    </row>
    <row r="251" s="372" customFormat="1" ht="24" hidden="1" customHeight="1" spans="1:7">
      <c r="A251" s="330">
        <v>2019999</v>
      </c>
      <c r="B251" s="379" t="s">
        <v>344</v>
      </c>
      <c r="C251" s="602">
        <f>'02'!E252</f>
        <v>-2416</v>
      </c>
      <c r="D251" s="603">
        <v>0</v>
      </c>
      <c r="E251" s="606">
        <f>-IFERROR((D251-C251)/C251,"")</f>
        <v>1</v>
      </c>
      <c r="F251" s="524" t="str">
        <f t="shared" si="10"/>
        <v>是</v>
      </c>
      <c r="G251" s="312" t="str">
        <f t="shared" si="11"/>
        <v>项</v>
      </c>
    </row>
    <row r="252" s="372" customFormat="1" ht="24" customHeight="1" spans="1:7">
      <c r="A252" s="330">
        <v>202</v>
      </c>
      <c r="B252" s="377" t="s">
        <v>176</v>
      </c>
      <c r="C252" s="602">
        <f>C253+C260+C263+C266+C272+C277+C279+C284+C290</f>
        <v>0</v>
      </c>
      <c r="D252" s="602">
        <f>D253+D260+D263+D266+D272+D277+D279+D284+D290</f>
        <v>0</v>
      </c>
      <c r="E252" s="605" t="str">
        <f t="shared" si="12"/>
        <v/>
      </c>
      <c r="F252" s="524" t="str">
        <f t="shared" si="10"/>
        <v>是</v>
      </c>
      <c r="G252" s="312" t="str">
        <f t="shared" si="11"/>
        <v>类</v>
      </c>
    </row>
    <row r="253" s="372" customFormat="1" ht="24" hidden="1" customHeight="1" spans="1:7">
      <c r="A253" s="330">
        <v>20201</v>
      </c>
      <c r="B253" s="379" t="s">
        <v>345</v>
      </c>
      <c r="C253" s="602">
        <f>SUM(C254:C259)</f>
        <v>0</v>
      </c>
      <c r="D253" s="602">
        <f>SUM(D254:D259)</f>
        <v>0</v>
      </c>
      <c r="E253" s="606" t="str">
        <f t="shared" si="12"/>
        <v/>
      </c>
      <c r="F253" s="524" t="str">
        <f t="shared" si="10"/>
        <v>否</v>
      </c>
      <c r="G253" s="312" t="str">
        <f t="shared" si="11"/>
        <v>款</v>
      </c>
    </row>
    <row r="254" s="372" customFormat="1" ht="24" hidden="1" customHeight="1" spans="1:7">
      <c r="A254" s="330">
        <v>2020101</v>
      </c>
      <c r="B254" s="379" t="s">
        <v>212</v>
      </c>
      <c r="C254" s="602">
        <f>'02'!E255</f>
        <v>0</v>
      </c>
      <c r="D254" s="603">
        <v>0</v>
      </c>
      <c r="E254" s="606" t="str">
        <f t="shared" si="12"/>
        <v/>
      </c>
      <c r="F254" s="524" t="str">
        <f t="shared" si="10"/>
        <v>否</v>
      </c>
      <c r="G254" s="312" t="str">
        <f t="shared" si="11"/>
        <v>项</v>
      </c>
    </row>
    <row r="255" s="372" customFormat="1" ht="24" hidden="1" customHeight="1" spans="1:7">
      <c r="A255" s="330">
        <v>2020102</v>
      </c>
      <c r="B255" s="379" t="s">
        <v>213</v>
      </c>
      <c r="C255" s="602">
        <f>'02'!E256</f>
        <v>0</v>
      </c>
      <c r="D255" s="603">
        <v>0</v>
      </c>
      <c r="E255" s="606" t="str">
        <f t="shared" si="12"/>
        <v/>
      </c>
      <c r="F255" s="524" t="str">
        <f t="shared" si="10"/>
        <v>否</v>
      </c>
      <c r="G255" s="312" t="str">
        <f t="shared" si="11"/>
        <v>项</v>
      </c>
    </row>
    <row r="256" s="372" customFormat="1" ht="24" hidden="1" customHeight="1" spans="1:7">
      <c r="A256" s="330">
        <v>2020103</v>
      </c>
      <c r="B256" s="379" t="s">
        <v>214</v>
      </c>
      <c r="C256" s="602">
        <f>'02'!E257</f>
        <v>0</v>
      </c>
      <c r="D256" s="603">
        <v>0</v>
      </c>
      <c r="E256" s="606" t="str">
        <f t="shared" si="12"/>
        <v/>
      </c>
      <c r="F256" s="524" t="str">
        <f t="shared" si="10"/>
        <v>否</v>
      </c>
      <c r="G256" s="312" t="str">
        <f t="shared" si="11"/>
        <v>项</v>
      </c>
    </row>
    <row r="257" s="372" customFormat="1" ht="24" hidden="1" customHeight="1" spans="1:7">
      <c r="A257" s="330">
        <v>2020104</v>
      </c>
      <c r="B257" s="379" t="s">
        <v>306</v>
      </c>
      <c r="C257" s="602">
        <f>'02'!E258</f>
        <v>0</v>
      </c>
      <c r="D257" s="603">
        <v>0</v>
      </c>
      <c r="E257" s="606" t="str">
        <f t="shared" si="12"/>
        <v/>
      </c>
      <c r="F257" s="524" t="str">
        <f t="shared" si="10"/>
        <v>否</v>
      </c>
      <c r="G257" s="312" t="str">
        <f t="shared" si="11"/>
        <v>项</v>
      </c>
    </row>
    <row r="258" s="372" customFormat="1" ht="24" hidden="1" customHeight="1" spans="1:7">
      <c r="A258" s="330">
        <v>2020150</v>
      </c>
      <c r="B258" s="379" t="s">
        <v>221</v>
      </c>
      <c r="C258" s="602">
        <f>'02'!E259</f>
        <v>0</v>
      </c>
      <c r="D258" s="603">
        <v>0</v>
      </c>
      <c r="E258" s="606" t="str">
        <f t="shared" si="12"/>
        <v/>
      </c>
      <c r="F258" s="524" t="str">
        <f t="shared" si="10"/>
        <v>否</v>
      </c>
      <c r="G258" s="312" t="str">
        <f t="shared" si="11"/>
        <v>项</v>
      </c>
    </row>
    <row r="259" s="372" customFormat="1" ht="24" hidden="1" customHeight="1" spans="1:7">
      <c r="A259" s="330">
        <v>2020199</v>
      </c>
      <c r="B259" s="379" t="s">
        <v>346</v>
      </c>
      <c r="C259" s="602">
        <f>'02'!E260</f>
        <v>0</v>
      </c>
      <c r="D259" s="603">
        <v>0</v>
      </c>
      <c r="E259" s="606" t="str">
        <f t="shared" si="12"/>
        <v/>
      </c>
      <c r="F259" s="524" t="str">
        <f t="shared" si="10"/>
        <v>否</v>
      </c>
      <c r="G259" s="312" t="str">
        <f t="shared" si="11"/>
        <v>项</v>
      </c>
    </row>
    <row r="260" s="372" customFormat="1" ht="24" hidden="1" customHeight="1" spans="1:7">
      <c r="A260" s="330">
        <v>20202</v>
      </c>
      <c r="B260" s="379" t="s">
        <v>347</v>
      </c>
      <c r="C260" s="602">
        <f>SUM(C261:C262)</f>
        <v>0</v>
      </c>
      <c r="D260" s="602">
        <f>SUM(D261:D262)</f>
        <v>0</v>
      </c>
      <c r="E260" s="606" t="str">
        <f t="shared" si="12"/>
        <v/>
      </c>
      <c r="F260" s="524" t="str">
        <f t="shared" ref="F260:F323" si="13">IF(LEN(A260)=3,"是",IF(B260&lt;&gt;"",IF(SUM(C260:D260)&lt;&gt;0,"是","否"),"是"))</f>
        <v>否</v>
      </c>
      <c r="G260" s="312" t="str">
        <f t="shared" ref="G260:G323" si="14">IF(LEN(A260)=3,"类",IF(LEN(A260)=5,"款","项"))</f>
        <v>款</v>
      </c>
    </row>
    <row r="261" s="372" customFormat="1" ht="24" hidden="1" customHeight="1" spans="1:7">
      <c r="A261" s="330">
        <v>2020201</v>
      </c>
      <c r="B261" s="379" t="s">
        <v>348</v>
      </c>
      <c r="C261" s="602">
        <f>'02'!E262</f>
        <v>0</v>
      </c>
      <c r="D261" s="603">
        <v>0</v>
      </c>
      <c r="E261" s="606" t="str">
        <f t="shared" si="12"/>
        <v/>
      </c>
      <c r="F261" s="524" t="str">
        <f t="shared" si="13"/>
        <v>否</v>
      </c>
      <c r="G261" s="312" t="str">
        <f t="shared" si="14"/>
        <v>项</v>
      </c>
    </row>
    <row r="262" s="372" customFormat="1" ht="24" hidden="1" customHeight="1" spans="1:7">
      <c r="A262" s="330">
        <v>2020202</v>
      </c>
      <c r="B262" s="379" t="s">
        <v>349</v>
      </c>
      <c r="C262" s="602">
        <f>'02'!E263</f>
        <v>0</v>
      </c>
      <c r="D262" s="603">
        <v>0</v>
      </c>
      <c r="E262" s="606" t="str">
        <f t="shared" si="12"/>
        <v/>
      </c>
      <c r="F262" s="524" t="str">
        <f t="shared" si="13"/>
        <v>否</v>
      </c>
      <c r="G262" s="312" t="str">
        <f t="shared" si="14"/>
        <v>项</v>
      </c>
    </row>
    <row r="263" s="372" customFormat="1" ht="24" hidden="1" customHeight="1" spans="1:7">
      <c r="A263" s="330">
        <v>20203</v>
      </c>
      <c r="B263" s="379" t="s">
        <v>350</v>
      </c>
      <c r="C263" s="602">
        <f>SUM(C264:C265)</f>
        <v>0</v>
      </c>
      <c r="D263" s="602">
        <f>SUM(D264:D265)</f>
        <v>0</v>
      </c>
      <c r="E263" s="606" t="str">
        <f t="shared" si="12"/>
        <v/>
      </c>
      <c r="F263" s="524" t="str">
        <f t="shared" si="13"/>
        <v>否</v>
      </c>
      <c r="G263" s="312" t="str">
        <f t="shared" si="14"/>
        <v>款</v>
      </c>
    </row>
    <row r="264" s="372" customFormat="1" ht="24" hidden="1" customHeight="1" spans="1:7">
      <c r="A264" s="330">
        <v>2020304</v>
      </c>
      <c r="B264" s="379" t="s">
        <v>351</v>
      </c>
      <c r="C264" s="602">
        <f>'02'!E265</f>
        <v>0</v>
      </c>
      <c r="D264" s="603">
        <v>0</v>
      </c>
      <c r="E264" s="606" t="str">
        <f t="shared" si="12"/>
        <v/>
      </c>
      <c r="F264" s="524" t="str">
        <f t="shared" si="13"/>
        <v>否</v>
      </c>
      <c r="G264" s="312" t="str">
        <f t="shared" si="14"/>
        <v>项</v>
      </c>
    </row>
    <row r="265" s="372" customFormat="1" ht="24" hidden="1" customHeight="1" spans="1:7">
      <c r="A265" s="330">
        <v>2020306</v>
      </c>
      <c r="B265" s="379" t="s">
        <v>352</v>
      </c>
      <c r="C265" s="602">
        <f>'02'!E266</f>
        <v>0</v>
      </c>
      <c r="D265" s="603">
        <v>0</v>
      </c>
      <c r="E265" s="606" t="str">
        <f t="shared" si="12"/>
        <v/>
      </c>
      <c r="F265" s="524" t="str">
        <f t="shared" si="13"/>
        <v>否</v>
      </c>
      <c r="G265" s="312" t="str">
        <f t="shared" si="14"/>
        <v>项</v>
      </c>
    </row>
    <row r="266" s="372" customFormat="1" ht="24" hidden="1" customHeight="1" spans="1:7">
      <c r="A266" s="330">
        <v>20204</v>
      </c>
      <c r="B266" s="379" t="s">
        <v>353</v>
      </c>
      <c r="C266" s="602">
        <f>SUM(C267:C271)</f>
        <v>0</v>
      </c>
      <c r="D266" s="602">
        <f>SUM(D267:D271)</f>
        <v>0</v>
      </c>
      <c r="E266" s="606" t="str">
        <f t="shared" si="12"/>
        <v/>
      </c>
      <c r="F266" s="524" t="str">
        <f t="shared" si="13"/>
        <v>否</v>
      </c>
      <c r="G266" s="312" t="str">
        <f t="shared" si="14"/>
        <v>款</v>
      </c>
    </row>
    <row r="267" s="372" customFormat="1" ht="24" hidden="1" customHeight="1" spans="1:7">
      <c r="A267" s="330">
        <v>2020401</v>
      </c>
      <c r="B267" s="379" t="s">
        <v>354</v>
      </c>
      <c r="C267" s="602">
        <f>'02'!E268</f>
        <v>0</v>
      </c>
      <c r="D267" s="603">
        <v>0</v>
      </c>
      <c r="E267" s="606" t="str">
        <f t="shared" si="12"/>
        <v/>
      </c>
      <c r="F267" s="524" t="str">
        <f t="shared" si="13"/>
        <v>否</v>
      </c>
      <c r="G267" s="312" t="str">
        <f t="shared" si="14"/>
        <v>项</v>
      </c>
    </row>
    <row r="268" s="372" customFormat="1" ht="24" hidden="1" customHeight="1" spans="1:7">
      <c r="A268" s="330">
        <v>2020402</v>
      </c>
      <c r="B268" s="379" t="s">
        <v>355</v>
      </c>
      <c r="C268" s="602">
        <f>'02'!E269</f>
        <v>0</v>
      </c>
      <c r="D268" s="603">
        <v>0</v>
      </c>
      <c r="E268" s="606" t="str">
        <f t="shared" si="12"/>
        <v/>
      </c>
      <c r="F268" s="524" t="str">
        <f t="shared" si="13"/>
        <v>否</v>
      </c>
      <c r="G268" s="312" t="str">
        <f t="shared" si="14"/>
        <v>项</v>
      </c>
    </row>
    <row r="269" s="372" customFormat="1" ht="24" hidden="1" customHeight="1" spans="1:7">
      <c r="A269" s="330">
        <v>2020403</v>
      </c>
      <c r="B269" s="379" t="s">
        <v>356</v>
      </c>
      <c r="C269" s="602">
        <f>'02'!E270</f>
        <v>0</v>
      </c>
      <c r="D269" s="603">
        <v>0</v>
      </c>
      <c r="E269" s="606" t="str">
        <f t="shared" si="12"/>
        <v/>
      </c>
      <c r="F269" s="524" t="str">
        <f t="shared" si="13"/>
        <v>否</v>
      </c>
      <c r="G269" s="312" t="str">
        <f t="shared" si="14"/>
        <v>项</v>
      </c>
    </row>
    <row r="270" s="372" customFormat="1" ht="24" hidden="1" customHeight="1" spans="1:7">
      <c r="A270" s="330">
        <v>2020404</v>
      </c>
      <c r="B270" s="379" t="s">
        <v>357</v>
      </c>
      <c r="C270" s="602">
        <f>'02'!E271</f>
        <v>0</v>
      </c>
      <c r="D270" s="603">
        <v>0</v>
      </c>
      <c r="E270" s="606" t="str">
        <f t="shared" si="12"/>
        <v/>
      </c>
      <c r="F270" s="524" t="str">
        <f t="shared" si="13"/>
        <v>否</v>
      </c>
      <c r="G270" s="312" t="str">
        <f t="shared" si="14"/>
        <v>项</v>
      </c>
    </row>
    <row r="271" s="372" customFormat="1" ht="24" hidden="1" customHeight="1" spans="1:7">
      <c r="A271" s="330">
        <v>2020499</v>
      </c>
      <c r="B271" s="379" t="s">
        <v>358</v>
      </c>
      <c r="C271" s="602">
        <f>'02'!E272</f>
        <v>0</v>
      </c>
      <c r="D271" s="603">
        <v>0</v>
      </c>
      <c r="E271" s="606" t="str">
        <f t="shared" si="12"/>
        <v/>
      </c>
      <c r="F271" s="524" t="str">
        <f t="shared" si="13"/>
        <v>否</v>
      </c>
      <c r="G271" s="312" t="str">
        <f t="shared" si="14"/>
        <v>项</v>
      </c>
    </row>
    <row r="272" s="372" customFormat="1" ht="24" hidden="1" customHeight="1" spans="1:7">
      <c r="A272" s="330">
        <v>20205</v>
      </c>
      <c r="B272" s="379" t="s">
        <v>359</v>
      </c>
      <c r="C272" s="602">
        <f>SUM(C273:C276)</f>
        <v>0</v>
      </c>
      <c r="D272" s="602">
        <f>SUM(D273:D276)</f>
        <v>0</v>
      </c>
      <c r="E272" s="606" t="str">
        <f t="shared" si="12"/>
        <v/>
      </c>
      <c r="F272" s="524" t="str">
        <f t="shared" si="13"/>
        <v>否</v>
      </c>
      <c r="G272" s="312" t="str">
        <f t="shared" si="14"/>
        <v>款</v>
      </c>
    </row>
    <row r="273" s="372" customFormat="1" ht="24" hidden="1" customHeight="1" spans="1:7">
      <c r="A273" s="330">
        <v>2020503</v>
      </c>
      <c r="B273" s="379" t="s">
        <v>360</v>
      </c>
      <c r="C273" s="602">
        <f>'02'!E274</f>
        <v>0</v>
      </c>
      <c r="D273" s="603">
        <v>0</v>
      </c>
      <c r="E273" s="606" t="str">
        <f t="shared" si="12"/>
        <v/>
      </c>
      <c r="F273" s="524" t="str">
        <f t="shared" si="13"/>
        <v>否</v>
      </c>
      <c r="G273" s="312" t="str">
        <f t="shared" si="14"/>
        <v>项</v>
      </c>
    </row>
    <row r="274" s="372" customFormat="1" ht="24" hidden="1" customHeight="1" spans="1:7">
      <c r="A274" s="330">
        <v>2020504</v>
      </c>
      <c r="B274" s="379" t="s">
        <v>361</v>
      </c>
      <c r="C274" s="602">
        <f>'02'!E275</f>
        <v>0</v>
      </c>
      <c r="D274" s="603">
        <v>0</v>
      </c>
      <c r="E274" s="606" t="str">
        <f t="shared" si="12"/>
        <v/>
      </c>
      <c r="F274" s="524" t="str">
        <f t="shared" si="13"/>
        <v>否</v>
      </c>
      <c r="G274" s="312" t="str">
        <f t="shared" si="14"/>
        <v>项</v>
      </c>
    </row>
    <row r="275" s="372" customFormat="1" ht="24" hidden="1" customHeight="1" spans="1:7">
      <c r="A275" s="330">
        <v>2020505</v>
      </c>
      <c r="B275" s="379" t="s">
        <v>362</v>
      </c>
      <c r="C275" s="602">
        <f>'02'!E276</f>
        <v>0</v>
      </c>
      <c r="D275" s="603">
        <v>0</v>
      </c>
      <c r="E275" s="606" t="str">
        <f t="shared" si="12"/>
        <v/>
      </c>
      <c r="F275" s="524" t="str">
        <f t="shared" si="13"/>
        <v>否</v>
      </c>
      <c r="G275" s="312" t="str">
        <f t="shared" si="14"/>
        <v>项</v>
      </c>
    </row>
    <row r="276" s="372" customFormat="1" ht="24" hidden="1" customHeight="1" spans="1:7">
      <c r="A276" s="330">
        <v>2020599</v>
      </c>
      <c r="B276" s="379" t="s">
        <v>363</v>
      </c>
      <c r="C276" s="602">
        <f>'02'!E277</f>
        <v>0</v>
      </c>
      <c r="D276" s="603">
        <v>0</v>
      </c>
      <c r="E276" s="606" t="str">
        <f t="shared" si="12"/>
        <v/>
      </c>
      <c r="F276" s="524" t="str">
        <f t="shared" si="13"/>
        <v>否</v>
      </c>
      <c r="G276" s="312" t="str">
        <f t="shared" si="14"/>
        <v>项</v>
      </c>
    </row>
    <row r="277" s="372" customFormat="1" ht="24" hidden="1" customHeight="1" spans="1:7">
      <c r="A277" s="330">
        <v>20206</v>
      </c>
      <c r="B277" s="379" t="s">
        <v>364</v>
      </c>
      <c r="C277" s="602">
        <f>C278</f>
        <v>0</v>
      </c>
      <c r="D277" s="602">
        <f>D278</f>
        <v>0</v>
      </c>
      <c r="E277" s="606" t="str">
        <f t="shared" si="12"/>
        <v/>
      </c>
      <c r="F277" s="524" t="str">
        <f t="shared" si="13"/>
        <v>否</v>
      </c>
      <c r="G277" s="312" t="str">
        <f t="shared" si="14"/>
        <v>款</v>
      </c>
    </row>
    <row r="278" s="372" customFormat="1" ht="24" hidden="1" customHeight="1" spans="1:7">
      <c r="A278" s="330">
        <v>2020601</v>
      </c>
      <c r="B278" s="379" t="s">
        <v>365</v>
      </c>
      <c r="C278" s="602">
        <f>'02'!E279</f>
        <v>0</v>
      </c>
      <c r="D278" s="603">
        <v>0</v>
      </c>
      <c r="E278" s="606" t="str">
        <f t="shared" si="12"/>
        <v/>
      </c>
      <c r="F278" s="524" t="str">
        <f t="shared" si="13"/>
        <v>否</v>
      </c>
      <c r="G278" s="312" t="str">
        <f t="shared" si="14"/>
        <v>项</v>
      </c>
    </row>
    <row r="279" s="372" customFormat="1" ht="24" hidden="1" customHeight="1" spans="1:7">
      <c r="A279" s="330">
        <v>20207</v>
      </c>
      <c r="B279" s="379" t="s">
        <v>366</v>
      </c>
      <c r="C279" s="602">
        <f>SUM(C280:C283)</f>
        <v>0</v>
      </c>
      <c r="D279" s="602">
        <f>SUM(D280:D283)</f>
        <v>0</v>
      </c>
      <c r="E279" s="606" t="str">
        <f t="shared" si="12"/>
        <v/>
      </c>
      <c r="F279" s="524" t="str">
        <f t="shared" si="13"/>
        <v>否</v>
      </c>
      <c r="G279" s="312" t="str">
        <f t="shared" si="14"/>
        <v>款</v>
      </c>
    </row>
    <row r="280" s="372" customFormat="1" ht="24" hidden="1" customHeight="1" spans="1:7">
      <c r="A280" s="330">
        <v>2020701</v>
      </c>
      <c r="B280" s="379" t="s">
        <v>367</v>
      </c>
      <c r="C280" s="602">
        <f>'02'!E281</f>
        <v>0</v>
      </c>
      <c r="D280" s="603">
        <v>0</v>
      </c>
      <c r="E280" s="606" t="str">
        <f t="shared" si="12"/>
        <v/>
      </c>
      <c r="F280" s="524" t="str">
        <f t="shared" si="13"/>
        <v>否</v>
      </c>
      <c r="G280" s="312" t="str">
        <f t="shared" si="14"/>
        <v>项</v>
      </c>
    </row>
    <row r="281" s="372" customFormat="1" ht="24" hidden="1" customHeight="1" spans="1:7">
      <c r="A281" s="330">
        <v>2020702</v>
      </c>
      <c r="B281" s="379" t="s">
        <v>368</v>
      </c>
      <c r="C281" s="602">
        <f>'02'!E282</f>
        <v>0</v>
      </c>
      <c r="D281" s="603">
        <v>0</v>
      </c>
      <c r="E281" s="606" t="str">
        <f t="shared" si="12"/>
        <v/>
      </c>
      <c r="F281" s="524" t="str">
        <f t="shared" si="13"/>
        <v>否</v>
      </c>
      <c r="G281" s="312" t="str">
        <f t="shared" si="14"/>
        <v>项</v>
      </c>
    </row>
    <row r="282" s="372" customFormat="1" ht="24" hidden="1" customHeight="1" spans="1:7">
      <c r="A282" s="330">
        <v>2020703</v>
      </c>
      <c r="B282" s="379" t="s">
        <v>369</v>
      </c>
      <c r="C282" s="602">
        <f>'02'!E283</f>
        <v>0</v>
      </c>
      <c r="D282" s="603">
        <v>0</v>
      </c>
      <c r="E282" s="606" t="str">
        <f t="shared" si="12"/>
        <v/>
      </c>
      <c r="F282" s="524" t="str">
        <f t="shared" si="13"/>
        <v>否</v>
      </c>
      <c r="G282" s="312" t="str">
        <f t="shared" si="14"/>
        <v>项</v>
      </c>
    </row>
    <row r="283" s="372" customFormat="1" ht="24" hidden="1" customHeight="1" spans="1:7">
      <c r="A283" s="330">
        <v>2020799</v>
      </c>
      <c r="B283" s="379" t="s">
        <v>370</v>
      </c>
      <c r="C283" s="602">
        <f>'02'!E284</f>
        <v>0</v>
      </c>
      <c r="D283" s="603">
        <v>0</v>
      </c>
      <c r="E283" s="606" t="str">
        <f t="shared" si="12"/>
        <v/>
      </c>
      <c r="F283" s="524" t="str">
        <f t="shared" si="13"/>
        <v>否</v>
      </c>
      <c r="G283" s="312" t="str">
        <f t="shared" si="14"/>
        <v>项</v>
      </c>
    </row>
    <row r="284" s="372" customFormat="1" ht="24" hidden="1" customHeight="1" spans="1:7">
      <c r="A284" s="330">
        <v>20208</v>
      </c>
      <c r="B284" s="379" t="s">
        <v>371</v>
      </c>
      <c r="C284" s="602">
        <f>SUM(C285:C289)</f>
        <v>0</v>
      </c>
      <c r="D284" s="602">
        <f>SUM(D285:D289)</f>
        <v>0</v>
      </c>
      <c r="E284" s="606" t="str">
        <f t="shared" si="12"/>
        <v/>
      </c>
      <c r="F284" s="524" t="str">
        <f t="shared" si="13"/>
        <v>否</v>
      </c>
      <c r="G284" s="312" t="str">
        <f t="shared" si="14"/>
        <v>款</v>
      </c>
    </row>
    <row r="285" s="372" customFormat="1" ht="24" hidden="1" customHeight="1" spans="1:7">
      <c r="A285" s="330">
        <v>2020801</v>
      </c>
      <c r="B285" s="379" t="s">
        <v>212</v>
      </c>
      <c r="C285" s="602">
        <f>'02'!E286</f>
        <v>0</v>
      </c>
      <c r="D285" s="603">
        <v>0</v>
      </c>
      <c r="E285" s="606" t="str">
        <f t="shared" si="12"/>
        <v/>
      </c>
      <c r="F285" s="524" t="str">
        <f t="shared" si="13"/>
        <v>否</v>
      </c>
      <c r="G285" s="312" t="str">
        <f t="shared" si="14"/>
        <v>项</v>
      </c>
    </row>
    <row r="286" s="372" customFormat="1" ht="24" hidden="1" customHeight="1" spans="1:7">
      <c r="A286" s="330">
        <v>2020802</v>
      </c>
      <c r="B286" s="379" t="s">
        <v>213</v>
      </c>
      <c r="C286" s="602">
        <f>'02'!E287</f>
        <v>0</v>
      </c>
      <c r="D286" s="603">
        <v>0</v>
      </c>
      <c r="E286" s="606" t="str">
        <f t="shared" si="12"/>
        <v/>
      </c>
      <c r="F286" s="524" t="str">
        <f t="shared" si="13"/>
        <v>否</v>
      </c>
      <c r="G286" s="312" t="str">
        <f t="shared" si="14"/>
        <v>项</v>
      </c>
    </row>
    <row r="287" s="372" customFormat="1" ht="24" hidden="1" customHeight="1" spans="1:7">
      <c r="A287" s="330">
        <v>2020803</v>
      </c>
      <c r="B287" s="379" t="s">
        <v>214</v>
      </c>
      <c r="C287" s="602">
        <f>'02'!E288</f>
        <v>0</v>
      </c>
      <c r="D287" s="603">
        <v>0</v>
      </c>
      <c r="E287" s="606" t="str">
        <f t="shared" si="12"/>
        <v/>
      </c>
      <c r="F287" s="524" t="str">
        <f t="shared" si="13"/>
        <v>否</v>
      </c>
      <c r="G287" s="312" t="str">
        <f t="shared" si="14"/>
        <v>项</v>
      </c>
    </row>
    <row r="288" s="372" customFormat="1" ht="24" hidden="1" customHeight="1" spans="1:7">
      <c r="A288" s="330">
        <v>2020850</v>
      </c>
      <c r="B288" s="379" t="s">
        <v>221</v>
      </c>
      <c r="C288" s="602">
        <f>'02'!E289</f>
        <v>0</v>
      </c>
      <c r="D288" s="603">
        <v>0</v>
      </c>
      <c r="E288" s="606" t="str">
        <f t="shared" si="12"/>
        <v/>
      </c>
      <c r="F288" s="524" t="str">
        <f t="shared" si="13"/>
        <v>否</v>
      </c>
      <c r="G288" s="312" t="str">
        <f t="shared" si="14"/>
        <v>项</v>
      </c>
    </row>
    <row r="289" s="372" customFormat="1" ht="24" hidden="1" customHeight="1" spans="1:7">
      <c r="A289" s="330">
        <v>2020899</v>
      </c>
      <c r="B289" s="379" t="s">
        <v>372</v>
      </c>
      <c r="C289" s="602">
        <f>'02'!E290</f>
        <v>0</v>
      </c>
      <c r="D289" s="603">
        <v>0</v>
      </c>
      <c r="E289" s="606" t="str">
        <f t="shared" si="12"/>
        <v/>
      </c>
      <c r="F289" s="524" t="str">
        <f t="shared" si="13"/>
        <v>否</v>
      </c>
      <c r="G289" s="312" t="str">
        <f t="shared" si="14"/>
        <v>项</v>
      </c>
    </row>
    <row r="290" s="372" customFormat="1" ht="24" hidden="1" customHeight="1" spans="1:7">
      <c r="A290" s="330">
        <v>20299</v>
      </c>
      <c r="B290" s="379" t="s">
        <v>373</v>
      </c>
      <c r="C290" s="602">
        <f>C291</f>
        <v>0</v>
      </c>
      <c r="D290" s="602">
        <f>D291</f>
        <v>0</v>
      </c>
      <c r="E290" s="606" t="str">
        <f t="shared" si="12"/>
        <v/>
      </c>
      <c r="F290" s="524" t="str">
        <f t="shared" si="13"/>
        <v>否</v>
      </c>
      <c r="G290" s="312" t="str">
        <f t="shared" si="14"/>
        <v>款</v>
      </c>
    </row>
    <row r="291" s="372" customFormat="1" ht="24" hidden="1" customHeight="1" spans="1:7">
      <c r="A291" s="330">
        <v>2029999</v>
      </c>
      <c r="B291" s="379" t="s">
        <v>374</v>
      </c>
      <c r="C291" s="602">
        <f>'02'!E292</f>
        <v>0</v>
      </c>
      <c r="D291" s="603">
        <v>0</v>
      </c>
      <c r="E291" s="606" t="str">
        <f t="shared" si="12"/>
        <v/>
      </c>
      <c r="F291" s="524" t="str">
        <f t="shared" si="13"/>
        <v>否</v>
      </c>
      <c r="G291" s="312" t="str">
        <f t="shared" si="14"/>
        <v>项</v>
      </c>
    </row>
    <row r="292" s="372" customFormat="1" ht="24" customHeight="1" spans="1:7">
      <c r="A292" s="329">
        <v>203</v>
      </c>
      <c r="B292" s="377" t="s">
        <v>177</v>
      </c>
      <c r="C292" s="601">
        <f>C293+C297+C299+C301+C309</f>
        <v>2580</v>
      </c>
      <c r="D292" s="601">
        <f>D293+D297+D299+D301+D309</f>
        <v>2582</v>
      </c>
      <c r="E292" s="605">
        <f t="shared" si="12"/>
        <v>0.000775193798449612</v>
      </c>
      <c r="F292" s="524" t="str">
        <f t="shared" si="13"/>
        <v>是</v>
      </c>
      <c r="G292" s="312" t="str">
        <f t="shared" si="14"/>
        <v>类</v>
      </c>
    </row>
    <row r="293" s="372" customFormat="1" ht="24" hidden="1" customHeight="1" spans="1:7">
      <c r="A293" s="356">
        <v>20301</v>
      </c>
      <c r="B293" s="405" t="s">
        <v>375</v>
      </c>
      <c r="C293" s="602">
        <f>SUM(C294:C296)</f>
        <v>0</v>
      </c>
      <c r="D293" s="602">
        <f>SUM(D294:D296)</f>
        <v>0</v>
      </c>
      <c r="E293" s="606" t="str">
        <f t="shared" si="12"/>
        <v/>
      </c>
      <c r="F293" s="524" t="str">
        <f t="shared" si="13"/>
        <v>否</v>
      </c>
      <c r="G293" s="312" t="str">
        <f t="shared" si="14"/>
        <v>款</v>
      </c>
    </row>
    <row r="294" s="372" customFormat="1" ht="24" hidden="1" customHeight="1" spans="1:7">
      <c r="A294" s="356">
        <v>2030101</v>
      </c>
      <c r="B294" s="379" t="s">
        <v>376</v>
      </c>
      <c r="C294" s="602">
        <f>'02'!E295</f>
        <v>0</v>
      </c>
      <c r="D294" s="603">
        <v>0</v>
      </c>
      <c r="E294" s="606" t="str">
        <f t="shared" si="12"/>
        <v/>
      </c>
      <c r="F294" s="524" t="str">
        <f t="shared" si="13"/>
        <v>否</v>
      </c>
      <c r="G294" s="312" t="str">
        <f t="shared" si="14"/>
        <v>项</v>
      </c>
    </row>
    <row r="295" s="372" customFormat="1" ht="24" hidden="1" customHeight="1" spans="1:7">
      <c r="A295" s="351">
        <v>2030102</v>
      </c>
      <c r="B295" s="379" t="s">
        <v>377</v>
      </c>
      <c r="C295" s="602">
        <f>'02'!E296</f>
        <v>0</v>
      </c>
      <c r="D295" s="603">
        <v>0</v>
      </c>
      <c r="E295" s="606" t="str">
        <f t="shared" si="12"/>
        <v/>
      </c>
      <c r="F295" s="524" t="str">
        <f t="shared" si="13"/>
        <v>否</v>
      </c>
      <c r="G295" s="312" t="str">
        <f t="shared" si="14"/>
        <v>项</v>
      </c>
    </row>
    <row r="296" s="372" customFormat="1" ht="24" hidden="1" customHeight="1" spans="1:7">
      <c r="A296" s="351">
        <v>2030199</v>
      </c>
      <c r="B296" s="379" t="s">
        <v>378</v>
      </c>
      <c r="C296" s="602">
        <f>'02'!E297</f>
        <v>0</v>
      </c>
      <c r="D296" s="603">
        <v>0</v>
      </c>
      <c r="E296" s="606" t="str">
        <f t="shared" si="12"/>
        <v/>
      </c>
      <c r="F296" s="524" t="str">
        <f t="shared" si="13"/>
        <v>否</v>
      </c>
      <c r="G296" s="312" t="str">
        <f t="shared" si="14"/>
        <v>项</v>
      </c>
    </row>
    <row r="297" s="372" customFormat="1" ht="24" hidden="1" customHeight="1" spans="1:7">
      <c r="A297" s="356">
        <v>20304</v>
      </c>
      <c r="B297" s="379" t="s">
        <v>379</v>
      </c>
      <c r="C297" s="602">
        <f>C298</f>
        <v>0</v>
      </c>
      <c r="D297" s="602">
        <f>D298</f>
        <v>0</v>
      </c>
      <c r="E297" s="606" t="str">
        <f t="shared" si="12"/>
        <v/>
      </c>
      <c r="F297" s="524" t="str">
        <f t="shared" si="13"/>
        <v>否</v>
      </c>
      <c r="G297" s="312" t="str">
        <f t="shared" si="14"/>
        <v>款</v>
      </c>
    </row>
    <row r="298" s="372" customFormat="1" ht="24" hidden="1" customHeight="1" spans="1:7">
      <c r="A298" s="356">
        <v>2030401</v>
      </c>
      <c r="B298" s="379" t="s">
        <v>380</v>
      </c>
      <c r="C298" s="602">
        <f>'02'!E299</f>
        <v>0</v>
      </c>
      <c r="D298" s="603">
        <v>0</v>
      </c>
      <c r="E298" s="606" t="str">
        <f t="shared" si="12"/>
        <v/>
      </c>
      <c r="F298" s="524" t="str">
        <f t="shared" si="13"/>
        <v>否</v>
      </c>
      <c r="G298" s="312" t="str">
        <f t="shared" si="14"/>
        <v>项</v>
      </c>
    </row>
    <row r="299" s="372" customFormat="1" ht="24" hidden="1" customHeight="1" spans="1:7">
      <c r="A299" s="356">
        <v>20305</v>
      </c>
      <c r="B299" s="379" t="s">
        <v>381</v>
      </c>
      <c r="C299" s="602">
        <f>C300</f>
        <v>0</v>
      </c>
      <c r="D299" s="602">
        <f>D300</f>
        <v>0</v>
      </c>
      <c r="E299" s="606" t="str">
        <f t="shared" si="12"/>
        <v/>
      </c>
      <c r="F299" s="524" t="str">
        <f t="shared" si="13"/>
        <v>否</v>
      </c>
      <c r="G299" s="312" t="str">
        <f t="shared" si="14"/>
        <v>款</v>
      </c>
    </row>
    <row r="300" s="372" customFormat="1" ht="24" hidden="1" customHeight="1" spans="1:7">
      <c r="A300" s="356">
        <v>2030501</v>
      </c>
      <c r="B300" s="379" t="s">
        <v>382</v>
      </c>
      <c r="C300" s="602">
        <f>'02'!E301</f>
        <v>0</v>
      </c>
      <c r="D300" s="603">
        <v>0</v>
      </c>
      <c r="E300" s="606" t="str">
        <f t="shared" si="12"/>
        <v/>
      </c>
      <c r="F300" s="524" t="str">
        <f t="shared" si="13"/>
        <v>否</v>
      </c>
      <c r="G300" s="312" t="str">
        <f t="shared" si="14"/>
        <v>项</v>
      </c>
    </row>
    <row r="301" s="372" customFormat="1" ht="24" customHeight="1" spans="1:7">
      <c r="A301" s="330">
        <v>20306</v>
      </c>
      <c r="B301" s="379" t="s">
        <v>383</v>
      </c>
      <c r="C301" s="602">
        <f>SUM(C302:C308)</f>
        <v>2502</v>
      </c>
      <c r="D301" s="602">
        <f>SUM(D302:D308)</f>
        <v>2534</v>
      </c>
      <c r="E301" s="606">
        <f t="shared" si="12"/>
        <v>0.0127897681854516</v>
      </c>
      <c r="F301" s="524" t="str">
        <f t="shared" si="13"/>
        <v>是</v>
      </c>
      <c r="G301" s="312" t="str">
        <f t="shared" si="14"/>
        <v>款</v>
      </c>
    </row>
    <row r="302" ht="24" hidden="1" customHeight="1" spans="1:7">
      <c r="A302" s="330">
        <v>2030601</v>
      </c>
      <c r="B302" s="379" t="s">
        <v>384</v>
      </c>
      <c r="C302" s="602">
        <f>'02'!E303</f>
        <v>574</v>
      </c>
      <c r="D302" s="603">
        <v>585</v>
      </c>
      <c r="E302" s="606">
        <f t="shared" si="12"/>
        <v>0.0191637630662021</v>
      </c>
      <c r="F302" s="524" t="str">
        <f t="shared" si="13"/>
        <v>是</v>
      </c>
      <c r="G302" s="312" t="str">
        <f t="shared" si="14"/>
        <v>项</v>
      </c>
    </row>
    <row r="303" s="372" customFormat="1" ht="24" hidden="1" customHeight="1" spans="1:7">
      <c r="A303" s="330">
        <v>2030602</v>
      </c>
      <c r="B303" s="379" t="s">
        <v>385</v>
      </c>
      <c r="C303" s="602">
        <f>'02'!E304</f>
        <v>0</v>
      </c>
      <c r="D303" s="603">
        <v>0</v>
      </c>
      <c r="E303" s="606" t="str">
        <f t="shared" si="12"/>
        <v/>
      </c>
      <c r="F303" s="524" t="str">
        <f t="shared" si="13"/>
        <v>否</v>
      </c>
      <c r="G303" s="312" t="str">
        <f t="shared" si="14"/>
        <v>项</v>
      </c>
    </row>
    <row r="304" s="372" customFormat="1" ht="24" hidden="1" customHeight="1" spans="1:7">
      <c r="A304" s="330">
        <v>2030603</v>
      </c>
      <c r="B304" s="379" t="s">
        <v>386</v>
      </c>
      <c r="C304" s="602">
        <f>'02'!E305</f>
        <v>753</v>
      </c>
      <c r="D304" s="603">
        <v>745</v>
      </c>
      <c r="E304" s="606">
        <f t="shared" si="12"/>
        <v>-0.0106241699867198</v>
      </c>
      <c r="F304" s="524" t="str">
        <f t="shared" si="13"/>
        <v>是</v>
      </c>
      <c r="G304" s="312" t="str">
        <f t="shared" si="14"/>
        <v>项</v>
      </c>
    </row>
    <row r="305" ht="24" hidden="1" customHeight="1" spans="1:7">
      <c r="A305" s="330">
        <v>2030604</v>
      </c>
      <c r="B305" s="379" t="s">
        <v>387</v>
      </c>
      <c r="C305" s="602">
        <f>'02'!E306</f>
        <v>0</v>
      </c>
      <c r="D305" s="603">
        <v>0</v>
      </c>
      <c r="E305" s="606" t="str">
        <f t="shared" si="12"/>
        <v/>
      </c>
      <c r="F305" s="524" t="str">
        <f t="shared" si="13"/>
        <v>否</v>
      </c>
      <c r="G305" s="312" t="str">
        <f t="shared" si="14"/>
        <v>项</v>
      </c>
    </row>
    <row r="306" s="372" customFormat="1" ht="24" hidden="1" customHeight="1" spans="1:7">
      <c r="A306" s="330">
        <v>2030607</v>
      </c>
      <c r="B306" s="379" t="s">
        <v>388</v>
      </c>
      <c r="C306" s="602">
        <f>'02'!E307</f>
        <v>859</v>
      </c>
      <c r="D306" s="603">
        <v>868</v>
      </c>
      <c r="E306" s="606">
        <f t="shared" si="12"/>
        <v>0.010477299185099</v>
      </c>
      <c r="F306" s="524" t="str">
        <f t="shared" si="13"/>
        <v>是</v>
      </c>
      <c r="G306" s="312" t="str">
        <f t="shared" si="14"/>
        <v>项</v>
      </c>
    </row>
    <row r="307" s="372" customFormat="1" ht="24" hidden="1" customHeight="1" spans="1:7">
      <c r="A307" s="330">
        <v>2030608</v>
      </c>
      <c r="B307" s="379" t="s">
        <v>389</v>
      </c>
      <c r="C307" s="602">
        <f>'02'!E308</f>
        <v>0</v>
      </c>
      <c r="D307" s="603">
        <v>0</v>
      </c>
      <c r="E307" s="606" t="str">
        <f t="shared" si="12"/>
        <v/>
      </c>
      <c r="F307" s="524" t="str">
        <f t="shared" si="13"/>
        <v>否</v>
      </c>
      <c r="G307" s="312" t="str">
        <f t="shared" si="14"/>
        <v>项</v>
      </c>
    </row>
    <row r="308" ht="24" hidden="1" customHeight="1" spans="1:7">
      <c r="A308" s="330">
        <v>2030699</v>
      </c>
      <c r="B308" s="379" t="s">
        <v>390</v>
      </c>
      <c r="C308" s="602">
        <f>'02'!E309</f>
        <v>316</v>
      </c>
      <c r="D308" s="603">
        <v>336</v>
      </c>
      <c r="E308" s="606">
        <f t="shared" si="12"/>
        <v>0.0632911392405063</v>
      </c>
      <c r="F308" s="524" t="str">
        <f t="shared" si="13"/>
        <v>是</v>
      </c>
      <c r="G308" s="312" t="str">
        <f t="shared" si="14"/>
        <v>项</v>
      </c>
    </row>
    <row r="309" ht="24" customHeight="1" spans="1:7">
      <c r="A309" s="330">
        <v>20399</v>
      </c>
      <c r="B309" s="379" t="s">
        <v>391</v>
      </c>
      <c r="C309" s="602">
        <f>C310</f>
        <v>78</v>
      </c>
      <c r="D309" s="602">
        <f>D310</f>
        <v>48</v>
      </c>
      <c r="E309" s="606">
        <f t="shared" si="12"/>
        <v>-0.384615384615385</v>
      </c>
      <c r="F309" s="524" t="str">
        <f t="shared" si="13"/>
        <v>是</v>
      </c>
      <c r="G309" s="312" t="str">
        <f t="shared" si="14"/>
        <v>款</v>
      </c>
    </row>
    <row r="310" s="372" customFormat="1" ht="24" hidden="1" customHeight="1" spans="1:7">
      <c r="A310" s="531">
        <v>2039999</v>
      </c>
      <c r="B310" s="379" t="s">
        <v>392</v>
      </c>
      <c r="C310" s="602">
        <f>'02'!E311</f>
        <v>78</v>
      </c>
      <c r="D310" s="603">
        <v>48</v>
      </c>
      <c r="E310" s="606">
        <f t="shared" si="12"/>
        <v>-0.384615384615385</v>
      </c>
      <c r="F310" s="524" t="str">
        <f t="shared" si="13"/>
        <v>是</v>
      </c>
      <c r="G310" s="312" t="str">
        <f t="shared" si="14"/>
        <v>项</v>
      </c>
    </row>
    <row r="311" s="372" customFormat="1" ht="24" customHeight="1" spans="1:7">
      <c r="A311" s="329">
        <v>204</v>
      </c>
      <c r="B311" s="377" t="s">
        <v>178</v>
      </c>
      <c r="C311" s="601">
        <f>C312+C315+C326+C333+C341+C350+C364+C374+C384+C392+C398</f>
        <v>75378</v>
      </c>
      <c r="D311" s="601">
        <f>D312+D315+D326+D333+D341+D350+D364+D374+D384+D392+D398</f>
        <v>75589</v>
      </c>
      <c r="E311" s="605">
        <f t="shared" si="12"/>
        <v>0.00279922523813314</v>
      </c>
      <c r="F311" s="524" t="str">
        <f t="shared" si="13"/>
        <v>是</v>
      </c>
      <c r="G311" s="312" t="str">
        <f t="shared" si="14"/>
        <v>类</v>
      </c>
    </row>
    <row r="312" s="372" customFormat="1" ht="24" customHeight="1" spans="1:7">
      <c r="A312" s="330">
        <v>20401</v>
      </c>
      <c r="B312" s="379" t="s">
        <v>393</v>
      </c>
      <c r="C312" s="602">
        <f>SUM(C313:C314)</f>
        <v>588</v>
      </c>
      <c r="D312" s="602">
        <f>SUM(D313:D314)</f>
        <v>719</v>
      </c>
      <c r="E312" s="606">
        <f t="shared" si="12"/>
        <v>0.222789115646259</v>
      </c>
      <c r="F312" s="524" t="str">
        <f t="shared" si="13"/>
        <v>是</v>
      </c>
      <c r="G312" s="312" t="str">
        <f t="shared" si="14"/>
        <v>款</v>
      </c>
    </row>
    <row r="313" s="372" customFormat="1" ht="24" hidden="1" customHeight="1" spans="1:7">
      <c r="A313" s="330">
        <v>2040101</v>
      </c>
      <c r="B313" s="379" t="s">
        <v>394</v>
      </c>
      <c r="C313" s="602">
        <f>'02'!E314</f>
        <v>19</v>
      </c>
      <c r="D313" s="603">
        <v>20</v>
      </c>
      <c r="E313" s="606">
        <f t="shared" ref="E313:E376" si="15">IFERROR((D313-C313)/C313,"")</f>
        <v>0.0526315789473684</v>
      </c>
      <c r="F313" s="524" t="str">
        <f t="shared" si="13"/>
        <v>是</v>
      </c>
      <c r="G313" s="312" t="str">
        <f t="shared" si="14"/>
        <v>项</v>
      </c>
    </row>
    <row r="314" s="372" customFormat="1" ht="24" hidden="1" customHeight="1" spans="1:7">
      <c r="A314" s="330">
        <v>2040199</v>
      </c>
      <c r="B314" s="379" t="s">
        <v>395</v>
      </c>
      <c r="C314" s="602">
        <f>'02'!E315</f>
        <v>569</v>
      </c>
      <c r="D314" s="603">
        <v>699</v>
      </c>
      <c r="E314" s="606">
        <f t="shared" si="15"/>
        <v>0.228471001757469</v>
      </c>
      <c r="F314" s="524" t="str">
        <f t="shared" si="13"/>
        <v>是</v>
      </c>
      <c r="G314" s="312" t="str">
        <f t="shared" si="14"/>
        <v>项</v>
      </c>
    </row>
    <row r="315" s="372" customFormat="1" ht="24" customHeight="1" spans="1:7">
      <c r="A315" s="330">
        <v>20402</v>
      </c>
      <c r="B315" s="379" t="s">
        <v>396</v>
      </c>
      <c r="C315" s="602">
        <f>SUM(C316:C325)</f>
        <v>68641</v>
      </c>
      <c r="D315" s="602">
        <f>SUM(D316:D325)</f>
        <v>68659</v>
      </c>
      <c r="E315" s="606">
        <f t="shared" si="15"/>
        <v>0.000262233941813202</v>
      </c>
      <c r="F315" s="524" t="str">
        <f t="shared" si="13"/>
        <v>是</v>
      </c>
      <c r="G315" s="312" t="str">
        <f t="shared" si="14"/>
        <v>款</v>
      </c>
    </row>
    <row r="316" s="372" customFormat="1" ht="24" hidden="1" customHeight="1" spans="1:7">
      <c r="A316" s="330">
        <v>2040201</v>
      </c>
      <c r="B316" s="379" t="s">
        <v>212</v>
      </c>
      <c r="C316" s="602">
        <f>'02'!E317</f>
        <v>45023</v>
      </c>
      <c r="D316" s="603">
        <v>45353</v>
      </c>
      <c r="E316" s="606">
        <f t="shared" si="15"/>
        <v>0.0073295870999267</v>
      </c>
      <c r="F316" s="524" t="str">
        <f t="shared" si="13"/>
        <v>是</v>
      </c>
      <c r="G316" s="312" t="str">
        <f t="shared" si="14"/>
        <v>项</v>
      </c>
    </row>
    <row r="317" ht="24" hidden="1" customHeight="1" spans="1:7">
      <c r="A317" s="330">
        <v>2040202</v>
      </c>
      <c r="B317" s="379" t="s">
        <v>213</v>
      </c>
      <c r="C317" s="602">
        <f>'02'!E318</f>
        <v>1318</v>
      </c>
      <c r="D317" s="603">
        <v>1125</v>
      </c>
      <c r="E317" s="606">
        <f t="shared" si="15"/>
        <v>-0.146433990895296</v>
      </c>
      <c r="F317" s="524" t="str">
        <f t="shared" si="13"/>
        <v>是</v>
      </c>
      <c r="G317" s="312" t="str">
        <f t="shared" si="14"/>
        <v>项</v>
      </c>
    </row>
    <row r="318" s="372" customFormat="1" ht="24" hidden="1" customHeight="1" spans="1:7">
      <c r="A318" s="330">
        <v>2040203</v>
      </c>
      <c r="B318" s="379" t="s">
        <v>214</v>
      </c>
      <c r="C318" s="602">
        <f>'02'!E319</f>
        <v>0</v>
      </c>
      <c r="D318" s="603">
        <v>0</v>
      </c>
      <c r="E318" s="606" t="str">
        <f t="shared" si="15"/>
        <v/>
      </c>
      <c r="F318" s="524" t="str">
        <f t="shared" si="13"/>
        <v>否</v>
      </c>
      <c r="G318" s="312" t="str">
        <f t="shared" si="14"/>
        <v>项</v>
      </c>
    </row>
    <row r="319" s="372" customFormat="1" ht="24" hidden="1" customHeight="1" spans="1:7">
      <c r="A319" s="330">
        <v>2040219</v>
      </c>
      <c r="B319" s="379" t="s">
        <v>252</v>
      </c>
      <c r="C319" s="602">
        <f>'02'!E320</f>
        <v>1867</v>
      </c>
      <c r="D319" s="603">
        <v>1846</v>
      </c>
      <c r="E319" s="606">
        <f t="shared" si="15"/>
        <v>-0.0112479914301018</v>
      </c>
      <c r="F319" s="524" t="str">
        <f t="shared" si="13"/>
        <v>是</v>
      </c>
      <c r="G319" s="312" t="str">
        <f t="shared" si="14"/>
        <v>项</v>
      </c>
    </row>
    <row r="320" s="372" customFormat="1" ht="24" hidden="1" customHeight="1" spans="1:7">
      <c r="A320" s="330">
        <v>2040220</v>
      </c>
      <c r="B320" s="379" t="s">
        <v>397</v>
      </c>
      <c r="C320" s="602">
        <f>'02'!E321</f>
        <v>11235</v>
      </c>
      <c r="D320" s="603">
        <v>11325</v>
      </c>
      <c r="E320" s="606">
        <f t="shared" si="15"/>
        <v>0.00801068090787717</v>
      </c>
      <c r="F320" s="524" t="str">
        <f t="shared" si="13"/>
        <v>是</v>
      </c>
      <c r="G320" s="312" t="str">
        <f t="shared" si="14"/>
        <v>项</v>
      </c>
    </row>
    <row r="321" s="372" customFormat="1" ht="24" hidden="1" customHeight="1" spans="1:7">
      <c r="A321" s="330">
        <v>2040221</v>
      </c>
      <c r="B321" s="379" t="s">
        <v>398</v>
      </c>
      <c r="C321" s="602">
        <f>'02'!E322</f>
        <v>0</v>
      </c>
      <c r="D321" s="603">
        <v>0</v>
      </c>
      <c r="E321" s="606" t="str">
        <f t="shared" si="15"/>
        <v/>
      </c>
      <c r="F321" s="524" t="str">
        <f t="shared" si="13"/>
        <v>否</v>
      </c>
      <c r="G321" s="312" t="str">
        <f t="shared" si="14"/>
        <v>项</v>
      </c>
    </row>
    <row r="322" s="372" customFormat="1" ht="24" hidden="1" customHeight="1" spans="1:7">
      <c r="A322" s="330">
        <v>2040222</v>
      </c>
      <c r="B322" s="379" t="s">
        <v>399</v>
      </c>
      <c r="C322" s="602">
        <f>'02'!E323</f>
        <v>0</v>
      </c>
      <c r="D322" s="603">
        <v>0</v>
      </c>
      <c r="E322" s="606" t="str">
        <f t="shared" si="15"/>
        <v/>
      </c>
      <c r="F322" s="524" t="str">
        <f t="shared" si="13"/>
        <v>否</v>
      </c>
      <c r="G322" s="312" t="str">
        <f t="shared" si="14"/>
        <v>项</v>
      </c>
    </row>
    <row r="323" s="372" customFormat="1" ht="24" hidden="1" customHeight="1" spans="1:7">
      <c r="A323" s="330">
        <v>2040223</v>
      </c>
      <c r="B323" s="379" t="s">
        <v>400</v>
      </c>
      <c r="C323" s="602">
        <f>'02'!E324</f>
        <v>0</v>
      </c>
      <c r="D323" s="603">
        <v>0</v>
      </c>
      <c r="E323" s="606" t="str">
        <f t="shared" si="15"/>
        <v/>
      </c>
      <c r="F323" s="524" t="str">
        <f t="shared" si="13"/>
        <v>否</v>
      </c>
      <c r="G323" s="312" t="str">
        <f t="shared" si="14"/>
        <v>项</v>
      </c>
    </row>
    <row r="324" s="372" customFormat="1" ht="24" hidden="1" customHeight="1" spans="1:7">
      <c r="A324" s="330">
        <v>2040250</v>
      </c>
      <c r="B324" s="379" t="s">
        <v>221</v>
      </c>
      <c r="C324" s="602">
        <f>'02'!E325</f>
        <v>240</v>
      </c>
      <c r="D324" s="603">
        <v>252</v>
      </c>
      <c r="E324" s="606">
        <f t="shared" si="15"/>
        <v>0.05</v>
      </c>
      <c r="F324" s="524" t="str">
        <f t="shared" ref="F324:F387" si="16">IF(LEN(A324)=3,"是",IF(B324&lt;&gt;"",IF(SUM(C324:D324)&lt;&gt;0,"是","否"),"是"))</f>
        <v>是</v>
      </c>
      <c r="G324" s="312" t="str">
        <f t="shared" ref="G324:G387" si="17">IF(LEN(A324)=3,"类",IF(LEN(A324)=5,"款","项"))</f>
        <v>项</v>
      </c>
    </row>
    <row r="325" s="372" customFormat="1" ht="24" hidden="1" customHeight="1" spans="1:7">
      <c r="A325" s="330">
        <v>2040299</v>
      </c>
      <c r="B325" s="379" t="s">
        <v>401</v>
      </c>
      <c r="C325" s="602">
        <f>'02'!E326</f>
        <v>8958</v>
      </c>
      <c r="D325" s="603">
        <v>8758</v>
      </c>
      <c r="E325" s="606">
        <f t="shared" si="15"/>
        <v>-0.0223264121455682</v>
      </c>
      <c r="F325" s="524" t="str">
        <f t="shared" si="16"/>
        <v>是</v>
      </c>
      <c r="G325" s="312" t="str">
        <f t="shared" si="17"/>
        <v>项</v>
      </c>
    </row>
    <row r="326" s="372" customFormat="1" ht="24" customHeight="1" spans="1:7">
      <c r="A326" s="330">
        <v>20403</v>
      </c>
      <c r="B326" s="379" t="s">
        <v>402</v>
      </c>
      <c r="C326" s="602">
        <f>SUM(C327:C332)</f>
        <v>50</v>
      </c>
      <c r="D326" s="602">
        <f>SUM(D327:D332)</f>
        <v>50</v>
      </c>
      <c r="E326" s="606">
        <f t="shared" si="15"/>
        <v>0</v>
      </c>
      <c r="F326" s="524" t="str">
        <f t="shared" si="16"/>
        <v>是</v>
      </c>
      <c r="G326" s="312" t="str">
        <f t="shared" si="17"/>
        <v>款</v>
      </c>
    </row>
    <row r="327" ht="24" hidden="1" customHeight="1" spans="1:7">
      <c r="A327" s="330">
        <v>2040301</v>
      </c>
      <c r="B327" s="379" t="s">
        <v>212</v>
      </c>
      <c r="C327" s="602">
        <f>'02'!E328</f>
        <v>0</v>
      </c>
      <c r="D327" s="603">
        <v>0</v>
      </c>
      <c r="E327" s="606" t="str">
        <f t="shared" si="15"/>
        <v/>
      </c>
      <c r="F327" s="524" t="str">
        <f t="shared" si="16"/>
        <v>否</v>
      </c>
      <c r="G327" s="312" t="str">
        <f t="shared" si="17"/>
        <v>项</v>
      </c>
    </row>
    <row r="328" s="372" customFormat="1" ht="24" hidden="1" customHeight="1" spans="1:7">
      <c r="A328" s="330">
        <v>2040302</v>
      </c>
      <c r="B328" s="379" t="s">
        <v>213</v>
      </c>
      <c r="C328" s="602">
        <f>'02'!E329</f>
        <v>0</v>
      </c>
      <c r="D328" s="603">
        <v>0</v>
      </c>
      <c r="E328" s="606" t="str">
        <f t="shared" si="15"/>
        <v/>
      </c>
      <c r="F328" s="524" t="str">
        <f t="shared" si="16"/>
        <v>否</v>
      </c>
      <c r="G328" s="312" t="str">
        <f t="shared" si="17"/>
        <v>项</v>
      </c>
    </row>
    <row r="329" ht="24" hidden="1" customHeight="1" spans="1:7">
      <c r="A329" s="330">
        <v>2040303</v>
      </c>
      <c r="B329" s="379" t="s">
        <v>214</v>
      </c>
      <c r="C329" s="602">
        <f>'02'!E330</f>
        <v>0</v>
      </c>
      <c r="D329" s="603">
        <v>0</v>
      </c>
      <c r="E329" s="606" t="str">
        <f t="shared" si="15"/>
        <v/>
      </c>
      <c r="F329" s="524" t="str">
        <f t="shared" si="16"/>
        <v>否</v>
      </c>
      <c r="G329" s="312" t="str">
        <f t="shared" si="17"/>
        <v>项</v>
      </c>
    </row>
    <row r="330" ht="24" hidden="1" customHeight="1" spans="1:7">
      <c r="A330" s="330">
        <v>2040304</v>
      </c>
      <c r="B330" s="379" t="s">
        <v>403</v>
      </c>
      <c r="C330" s="602">
        <f>'02'!E331</f>
        <v>0</v>
      </c>
      <c r="D330" s="603">
        <v>0</v>
      </c>
      <c r="E330" s="606" t="str">
        <f t="shared" si="15"/>
        <v/>
      </c>
      <c r="F330" s="524" t="str">
        <f t="shared" si="16"/>
        <v>否</v>
      </c>
      <c r="G330" s="312" t="str">
        <f t="shared" si="17"/>
        <v>项</v>
      </c>
    </row>
    <row r="331" s="372" customFormat="1" ht="24" hidden="1" customHeight="1" spans="1:7">
      <c r="A331" s="330">
        <v>2040350</v>
      </c>
      <c r="B331" s="379" t="s">
        <v>221</v>
      </c>
      <c r="C331" s="602">
        <f>'02'!E332</f>
        <v>0</v>
      </c>
      <c r="D331" s="603">
        <v>0</v>
      </c>
      <c r="E331" s="606" t="str">
        <f t="shared" si="15"/>
        <v/>
      </c>
      <c r="F331" s="524" t="str">
        <f t="shared" si="16"/>
        <v>否</v>
      </c>
      <c r="G331" s="312" t="str">
        <f t="shared" si="17"/>
        <v>项</v>
      </c>
    </row>
    <row r="332" s="372" customFormat="1" ht="24" hidden="1" customHeight="1" spans="1:7">
      <c r="A332" s="330">
        <v>2040399</v>
      </c>
      <c r="B332" s="379" t="s">
        <v>404</v>
      </c>
      <c r="C332" s="602">
        <f>'02'!E333</f>
        <v>50</v>
      </c>
      <c r="D332" s="603">
        <v>50</v>
      </c>
      <c r="E332" s="606">
        <f t="shared" si="15"/>
        <v>0</v>
      </c>
      <c r="F332" s="524" t="str">
        <f t="shared" si="16"/>
        <v>是</v>
      </c>
      <c r="G332" s="312" t="str">
        <f t="shared" si="17"/>
        <v>项</v>
      </c>
    </row>
    <row r="333" ht="24" customHeight="1" spans="1:7">
      <c r="A333" s="330">
        <v>20404</v>
      </c>
      <c r="B333" s="379" t="s">
        <v>405</v>
      </c>
      <c r="C333" s="602">
        <f>SUM(C334:C340)</f>
        <v>169</v>
      </c>
      <c r="D333" s="602">
        <f>SUM(D334:D340)</f>
        <v>172</v>
      </c>
      <c r="E333" s="606">
        <f t="shared" si="15"/>
        <v>0.0177514792899408</v>
      </c>
      <c r="F333" s="524" t="str">
        <f t="shared" si="16"/>
        <v>是</v>
      </c>
      <c r="G333" s="312" t="str">
        <f t="shared" si="17"/>
        <v>款</v>
      </c>
    </row>
    <row r="334" s="372" customFormat="1" ht="24" hidden="1" customHeight="1" spans="1:7">
      <c r="A334" s="330">
        <v>2040401</v>
      </c>
      <c r="B334" s="379" t="s">
        <v>212</v>
      </c>
      <c r="C334" s="602">
        <f>'02'!E335</f>
        <v>3</v>
      </c>
      <c r="D334" s="603">
        <v>0</v>
      </c>
      <c r="E334" s="606">
        <f t="shared" si="15"/>
        <v>-1</v>
      </c>
      <c r="F334" s="524" t="str">
        <f t="shared" si="16"/>
        <v>是</v>
      </c>
      <c r="G334" s="312" t="str">
        <f t="shared" si="17"/>
        <v>项</v>
      </c>
    </row>
    <row r="335" s="372" customFormat="1" ht="24" hidden="1" customHeight="1" spans="1:7">
      <c r="A335" s="330">
        <v>2040402</v>
      </c>
      <c r="B335" s="379" t="s">
        <v>213</v>
      </c>
      <c r="C335" s="602">
        <f>'02'!E336</f>
        <v>0</v>
      </c>
      <c r="D335" s="603">
        <v>0</v>
      </c>
      <c r="E335" s="606" t="str">
        <f t="shared" si="15"/>
        <v/>
      </c>
      <c r="F335" s="524" t="str">
        <f t="shared" si="16"/>
        <v>否</v>
      </c>
      <c r="G335" s="312" t="str">
        <f t="shared" si="17"/>
        <v>项</v>
      </c>
    </row>
    <row r="336" s="372" customFormat="1" ht="24" hidden="1" customHeight="1" spans="1:7">
      <c r="A336" s="330">
        <v>2040403</v>
      </c>
      <c r="B336" s="379" t="s">
        <v>214</v>
      </c>
      <c r="C336" s="602">
        <f>'02'!E337</f>
        <v>0</v>
      </c>
      <c r="D336" s="603">
        <v>0</v>
      </c>
      <c r="E336" s="606" t="str">
        <f t="shared" si="15"/>
        <v/>
      </c>
      <c r="F336" s="524" t="str">
        <f t="shared" si="16"/>
        <v>否</v>
      </c>
      <c r="G336" s="312" t="str">
        <f t="shared" si="17"/>
        <v>项</v>
      </c>
    </row>
    <row r="337" s="372" customFormat="1" ht="24" hidden="1" customHeight="1" spans="1:7">
      <c r="A337" s="330">
        <v>2040409</v>
      </c>
      <c r="B337" s="379" t="s">
        <v>406</v>
      </c>
      <c r="C337" s="602">
        <f>'02'!E338</f>
        <v>0</v>
      </c>
      <c r="D337" s="603">
        <v>0</v>
      </c>
      <c r="E337" s="606" t="str">
        <f t="shared" si="15"/>
        <v/>
      </c>
      <c r="F337" s="524" t="str">
        <f t="shared" si="16"/>
        <v>否</v>
      </c>
      <c r="G337" s="312" t="str">
        <f t="shared" si="17"/>
        <v>项</v>
      </c>
    </row>
    <row r="338" s="372" customFormat="1" ht="24" hidden="1" customHeight="1" spans="1:7">
      <c r="A338" s="330">
        <v>2040410</v>
      </c>
      <c r="B338" s="379" t="s">
        <v>407</v>
      </c>
      <c r="C338" s="602">
        <f>'02'!E339</f>
        <v>31</v>
      </c>
      <c r="D338" s="603">
        <v>45</v>
      </c>
      <c r="E338" s="606">
        <f t="shared" si="15"/>
        <v>0.451612903225806</v>
      </c>
      <c r="F338" s="524" t="str">
        <f t="shared" si="16"/>
        <v>是</v>
      </c>
      <c r="G338" s="312" t="str">
        <f t="shared" si="17"/>
        <v>项</v>
      </c>
    </row>
    <row r="339" s="372" customFormat="1" ht="24" hidden="1" customHeight="1" spans="1:7">
      <c r="A339" s="330">
        <v>2040450</v>
      </c>
      <c r="B339" s="379" t="s">
        <v>221</v>
      </c>
      <c r="C339" s="602">
        <f>'02'!E340</f>
        <v>2</v>
      </c>
      <c r="D339" s="603">
        <v>5</v>
      </c>
      <c r="E339" s="606">
        <f t="shared" si="15"/>
        <v>1.5</v>
      </c>
      <c r="F339" s="524" t="str">
        <f t="shared" si="16"/>
        <v>是</v>
      </c>
      <c r="G339" s="312" t="str">
        <f t="shared" si="17"/>
        <v>项</v>
      </c>
    </row>
    <row r="340" s="372" customFormat="1" ht="24" hidden="1" customHeight="1" spans="1:7">
      <c r="A340" s="330">
        <v>2040499</v>
      </c>
      <c r="B340" s="379" t="s">
        <v>408</v>
      </c>
      <c r="C340" s="602">
        <f>'02'!E341</f>
        <v>133</v>
      </c>
      <c r="D340" s="603">
        <v>122</v>
      </c>
      <c r="E340" s="606">
        <f t="shared" si="15"/>
        <v>-0.0827067669172932</v>
      </c>
      <c r="F340" s="524" t="str">
        <f t="shared" si="16"/>
        <v>是</v>
      </c>
      <c r="G340" s="312" t="str">
        <f t="shared" si="17"/>
        <v>项</v>
      </c>
    </row>
    <row r="341" s="372" customFormat="1" ht="24" customHeight="1" spans="1:7">
      <c r="A341" s="330">
        <v>20405</v>
      </c>
      <c r="B341" s="379" t="s">
        <v>409</v>
      </c>
      <c r="C341" s="602">
        <f>SUM(C342:C349)</f>
        <v>315</v>
      </c>
      <c r="D341" s="602">
        <f>SUM(D342:D349)</f>
        <v>289</v>
      </c>
      <c r="E341" s="606">
        <f t="shared" si="15"/>
        <v>-0.0825396825396825</v>
      </c>
      <c r="F341" s="524" t="str">
        <f t="shared" si="16"/>
        <v>是</v>
      </c>
      <c r="G341" s="312" t="str">
        <f t="shared" si="17"/>
        <v>款</v>
      </c>
    </row>
    <row r="342" s="372" customFormat="1" ht="24" hidden="1" customHeight="1" spans="1:7">
      <c r="A342" s="330">
        <v>2040501</v>
      </c>
      <c r="B342" s="379" t="s">
        <v>212</v>
      </c>
      <c r="C342" s="602">
        <f>'02'!E343</f>
        <v>40</v>
      </c>
      <c r="D342" s="603">
        <v>41</v>
      </c>
      <c r="E342" s="606">
        <f t="shared" si="15"/>
        <v>0.025</v>
      </c>
      <c r="F342" s="524" t="str">
        <f t="shared" si="16"/>
        <v>是</v>
      </c>
      <c r="G342" s="312" t="str">
        <f t="shared" si="17"/>
        <v>项</v>
      </c>
    </row>
    <row r="343" s="372" customFormat="1" ht="24" hidden="1" customHeight="1" spans="1:7">
      <c r="A343" s="330">
        <v>2040502</v>
      </c>
      <c r="B343" s="379" t="s">
        <v>213</v>
      </c>
      <c r="C343" s="602">
        <f>'02'!E344</f>
        <v>0</v>
      </c>
      <c r="D343" s="603">
        <v>0</v>
      </c>
      <c r="E343" s="606" t="str">
        <f t="shared" si="15"/>
        <v/>
      </c>
      <c r="F343" s="524" t="str">
        <f t="shared" si="16"/>
        <v>否</v>
      </c>
      <c r="G343" s="312" t="str">
        <f t="shared" si="17"/>
        <v>项</v>
      </c>
    </row>
    <row r="344" ht="24" hidden="1" customHeight="1" spans="1:7">
      <c r="A344" s="330">
        <v>2040503</v>
      </c>
      <c r="B344" s="379" t="s">
        <v>214</v>
      </c>
      <c r="C344" s="602">
        <f>'02'!E345</f>
        <v>0</v>
      </c>
      <c r="D344" s="603">
        <v>0</v>
      </c>
      <c r="E344" s="606" t="str">
        <f t="shared" si="15"/>
        <v/>
      </c>
      <c r="F344" s="524" t="str">
        <f t="shared" si="16"/>
        <v>否</v>
      </c>
      <c r="G344" s="312" t="str">
        <f t="shared" si="17"/>
        <v>项</v>
      </c>
    </row>
    <row r="345" s="372" customFormat="1" ht="24" hidden="1" customHeight="1" spans="1:7">
      <c r="A345" s="330">
        <v>2040504</v>
      </c>
      <c r="B345" s="379" t="s">
        <v>410</v>
      </c>
      <c r="C345" s="602">
        <f>'02'!E346</f>
        <v>56</v>
      </c>
      <c r="D345" s="603">
        <v>52</v>
      </c>
      <c r="E345" s="606">
        <f t="shared" si="15"/>
        <v>-0.0714285714285714</v>
      </c>
      <c r="F345" s="524" t="str">
        <f t="shared" si="16"/>
        <v>是</v>
      </c>
      <c r="G345" s="312" t="str">
        <f t="shared" si="17"/>
        <v>项</v>
      </c>
    </row>
    <row r="346" s="372" customFormat="1" ht="24" hidden="1" customHeight="1" spans="1:7">
      <c r="A346" s="330">
        <v>2040505</v>
      </c>
      <c r="B346" s="379" t="s">
        <v>411</v>
      </c>
      <c r="C346" s="602">
        <f>'02'!E347</f>
        <v>0</v>
      </c>
      <c r="D346" s="603">
        <v>0</v>
      </c>
      <c r="E346" s="606" t="str">
        <f t="shared" si="15"/>
        <v/>
      </c>
      <c r="F346" s="524" t="str">
        <f t="shared" si="16"/>
        <v>否</v>
      </c>
      <c r="G346" s="312" t="str">
        <f t="shared" si="17"/>
        <v>项</v>
      </c>
    </row>
    <row r="347" s="372" customFormat="1" ht="24" hidden="1" customHeight="1" spans="1:7">
      <c r="A347" s="330">
        <v>2040506</v>
      </c>
      <c r="B347" s="379" t="s">
        <v>412</v>
      </c>
      <c r="C347" s="602">
        <f>'02'!E348</f>
        <v>0</v>
      </c>
      <c r="D347" s="603">
        <v>0</v>
      </c>
      <c r="E347" s="606" t="str">
        <f t="shared" si="15"/>
        <v/>
      </c>
      <c r="F347" s="524" t="str">
        <f t="shared" si="16"/>
        <v>否</v>
      </c>
      <c r="G347" s="312" t="str">
        <f t="shared" si="17"/>
        <v>项</v>
      </c>
    </row>
    <row r="348" s="372" customFormat="1" ht="24" hidden="1" customHeight="1" spans="1:7">
      <c r="A348" s="330">
        <v>2040550</v>
      </c>
      <c r="B348" s="379" t="s">
        <v>221</v>
      </c>
      <c r="C348" s="602">
        <f>'02'!E349</f>
        <v>1</v>
      </c>
      <c r="D348" s="603">
        <v>1</v>
      </c>
      <c r="E348" s="606">
        <f t="shared" si="15"/>
        <v>0</v>
      </c>
      <c r="F348" s="524" t="str">
        <f t="shared" si="16"/>
        <v>是</v>
      </c>
      <c r="G348" s="312" t="str">
        <f t="shared" si="17"/>
        <v>项</v>
      </c>
    </row>
    <row r="349" s="372" customFormat="1" ht="24" hidden="1" customHeight="1" spans="1:7">
      <c r="A349" s="330">
        <v>2040599</v>
      </c>
      <c r="B349" s="379" t="s">
        <v>413</v>
      </c>
      <c r="C349" s="602">
        <f>'02'!E350</f>
        <v>218</v>
      </c>
      <c r="D349" s="603">
        <v>195</v>
      </c>
      <c r="E349" s="606">
        <f t="shared" si="15"/>
        <v>-0.105504587155963</v>
      </c>
      <c r="F349" s="524" t="str">
        <f t="shared" si="16"/>
        <v>是</v>
      </c>
      <c r="G349" s="312" t="str">
        <f t="shared" si="17"/>
        <v>项</v>
      </c>
    </row>
    <row r="350" s="372" customFormat="1" ht="24" customHeight="1" spans="1:7">
      <c r="A350" s="330">
        <v>20406</v>
      </c>
      <c r="B350" s="379" t="s">
        <v>414</v>
      </c>
      <c r="C350" s="602">
        <f>SUM(C351:C363)</f>
        <v>5302</v>
      </c>
      <c r="D350" s="602">
        <f>SUM(D351:D363)</f>
        <v>5401</v>
      </c>
      <c r="E350" s="606">
        <f t="shared" si="15"/>
        <v>0.0186721991701245</v>
      </c>
      <c r="F350" s="524" t="str">
        <f t="shared" si="16"/>
        <v>是</v>
      </c>
      <c r="G350" s="312" t="str">
        <f t="shared" si="17"/>
        <v>款</v>
      </c>
    </row>
    <row r="351" ht="24" hidden="1" customHeight="1" spans="1:7">
      <c r="A351" s="330">
        <v>2040601</v>
      </c>
      <c r="B351" s="379" t="s">
        <v>212</v>
      </c>
      <c r="C351" s="602">
        <f>'02'!E352</f>
        <v>3824</v>
      </c>
      <c r="D351" s="603">
        <v>3865</v>
      </c>
      <c r="E351" s="606">
        <f t="shared" si="15"/>
        <v>0.0107217573221757</v>
      </c>
      <c r="F351" s="524" t="str">
        <f t="shared" si="16"/>
        <v>是</v>
      </c>
      <c r="G351" s="312" t="str">
        <f t="shared" si="17"/>
        <v>项</v>
      </c>
    </row>
    <row r="352" s="372" customFormat="1" ht="24" hidden="1" customHeight="1" spans="1:7">
      <c r="A352" s="330">
        <v>2040602</v>
      </c>
      <c r="B352" s="379" t="s">
        <v>213</v>
      </c>
      <c r="C352" s="602">
        <f>'02'!E353</f>
        <v>0</v>
      </c>
      <c r="D352" s="603">
        <v>0</v>
      </c>
      <c r="E352" s="606" t="str">
        <f t="shared" si="15"/>
        <v/>
      </c>
      <c r="F352" s="524" t="str">
        <f t="shared" si="16"/>
        <v>否</v>
      </c>
      <c r="G352" s="312" t="str">
        <f t="shared" si="17"/>
        <v>项</v>
      </c>
    </row>
    <row r="353" s="372" customFormat="1" ht="24" hidden="1" customHeight="1" spans="1:7">
      <c r="A353" s="330">
        <v>2040603</v>
      </c>
      <c r="B353" s="379" t="s">
        <v>214</v>
      </c>
      <c r="C353" s="602">
        <f>'02'!E354</f>
        <v>0</v>
      </c>
      <c r="D353" s="603">
        <v>0</v>
      </c>
      <c r="E353" s="606" t="str">
        <f t="shared" si="15"/>
        <v/>
      </c>
      <c r="F353" s="524" t="str">
        <f t="shared" si="16"/>
        <v>否</v>
      </c>
      <c r="G353" s="312" t="str">
        <f t="shared" si="17"/>
        <v>项</v>
      </c>
    </row>
    <row r="354" s="372" customFormat="1" ht="24" hidden="1" customHeight="1" spans="1:7">
      <c r="A354" s="330">
        <v>2040604</v>
      </c>
      <c r="B354" s="379" t="s">
        <v>415</v>
      </c>
      <c r="C354" s="602">
        <f>'02'!E355</f>
        <v>248</v>
      </c>
      <c r="D354" s="603">
        <v>304</v>
      </c>
      <c r="E354" s="606">
        <f t="shared" si="15"/>
        <v>0.225806451612903</v>
      </c>
      <c r="F354" s="524" t="str">
        <f t="shared" si="16"/>
        <v>是</v>
      </c>
      <c r="G354" s="312" t="str">
        <f t="shared" si="17"/>
        <v>项</v>
      </c>
    </row>
    <row r="355" s="372" customFormat="1" ht="24" hidden="1" customHeight="1" spans="1:7">
      <c r="A355" s="330">
        <v>2040605</v>
      </c>
      <c r="B355" s="379" t="s">
        <v>416</v>
      </c>
      <c r="C355" s="602">
        <f>'02'!E356</f>
        <v>131</v>
      </c>
      <c r="D355" s="603">
        <v>135</v>
      </c>
      <c r="E355" s="606">
        <f t="shared" si="15"/>
        <v>0.0305343511450382</v>
      </c>
      <c r="F355" s="524" t="str">
        <f t="shared" si="16"/>
        <v>是</v>
      </c>
      <c r="G355" s="312" t="str">
        <f t="shared" si="17"/>
        <v>项</v>
      </c>
    </row>
    <row r="356" s="372" customFormat="1" ht="24" hidden="1" customHeight="1" spans="1:7">
      <c r="A356" s="532">
        <v>2040606</v>
      </c>
      <c r="B356" s="379" t="s">
        <v>417</v>
      </c>
      <c r="C356" s="602">
        <f>'02'!E357</f>
        <v>6</v>
      </c>
      <c r="D356" s="603">
        <v>11</v>
      </c>
      <c r="E356" s="606">
        <f t="shared" si="15"/>
        <v>0.833333333333333</v>
      </c>
      <c r="F356" s="524" t="str">
        <f t="shared" si="16"/>
        <v>是</v>
      </c>
      <c r="G356" s="312" t="str">
        <f t="shared" si="17"/>
        <v>项</v>
      </c>
    </row>
    <row r="357" s="372" customFormat="1" ht="24" hidden="1" customHeight="1" spans="1:7">
      <c r="A357" s="532">
        <v>2040607</v>
      </c>
      <c r="B357" s="379" t="s">
        <v>418</v>
      </c>
      <c r="C357" s="602">
        <f>'02'!E358</f>
        <v>211</v>
      </c>
      <c r="D357" s="603">
        <v>215</v>
      </c>
      <c r="E357" s="606">
        <f t="shared" si="15"/>
        <v>0.018957345971564</v>
      </c>
      <c r="F357" s="524" t="str">
        <f t="shared" si="16"/>
        <v>是</v>
      </c>
      <c r="G357" s="312" t="str">
        <f t="shared" si="17"/>
        <v>项</v>
      </c>
    </row>
    <row r="358" s="372" customFormat="1" ht="24" hidden="1" customHeight="1" spans="1:7">
      <c r="A358" s="330">
        <v>2040608</v>
      </c>
      <c r="B358" s="379" t="s">
        <v>419</v>
      </c>
      <c r="C358" s="602">
        <f>'02'!E359</f>
        <v>19</v>
      </c>
      <c r="D358" s="603">
        <v>21</v>
      </c>
      <c r="E358" s="606">
        <f t="shared" si="15"/>
        <v>0.105263157894737</v>
      </c>
      <c r="F358" s="524" t="str">
        <f t="shared" si="16"/>
        <v>是</v>
      </c>
      <c r="G358" s="312" t="str">
        <f t="shared" si="17"/>
        <v>项</v>
      </c>
    </row>
    <row r="359" ht="24" hidden="1" customHeight="1" spans="1:7">
      <c r="A359" s="330">
        <v>2040610</v>
      </c>
      <c r="B359" s="379" t="s">
        <v>420</v>
      </c>
      <c r="C359" s="602">
        <f>'02'!E360</f>
        <v>234</v>
      </c>
      <c r="D359" s="603">
        <v>225</v>
      </c>
      <c r="E359" s="606">
        <f t="shared" si="15"/>
        <v>-0.0384615384615385</v>
      </c>
      <c r="F359" s="524" t="str">
        <f t="shared" si="16"/>
        <v>是</v>
      </c>
      <c r="G359" s="312" t="str">
        <f t="shared" si="17"/>
        <v>项</v>
      </c>
    </row>
    <row r="360" s="372" customFormat="1" ht="24" hidden="1" customHeight="1" spans="1:7">
      <c r="A360" s="330">
        <v>2040612</v>
      </c>
      <c r="B360" s="405" t="s">
        <v>421</v>
      </c>
      <c r="C360" s="602">
        <f>'02'!E361</f>
        <v>77</v>
      </c>
      <c r="D360" s="603">
        <v>75</v>
      </c>
      <c r="E360" s="606">
        <f t="shared" si="15"/>
        <v>-0.025974025974026</v>
      </c>
      <c r="F360" s="524" t="str">
        <f t="shared" si="16"/>
        <v>是</v>
      </c>
      <c r="G360" s="312" t="str">
        <f t="shared" si="17"/>
        <v>项</v>
      </c>
    </row>
    <row r="361" s="372" customFormat="1" ht="24" hidden="1" customHeight="1" spans="1:7">
      <c r="A361" s="330">
        <v>2040613</v>
      </c>
      <c r="B361" s="379" t="s">
        <v>252</v>
      </c>
      <c r="C361" s="602">
        <f>'02'!E362</f>
        <v>0</v>
      </c>
      <c r="D361" s="603">
        <v>0</v>
      </c>
      <c r="E361" s="606" t="str">
        <f t="shared" si="15"/>
        <v/>
      </c>
      <c r="F361" s="524" t="str">
        <f t="shared" si="16"/>
        <v>否</v>
      </c>
      <c r="G361" s="312" t="str">
        <f t="shared" si="17"/>
        <v>项</v>
      </c>
    </row>
    <row r="362" s="372" customFormat="1" ht="24" hidden="1" customHeight="1" spans="1:7">
      <c r="A362" s="330">
        <v>2040650</v>
      </c>
      <c r="B362" s="379" t="s">
        <v>221</v>
      </c>
      <c r="C362" s="602">
        <f>'02'!E363</f>
        <v>167</v>
      </c>
      <c r="D362" s="603">
        <v>175</v>
      </c>
      <c r="E362" s="606">
        <f t="shared" si="15"/>
        <v>0.0479041916167665</v>
      </c>
      <c r="F362" s="524" t="str">
        <f t="shared" si="16"/>
        <v>是</v>
      </c>
      <c r="G362" s="312" t="str">
        <f t="shared" si="17"/>
        <v>项</v>
      </c>
    </row>
    <row r="363" s="372" customFormat="1" ht="24" hidden="1" customHeight="1" spans="1:7">
      <c r="A363" s="330">
        <v>2040699</v>
      </c>
      <c r="B363" s="379" t="s">
        <v>422</v>
      </c>
      <c r="C363" s="602">
        <f>'02'!E364</f>
        <v>385</v>
      </c>
      <c r="D363" s="603">
        <v>375</v>
      </c>
      <c r="E363" s="606">
        <f t="shared" si="15"/>
        <v>-0.025974025974026</v>
      </c>
      <c r="F363" s="524" t="str">
        <f t="shared" si="16"/>
        <v>是</v>
      </c>
      <c r="G363" s="312" t="str">
        <f t="shared" si="17"/>
        <v>项</v>
      </c>
    </row>
    <row r="364" s="372" customFormat="1" ht="24" customHeight="1" spans="1:7">
      <c r="A364" s="330">
        <v>20407</v>
      </c>
      <c r="B364" s="379" t="s">
        <v>423</v>
      </c>
      <c r="C364" s="602">
        <f>SUM(C365:C373)</f>
        <v>35</v>
      </c>
      <c r="D364" s="602">
        <f>SUM(D365:D373)</f>
        <v>38</v>
      </c>
      <c r="E364" s="606">
        <f t="shared" si="15"/>
        <v>0.0857142857142857</v>
      </c>
      <c r="F364" s="524" t="str">
        <f t="shared" si="16"/>
        <v>是</v>
      </c>
      <c r="G364" s="312" t="str">
        <f t="shared" si="17"/>
        <v>款</v>
      </c>
    </row>
    <row r="365" s="372" customFormat="1" ht="24" hidden="1" customHeight="1" spans="1:7">
      <c r="A365" s="330">
        <v>2040701</v>
      </c>
      <c r="B365" s="379" t="s">
        <v>212</v>
      </c>
      <c r="C365" s="602">
        <f>'02'!E366</f>
        <v>0</v>
      </c>
      <c r="D365" s="603">
        <v>0</v>
      </c>
      <c r="E365" s="606" t="str">
        <f t="shared" si="15"/>
        <v/>
      </c>
      <c r="F365" s="524" t="str">
        <f t="shared" si="16"/>
        <v>否</v>
      </c>
      <c r="G365" s="312" t="str">
        <f t="shared" si="17"/>
        <v>项</v>
      </c>
    </row>
    <row r="366" s="372" customFormat="1" ht="24" hidden="1" customHeight="1" spans="1:7">
      <c r="A366" s="330">
        <v>2040702</v>
      </c>
      <c r="B366" s="379" t="s">
        <v>213</v>
      </c>
      <c r="C366" s="602">
        <f>'02'!E367</f>
        <v>0</v>
      </c>
      <c r="D366" s="603">
        <v>0</v>
      </c>
      <c r="E366" s="606" t="str">
        <f t="shared" si="15"/>
        <v/>
      </c>
      <c r="F366" s="524" t="str">
        <f t="shared" si="16"/>
        <v>否</v>
      </c>
      <c r="G366" s="312" t="str">
        <f t="shared" si="17"/>
        <v>项</v>
      </c>
    </row>
    <row r="367" s="372" customFormat="1" ht="24" hidden="1" customHeight="1" spans="1:7">
      <c r="A367" s="330">
        <v>2040703</v>
      </c>
      <c r="B367" s="379" t="s">
        <v>214</v>
      </c>
      <c r="C367" s="602">
        <f>'02'!E368</f>
        <v>0</v>
      </c>
      <c r="D367" s="603">
        <v>0</v>
      </c>
      <c r="E367" s="606" t="str">
        <f t="shared" si="15"/>
        <v/>
      </c>
      <c r="F367" s="524" t="str">
        <f t="shared" si="16"/>
        <v>否</v>
      </c>
      <c r="G367" s="312" t="str">
        <f t="shared" si="17"/>
        <v>项</v>
      </c>
    </row>
    <row r="368" ht="24" hidden="1" customHeight="1" spans="1:7">
      <c r="A368" s="330">
        <v>2040704</v>
      </c>
      <c r="B368" s="405" t="s">
        <v>424</v>
      </c>
      <c r="C368" s="602">
        <f>'02'!E369</f>
        <v>35</v>
      </c>
      <c r="D368" s="603">
        <v>38</v>
      </c>
      <c r="E368" s="606">
        <f t="shared" si="15"/>
        <v>0.0857142857142857</v>
      </c>
      <c r="F368" s="524" t="str">
        <f t="shared" si="16"/>
        <v>是</v>
      </c>
      <c r="G368" s="312" t="str">
        <f t="shared" si="17"/>
        <v>项</v>
      </c>
    </row>
    <row r="369" s="372" customFormat="1" ht="24" hidden="1" customHeight="1" spans="1:7">
      <c r="A369" s="330">
        <v>2040705</v>
      </c>
      <c r="B369" s="405" t="s">
        <v>425</v>
      </c>
      <c r="C369" s="602">
        <f>'02'!E370</f>
        <v>0</v>
      </c>
      <c r="D369" s="603">
        <v>0</v>
      </c>
      <c r="E369" s="606" t="str">
        <f t="shared" si="15"/>
        <v/>
      </c>
      <c r="F369" s="524" t="str">
        <f t="shared" si="16"/>
        <v>否</v>
      </c>
      <c r="G369" s="312" t="str">
        <f t="shared" si="17"/>
        <v>项</v>
      </c>
    </row>
    <row r="370" s="372" customFormat="1" ht="24" hidden="1" customHeight="1" spans="1:7">
      <c r="A370" s="330">
        <v>2040706</v>
      </c>
      <c r="B370" s="379" t="s">
        <v>426</v>
      </c>
      <c r="C370" s="602">
        <f>'02'!E371</f>
        <v>0</v>
      </c>
      <c r="D370" s="603">
        <v>0</v>
      </c>
      <c r="E370" s="606" t="str">
        <f t="shared" si="15"/>
        <v/>
      </c>
      <c r="F370" s="524" t="str">
        <f t="shared" si="16"/>
        <v>否</v>
      </c>
      <c r="G370" s="312" t="str">
        <f t="shared" si="17"/>
        <v>项</v>
      </c>
    </row>
    <row r="371" s="372" customFormat="1" ht="24" hidden="1" customHeight="1" spans="1:7">
      <c r="A371" s="330">
        <v>2040707</v>
      </c>
      <c r="B371" s="379" t="s">
        <v>252</v>
      </c>
      <c r="C371" s="602">
        <f>'02'!E372</f>
        <v>0</v>
      </c>
      <c r="D371" s="603">
        <v>0</v>
      </c>
      <c r="E371" s="606" t="str">
        <f t="shared" si="15"/>
        <v/>
      </c>
      <c r="F371" s="524" t="str">
        <f t="shared" si="16"/>
        <v>否</v>
      </c>
      <c r="G371" s="312" t="str">
        <f t="shared" si="17"/>
        <v>项</v>
      </c>
    </row>
    <row r="372" s="372" customFormat="1" ht="24" hidden="1" customHeight="1" spans="1:7">
      <c r="A372" s="330">
        <v>2040750</v>
      </c>
      <c r="B372" s="379" t="s">
        <v>221</v>
      </c>
      <c r="C372" s="602">
        <f>'02'!E373</f>
        <v>0</v>
      </c>
      <c r="D372" s="603">
        <v>0</v>
      </c>
      <c r="E372" s="606" t="str">
        <f t="shared" si="15"/>
        <v/>
      </c>
      <c r="F372" s="524" t="str">
        <f t="shared" si="16"/>
        <v>否</v>
      </c>
      <c r="G372" s="312" t="str">
        <f t="shared" si="17"/>
        <v>项</v>
      </c>
    </row>
    <row r="373" s="372" customFormat="1" ht="24" hidden="1" customHeight="1" spans="1:7">
      <c r="A373" s="330">
        <v>2040799</v>
      </c>
      <c r="B373" s="379" t="s">
        <v>427</v>
      </c>
      <c r="C373" s="602">
        <f>'02'!E374</f>
        <v>0</v>
      </c>
      <c r="D373" s="603">
        <v>0</v>
      </c>
      <c r="E373" s="606" t="str">
        <f t="shared" si="15"/>
        <v/>
      </c>
      <c r="F373" s="524" t="str">
        <f t="shared" si="16"/>
        <v>否</v>
      </c>
      <c r="G373" s="312" t="str">
        <f t="shared" si="17"/>
        <v>项</v>
      </c>
    </row>
    <row r="374" s="372" customFormat="1" ht="24" customHeight="1" spans="1:7">
      <c r="A374" s="330">
        <v>20408</v>
      </c>
      <c r="B374" s="379" t="s">
        <v>428</v>
      </c>
      <c r="C374" s="602">
        <f>SUM(C375:C383)</f>
        <v>32</v>
      </c>
      <c r="D374" s="602">
        <f>SUM(D375:D383)</f>
        <v>38</v>
      </c>
      <c r="E374" s="606">
        <f t="shared" si="15"/>
        <v>0.1875</v>
      </c>
      <c r="F374" s="524" t="str">
        <f t="shared" si="16"/>
        <v>是</v>
      </c>
      <c r="G374" s="312" t="str">
        <f t="shared" si="17"/>
        <v>款</v>
      </c>
    </row>
    <row r="375" s="372" customFormat="1" ht="24" hidden="1" customHeight="1" spans="1:7">
      <c r="A375" s="330">
        <v>2040801</v>
      </c>
      <c r="B375" s="379" t="s">
        <v>212</v>
      </c>
      <c r="C375" s="602">
        <f>'02'!E376</f>
        <v>0</v>
      </c>
      <c r="D375" s="603">
        <v>0</v>
      </c>
      <c r="E375" s="606" t="str">
        <f t="shared" si="15"/>
        <v/>
      </c>
      <c r="F375" s="524" t="str">
        <f t="shared" si="16"/>
        <v>否</v>
      </c>
      <c r="G375" s="312" t="str">
        <f t="shared" si="17"/>
        <v>项</v>
      </c>
    </row>
    <row r="376" s="372" customFormat="1" ht="24" hidden="1" customHeight="1" spans="1:7">
      <c r="A376" s="330">
        <v>2040802</v>
      </c>
      <c r="B376" s="379" t="s">
        <v>213</v>
      </c>
      <c r="C376" s="602">
        <f>'02'!E377</f>
        <v>0</v>
      </c>
      <c r="D376" s="603">
        <v>0</v>
      </c>
      <c r="E376" s="606" t="str">
        <f t="shared" si="15"/>
        <v/>
      </c>
      <c r="F376" s="524" t="str">
        <f t="shared" si="16"/>
        <v>否</v>
      </c>
      <c r="G376" s="312" t="str">
        <f t="shared" si="17"/>
        <v>项</v>
      </c>
    </row>
    <row r="377" s="372" customFormat="1" ht="24" hidden="1" customHeight="1" spans="1:7">
      <c r="A377" s="330">
        <v>2040803</v>
      </c>
      <c r="B377" s="379" t="s">
        <v>214</v>
      </c>
      <c r="C377" s="602">
        <f>'02'!E378</f>
        <v>0</v>
      </c>
      <c r="D377" s="603">
        <v>0</v>
      </c>
      <c r="E377" s="606" t="str">
        <f t="shared" ref="E377:E440" si="18">IFERROR((D377-C377)/C377,"")</f>
        <v/>
      </c>
      <c r="F377" s="524" t="str">
        <f t="shared" si="16"/>
        <v>否</v>
      </c>
      <c r="G377" s="312" t="str">
        <f t="shared" si="17"/>
        <v>项</v>
      </c>
    </row>
    <row r="378" s="372" customFormat="1" ht="24" hidden="1" customHeight="1" spans="1:7">
      <c r="A378" s="330">
        <v>2040804</v>
      </c>
      <c r="B378" s="379" t="s">
        <v>429</v>
      </c>
      <c r="C378" s="602">
        <f>'02'!E379</f>
        <v>15</v>
      </c>
      <c r="D378" s="603">
        <v>18</v>
      </c>
      <c r="E378" s="606">
        <f t="shared" si="18"/>
        <v>0.2</v>
      </c>
      <c r="F378" s="524" t="str">
        <f t="shared" si="16"/>
        <v>是</v>
      </c>
      <c r="G378" s="312" t="str">
        <f t="shared" si="17"/>
        <v>项</v>
      </c>
    </row>
    <row r="379" s="372" customFormat="1" ht="24" hidden="1" customHeight="1" spans="1:7">
      <c r="A379" s="330">
        <v>2040805</v>
      </c>
      <c r="B379" s="379" t="s">
        <v>430</v>
      </c>
      <c r="C379" s="602">
        <f>'02'!E380</f>
        <v>0</v>
      </c>
      <c r="D379" s="603">
        <v>0</v>
      </c>
      <c r="E379" s="606" t="str">
        <f t="shared" si="18"/>
        <v/>
      </c>
      <c r="F379" s="524" t="str">
        <f t="shared" si="16"/>
        <v>否</v>
      </c>
      <c r="G379" s="312" t="str">
        <f t="shared" si="17"/>
        <v>项</v>
      </c>
    </row>
    <row r="380" s="372" customFormat="1" ht="24" hidden="1" customHeight="1" spans="1:7">
      <c r="A380" s="330">
        <v>2040806</v>
      </c>
      <c r="B380" s="379" t="s">
        <v>431</v>
      </c>
      <c r="C380" s="602">
        <f>'02'!E381</f>
        <v>0</v>
      </c>
      <c r="D380" s="603">
        <v>0</v>
      </c>
      <c r="E380" s="606" t="str">
        <f t="shared" si="18"/>
        <v/>
      </c>
      <c r="F380" s="524" t="str">
        <f t="shared" si="16"/>
        <v>否</v>
      </c>
      <c r="G380" s="312" t="str">
        <f t="shared" si="17"/>
        <v>项</v>
      </c>
    </row>
    <row r="381" s="372" customFormat="1" ht="24" hidden="1" customHeight="1" spans="1:7">
      <c r="A381" s="330">
        <v>2040807</v>
      </c>
      <c r="B381" s="379" t="s">
        <v>252</v>
      </c>
      <c r="C381" s="602">
        <f>'02'!E382</f>
        <v>0</v>
      </c>
      <c r="D381" s="603">
        <v>0</v>
      </c>
      <c r="E381" s="606" t="str">
        <f t="shared" si="18"/>
        <v/>
      </c>
      <c r="F381" s="524" t="str">
        <f t="shared" si="16"/>
        <v>否</v>
      </c>
      <c r="G381" s="312" t="str">
        <f t="shared" si="17"/>
        <v>项</v>
      </c>
    </row>
    <row r="382" ht="24" hidden="1" customHeight="1" spans="1:7">
      <c r="A382" s="330">
        <v>2040850</v>
      </c>
      <c r="B382" s="379" t="s">
        <v>221</v>
      </c>
      <c r="C382" s="602">
        <f>'02'!E383</f>
        <v>0</v>
      </c>
      <c r="D382" s="603">
        <v>0</v>
      </c>
      <c r="E382" s="606" t="str">
        <f t="shared" si="18"/>
        <v/>
      </c>
      <c r="F382" s="524" t="str">
        <f t="shared" si="16"/>
        <v>否</v>
      </c>
      <c r="G382" s="312" t="str">
        <f t="shared" si="17"/>
        <v>项</v>
      </c>
    </row>
    <row r="383" s="372" customFormat="1" ht="24" hidden="1" customHeight="1" spans="1:7">
      <c r="A383" s="330">
        <v>2040899</v>
      </c>
      <c r="B383" s="379" t="s">
        <v>432</v>
      </c>
      <c r="C383" s="602">
        <f>'02'!E384</f>
        <v>17</v>
      </c>
      <c r="D383" s="603">
        <v>20</v>
      </c>
      <c r="E383" s="606">
        <f t="shared" si="18"/>
        <v>0.176470588235294</v>
      </c>
      <c r="F383" s="524" t="str">
        <f t="shared" si="16"/>
        <v>是</v>
      </c>
      <c r="G383" s="312" t="str">
        <f t="shared" si="17"/>
        <v>项</v>
      </c>
    </row>
    <row r="384" s="372" customFormat="1" ht="24" hidden="1" customHeight="1" spans="1:7">
      <c r="A384" s="330">
        <v>20409</v>
      </c>
      <c r="B384" s="379" t="s">
        <v>433</v>
      </c>
      <c r="C384" s="602">
        <f>SUM(C385:C391)</f>
        <v>0</v>
      </c>
      <c r="D384" s="602">
        <f>SUM(D385:D391)</f>
        <v>0</v>
      </c>
      <c r="E384" s="606" t="str">
        <f t="shared" si="18"/>
        <v/>
      </c>
      <c r="F384" s="524" t="str">
        <f t="shared" si="16"/>
        <v>否</v>
      </c>
      <c r="G384" s="312" t="str">
        <f t="shared" si="17"/>
        <v>款</v>
      </c>
    </row>
    <row r="385" s="372" customFormat="1" ht="24" hidden="1" customHeight="1" spans="1:7">
      <c r="A385" s="330">
        <v>2040901</v>
      </c>
      <c r="B385" s="379" t="s">
        <v>212</v>
      </c>
      <c r="C385" s="602">
        <f>'02'!E386</f>
        <v>0</v>
      </c>
      <c r="D385" s="603">
        <v>0</v>
      </c>
      <c r="E385" s="606" t="str">
        <f t="shared" si="18"/>
        <v/>
      </c>
      <c r="F385" s="524" t="str">
        <f t="shared" si="16"/>
        <v>否</v>
      </c>
      <c r="G385" s="312" t="str">
        <f t="shared" si="17"/>
        <v>项</v>
      </c>
    </row>
    <row r="386" s="372" customFormat="1" ht="24" hidden="1" customHeight="1" spans="1:7">
      <c r="A386" s="330">
        <v>2040902</v>
      </c>
      <c r="B386" s="379" t="s">
        <v>213</v>
      </c>
      <c r="C386" s="602">
        <f>'02'!E387</f>
        <v>0</v>
      </c>
      <c r="D386" s="603">
        <v>0</v>
      </c>
      <c r="E386" s="606" t="str">
        <f t="shared" si="18"/>
        <v/>
      </c>
      <c r="F386" s="524" t="str">
        <f t="shared" si="16"/>
        <v>否</v>
      </c>
      <c r="G386" s="312" t="str">
        <f t="shared" si="17"/>
        <v>项</v>
      </c>
    </row>
    <row r="387" s="372" customFormat="1" ht="24" hidden="1" customHeight="1" spans="1:7">
      <c r="A387" s="330">
        <v>2040903</v>
      </c>
      <c r="B387" s="379" t="s">
        <v>214</v>
      </c>
      <c r="C387" s="602">
        <f>'02'!E388</f>
        <v>0</v>
      </c>
      <c r="D387" s="603">
        <v>0</v>
      </c>
      <c r="E387" s="606" t="str">
        <f t="shared" si="18"/>
        <v/>
      </c>
      <c r="F387" s="524" t="str">
        <f t="shared" si="16"/>
        <v>否</v>
      </c>
      <c r="G387" s="312" t="str">
        <f t="shared" si="17"/>
        <v>项</v>
      </c>
    </row>
    <row r="388" s="372" customFormat="1" ht="24" hidden="1" customHeight="1" spans="1:7">
      <c r="A388" s="330">
        <v>2040904</v>
      </c>
      <c r="B388" s="379" t="s">
        <v>434</v>
      </c>
      <c r="C388" s="602">
        <f>'02'!E389</f>
        <v>0</v>
      </c>
      <c r="D388" s="603">
        <v>0</v>
      </c>
      <c r="E388" s="606" t="str">
        <f t="shared" si="18"/>
        <v/>
      </c>
      <c r="F388" s="524" t="str">
        <f t="shared" ref="F388:F451" si="19">IF(LEN(A388)=3,"是",IF(B388&lt;&gt;"",IF(SUM(C388:D388)&lt;&gt;0,"是","否"),"是"))</f>
        <v>否</v>
      </c>
      <c r="G388" s="312" t="str">
        <f t="shared" ref="G388:G451" si="20">IF(LEN(A388)=3,"类",IF(LEN(A388)=5,"款","项"))</f>
        <v>项</v>
      </c>
    </row>
    <row r="389" s="372" customFormat="1" ht="24" hidden="1" customHeight="1" spans="1:7">
      <c r="A389" s="330">
        <v>2040905</v>
      </c>
      <c r="B389" s="379" t="s">
        <v>435</v>
      </c>
      <c r="C389" s="602">
        <f>'02'!E390</f>
        <v>0</v>
      </c>
      <c r="D389" s="603">
        <v>0</v>
      </c>
      <c r="E389" s="606" t="str">
        <f t="shared" si="18"/>
        <v/>
      </c>
      <c r="F389" s="524" t="str">
        <f t="shared" si="19"/>
        <v>否</v>
      </c>
      <c r="G389" s="312" t="str">
        <f t="shared" si="20"/>
        <v>项</v>
      </c>
    </row>
    <row r="390" s="372" customFormat="1" ht="24" hidden="1" customHeight="1" spans="1:7">
      <c r="A390" s="330">
        <v>2040950</v>
      </c>
      <c r="B390" s="379" t="s">
        <v>221</v>
      </c>
      <c r="C390" s="602">
        <f>'02'!E391</f>
        <v>0</v>
      </c>
      <c r="D390" s="603">
        <v>0</v>
      </c>
      <c r="E390" s="606" t="str">
        <f t="shared" si="18"/>
        <v/>
      </c>
      <c r="F390" s="524" t="str">
        <f t="shared" si="19"/>
        <v>否</v>
      </c>
      <c r="G390" s="312" t="str">
        <f t="shared" si="20"/>
        <v>项</v>
      </c>
    </row>
    <row r="391" s="372" customFormat="1" ht="24" hidden="1" customHeight="1" spans="1:7">
      <c r="A391" s="330">
        <v>2040999</v>
      </c>
      <c r="B391" s="379" t="s">
        <v>436</v>
      </c>
      <c r="C391" s="602">
        <f>'02'!E392</f>
        <v>0</v>
      </c>
      <c r="D391" s="603">
        <v>0</v>
      </c>
      <c r="E391" s="606" t="str">
        <f t="shared" si="18"/>
        <v/>
      </c>
      <c r="F391" s="524" t="str">
        <f t="shared" si="19"/>
        <v>否</v>
      </c>
      <c r="G391" s="312" t="str">
        <f t="shared" si="20"/>
        <v>项</v>
      </c>
    </row>
    <row r="392" ht="24" hidden="1" customHeight="1" spans="1:7">
      <c r="A392" s="330">
        <v>20410</v>
      </c>
      <c r="B392" s="379" t="s">
        <v>437</v>
      </c>
      <c r="C392" s="602">
        <f>SUM(C393:C397)</f>
        <v>0</v>
      </c>
      <c r="D392" s="602">
        <f>SUM(D393:D397)</f>
        <v>0</v>
      </c>
      <c r="E392" s="606" t="str">
        <f t="shared" si="18"/>
        <v/>
      </c>
      <c r="F392" s="524" t="str">
        <f t="shared" si="19"/>
        <v>否</v>
      </c>
      <c r="G392" s="312" t="str">
        <f t="shared" si="20"/>
        <v>款</v>
      </c>
    </row>
    <row r="393" s="372" customFormat="1" ht="24" hidden="1" customHeight="1" spans="1:7">
      <c r="A393" s="330">
        <v>2041001</v>
      </c>
      <c r="B393" s="379" t="s">
        <v>212</v>
      </c>
      <c r="C393" s="602">
        <f>'02'!E394</f>
        <v>0</v>
      </c>
      <c r="D393" s="603">
        <v>0</v>
      </c>
      <c r="E393" s="606" t="str">
        <f t="shared" si="18"/>
        <v/>
      </c>
      <c r="F393" s="524" t="str">
        <f t="shared" si="19"/>
        <v>否</v>
      </c>
      <c r="G393" s="312" t="str">
        <f t="shared" si="20"/>
        <v>项</v>
      </c>
    </row>
    <row r="394" s="372" customFormat="1" ht="24" hidden="1" customHeight="1" spans="1:7">
      <c r="A394" s="330">
        <v>2041002</v>
      </c>
      <c r="B394" s="379" t="s">
        <v>213</v>
      </c>
      <c r="C394" s="602">
        <f>'02'!E395</f>
        <v>0</v>
      </c>
      <c r="D394" s="603">
        <v>0</v>
      </c>
      <c r="E394" s="606" t="str">
        <f t="shared" si="18"/>
        <v/>
      </c>
      <c r="F394" s="524" t="str">
        <f t="shared" si="19"/>
        <v>否</v>
      </c>
      <c r="G394" s="312" t="str">
        <f t="shared" si="20"/>
        <v>项</v>
      </c>
    </row>
    <row r="395" s="372" customFormat="1" ht="24" hidden="1" customHeight="1" spans="1:7">
      <c r="A395" s="330">
        <v>2041006</v>
      </c>
      <c r="B395" s="379" t="s">
        <v>252</v>
      </c>
      <c r="C395" s="602">
        <f>'02'!E396</f>
        <v>0</v>
      </c>
      <c r="D395" s="603">
        <v>0</v>
      </c>
      <c r="E395" s="606" t="str">
        <f t="shared" si="18"/>
        <v/>
      </c>
      <c r="F395" s="524" t="str">
        <f t="shared" si="19"/>
        <v>否</v>
      </c>
      <c r="G395" s="312" t="str">
        <f t="shared" si="20"/>
        <v>项</v>
      </c>
    </row>
    <row r="396" s="372" customFormat="1" ht="24" hidden="1" customHeight="1" spans="1:7">
      <c r="A396" s="330">
        <v>2041007</v>
      </c>
      <c r="B396" s="379" t="s">
        <v>438</v>
      </c>
      <c r="C396" s="602">
        <f>'02'!E397</f>
        <v>0</v>
      </c>
      <c r="D396" s="603">
        <v>0</v>
      </c>
      <c r="E396" s="606" t="str">
        <f t="shared" si="18"/>
        <v/>
      </c>
      <c r="F396" s="524" t="str">
        <f t="shared" si="19"/>
        <v>否</v>
      </c>
      <c r="G396" s="312" t="str">
        <f t="shared" si="20"/>
        <v>项</v>
      </c>
    </row>
    <row r="397" s="372" customFormat="1" ht="24" hidden="1" customHeight="1" spans="1:7">
      <c r="A397" s="330">
        <v>2041099</v>
      </c>
      <c r="B397" s="379" t="s">
        <v>439</v>
      </c>
      <c r="C397" s="602">
        <f>'02'!E398</f>
        <v>0</v>
      </c>
      <c r="D397" s="603">
        <v>0</v>
      </c>
      <c r="E397" s="606" t="str">
        <f t="shared" si="18"/>
        <v/>
      </c>
      <c r="F397" s="524" t="str">
        <f t="shared" si="19"/>
        <v>否</v>
      </c>
      <c r="G397" s="312" t="str">
        <f t="shared" si="20"/>
        <v>项</v>
      </c>
    </row>
    <row r="398" s="372" customFormat="1" ht="24" customHeight="1" spans="1:7">
      <c r="A398" s="330">
        <v>20499</v>
      </c>
      <c r="B398" s="379" t="s">
        <v>440</v>
      </c>
      <c r="C398" s="602">
        <f>SUM(C399:C400)</f>
        <v>246</v>
      </c>
      <c r="D398" s="602">
        <f>SUM(D399:D400)</f>
        <v>223</v>
      </c>
      <c r="E398" s="606">
        <f t="shared" si="18"/>
        <v>-0.0934959349593496</v>
      </c>
      <c r="F398" s="524" t="str">
        <f t="shared" si="19"/>
        <v>是</v>
      </c>
      <c r="G398" s="312" t="str">
        <f t="shared" si="20"/>
        <v>款</v>
      </c>
    </row>
    <row r="399" s="372" customFormat="1" ht="24" hidden="1" customHeight="1" spans="1:7">
      <c r="A399" s="326">
        <v>2049902</v>
      </c>
      <c r="B399" s="379" t="s">
        <v>441</v>
      </c>
      <c r="C399" s="602">
        <f>'02'!E400</f>
        <v>108</v>
      </c>
      <c r="D399" s="603">
        <v>95</v>
      </c>
      <c r="E399" s="606">
        <f t="shared" si="18"/>
        <v>-0.12037037037037</v>
      </c>
      <c r="F399" s="524" t="str">
        <f t="shared" si="19"/>
        <v>是</v>
      </c>
      <c r="G399" s="312" t="str">
        <f t="shared" si="20"/>
        <v>项</v>
      </c>
    </row>
    <row r="400" s="372" customFormat="1" ht="24" hidden="1" customHeight="1" spans="1:7">
      <c r="A400" s="533">
        <v>2049999</v>
      </c>
      <c r="B400" s="379" t="s">
        <v>442</v>
      </c>
      <c r="C400" s="602">
        <f>'02'!E401</f>
        <v>138</v>
      </c>
      <c r="D400" s="603">
        <v>128</v>
      </c>
      <c r="E400" s="606">
        <f t="shared" si="18"/>
        <v>-0.072463768115942</v>
      </c>
      <c r="F400" s="524" t="str">
        <f t="shared" si="19"/>
        <v>是</v>
      </c>
      <c r="G400" s="312" t="str">
        <f t="shared" si="20"/>
        <v>项</v>
      </c>
    </row>
    <row r="401" s="372" customFormat="1" ht="24" customHeight="1" spans="1:7">
      <c r="A401" s="329">
        <v>205</v>
      </c>
      <c r="B401" s="377" t="s">
        <v>179</v>
      </c>
      <c r="C401" s="601">
        <f>C402+C407+C414+C420+C426+C430+C434+C438+C444+C451</f>
        <v>272444</v>
      </c>
      <c r="D401" s="601">
        <f>D402+D407+D414+D420+D426+D430+D434+D438+D444+D451</f>
        <v>275516</v>
      </c>
      <c r="E401" s="605">
        <f t="shared" si="18"/>
        <v>0.0112757117058919</v>
      </c>
      <c r="F401" s="524" t="str">
        <f t="shared" si="19"/>
        <v>是</v>
      </c>
      <c r="G401" s="312" t="str">
        <f t="shared" si="20"/>
        <v>类</v>
      </c>
    </row>
    <row r="402" ht="24" customHeight="1" spans="1:7">
      <c r="A402" s="330">
        <v>20501</v>
      </c>
      <c r="B402" s="379" t="s">
        <v>443</v>
      </c>
      <c r="C402" s="602">
        <f>SUM(C403:C406)</f>
        <v>3830</v>
      </c>
      <c r="D402" s="602">
        <f>SUM(D403:D406)</f>
        <v>4123</v>
      </c>
      <c r="E402" s="606">
        <f t="shared" si="18"/>
        <v>0.0765013054830287</v>
      </c>
      <c r="F402" s="524" t="str">
        <f t="shared" si="19"/>
        <v>是</v>
      </c>
      <c r="G402" s="312" t="str">
        <f t="shared" si="20"/>
        <v>款</v>
      </c>
    </row>
    <row r="403" s="372" customFormat="1" ht="24" hidden="1" customHeight="1" spans="1:7">
      <c r="A403" s="330">
        <v>2050101</v>
      </c>
      <c r="B403" s="379" t="s">
        <v>212</v>
      </c>
      <c r="C403" s="602">
        <f>'02'!E404</f>
        <v>1477</v>
      </c>
      <c r="D403" s="603">
        <v>1495</v>
      </c>
      <c r="E403" s="606">
        <f t="shared" si="18"/>
        <v>0.012186865267434</v>
      </c>
      <c r="F403" s="524" t="str">
        <f t="shared" si="19"/>
        <v>是</v>
      </c>
      <c r="G403" s="312" t="str">
        <f t="shared" si="20"/>
        <v>项</v>
      </c>
    </row>
    <row r="404" s="372" customFormat="1" ht="24" hidden="1" customHeight="1" spans="1:7">
      <c r="A404" s="330">
        <v>2050102</v>
      </c>
      <c r="B404" s="379" t="s">
        <v>213</v>
      </c>
      <c r="C404" s="602">
        <f>'02'!E405</f>
        <v>47</v>
      </c>
      <c r="D404" s="603">
        <v>45</v>
      </c>
      <c r="E404" s="606">
        <f t="shared" si="18"/>
        <v>-0.0425531914893617</v>
      </c>
      <c r="F404" s="524" t="str">
        <f t="shared" si="19"/>
        <v>是</v>
      </c>
      <c r="G404" s="312" t="str">
        <f t="shared" si="20"/>
        <v>项</v>
      </c>
    </row>
    <row r="405" s="372" customFormat="1" ht="24" hidden="1" customHeight="1" spans="1:7">
      <c r="A405" s="330">
        <v>2050103</v>
      </c>
      <c r="B405" s="379" t="s">
        <v>214</v>
      </c>
      <c r="C405" s="602">
        <f>'02'!E406</f>
        <v>101</v>
      </c>
      <c r="D405" s="603">
        <v>98</v>
      </c>
      <c r="E405" s="606">
        <f t="shared" si="18"/>
        <v>-0.0297029702970297</v>
      </c>
      <c r="F405" s="524" t="str">
        <f t="shared" si="19"/>
        <v>是</v>
      </c>
      <c r="G405" s="312" t="str">
        <f t="shared" si="20"/>
        <v>项</v>
      </c>
    </row>
    <row r="406" s="372" customFormat="1" ht="24" hidden="1" customHeight="1" spans="1:7">
      <c r="A406" s="330">
        <v>2050199</v>
      </c>
      <c r="B406" s="379" t="s">
        <v>444</v>
      </c>
      <c r="C406" s="602">
        <f>'02'!E407</f>
        <v>2205</v>
      </c>
      <c r="D406" s="603">
        <v>2485</v>
      </c>
      <c r="E406" s="606">
        <f t="shared" si="18"/>
        <v>0.126984126984127</v>
      </c>
      <c r="F406" s="524" t="str">
        <f t="shared" si="19"/>
        <v>是</v>
      </c>
      <c r="G406" s="312" t="str">
        <f t="shared" si="20"/>
        <v>项</v>
      </c>
    </row>
    <row r="407" s="372" customFormat="1" ht="24" customHeight="1" spans="1:7">
      <c r="A407" s="330">
        <v>20502</v>
      </c>
      <c r="B407" s="379" t="s">
        <v>445</v>
      </c>
      <c r="C407" s="602">
        <f>SUM(C408:C413)</f>
        <v>240743</v>
      </c>
      <c r="D407" s="602">
        <f>SUM(D408:D413)</f>
        <v>244091</v>
      </c>
      <c r="E407" s="606">
        <f t="shared" si="18"/>
        <v>0.0139069464117337</v>
      </c>
      <c r="F407" s="524" t="str">
        <f t="shared" si="19"/>
        <v>是</v>
      </c>
      <c r="G407" s="312" t="str">
        <f t="shared" si="20"/>
        <v>款</v>
      </c>
    </row>
    <row r="408" s="372" customFormat="1" ht="24" hidden="1" customHeight="1" spans="1:7">
      <c r="A408" s="330">
        <v>2050201</v>
      </c>
      <c r="B408" s="379" t="s">
        <v>446</v>
      </c>
      <c r="C408" s="602">
        <f>'02'!E409</f>
        <v>15716</v>
      </c>
      <c r="D408" s="603">
        <v>16052</v>
      </c>
      <c r="E408" s="606">
        <f t="shared" si="18"/>
        <v>0.0213794858742683</v>
      </c>
      <c r="F408" s="524" t="str">
        <f t="shared" si="19"/>
        <v>是</v>
      </c>
      <c r="G408" s="312" t="str">
        <f t="shared" si="20"/>
        <v>项</v>
      </c>
    </row>
    <row r="409" s="372" customFormat="1" ht="24" hidden="1" customHeight="1" spans="1:7">
      <c r="A409" s="330">
        <v>2050202</v>
      </c>
      <c r="B409" s="379" t="s">
        <v>447</v>
      </c>
      <c r="C409" s="602">
        <f>'02'!E410</f>
        <v>121115</v>
      </c>
      <c r="D409" s="603">
        <v>121858</v>
      </c>
      <c r="E409" s="606">
        <f t="shared" si="18"/>
        <v>0.00613466540065227</v>
      </c>
      <c r="F409" s="524" t="str">
        <f t="shared" si="19"/>
        <v>是</v>
      </c>
      <c r="G409" s="312" t="str">
        <f t="shared" si="20"/>
        <v>项</v>
      </c>
    </row>
    <row r="410" ht="24" hidden="1" customHeight="1" spans="1:7">
      <c r="A410" s="330">
        <v>2050203</v>
      </c>
      <c r="B410" s="379" t="s">
        <v>448</v>
      </c>
      <c r="C410" s="602">
        <f>'02'!E411</f>
        <v>58286</v>
      </c>
      <c r="D410" s="603">
        <v>58368</v>
      </c>
      <c r="E410" s="606">
        <f t="shared" si="18"/>
        <v>0.00140685584874584</v>
      </c>
      <c r="F410" s="524" t="str">
        <f t="shared" si="19"/>
        <v>是</v>
      </c>
      <c r="G410" s="312" t="str">
        <f t="shared" si="20"/>
        <v>项</v>
      </c>
    </row>
    <row r="411" s="372" customFormat="1" ht="24" hidden="1" customHeight="1" spans="1:7">
      <c r="A411" s="330">
        <v>2050204</v>
      </c>
      <c r="B411" s="379" t="s">
        <v>449</v>
      </c>
      <c r="C411" s="602">
        <f>'02'!E412</f>
        <v>36206</v>
      </c>
      <c r="D411" s="603">
        <v>36743</v>
      </c>
      <c r="E411" s="606">
        <f t="shared" si="18"/>
        <v>0.0148317958349445</v>
      </c>
      <c r="F411" s="524" t="str">
        <f t="shared" si="19"/>
        <v>是</v>
      </c>
      <c r="G411" s="312" t="str">
        <f t="shared" si="20"/>
        <v>项</v>
      </c>
    </row>
    <row r="412" s="372" customFormat="1" ht="24" hidden="1" customHeight="1" spans="1:7">
      <c r="A412" s="330">
        <v>2050205</v>
      </c>
      <c r="B412" s="379" t="s">
        <v>450</v>
      </c>
      <c r="C412" s="602">
        <f>'02'!E413</f>
        <v>4121</v>
      </c>
      <c r="D412" s="603">
        <v>3586</v>
      </c>
      <c r="E412" s="606">
        <f t="shared" si="18"/>
        <v>-0.129822858529483</v>
      </c>
      <c r="F412" s="524" t="str">
        <f t="shared" si="19"/>
        <v>是</v>
      </c>
      <c r="G412" s="312" t="str">
        <f t="shared" si="20"/>
        <v>项</v>
      </c>
    </row>
    <row r="413" s="372" customFormat="1" ht="24" hidden="1" customHeight="1" spans="1:7">
      <c r="A413" s="330">
        <v>2050299</v>
      </c>
      <c r="B413" s="379" t="s">
        <v>451</v>
      </c>
      <c r="C413" s="602">
        <f>'02'!E414</f>
        <v>5299</v>
      </c>
      <c r="D413" s="603">
        <v>7484</v>
      </c>
      <c r="E413" s="606">
        <f t="shared" si="18"/>
        <v>0.412341951311568</v>
      </c>
      <c r="F413" s="524" t="str">
        <f t="shared" si="19"/>
        <v>是</v>
      </c>
      <c r="G413" s="312" t="str">
        <f t="shared" si="20"/>
        <v>项</v>
      </c>
    </row>
    <row r="414" s="372" customFormat="1" ht="24" customHeight="1" spans="1:7">
      <c r="A414" s="330">
        <v>20503</v>
      </c>
      <c r="B414" s="379" t="s">
        <v>452</v>
      </c>
      <c r="C414" s="602">
        <f>SUM(C415:C419)</f>
        <v>17894</v>
      </c>
      <c r="D414" s="602">
        <f>SUM(D415:D419)</f>
        <v>17982</v>
      </c>
      <c r="E414" s="606">
        <f t="shared" si="18"/>
        <v>0.00491784955851123</v>
      </c>
      <c r="F414" s="524" t="str">
        <f t="shared" si="19"/>
        <v>是</v>
      </c>
      <c r="G414" s="312" t="str">
        <f t="shared" si="20"/>
        <v>款</v>
      </c>
    </row>
    <row r="415" s="372" customFormat="1" ht="24" hidden="1" customHeight="1" spans="1:7">
      <c r="A415" s="330">
        <v>2050301</v>
      </c>
      <c r="B415" s="379" t="s">
        <v>453</v>
      </c>
      <c r="C415" s="602">
        <f>'02'!E416</f>
        <v>0</v>
      </c>
      <c r="D415" s="603">
        <v>0</v>
      </c>
      <c r="E415" s="606" t="str">
        <f t="shared" si="18"/>
        <v/>
      </c>
      <c r="F415" s="524" t="str">
        <f t="shared" si="19"/>
        <v>否</v>
      </c>
      <c r="G415" s="312" t="str">
        <f t="shared" si="20"/>
        <v>项</v>
      </c>
    </row>
    <row r="416" ht="24" hidden="1" customHeight="1" spans="1:7">
      <c r="A416" s="330">
        <v>2050302</v>
      </c>
      <c r="B416" s="379" t="s">
        <v>454</v>
      </c>
      <c r="C416" s="602">
        <f>'02'!E417</f>
        <v>11055</v>
      </c>
      <c r="D416" s="603">
        <v>11121</v>
      </c>
      <c r="E416" s="606">
        <f t="shared" si="18"/>
        <v>0.00597014925373134</v>
      </c>
      <c r="F416" s="524" t="str">
        <f t="shared" si="19"/>
        <v>是</v>
      </c>
      <c r="G416" s="312" t="str">
        <f t="shared" si="20"/>
        <v>项</v>
      </c>
    </row>
    <row r="417" s="372" customFormat="1" ht="24" hidden="1" customHeight="1" spans="1:7">
      <c r="A417" s="330">
        <v>2050303</v>
      </c>
      <c r="B417" s="379" t="s">
        <v>455</v>
      </c>
      <c r="C417" s="602">
        <f>'02'!E418</f>
        <v>386</v>
      </c>
      <c r="D417" s="603">
        <v>386</v>
      </c>
      <c r="E417" s="606">
        <f t="shared" si="18"/>
        <v>0</v>
      </c>
      <c r="F417" s="524" t="str">
        <f t="shared" si="19"/>
        <v>是</v>
      </c>
      <c r="G417" s="312" t="str">
        <f t="shared" si="20"/>
        <v>项</v>
      </c>
    </row>
    <row r="418" s="372" customFormat="1" ht="24" hidden="1" customHeight="1" spans="1:7">
      <c r="A418" s="330">
        <v>2050305</v>
      </c>
      <c r="B418" s="379" t="s">
        <v>456</v>
      </c>
      <c r="C418" s="602">
        <f>'02'!E419</f>
        <v>6453</v>
      </c>
      <c r="D418" s="603">
        <v>6475</v>
      </c>
      <c r="E418" s="606">
        <f t="shared" si="18"/>
        <v>0.00340926700759337</v>
      </c>
      <c r="F418" s="524" t="str">
        <f t="shared" si="19"/>
        <v>是</v>
      </c>
      <c r="G418" s="312" t="str">
        <f t="shared" si="20"/>
        <v>项</v>
      </c>
    </row>
    <row r="419" ht="24" hidden="1" customHeight="1" spans="1:7">
      <c r="A419" s="330">
        <v>2050399</v>
      </c>
      <c r="B419" s="379" t="s">
        <v>457</v>
      </c>
      <c r="C419" s="602">
        <f>'02'!E420</f>
        <v>0</v>
      </c>
      <c r="D419" s="603">
        <v>0</v>
      </c>
      <c r="E419" s="606" t="str">
        <f t="shared" si="18"/>
        <v/>
      </c>
      <c r="F419" s="524" t="str">
        <f t="shared" si="19"/>
        <v>否</v>
      </c>
      <c r="G419" s="312" t="str">
        <f t="shared" si="20"/>
        <v>项</v>
      </c>
    </row>
    <row r="420" ht="24" hidden="1" customHeight="1" spans="1:7">
      <c r="A420" s="330">
        <v>20504</v>
      </c>
      <c r="B420" s="379" t="s">
        <v>458</v>
      </c>
      <c r="C420" s="602">
        <f>SUM(C421:C425)</f>
        <v>0</v>
      </c>
      <c r="D420" s="602">
        <f>SUM(D421:D425)</f>
        <v>0</v>
      </c>
      <c r="E420" s="606" t="str">
        <f t="shared" si="18"/>
        <v/>
      </c>
      <c r="F420" s="524" t="str">
        <f t="shared" si="19"/>
        <v>否</v>
      </c>
      <c r="G420" s="312" t="str">
        <f t="shared" si="20"/>
        <v>款</v>
      </c>
    </row>
    <row r="421" s="372" customFormat="1" ht="24" hidden="1" customHeight="1" spans="1:7">
      <c r="A421" s="330">
        <v>2050401</v>
      </c>
      <c r="B421" s="379" t="s">
        <v>459</v>
      </c>
      <c r="C421" s="602">
        <f>'02'!E422</f>
        <v>0</v>
      </c>
      <c r="D421" s="603">
        <v>0</v>
      </c>
      <c r="E421" s="606" t="str">
        <f t="shared" si="18"/>
        <v/>
      </c>
      <c r="F421" s="524" t="str">
        <f t="shared" si="19"/>
        <v>否</v>
      </c>
      <c r="G421" s="312" t="str">
        <f t="shared" si="20"/>
        <v>项</v>
      </c>
    </row>
    <row r="422" s="372" customFormat="1" ht="24" hidden="1" customHeight="1" spans="1:7">
      <c r="A422" s="330">
        <v>2050402</v>
      </c>
      <c r="B422" s="379" t="s">
        <v>460</v>
      </c>
      <c r="C422" s="602">
        <f>'02'!E423</f>
        <v>0</v>
      </c>
      <c r="D422" s="603">
        <v>0</v>
      </c>
      <c r="E422" s="606" t="str">
        <f t="shared" si="18"/>
        <v/>
      </c>
      <c r="F422" s="524" t="str">
        <f t="shared" si="19"/>
        <v>否</v>
      </c>
      <c r="G422" s="312" t="str">
        <f t="shared" si="20"/>
        <v>项</v>
      </c>
    </row>
    <row r="423" s="372" customFormat="1" ht="24" hidden="1" customHeight="1" spans="1:7">
      <c r="A423" s="330">
        <v>2050403</v>
      </c>
      <c r="B423" s="379" t="s">
        <v>461</v>
      </c>
      <c r="C423" s="602">
        <f>'02'!E424</f>
        <v>0</v>
      </c>
      <c r="D423" s="603">
        <v>0</v>
      </c>
      <c r="E423" s="606" t="str">
        <f t="shared" si="18"/>
        <v/>
      </c>
      <c r="F423" s="524" t="str">
        <f t="shared" si="19"/>
        <v>否</v>
      </c>
      <c r="G423" s="312" t="str">
        <f t="shared" si="20"/>
        <v>项</v>
      </c>
    </row>
    <row r="424" s="372" customFormat="1" ht="24" hidden="1" customHeight="1" spans="1:7">
      <c r="A424" s="330">
        <v>2050404</v>
      </c>
      <c r="B424" s="379" t="s">
        <v>462</v>
      </c>
      <c r="C424" s="602">
        <f>'02'!E425</f>
        <v>0</v>
      </c>
      <c r="D424" s="603">
        <v>0</v>
      </c>
      <c r="E424" s="606" t="str">
        <f t="shared" si="18"/>
        <v/>
      </c>
      <c r="F424" s="524" t="str">
        <f t="shared" si="19"/>
        <v>否</v>
      </c>
      <c r="G424" s="312" t="str">
        <f t="shared" si="20"/>
        <v>项</v>
      </c>
    </row>
    <row r="425" ht="24" hidden="1" customHeight="1" spans="1:7">
      <c r="A425" s="330">
        <v>2050499</v>
      </c>
      <c r="B425" s="379" t="s">
        <v>463</v>
      </c>
      <c r="C425" s="602">
        <f>'02'!E426</f>
        <v>0</v>
      </c>
      <c r="D425" s="603">
        <v>0</v>
      </c>
      <c r="E425" s="606" t="str">
        <f t="shared" si="18"/>
        <v/>
      </c>
      <c r="F425" s="524" t="str">
        <f t="shared" si="19"/>
        <v>否</v>
      </c>
      <c r="G425" s="312" t="str">
        <f t="shared" si="20"/>
        <v>项</v>
      </c>
    </row>
    <row r="426" s="372" customFormat="1" ht="24" hidden="1" customHeight="1" spans="1:7">
      <c r="A426" s="330">
        <v>20505</v>
      </c>
      <c r="B426" s="379" t="s">
        <v>464</v>
      </c>
      <c r="C426" s="602">
        <f>SUM(C427:C429)</f>
        <v>0</v>
      </c>
      <c r="D426" s="602">
        <f>SUM(D427:D429)</f>
        <v>0</v>
      </c>
      <c r="E426" s="606" t="str">
        <f t="shared" si="18"/>
        <v/>
      </c>
      <c r="F426" s="524" t="str">
        <f t="shared" si="19"/>
        <v>否</v>
      </c>
      <c r="G426" s="312" t="str">
        <f t="shared" si="20"/>
        <v>款</v>
      </c>
    </row>
    <row r="427" s="372" customFormat="1" ht="24" hidden="1" customHeight="1" spans="1:7">
      <c r="A427" s="330">
        <v>2050501</v>
      </c>
      <c r="B427" s="379" t="s">
        <v>465</v>
      </c>
      <c r="C427" s="602">
        <f>'02'!E428</f>
        <v>0</v>
      </c>
      <c r="D427" s="603">
        <v>0</v>
      </c>
      <c r="E427" s="606" t="str">
        <f t="shared" si="18"/>
        <v/>
      </c>
      <c r="F427" s="524" t="str">
        <f t="shared" si="19"/>
        <v>否</v>
      </c>
      <c r="G427" s="312" t="str">
        <f t="shared" si="20"/>
        <v>项</v>
      </c>
    </row>
    <row r="428" s="372" customFormat="1" ht="24" hidden="1" customHeight="1" spans="1:7">
      <c r="A428" s="330">
        <v>2050502</v>
      </c>
      <c r="B428" s="379" t="s">
        <v>466</v>
      </c>
      <c r="C428" s="602">
        <f>'02'!E429</f>
        <v>0</v>
      </c>
      <c r="D428" s="603">
        <v>0</v>
      </c>
      <c r="E428" s="606" t="str">
        <f t="shared" si="18"/>
        <v/>
      </c>
      <c r="F428" s="524" t="str">
        <f t="shared" si="19"/>
        <v>否</v>
      </c>
      <c r="G428" s="312" t="str">
        <f t="shared" si="20"/>
        <v>项</v>
      </c>
    </row>
    <row r="429" s="372" customFormat="1" ht="24" hidden="1" customHeight="1" spans="1:7">
      <c r="A429" s="330">
        <v>2050599</v>
      </c>
      <c r="B429" s="379" t="s">
        <v>467</v>
      </c>
      <c r="C429" s="602">
        <f>'02'!E430</f>
        <v>0</v>
      </c>
      <c r="D429" s="603">
        <v>0</v>
      </c>
      <c r="E429" s="606" t="str">
        <f t="shared" si="18"/>
        <v/>
      </c>
      <c r="F429" s="524" t="str">
        <f t="shared" si="19"/>
        <v>否</v>
      </c>
      <c r="G429" s="312" t="str">
        <f t="shared" si="20"/>
        <v>项</v>
      </c>
    </row>
    <row r="430" s="372" customFormat="1" ht="24" hidden="1" customHeight="1" spans="1:7">
      <c r="A430" s="330">
        <v>20506</v>
      </c>
      <c r="B430" s="379" t="s">
        <v>468</v>
      </c>
      <c r="C430" s="602">
        <f>SUM(C431:C433)</f>
        <v>0</v>
      </c>
      <c r="D430" s="602">
        <f>SUM(D431:D433)</f>
        <v>0</v>
      </c>
      <c r="E430" s="606" t="str">
        <f t="shared" si="18"/>
        <v/>
      </c>
      <c r="F430" s="524" t="str">
        <f t="shared" si="19"/>
        <v>否</v>
      </c>
      <c r="G430" s="312" t="str">
        <f t="shared" si="20"/>
        <v>款</v>
      </c>
    </row>
    <row r="431" s="372" customFormat="1" ht="24" hidden="1" customHeight="1" spans="1:7">
      <c r="A431" s="330">
        <v>2050601</v>
      </c>
      <c r="B431" s="379" t="s">
        <v>469</v>
      </c>
      <c r="C431" s="602">
        <f>'02'!E432</f>
        <v>0</v>
      </c>
      <c r="D431" s="603">
        <v>0</v>
      </c>
      <c r="E431" s="606" t="str">
        <f t="shared" si="18"/>
        <v/>
      </c>
      <c r="F431" s="524" t="str">
        <f t="shared" si="19"/>
        <v>否</v>
      </c>
      <c r="G431" s="312" t="str">
        <f t="shared" si="20"/>
        <v>项</v>
      </c>
    </row>
    <row r="432" ht="24" hidden="1" customHeight="1" spans="1:7">
      <c r="A432" s="330">
        <v>2050602</v>
      </c>
      <c r="B432" s="379" t="s">
        <v>470</v>
      </c>
      <c r="C432" s="602">
        <f>'02'!E433</f>
        <v>0</v>
      </c>
      <c r="D432" s="603">
        <v>0</v>
      </c>
      <c r="E432" s="606" t="str">
        <f t="shared" si="18"/>
        <v/>
      </c>
      <c r="F432" s="524" t="str">
        <f t="shared" si="19"/>
        <v>否</v>
      </c>
      <c r="G432" s="312" t="str">
        <f t="shared" si="20"/>
        <v>项</v>
      </c>
    </row>
    <row r="433" s="372" customFormat="1" ht="24" hidden="1" customHeight="1" spans="1:7">
      <c r="A433" s="330">
        <v>2050699</v>
      </c>
      <c r="B433" s="379" t="s">
        <v>471</v>
      </c>
      <c r="C433" s="602">
        <f>'02'!E434</f>
        <v>0</v>
      </c>
      <c r="D433" s="603">
        <v>0</v>
      </c>
      <c r="E433" s="606" t="str">
        <f t="shared" si="18"/>
        <v/>
      </c>
      <c r="F433" s="524" t="str">
        <f t="shared" si="19"/>
        <v>否</v>
      </c>
      <c r="G433" s="312" t="str">
        <f t="shared" si="20"/>
        <v>项</v>
      </c>
    </row>
    <row r="434" s="372" customFormat="1" ht="24" customHeight="1" spans="1:7">
      <c r="A434" s="330">
        <v>20507</v>
      </c>
      <c r="B434" s="379" t="s">
        <v>472</v>
      </c>
      <c r="C434" s="602">
        <f>SUM(C435:C437)</f>
        <v>3636</v>
      </c>
      <c r="D434" s="602">
        <f>SUM(D435:D437)</f>
        <v>3661</v>
      </c>
      <c r="E434" s="606">
        <f t="shared" si="18"/>
        <v>0.00687568756875688</v>
      </c>
      <c r="F434" s="524" t="str">
        <f t="shared" si="19"/>
        <v>是</v>
      </c>
      <c r="G434" s="312" t="str">
        <f t="shared" si="20"/>
        <v>款</v>
      </c>
    </row>
    <row r="435" s="372" customFormat="1" ht="24" hidden="1" customHeight="1" spans="1:7">
      <c r="A435" s="330">
        <v>2050701</v>
      </c>
      <c r="B435" s="379" t="s">
        <v>473</v>
      </c>
      <c r="C435" s="602">
        <f>'02'!E436</f>
        <v>3311</v>
      </c>
      <c r="D435" s="603">
        <v>3325</v>
      </c>
      <c r="E435" s="606">
        <f t="shared" si="18"/>
        <v>0.00422832980972516</v>
      </c>
      <c r="F435" s="524" t="str">
        <f t="shared" si="19"/>
        <v>是</v>
      </c>
      <c r="G435" s="312" t="str">
        <f t="shared" si="20"/>
        <v>项</v>
      </c>
    </row>
    <row r="436" s="374" customFormat="1" ht="24" hidden="1" customHeight="1" spans="1:7">
      <c r="A436" s="331">
        <v>2050702</v>
      </c>
      <c r="B436" s="327" t="s">
        <v>474</v>
      </c>
      <c r="C436" s="602">
        <f>'02'!E437</f>
        <v>325</v>
      </c>
      <c r="D436" s="603">
        <v>336</v>
      </c>
      <c r="E436" s="606">
        <f t="shared" si="18"/>
        <v>0.0338461538461538</v>
      </c>
      <c r="F436" s="609" t="str">
        <f t="shared" si="19"/>
        <v>是</v>
      </c>
      <c r="G436" s="313" t="str">
        <f t="shared" si="20"/>
        <v>项</v>
      </c>
    </row>
    <row r="437" s="372" customFormat="1" ht="24" hidden="1" customHeight="1" spans="1:7">
      <c r="A437" s="330">
        <v>2050799</v>
      </c>
      <c r="B437" s="379" t="s">
        <v>475</v>
      </c>
      <c r="C437" s="602">
        <f>'02'!E438</f>
        <v>0</v>
      </c>
      <c r="D437" s="603">
        <v>0</v>
      </c>
      <c r="E437" s="606" t="str">
        <f t="shared" si="18"/>
        <v/>
      </c>
      <c r="F437" s="524" t="str">
        <f t="shared" si="19"/>
        <v>否</v>
      </c>
      <c r="G437" s="312" t="str">
        <f t="shared" si="20"/>
        <v>项</v>
      </c>
    </row>
    <row r="438" ht="24" customHeight="1" spans="1:7">
      <c r="A438" s="330">
        <v>20508</v>
      </c>
      <c r="B438" s="379" t="s">
        <v>476</v>
      </c>
      <c r="C438" s="602">
        <f>SUM(C439:C443)</f>
        <v>3828</v>
      </c>
      <c r="D438" s="602">
        <f>SUM(D439:D443)</f>
        <v>3614</v>
      </c>
      <c r="E438" s="606">
        <f t="shared" si="18"/>
        <v>-0.0559038662486938</v>
      </c>
      <c r="F438" s="524" t="str">
        <f t="shared" si="19"/>
        <v>是</v>
      </c>
      <c r="G438" s="312" t="str">
        <f t="shared" si="20"/>
        <v>款</v>
      </c>
    </row>
    <row r="439" s="372" customFormat="1" ht="24" hidden="1" customHeight="1" spans="1:7">
      <c r="A439" s="330">
        <v>2050801</v>
      </c>
      <c r="B439" s="379" t="s">
        <v>477</v>
      </c>
      <c r="C439" s="602">
        <f>'02'!E440</f>
        <v>1565</v>
      </c>
      <c r="D439" s="603">
        <v>1485</v>
      </c>
      <c r="E439" s="606">
        <f t="shared" si="18"/>
        <v>-0.0511182108626198</v>
      </c>
      <c r="F439" s="524" t="str">
        <f t="shared" si="19"/>
        <v>是</v>
      </c>
      <c r="G439" s="312" t="str">
        <f t="shared" si="20"/>
        <v>项</v>
      </c>
    </row>
    <row r="440" s="372" customFormat="1" ht="24" hidden="1" customHeight="1" spans="1:7">
      <c r="A440" s="330">
        <v>2050802</v>
      </c>
      <c r="B440" s="379" t="s">
        <v>478</v>
      </c>
      <c r="C440" s="602">
        <f>'02'!E441</f>
        <v>1771</v>
      </c>
      <c r="D440" s="603">
        <v>1656</v>
      </c>
      <c r="E440" s="606">
        <f t="shared" si="18"/>
        <v>-0.0649350649350649</v>
      </c>
      <c r="F440" s="524" t="str">
        <f t="shared" si="19"/>
        <v>是</v>
      </c>
      <c r="G440" s="312" t="str">
        <f t="shared" si="20"/>
        <v>项</v>
      </c>
    </row>
    <row r="441" s="372" customFormat="1" ht="24" hidden="1" customHeight="1" spans="1:7">
      <c r="A441" s="330">
        <v>2050803</v>
      </c>
      <c r="B441" s="379" t="s">
        <v>479</v>
      </c>
      <c r="C441" s="602">
        <f>'02'!E442</f>
        <v>37</v>
      </c>
      <c r="D441" s="603">
        <v>38</v>
      </c>
      <c r="E441" s="606">
        <f t="shared" ref="E441:E504" si="21">IFERROR((D441-C441)/C441,"")</f>
        <v>0.027027027027027</v>
      </c>
      <c r="F441" s="524" t="str">
        <f t="shared" si="19"/>
        <v>是</v>
      </c>
      <c r="G441" s="312" t="str">
        <f t="shared" si="20"/>
        <v>项</v>
      </c>
    </row>
    <row r="442" s="372" customFormat="1" ht="24" hidden="1" customHeight="1" spans="1:7">
      <c r="A442" s="330">
        <v>2050804</v>
      </c>
      <c r="B442" s="379" t="s">
        <v>480</v>
      </c>
      <c r="C442" s="602">
        <f>'02'!E443</f>
        <v>0</v>
      </c>
      <c r="D442" s="603">
        <v>0</v>
      </c>
      <c r="E442" s="606" t="str">
        <f t="shared" si="21"/>
        <v/>
      </c>
      <c r="F442" s="524" t="str">
        <f t="shared" si="19"/>
        <v>否</v>
      </c>
      <c r="G442" s="312" t="str">
        <f t="shared" si="20"/>
        <v>项</v>
      </c>
    </row>
    <row r="443" s="372" customFormat="1" ht="24" hidden="1" customHeight="1" spans="1:7">
      <c r="A443" s="330">
        <v>2050899</v>
      </c>
      <c r="B443" s="379" t="s">
        <v>481</v>
      </c>
      <c r="C443" s="602">
        <f>'02'!E444</f>
        <v>455</v>
      </c>
      <c r="D443" s="603">
        <v>435</v>
      </c>
      <c r="E443" s="606">
        <f t="shared" si="21"/>
        <v>-0.043956043956044</v>
      </c>
      <c r="F443" s="524" t="str">
        <f t="shared" si="19"/>
        <v>是</v>
      </c>
      <c r="G443" s="312" t="str">
        <f t="shared" si="20"/>
        <v>项</v>
      </c>
    </row>
    <row r="444" ht="24" customHeight="1" spans="1:7">
      <c r="A444" s="330">
        <v>20509</v>
      </c>
      <c r="B444" s="379" t="s">
        <v>482</v>
      </c>
      <c r="C444" s="602">
        <f>SUM(C445:C450)</f>
        <v>2403</v>
      </c>
      <c r="D444" s="602">
        <f>SUM(D445:D450)</f>
        <v>1960</v>
      </c>
      <c r="E444" s="606">
        <f t="shared" si="21"/>
        <v>-0.184352892218061</v>
      </c>
      <c r="F444" s="524" t="str">
        <f t="shared" si="19"/>
        <v>是</v>
      </c>
      <c r="G444" s="312" t="str">
        <f t="shared" si="20"/>
        <v>款</v>
      </c>
    </row>
    <row r="445" s="372" customFormat="1" ht="24" hidden="1" customHeight="1" spans="1:7">
      <c r="A445" s="330">
        <v>2050901</v>
      </c>
      <c r="B445" s="379" t="s">
        <v>483</v>
      </c>
      <c r="C445" s="602">
        <f>'02'!E446</f>
        <v>97</v>
      </c>
      <c r="D445" s="603">
        <v>88</v>
      </c>
      <c r="E445" s="606">
        <f t="shared" si="21"/>
        <v>-0.0927835051546392</v>
      </c>
      <c r="F445" s="524" t="str">
        <f t="shared" si="19"/>
        <v>是</v>
      </c>
      <c r="G445" s="312" t="str">
        <f t="shared" si="20"/>
        <v>项</v>
      </c>
    </row>
    <row r="446" s="372" customFormat="1" ht="24" hidden="1" customHeight="1" spans="1:7">
      <c r="A446" s="330">
        <v>2050902</v>
      </c>
      <c r="B446" s="379" t="s">
        <v>484</v>
      </c>
      <c r="C446" s="602">
        <f>'02'!E447</f>
        <v>0</v>
      </c>
      <c r="D446" s="603">
        <v>0</v>
      </c>
      <c r="E446" s="606" t="str">
        <f t="shared" si="21"/>
        <v/>
      </c>
      <c r="F446" s="524" t="str">
        <f t="shared" si="19"/>
        <v>否</v>
      </c>
      <c r="G446" s="312" t="str">
        <f t="shared" si="20"/>
        <v>项</v>
      </c>
    </row>
    <row r="447" s="372" customFormat="1" ht="24" hidden="1" customHeight="1" spans="1:7">
      <c r="A447" s="330">
        <v>2050903</v>
      </c>
      <c r="B447" s="379" t="s">
        <v>485</v>
      </c>
      <c r="C447" s="602">
        <f>'02'!E448</f>
        <v>897</v>
      </c>
      <c r="D447" s="603">
        <v>765</v>
      </c>
      <c r="E447" s="606">
        <f t="shared" si="21"/>
        <v>-0.147157190635452</v>
      </c>
      <c r="F447" s="524" t="str">
        <f t="shared" si="19"/>
        <v>是</v>
      </c>
      <c r="G447" s="312" t="str">
        <f t="shared" si="20"/>
        <v>项</v>
      </c>
    </row>
    <row r="448" s="507" customFormat="1" ht="24" hidden="1" customHeight="1" spans="1:7">
      <c r="A448" s="330">
        <v>2050904</v>
      </c>
      <c r="B448" s="379" t="s">
        <v>486</v>
      </c>
      <c r="C448" s="602">
        <f>'02'!E449</f>
        <v>0</v>
      </c>
      <c r="D448" s="603">
        <v>0</v>
      </c>
      <c r="E448" s="606" t="str">
        <f t="shared" si="21"/>
        <v/>
      </c>
      <c r="F448" s="524" t="str">
        <f t="shared" si="19"/>
        <v>否</v>
      </c>
      <c r="G448" s="312" t="str">
        <f t="shared" si="20"/>
        <v>项</v>
      </c>
    </row>
    <row r="449" s="372" customFormat="1" ht="24" hidden="1" customHeight="1" spans="1:7">
      <c r="A449" s="330">
        <v>2050905</v>
      </c>
      <c r="B449" s="379" t="s">
        <v>487</v>
      </c>
      <c r="C449" s="602">
        <f>'02'!E450</f>
        <v>7</v>
      </c>
      <c r="D449" s="603">
        <v>5</v>
      </c>
      <c r="E449" s="606">
        <f t="shared" si="21"/>
        <v>-0.285714285714286</v>
      </c>
      <c r="F449" s="524" t="str">
        <f t="shared" si="19"/>
        <v>是</v>
      </c>
      <c r="G449" s="312" t="str">
        <f t="shared" si="20"/>
        <v>项</v>
      </c>
    </row>
    <row r="450" s="372" customFormat="1" ht="24" hidden="1" customHeight="1" spans="1:7">
      <c r="A450" s="330">
        <v>2050999</v>
      </c>
      <c r="B450" s="379" t="s">
        <v>488</v>
      </c>
      <c r="C450" s="602">
        <f>'02'!E451</f>
        <v>1402</v>
      </c>
      <c r="D450" s="603">
        <v>1102</v>
      </c>
      <c r="E450" s="606">
        <f t="shared" si="21"/>
        <v>-0.21398002853067</v>
      </c>
      <c r="F450" s="524" t="str">
        <f t="shared" si="19"/>
        <v>是</v>
      </c>
      <c r="G450" s="312" t="str">
        <f t="shared" si="20"/>
        <v>项</v>
      </c>
    </row>
    <row r="451" s="507" customFormat="1" ht="24" customHeight="1" spans="1:7">
      <c r="A451" s="330">
        <v>20599</v>
      </c>
      <c r="B451" s="379" t="s">
        <v>489</v>
      </c>
      <c r="C451" s="602">
        <f>C452</f>
        <v>110</v>
      </c>
      <c r="D451" s="602">
        <f>D452</f>
        <v>85</v>
      </c>
      <c r="E451" s="606">
        <f t="shared" si="21"/>
        <v>-0.227272727272727</v>
      </c>
      <c r="F451" s="524" t="str">
        <f t="shared" si="19"/>
        <v>是</v>
      </c>
      <c r="G451" s="312" t="str">
        <f t="shared" si="20"/>
        <v>款</v>
      </c>
    </row>
    <row r="452" ht="24" hidden="1" customHeight="1" spans="1:7">
      <c r="A452" s="406">
        <v>2059999</v>
      </c>
      <c r="B452" s="379" t="s">
        <v>490</v>
      </c>
      <c r="C452" s="602">
        <f>'02'!E453</f>
        <v>110</v>
      </c>
      <c r="D452" s="603">
        <v>85</v>
      </c>
      <c r="E452" s="606">
        <f t="shared" si="21"/>
        <v>-0.227272727272727</v>
      </c>
      <c r="F452" s="524" t="str">
        <f t="shared" ref="F452:F515" si="22">IF(LEN(A452)=3,"是",IF(B452&lt;&gt;"",IF(SUM(C452:D452)&lt;&gt;0,"是","否"),"是"))</f>
        <v>是</v>
      </c>
      <c r="G452" s="312" t="str">
        <f t="shared" ref="G452:G515" si="23">IF(LEN(A452)=3,"类",IF(LEN(A452)=5,"款","项"))</f>
        <v>项</v>
      </c>
    </row>
    <row r="453" s="372" customFormat="1" ht="24" customHeight="1" spans="1:7">
      <c r="A453" s="329">
        <v>206</v>
      </c>
      <c r="B453" s="377" t="s">
        <v>180</v>
      </c>
      <c r="C453" s="601">
        <f>C454+C459+C468+C474+C479+C484+C489+C496+C500+C504</f>
        <v>6843</v>
      </c>
      <c r="D453" s="601">
        <f>D454+D459+D468+D474+D479+D484+D489+D496+D500+D504</f>
        <v>6938</v>
      </c>
      <c r="E453" s="605">
        <f t="shared" si="21"/>
        <v>0.0138827999415461</v>
      </c>
      <c r="F453" s="524" t="str">
        <f t="shared" si="22"/>
        <v>是</v>
      </c>
      <c r="G453" s="312" t="str">
        <f t="shared" si="23"/>
        <v>类</v>
      </c>
    </row>
    <row r="454" s="372" customFormat="1" ht="24" customHeight="1" spans="1:7">
      <c r="A454" s="330">
        <v>20601</v>
      </c>
      <c r="B454" s="379" t="s">
        <v>491</v>
      </c>
      <c r="C454" s="602">
        <f>SUM(C455:C458)</f>
        <v>1897</v>
      </c>
      <c r="D454" s="602">
        <f>SUM(D455:D458)</f>
        <v>1920</v>
      </c>
      <c r="E454" s="606">
        <f t="shared" si="21"/>
        <v>0.0121244069583553</v>
      </c>
      <c r="F454" s="524" t="str">
        <f t="shared" si="22"/>
        <v>是</v>
      </c>
      <c r="G454" s="312" t="str">
        <f t="shared" si="23"/>
        <v>款</v>
      </c>
    </row>
    <row r="455" s="372" customFormat="1" ht="24" hidden="1" customHeight="1" spans="1:7">
      <c r="A455" s="330">
        <v>2060101</v>
      </c>
      <c r="B455" s="379" t="s">
        <v>212</v>
      </c>
      <c r="C455" s="602">
        <f>'02'!E456</f>
        <v>1143</v>
      </c>
      <c r="D455" s="603">
        <v>1185</v>
      </c>
      <c r="E455" s="606">
        <f t="shared" si="21"/>
        <v>0.036745406824147</v>
      </c>
      <c r="F455" s="524" t="str">
        <f t="shared" si="22"/>
        <v>是</v>
      </c>
      <c r="G455" s="312" t="str">
        <f t="shared" si="23"/>
        <v>项</v>
      </c>
    </row>
    <row r="456" ht="24" hidden="1" customHeight="1" spans="1:7">
      <c r="A456" s="330">
        <v>2060102</v>
      </c>
      <c r="B456" s="379" t="s">
        <v>213</v>
      </c>
      <c r="C456" s="602">
        <f>'02'!E457</f>
        <v>8</v>
      </c>
      <c r="D456" s="603">
        <v>10</v>
      </c>
      <c r="E456" s="606">
        <f t="shared" si="21"/>
        <v>0.25</v>
      </c>
      <c r="F456" s="524" t="str">
        <f t="shared" si="22"/>
        <v>是</v>
      </c>
      <c r="G456" s="312" t="str">
        <f t="shared" si="23"/>
        <v>项</v>
      </c>
    </row>
    <row r="457" s="372" customFormat="1" ht="24" hidden="1" customHeight="1" spans="1:7">
      <c r="A457" s="330">
        <v>2060103</v>
      </c>
      <c r="B457" s="379" t="s">
        <v>214</v>
      </c>
      <c r="C457" s="602">
        <f>'02'!E458</f>
        <v>36</v>
      </c>
      <c r="D457" s="603">
        <v>36</v>
      </c>
      <c r="E457" s="606">
        <f t="shared" si="21"/>
        <v>0</v>
      </c>
      <c r="F457" s="524" t="str">
        <f t="shared" si="22"/>
        <v>是</v>
      </c>
      <c r="G457" s="312" t="str">
        <f t="shared" si="23"/>
        <v>项</v>
      </c>
    </row>
    <row r="458" s="372" customFormat="1" ht="24" hidden="1" customHeight="1" spans="1:7">
      <c r="A458" s="330">
        <v>2060199</v>
      </c>
      <c r="B458" s="379" t="s">
        <v>492</v>
      </c>
      <c r="C458" s="602">
        <f>'02'!E459</f>
        <v>710</v>
      </c>
      <c r="D458" s="603">
        <v>689</v>
      </c>
      <c r="E458" s="606">
        <f t="shared" si="21"/>
        <v>-0.0295774647887324</v>
      </c>
      <c r="F458" s="524" t="str">
        <f t="shared" si="22"/>
        <v>是</v>
      </c>
      <c r="G458" s="312" t="str">
        <f t="shared" si="23"/>
        <v>项</v>
      </c>
    </row>
    <row r="459" s="372" customFormat="1" ht="24" hidden="1" customHeight="1" spans="1:7">
      <c r="A459" s="330">
        <v>20602</v>
      </c>
      <c r="B459" s="379" t="s">
        <v>493</v>
      </c>
      <c r="C459" s="602">
        <f>SUM(C460:C467)</f>
        <v>0</v>
      </c>
      <c r="D459" s="602">
        <f>SUM(D460:D467)</f>
        <v>0</v>
      </c>
      <c r="E459" s="606" t="str">
        <f t="shared" si="21"/>
        <v/>
      </c>
      <c r="F459" s="524" t="str">
        <f t="shared" si="22"/>
        <v>否</v>
      </c>
      <c r="G459" s="312" t="str">
        <f t="shared" si="23"/>
        <v>款</v>
      </c>
    </row>
    <row r="460" s="372" customFormat="1" ht="24" hidden="1" customHeight="1" spans="1:7">
      <c r="A460" s="330">
        <v>2060201</v>
      </c>
      <c r="B460" s="379" t="s">
        <v>494</v>
      </c>
      <c r="C460" s="602">
        <f>'02'!E461</f>
        <v>0</v>
      </c>
      <c r="D460" s="603">
        <v>0</v>
      </c>
      <c r="E460" s="606" t="str">
        <f t="shared" si="21"/>
        <v/>
      </c>
      <c r="F460" s="524" t="str">
        <f t="shared" si="22"/>
        <v>否</v>
      </c>
      <c r="G460" s="312" t="str">
        <f t="shared" si="23"/>
        <v>项</v>
      </c>
    </row>
    <row r="461" s="372" customFormat="1" ht="24" hidden="1" customHeight="1" spans="1:7">
      <c r="A461" s="330">
        <v>2060203</v>
      </c>
      <c r="B461" s="379" t="s">
        <v>495</v>
      </c>
      <c r="C461" s="602">
        <f>'02'!E462</f>
        <v>0</v>
      </c>
      <c r="D461" s="603">
        <v>0</v>
      </c>
      <c r="E461" s="606" t="str">
        <f t="shared" si="21"/>
        <v/>
      </c>
      <c r="F461" s="524" t="str">
        <f t="shared" si="22"/>
        <v>否</v>
      </c>
      <c r="G461" s="312" t="str">
        <f t="shared" si="23"/>
        <v>项</v>
      </c>
    </row>
    <row r="462" ht="24" hidden="1" customHeight="1" spans="1:7">
      <c r="A462" s="330">
        <v>2060204</v>
      </c>
      <c r="B462" s="379" t="s">
        <v>496</v>
      </c>
      <c r="C462" s="602">
        <f>'02'!E463</f>
        <v>0</v>
      </c>
      <c r="D462" s="603">
        <v>0</v>
      </c>
      <c r="E462" s="606" t="str">
        <f t="shared" si="21"/>
        <v/>
      </c>
      <c r="F462" s="524" t="str">
        <f t="shared" si="22"/>
        <v>否</v>
      </c>
      <c r="G462" s="312" t="str">
        <f t="shared" si="23"/>
        <v>项</v>
      </c>
    </row>
    <row r="463" s="372" customFormat="1" ht="24" hidden="1" customHeight="1" spans="1:7">
      <c r="A463" s="330">
        <v>2060205</v>
      </c>
      <c r="B463" s="379" t="s">
        <v>497</v>
      </c>
      <c r="C463" s="602">
        <f>'02'!E464</f>
        <v>0</v>
      </c>
      <c r="D463" s="603">
        <v>0</v>
      </c>
      <c r="E463" s="606" t="str">
        <f t="shared" si="21"/>
        <v/>
      </c>
      <c r="F463" s="524" t="str">
        <f t="shared" si="22"/>
        <v>否</v>
      </c>
      <c r="G463" s="312" t="str">
        <f t="shared" si="23"/>
        <v>项</v>
      </c>
    </row>
    <row r="464" s="372" customFormat="1" ht="24" hidden="1" customHeight="1" spans="1:7">
      <c r="A464" s="330">
        <v>2060206</v>
      </c>
      <c r="B464" s="379" t="s">
        <v>498</v>
      </c>
      <c r="C464" s="602">
        <f>'02'!E465</f>
        <v>0</v>
      </c>
      <c r="D464" s="603">
        <v>0</v>
      </c>
      <c r="E464" s="606" t="str">
        <f t="shared" si="21"/>
        <v/>
      </c>
      <c r="F464" s="524" t="str">
        <f t="shared" si="22"/>
        <v>否</v>
      </c>
      <c r="G464" s="312" t="str">
        <f t="shared" si="23"/>
        <v>项</v>
      </c>
    </row>
    <row r="465" s="372" customFormat="1" ht="24" hidden="1" customHeight="1" spans="1:7">
      <c r="A465" s="330">
        <v>2060207</v>
      </c>
      <c r="B465" s="379" t="s">
        <v>499</v>
      </c>
      <c r="C465" s="602">
        <f>'02'!E466</f>
        <v>0</v>
      </c>
      <c r="D465" s="603">
        <v>0</v>
      </c>
      <c r="E465" s="606" t="str">
        <f t="shared" si="21"/>
        <v/>
      </c>
      <c r="F465" s="524" t="str">
        <f t="shared" si="22"/>
        <v>否</v>
      </c>
      <c r="G465" s="312" t="str">
        <f t="shared" si="23"/>
        <v>项</v>
      </c>
    </row>
    <row r="466" s="372" customFormat="1" ht="24" hidden="1" customHeight="1" spans="1:7">
      <c r="A466" s="527">
        <v>2060208</v>
      </c>
      <c r="B466" s="534" t="s">
        <v>500</v>
      </c>
      <c r="C466" s="602">
        <f>'02'!E467</f>
        <v>0</v>
      </c>
      <c r="D466" s="603">
        <v>0</v>
      </c>
      <c r="E466" s="606" t="str">
        <f t="shared" si="21"/>
        <v/>
      </c>
      <c r="F466" s="524" t="str">
        <f t="shared" si="22"/>
        <v>否</v>
      </c>
      <c r="G466" s="312" t="str">
        <f t="shared" si="23"/>
        <v>项</v>
      </c>
    </row>
    <row r="467" s="372" customFormat="1" ht="24" hidden="1" customHeight="1" spans="1:7">
      <c r="A467" s="330">
        <v>2060299</v>
      </c>
      <c r="B467" s="379" t="s">
        <v>501</v>
      </c>
      <c r="C467" s="602">
        <f>'02'!E468</f>
        <v>0</v>
      </c>
      <c r="D467" s="603">
        <v>0</v>
      </c>
      <c r="E467" s="606" t="str">
        <f t="shared" si="21"/>
        <v/>
      </c>
      <c r="F467" s="524" t="str">
        <f t="shared" si="22"/>
        <v>否</v>
      </c>
      <c r="G467" s="312" t="str">
        <f t="shared" si="23"/>
        <v>项</v>
      </c>
    </row>
    <row r="468" s="372" customFormat="1" ht="24" customHeight="1" spans="1:7">
      <c r="A468" s="330">
        <v>20603</v>
      </c>
      <c r="B468" s="379" t="s">
        <v>502</v>
      </c>
      <c r="C468" s="602">
        <f>SUM(C469:C473)</f>
        <v>955</v>
      </c>
      <c r="D468" s="602">
        <f>SUM(D469:D473)</f>
        <v>985</v>
      </c>
      <c r="E468" s="606">
        <f t="shared" si="21"/>
        <v>0.031413612565445</v>
      </c>
      <c r="F468" s="524" t="str">
        <f t="shared" si="22"/>
        <v>是</v>
      </c>
      <c r="G468" s="312" t="str">
        <f t="shared" si="23"/>
        <v>款</v>
      </c>
    </row>
    <row r="469" ht="24" hidden="1" customHeight="1" spans="1:7">
      <c r="A469" s="330">
        <v>2060301</v>
      </c>
      <c r="B469" s="379" t="s">
        <v>494</v>
      </c>
      <c r="C469" s="602">
        <f>'02'!E470</f>
        <v>955</v>
      </c>
      <c r="D469" s="603">
        <v>985</v>
      </c>
      <c r="E469" s="606">
        <f t="shared" si="21"/>
        <v>0.031413612565445</v>
      </c>
      <c r="F469" s="524" t="str">
        <f t="shared" si="22"/>
        <v>是</v>
      </c>
      <c r="G469" s="312" t="str">
        <f t="shared" si="23"/>
        <v>项</v>
      </c>
    </row>
    <row r="470" s="372" customFormat="1" ht="24" hidden="1" customHeight="1" spans="1:7">
      <c r="A470" s="330">
        <v>2060302</v>
      </c>
      <c r="B470" s="379" t="s">
        <v>503</v>
      </c>
      <c r="C470" s="602">
        <f>'02'!E471</f>
        <v>0</v>
      </c>
      <c r="D470" s="603">
        <v>0</v>
      </c>
      <c r="E470" s="606" t="str">
        <f t="shared" si="21"/>
        <v/>
      </c>
      <c r="F470" s="524" t="str">
        <f t="shared" si="22"/>
        <v>否</v>
      </c>
      <c r="G470" s="312" t="str">
        <f t="shared" si="23"/>
        <v>项</v>
      </c>
    </row>
    <row r="471" ht="24" hidden="1" customHeight="1" spans="1:7">
      <c r="A471" s="330">
        <v>2060303</v>
      </c>
      <c r="B471" s="379" t="s">
        <v>504</v>
      </c>
      <c r="C471" s="602">
        <f>'02'!E472</f>
        <v>0</v>
      </c>
      <c r="D471" s="603">
        <v>0</v>
      </c>
      <c r="E471" s="606" t="str">
        <f t="shared" si="21"/>
        <v/>
      </c>
      <c r="F471" s="524" t="str">
        <f t="shared" si="22"/>
        <v>否</v>
      </c>
      <c r="G471" s="312" t="str">
        <f t="shared" si="23"/>
        <v>项</v>
      </c>
    </row>
    <row r="472" ht="24" hidden="1" customHeight="1" spans="1:7">
      <c r="A472" s="330">
        <v>2060304</v>
      </c>
      <c r="B472" s="379" t="s">
        <v>505</v>
      </c>
      <c r="C472" s="602">
        <f>'02'!E473</f>
        <v>0</v>
      </c>
      <c r="D472" s="603">
        <v>0</v>
      </c>
      <c r="E472" s="606" t="str">
        <f t="shared" si="21"/>
        <v/>
      </c>
      <c r="F472" s="524" t="str">
        <f t="shared" si="22"/>
        <v>否</v>
      </c>
      <c r="G472" s="312" t="str">
        <f t="shared" si="23"/>
        <v>项</v>
      </c>
    </row>
    <row r="473" s="372" customFormat="1" ht="24" hidden="1" customHeight="1" spans="1:7">
      <c r="A473" s="330">
        <v>2060399</v>
      </c>
      <c r="B473" s="379" t="s">
        <v>506</v>
      </c>
      <c r="C473" s="602">
        <f>'02'!E474</f>
        <v>0</v>
      </c>
      <c r="D473" s="603">
        <v>0</v>
      </c>
      <c r="E473" s="606" t="str">
        <f t="shared" si="21"/>
        <v/>
      </c>
      <c r="F473" s="524" t="str">
        <f t="shared" si="22"/>
        <v>否</v>
      </c>
      <c r="G473" s="312" t="str">
        <f t="shared" si="23"/>
        <v>项</v>
      </c>
    </row>
    <row r="474" s="372" customFormat="1" ht="24" customHeight="1" spans="1:7">
      <c r="A474" s="330">
        <v>20604</v>
      </c>
      <c r="B474" s="379" t="s">
        <v>507</v>
      </c>
      <c r="C474" s="602">
        <f>SUM(C475:C478)</f>
        <v>1742</v>
      </c>
      <c r="D474" s="602">
        <f>SUM(D475:D478)</f>
        <v>1745</v>
      </c>
      <c r="E474" s="606">
        <f t="shared" si="21"/>
        <v>0.00172215843857635</v>
      </c>
      <c r="F474" s="524" t="str">
        <f t="shared" si="22"/>
        <v>是</v>
      </c>
      <c r="G474" s="312" t="str">
        <f t="shared" si="23"/>
        <v>款</v>
      </c>
    </row>
    <row r="475" s="372" customFormat="1" ht="24" hidden="1" customHeight="1" spans="1:7">
      <c r="A475" s="330">
        <v>2060401</v>
      </c>
      <c r="B475" s="379" t="s">
        <v>494</v>
      </c>
      <c r="C475" s="602">
        <f>'02'!E476</f>
        <v>0</v>
      </c>
      <c r="D475" s="603">
        <v>0</v>
      </c>
      <c r="E475" s="606" t="str">
        <f t="shared" si="21"/>
        <v/>
      </c>
      <c r="F475" s="524" t="str">
        <f t="shared" si="22"/>
        <v>否</v>
      </c>
      <c r="G475" s="312" t="str">
        <f t="shared" si="23"/>
        <v>项</v>
      </c>
    </row>
    <row r="476" s="372" customFormat="1" ht="24" hidden="1" customHeight="1" spans="1:7">
      <c r="A476" s="330">
        <v>2060404</v>
      </c>
      <c r="B476" s="379" t="s">
        <v>508</v>
      </c>
      <c r="C476" s="602">
        <f>'02'!E477</f>
        <v>98</v>
      </c>
      <c r="D476" s="603">
        <v>121</v>
      </c>
      <c r="E476" s="606">
        <f t="shared" si="21"/>
        <v>0.23469387755102</v>
      </c>
      <c r="F476" s="524" t="str">
        <f t="shared" si="22"/>
        <v>是</v>
      </c>
      <c r="G476" s="312" t="str">
        <f t="shared" si="23"/>
        <v>项</v>
      </c>
    </row>
    <row r="477" ht="24" hidden="1" customHeight="1" spans="1:7">
      <c r="A477" s="535">
        <v>2060405</v>
      </c>
      <c r="B477" s="379" t="s">
        <v>509</v>
      </c>
      <c r="C477" s="602">
        <f>'02'!E478</f>
        <v>544</v>
      </c>
      <c r="D477" s="603">
        <v>568</v>
      </c>
      <c r="E477" s="606">
        <f t="shared" si="21"/>
        <v>0.0441176470588235</v>
      </c>
      <c r="F477" s="524" t="str">
        <f t="shared" si="22"/>
        <v>是</v>
      </c>
      <c r="G477" s="312" t="str">
        <f t="shared" si="23"/>
        <v>项</v>
      </c>
    </row>
    <row r="478" s="372" customFormat="1" ht="24" hidden="1" customHeight="1" spans="1:7">
      <c r="A478" s="330">
        <v>2060499</v>
      </c>
      <c r="B478" s="379" t="s">
        <v>510</v>
      </c>
      <c r="C478" s="602">
        <f>'02'!E479</f>
        <v>1100</v>
      </c>
      <c r="D478" s="603">
        <v>1056</v>
      </c>
      <c r="E478" s="606">
        <f t="shared" si="21"/>
        <v>-0.04</v>
      </c>
      <c r="F478" s="524" t="str">
        <f t="shared" si="22"/>
        <v>是</v>
      </c>
      <c r="G478" s="312" t="str">
        <f t="shared" si="23"/>
        <v>项</v>
      </c>
    </row>
    <row r="479" s="372" customFormat="1" ht="24" customHeight="1" spans="1:7">
      <c r="A479" s="330">
        <v>20605</v>
      </c>
      <c r="B479" s="379" t="s">
        <v>511</v>
      </c>
      <c r="C479" s="602">
        <f>SUM(C480:C483)</f>
        <v>270</v>
      </c>
      <c r="D479" s="602">
        <f>SUM(D480:D483)</f>
        <v>292</v>
      </c>
      <c r="E479" s="606">
        <f t="shared" si="21"/>
        <v>0.0814814814814815</v>
      </c>
      <c r="F479" s="524" t="str">
        <f t="shared" si="22"/>
        <v>是</v>
      </c>
      <c r="G479" s="312" t="str">
        <f t="shared" si="23"/>
        <v>款</v>
      </c>
    </row>
    <row r="480" s="372" customFormat="1" ht="24" hidden="1" customHeight="1" spans="1:7">
      <c r="A480" s="330">
        <v>2060501</v>
      </c>
      <c r="B480" s="379" t="s">
        <v>494</v>
      </c>
      <c r="C480" s="602">
        <f>'02'!E481</f>
        <v>0</v>
      </c>
      <c r="D480" s="603">
        <v>0</v>
      </c>
      <c r="E480" s="606" t="str">
        <f t="shared" si="21"/>
        <v/>
      </c>
      <c r="F480" s="524" t="str">
        <f t="shared" si="22"/>
        <v>否</v>
      </c>
      <c r="G480" s="312" t="str">
        <f t="shared" si="23"/>
        <v>项</v>
      </c>
    </row>
    <row r="481" s="372" customFormat="1" ht="24" hidden="1" customHeight="1" spans="1:7">
      <c r="A481" s="330">
        <v>2060502</v>
      </c>
      <c r="B481" s="379" t="s">
        <v>512</v>
      </c>
      <c r="C481" s="602">
        <f>'02'!E482</f>
        <v>0</v>
      </c>
      <c r="D481" s="603">
        <v>0</v>
      </c>
      <c r="E481" s="606" t="str">
        <f t="shared" si="21"/>
        <v/>
      </c>
      <c r="F481" s="524" t="str">
        <f t="shared" si="22"/>
        <v>否</v>
      </c>
      <c r="G481" s="312" t="str">
        <f t="shared" si="23"/>
        <v>项</v>
      </c>
    </row>
    <row r="482" s="372" customFormat="1" ht="24" hidden="1" customHeight="1" spans="1:7">
      <c r="A482" s="330">
        <v>2060503</v>
      </c>
      <c r="B482" s="379" t="s">
        <v>513</v>
      </c>
      <c r="C482" s="602">
        <f>'02'!E483</f>
        <v>270</v>
      </c>
      <c r="D482" s="603">
        <v>292</v>
      </c>
      <c r="E482" s="606">
        <f t="shared" si="21"/>
        <v>0.0814814814814815</v>
      </c>
      <c r="F482" s="524" t="str">
        <f t="shared" si="22"/>
        <v>是</v>
      </c>
      <c r="G482" s="312" t="str">
        <f t="shared" si="23"/>
        <v>项</v>
      </c>
    </row>
    <row r="483" s="372" customFormat="1" ht="24" hidden="1" customHeight="1" spans="1:7">
      <c r="A483" s="330">
        <v>2060599</v>
      </c>
      <c r="B483" s="379" t="s">
        <v>514</v>
      </c>
      <c r="C483" s="602">
        <f>'02'!E484</f>
        <v>0</v>
      </c>
      <c r="D483" s="603">
        <v>0</v>
      </c>
      <c r="E483" s="606" t="str">
        <f t="shared" si="21"/>
        <v/>
      </c>
      <c r="F483" s="524" t="str">
        <f t="shared" si="22"/>
        <v>否</v>
      </c>
      <c r="G483" s="312" t="str">
        <f t="shared" si="23"/>
        <v>项</v>
      </c>
    </row>
    <row r="484" s="372" customFormat="1" ht="24" customHeight="1" spans="1:7">
      <c r="A484" s="330">
        <v>20606</v>
      </c>
      <c r="B484" s="379" t="s">
        <v>515</v>
      </c>
      <c r="C484" s="602">
        <f>SUM(C485:C488)</f>
        <v>249</v>
      </c>
      <c r="D484" s="602">
        <f>SUM(D485:D488)</f>
        <v>286</v>
      </c>
      <c r="E484" s="606">
        <f t="shared" si="21"/>
        <v>0.14859437751004</v>
      </c>
      <c r="F484" s="524" t="str">
        <f t="shared" si="22"/>
        <v>是</v>
      </c>
      <c r="G484" s="312" t="str">
        <f t="shared" si="23"/>
        <v>款</v>
      </c>
    </row>
    <row r="485" s="372" customFormat="1" ht="24" hidden="1" customHeight="1" spans="1:7">
      <c r="A485" s="330">
        <v>2060601</v>
      </c>
      <c r="B485" s="379" t="s">
        <v>516</v>
      </c>
      <c r="C485" s="602">
        <f>'02'!E486</f>
        <v>276</v>
      </c>
      <c r="D485" s="603">
        <v>286</v>
      </c>
      <c r="E485" s="606">
        <f t="shared" si="21"/>
        <v>0.036231884057971</v>
      </c>
      <c r="F485" s="524" t="str">
        <f t="shared" si="22"/>
        <v>是</v>
      </c>
      <c r="G485" s="312" t="str">
        <f t="shared" si="23"/>
        <v>项</v>
      </c>
    </row>
    <row r="486" ht="24" hidden="1" customHeight="1" spans="1:7">
      <c r="A486" s="330">
        <v>2060602</v>
      </c>
      <c r="B486" s="379" t="s">
        <v>517</v>
      </c>
      <c r="C486" s="602">
        <f>'02'!E487</f>
        <v>-27</v>
      </c>
      <c r="D486" s="603">
        <v>0</v>
      </c>
      <c r="E486" s="606">
        <f>-IFERROR((D486-C486)/C486,"")</f>
        <v>1</v>
      </c>
      <c r="F486" s="524" t="str">
        <f t="shared" si="22"/>
        <v>是</v>
      </c>
      <c r="G486" s="312" t="str">
        <f t="shared" si="23"/>
        <v>项</v>
      </c>
    </row>
    <row r="487" s="372" customFormat="1" ht="24" hidden="1" customHeight="1" spans="1:7">
      <c r="A487" s="330">
        <v>2060603</v>
      </c>
      <c r="B487" s="379" t="s">
        <v>518</v>
      </c>
      <c r="C487" s="602">
        <f>'02'!E488</f>
        <v>0</v>
      </c>
      <c r="D487" s="603">
        <v>0</v>
      </c>
      <c r="E487" s="606" t="str">
        <f t="shared" si="21"/>
        <v/>
      </c>
      <c r="F487" s="524" t="str">
        <f t="shared" si="22"/>
        <v>否</v>
      </c>
      <c r="G487" s="312" t="str">
        <f t="shared" si="23"/>
        <v>项</v>
      </c>
    </row>
    <row r="488" s="372" customFormat="1" ht="24" hidden="1" customHeight="1" spans="1:7">
      <c r="A488" s="330">
        <v>2060699</v>
      </c>
      <c r="B488" s="379" t="s">
        <v>519</v>
      </c>
      <c r="C488" s="602">
        <f>'02'!E489</f>
        <v>0</v>
      </c>
      <c r="D488" s="603">
        <v>0</v>
      </c>
      <c r="E488" s="606" t="str">
        <f t="shared" si="21"/>
        <v/>
      </c>
      <c r="F488" s="524" t="str">
        <f t="shared" si="22"/>
        <v>否</v>
      </c>
      <c r="G488" s="312" t="str">
        <f t="shared" si="23"/>
        <v>项</v>
      </c>
    </row>
    <row r="489" s="372" customFormat="1" ht="24" customHeight="1" spans="1:7">
      <c r="A489" s="330">
        <v>20607</v>
      </c>
      <c r="B489" s="379" t="s">
        <v>520</v>
      </c>
      <c r="C489" s="602">
        <f>SUM(C490:C495)</f>
        <v>1117</v>
      </c>
      <c r="D489" s="602">
        <f>SUM(D490:D495)</f>
        <v>1128</v>
      </c>
      <c r="E489" s="606">
        <f t="shared" si="21"/>
        <v>0.00984780662488809</v>
      </c>
      <c r="F489" s="524" t="str">
        <f t="shared" si="22"/>
        <v>是</v>
      </c>
      <c r="G489" s="312" t="str">
        <f t="shared" si="23"/>
        <v>款</v>
      </c>
    </row>
    <row r="490" s="372" customFormat="1" ht="24" hidden="1" customHeight="1" spans="1:7">
      <c r="A490" s="330">
        <v>2060701</v>
      </c>
      <c r="B490" s="379" t="s">
        <v>494</v>
      </c>
      <c r="C490" s="602">
        <f>'02'!E491</f>
        <v>566</v>
      </c>
      <c r="D490" s="603">
        <v>572</v>
      </c>
      <c r="E490" s="606">
        <f t="shared" si="21"/>
        <v>0.0106007067137809</v>
      </c>
      <c r="F490" s="524" t="str">
        <f t="shared" si="22"/>
        <v>是</v>
      </c>
      <c r="G490" s="312" t="str">
        <f t="shared" si="23"/>
        <v>项</v>
      </c>
    </row>
    <row r="491" s="372" customFormat="1" ht="24" hidden="1" customHeight="1" spans="1:7">
      <c r="A491" s="330">
        <v>2060702</v>
      </c>
      <c r="B491" s="379" t="s">
        <v>521</v>
      </c>
      <c r="C491" s="602">
        <f>'02'!E492</f>
        <v>259</v>
      </c>
      <c r="D491" s="603">
        <v>265</v>
      </c>
      <c r="E491" s="606">
        <f t="shared" si="21"/>
        <v>0.0231660231660232</v>
      </c>
      <c r="F491" s="524" t="str">
        <f t="shared" si="22"/>
        <v>是</v>
      </c>
      <c r="G491" s="312" t="str">
        <f t="shared" si="23"/>
        <v>项</v>
      </c>
    </row>
    <row r="492" ht="24" hidden="1" customHeight="1" spans="1:7">
      <c r="A492" s="330">
        <v>2060703</v>
      </c>
      <c r="B492" s="379" t="s">
        <v>522</v>
      </c>
      <c r="C492" s="602">
        <f>'02'!E493</f>
        <v>0</v>
      </c>
      <c r="D492" s="603">
        <v>0</v>
      </c>
      <c r="E492" s="606" t="str">
        <f t="shared" si="21"/>
        <v/>
      </c>
      <c r="F492" s="524" t="str">
        <f t="shared" si="22"/>
        <v>否</v>
      </c>
      <c r="G492" s="312" t="str">
        <f t="shared" si="23"/>
        <v>项</v>
      </c>
    </row>
    <row r="493" s="372" customFormat="1" ht="24" hidden="1" customHeight="1" spans="1:7">
      <c r="A493" s="330">
        <v>2060704</v>
      </c>
      <c r="B493" s="379" t="s">
        <v>523</v>
      </c>
      <c r="C493" s="602">
        <f>'02'!E494</f>
        <v>0</v>
      </c>
      <c r="D493" s="603">
        <v>0</v>
      </c>
      <c r="E493" s="606" t="str">
        <f t="shared" si="21"/>
        <v/>
      </c>
      <c r="F493" s="524" t="str">
        <f t="shared" si="22"/>
        <v>否</v>
      </c>
      <c r="G493" s="312" t="str">
        <f t="shared" si="23"/>
        <v>项</v>
      </c>
    </row>
    <row r="494" s="372" customFormat="1" ht="24" hidden="1" customHeight="1" spans="1:7">
      <c r="A494" s="330">
        <v>2060705</v>
      </c>
      <c r="B494" s="379" t="s">
        <v>524</v>
      </c>
      <c r="C494" s="602">
        <f>'02'!E495</f>
        <v>143</v>
      </c>
      <c r="D494" s="603">
        <v>156</v>
      </c>
      <c r="E494" s="606">
        <f t="shared" si="21"/>
        <v>0.0909090909090909</v>
      </c>
      <c r="F494" s="524" t="str">
        <f t="shared" si="22"/>
        <v>是</v>
      </c>
      <c r="G494" s="312" t="str">
        <f t="shared" si="23"/>
        <v>项</v>
      </c>
    </row>
    <row r="495" s="372" customFormat="1" ht="24" hidden="1" customHeight="1" spans="1:7">
      <c r="A495" s="330">
        <v>2060799</v>
      </c>
      <c r="B495" s="379" t="s">
        <v>525</v>
      </c>
      <c r="C495" s="602">
        <f>'02'!E496</f>
        <v>149</v>
      </c>
      <c r="D495" s="603">
        <v>135</v>
      </c>
      <c r="E495" s="606">
        <f t="shared" si="21"/>
        <v>-0.0939597315436242</v>
      </c>
      <c r="F495" s="524" t="str">
        <f t="shared" si="22"/>
        <v>是</v>
      </c>
      <c r="G495" s="312" t="str">
        <f t="shared" si="23"/>
        <v>项</v>
      </c>
    </row>
    <row r="496" s="372" customFormat="1" ht="24" hidden="1" customHeight="1" spans="1:7">
      <c r="A496" s="330">
        <v>20608</v>
      </c>
      <c r="B496" s="379" t="s">
        <v>526</v>
      </c>
      <c r="C496" s="602">
        <f>SUM(C497:C499)</f>
        <v>0</v>
      </c>
      <c r="D496" s="602">
        <f>SUM(D497:D499)</f>
        <v>0</v>
      </c>
      <c r="E496" s="606" t="str">
        <f t="shared" si="21"/>
        <v/>
      </c>
      <c r="F496" s="524" t="str">
        <f t="shared" si="22"/>
        <v>否</v>
      </c>
      <c r="G496" s="312" t="str">
        <f t="shared" si="23"/>
        <v>款</v>
      </c>
    </row>
    <row r="497" ht="24" hidden="1" customHeight="1" spans="1:7">
      <c r="A497" s="330">
        <v>2060801</v>
      </c>
      <c r="B497" s="379" t="s">
        <v>527</v>
      </c>
      <c r="C497" s="602">
        <f>'02'!E498</f>
        <v>0</v>
      </c>
      <c r="D497" s="603">
        <v>0</v>
      </c>
      <c r="E497" s="606" t="str">
        <f t="shared" si="21"/>
        <v/>
      </c>
      <c r="F497" s="524" t="str">
        <f t="shared" si="22"/>
        <v>否</v>
      </c>
      <c r="G497" s="312" t="str">
        <f t="shared" si="23"/>
        <v>项</v>
      </c>
    </row>
    <row r="498" s="372" customFormat="1" ht="24" hidden="1" customHeight="1" spans="1:7">
      <c r="A498" s="330">
        <v>2060802</v>
      </c>
      <c r="B498" s="379" t="s">
        <v>528</v>
      </c>
      <c r="C498" s="602">
        <f>'02'!E499</f>
        <v>0</v>
      </c>
      <c r="D498" s="603">
        <v>0</v>
      </c>
      <c r="E498" s="606" t="str">
        <f t="shared" si="21"/>
        <v/>
      </c>
      <c r="F498" s="524" t="str">
        <f t="shared" si="22"/>
        <v>否</v>
      </c>
      <c r="G498" s="312" t="str">
        <f t="shared" si="23"/>
        <v>项</v>
      </c>
    </row>
    <row r="499" s="372" customFormat="1" ht="24" hidden="1" customHeight="1" spans="1:7">
      <c r="A499" s="330">
        <v>2060899</v>
      </c>
      <c r="B499" s="379" t="s">
        <v>529</v>
      </c>
      <c r="C499" s="602">
        <f>'02'!E500</f>
        <v>0</v>
      </c>
      <c r="D499" s="603">
        <v>0</v>
      </c>
      <c r="E499" s="606" t="str">
        <f t="shared" si="21"/>
        <v/>
      </c>
      <c r="F499" s="524" t="str">
        <f t="shared" si="22"/>
        <v>否</v>
      </c>
      <c r="G499" s="312" t="str">
        <f t="shared" si="23"/>
        <v>项</v>
      </c>
    </row>
    <row r="500" s="372" customFormat="1" ht="24" customHeight="1" spans="1:7">
      <c r="A500" s="330">
        <v>20609</v>
      </c>
      <c r="B500" s="379" t="s">
        <v>530</v>
      </c>
      <c r="C500" s="602">
        <f>SUM(C501:C503)</f>
        <v>26</v>
      </c>
      <c r="D500" s="602">
        <f>SUM(D501:D503)</f>
        <v>26</v>
      </c>
      <c r="E500" s="606">
        <f t="shared" si="21"/>
        <v>0</v>
      </c>
      <c r="F500" s="524" t="str">
        <f t="shared" si="22"/>
        <v>是</v>
      </c>
      <c r="G500" s="312" t="str">
        <f t="shared" si="23"/>
        <v>款</v>
      </c>
    </row>
    <row r="501" s="372" customFormat="1" ht="24" hidden="1" customHeight="1" spans="1:7">
      <c r="A501" s="330">
        <v>2060901</v>
      </c>
      <c r="B501" s="379" t="s">
        <v>531</v>
      </c>
      <c r="C501" s="602">
        <f>'02'!E502</f>
        <v>0</v>
      </c>
      <c r="D501" s="603">
        <v>0</v>
      </c>
      <c r="E501" s="606" t="str">
        <f t="shared" si="21"/>
        <v/>
      </c>
      <c r="F501" s="524" t="str">
        <f t="shared" si="22"/>
        <v>否</v>
      </c>
      <c r="G501" s="312" t="str">
        <f t="shared" si="23"/>
        <v>项</v>
      </c>
    </row>
    <row r="502" ht="24" hidden="1" customHeight="1" spans="1:7">
      <c r="A502" s="330">
        <v>2060902</v>
      </c>
      <c r="B502" s="379" t="s">
        <v>532</v>
      </c>
      <c r="C502" s="602">
        <f>'02'!E503</f>
        <v>25</v>
      </c>
      <c r="D502" s="603">
        <v>26</v>
      </c>
      <c r="E502" s="606">
        <f t="shared" si="21"/>
        <v>0.04</v>
      </c>
      <c r="F502" s="524" t="str">
        <f t="shared" si="22"/>
        <v>是</v>
      </c>
      <c r="G502" s="312" t="str">
        <f t="shared" si="23"/>
        <v>项</v>
      </c>
    </row>
    <row r="503" s="372" customFormat="1" ht="24" hidden="1" customHeight="1" spans="1:7">
      <c r="A503" s="330">
        <v>2060999</v>
      </c>
      <c r="B503" s="379" t="s">
        <v>533</v>
      </c>
      <c r="C503" s="602">
        <f>'02'!E504</f>
        <v>1</v>
      </c>
      <c r="D503" s="603">
        <v>0</v>
      </c>
      <c r="E503" s="606">
        <f t="shared" si="21"/>
        <v>-1</v>
      </c>
      <c r="F503" s="524" t="str">
        <f t="shared" si="22"/>
        <v>是</v>
      </c>
      <c r="G503" s="312" t="str">
        <f t="shared" si="23"/>
        <v>项</v>
      </c>
    </row>
    <row r="504" s="372" customFormat="1" ht="24" customHeight="1" spans="1:7">
      <c r="A504" s="330">
        <v>20699</v>
      </c>
      <c r="B504" s="379" t="s">
        <v>534</v>
      </c>
      <c r="C504" s="602">
        <f>SUM(C505:C508)</f>
        <v>587</v>
      </c>
      <c r="D504" s="602">
        <f>SUM(D505:D508)</f>
        <v>556</v>
      </c>
      <c r="E504" s="606">
        <f t="shared" si="21"/>
        <v>-0.0528109028960818</v>
      </c>
      <c r="F504" s="524" t="str">
        <f t="shared" si="22"/>
        <v>是</v>
      </c>
      <c r="G504" s="312" t="str">
        <f t="shared" si="23"/>
        <v>款</v>
      </c>
    </row>
    <row r="505" s="372" customFormat="1" ht="24" hidden="1" customHeight="1" spans="1:7">
      <c r="A505" s="330">
        <v>2069901</v>
      </c>
      <c r="B505" s="379" t="s">
        <v>535</v>
      </c>
      <c r="C505" s="602">
        <f>'02'!E506</f>
        <v>5</v>
      </c>
      <c r="D505" s="603">
        <v>0</v>
      </c>
      <c r="E505" s="606">
        <f t="shared" ref="E505:E568" si="24">IFERROR((D505-C505)/C505,"")</f>
        <v>-1</v>
      </c>
      <c r="F505" s="524" t="str">
        <f t="shared" si="22"/>
        <v>是</v>
      </c>
      <c r="G505" s="312" t="str">
        <f t="shared" si="23"/>
        <v>项</v>
      </c>
    </row>
    <row r="506" s="372" customFormat="1" ht="24" hidden="1" customHeight="1" spans="1:7">
      <c r="A506" s="330">
        <v>2069902</v>
      </c>
      <c r="B506" s="379" t="s">
        <v>536</v>
      </c>
      <c r="C506" s="602">
        <f>'02'!E507</f>
        <v>0</v>
      </c>
      <c r="D506" s="603">
        <v>0</v>
      </c>
      <c r="E506" s="606" t="str">
        <f t="shared" si="24"/>
        <v/>
      </c>
      <c r="F506" s="524" t="str">
        <f t="shared" si="22"/>
        <v>否</v>
      </c>
      <c r="G506" s="312" t="str">
        <f t="shared" si="23"/>
        <v>项</v>
      </c>
    </row>
    <row r="507" ht="24" hidden="1" customHeight="1" spans="1:7">
      <c r="A507" s="330">
        <v>2069903</v>
      </c>
      <c r="B507" s="379" t="s">
        <v>537</v>
      </c>
      <c r="C507" s="602">
        <f>'02'!E508</f>
        <v>0</v>
      </c>
      <c r="D507" s="603">
        <v>0</v>
      </c>
      <c r="E507" s="606" t="str">
        <f t="shared" si="24"/>
        <v/>
      </c>
      <c r="F507" s="524" t="str">
        <f t="shared" si="22"/>
        <v>否</v>
      </c>
      <c r="G507" s="312" t="str">
        <f t="shared" si="23"/>
        <v>项</v>
      </c>
    </row>
    <row r="508" s="372" customFormat="1" ht="24" hidden="1" customHeight="1" spans="1:7">
      <c r="A508" s="330">
        <v>2069999</v>
      </c>
      <c r="B508" s="379" t="s">
        <v>538</v>
      </c>
      <c r="C508" s="602">
        <f>'02'!E509</f>
        <v>582</v>
      </c>
      <c r="D508" s="603">
        <v>556</v>
      </c>
      <c r="E508" s="606">
        <f t="shared" si="24"/>
        <v>-0.0446735395189003</v>
      </c>
      <c r="F508" s="524" t="str">
        <f t="shared" si="22"/>
        <v>是</v>
      </c>
      <c r="G508" s="312" t="str">
        <f t="shared" si="23"/>
        <v>项</v>
      </c>
    </row>
    <row r="509" s="372" customFormat="1" ht="24" customHeight="1" spans="1:7">
      <c r="A509" s="329">
        <v>207</v>
      </c>
      <c r="B509" s="377" t="s">
        <v>181</v>
      </c>
      <c r="C509" s="601">
        <f>C510+C526+C534+C545+C554+C562</f>
        <v>22563</v>
      </c>
      <c r="D509" s="601">
        <f>D510+D526+D534+D545+D554+D562</f>
        <v>22644</v>
      </c>
      <c r="E509" s="605">
        <f t="shared" si="24"/>
        <v>0.00358994814519346</v>
      </c>
      <c r="F509" s="524" t="str">
        <f t="shared" si="22"/>
        <v>是</v>
      </c>
      <c r="G509" s="312" t="str">
        <f t="shared" si="23"/>
        <v>类</v>
      </c>
    </row>
    <row r="510" s="372" customFormat="1" ht="24" customHeight="1" spans="1:7">
      <c r="A510" s="330">
        <v>20701</v>
      </c>
      <c r="B510" s="379" t="s">
        <v>539</v>
      </c>
      <c r="C510" s="602">
        <f>SUM(C511:C525)</f>
        <v>14065</v>
      </c>
      <c r="D510" s="602">
        <f>SUM(D511:D525)</f>
        <v>14459</v>
      </c>
      <c r="E510" s="606">
        <f t="shared" si="24"/>
        <v>0.0280127977248489</v>
      </c>
      <c r="F510" s="524" t="str">
        <f t="shared" si="22"/>
        <v>是</v>
      </c>
      <c r="G510" s="312" t="str">
        <f t="shared" si="23"/>
        <v>款</v>
      </c>
    </row>
    <row r="511" s="372" customFormat="1" ht="24" hidden="1" customHeight="1" spans="1:7">
      <c r="A511" s="330">
        <v>2070101</v>
      </c>
      <c r="B511" s="379" t="s">
        <v>212</v>
      </c>
      <c r="C511" s="602">
        <f>'02'!E512</f>
        <v>2300</v>
      </c>
      <c r="D511" s="603">
        <v>2335</v>
      </c>
      <c r="E511" s="606">
        <f t="shared" si="24"/>
        <v>0.0152173913043478</v>
      </c>
      <c r="F511" s="524" t="str">
        <f t="shared" si="22"/>
        <v>是</v>
      </c>
      <c r="G511" s="312" t="str">
        <f t="shared" si="23"/>
        <v>项</v>
      </c>
    </row>
    <row r="512" s="372" customFormat="1" ht="24" hidden="1" customHeight="1" spans="1:7">
      <c r="A512" s="330">
        <v>2070102</v>
      </c>
      <c r="B512" s="379" t="s">
        <v>213</v>
      </c>
      <c r="C512" s="602">
        <f>'02'!E513</f>
        <v>87</v>
      </c>
      <c r="D512" s="603">
        <v>75</v>
      </c>
      <c r="E512" s="606">
        <f t="shared" si="24"/>
        <v>-0.137931034482759</v>
      </c>
      <c r="F512" s="524" t="str">
        <f t="shared" si="22"/>
        <v>是</v>
      </c>
      <c r="G512" s="312" t="str">
        <f t="shared" si="23"/>
        <v>项</v>
      </c>
    </row>
    <row r="513" s="372" customFormat="1" ht="24" hidden="1" customHeight="1" spans="1:7">
      <c r="A513" s="330">
        <v>2070103</v>
      </c>
      <c r="B513" s="379" t="s">
        <v>214</v>
      </c>
      <c r="C513" s="602">
        <f>'02'!E514</f>
        <v>0</v>
      </c>
      <c r="D513" s="603">
        <v>0</v>
      </c>
      <c r="E513" s="606" t="str">
        <f t="shared" si="24"/>
        <v/>
      </c>
      <c r="F513" s="524" t="str">
        <f t="shared" si="22"/>
        <v>否</v>
      </c>
      <c r="G513" s="312" t="str">
        <f t="shared" si="23"/>
        <v>项</v>
      </c>
    </row>
    <row r="514" ht="24" hidden="1" customHeight="1" spans="1:7">
      <c r="A514" s="330">
        <v>2070104</v>
      </c>
      <c r="B514" s="379" t="s">
        <v>540</v>
      </c>
      <c r="C514" s="602">
        <f>'02'!E515</f>
        <v>1277</v>
      </c>
      <c r="D514" s="603">
        <v>1258</v>
      </c>
      <c r="E514" s="606">
        <f t="shared" si="24"/>
        <v>-0.0148786217697729</v>
      </c>
      <c r="F514" s="524" t="str">
        <f t="shared" si="22"/>
        <v>是</v>
      </c>
      <c r="G514" s="312" t="str">
        <f t="shared" si="23"/>
        <v>项</v>
      </c>
    </row>
    <row r="515" s="372" customFormat="1" ht="24" hidden="1" customHeight="1" spans="1:7">
      <c r="A515" s="330">
        <v>2070105</v>
      </c>
      <c r="B515" s="379" t="s">
        <v>541</v>
      </c>
      <c r="C515" s="602">
        <f>'02'!E516</f>
        <v>0</v>
      </c>
      <c r="D515" s="603">
        <v>0</v>
      </c>
      <c r="E515" s="606" t="str">
        <f t="shared" si="24"/>
        <v/>
      </c>
      <c r="F515" s="524" t="str">
        <f t="shared" si="22"/>
        <v>否</v>
      </c>
      <c r="G515" s="312" t="str">
        <f t="shared" si="23"/>
        <v>项</v>
      </c>
    </row>
    <row r="516" s="372" customFormat="1" ht="24" hidden="1" customHeight="1" spans="1:7">
      <c r="A516" s="330">
        <v>2070106</v>
      </c>
      <c r="B516" s="379" t="s">
        <v>542</v>
      </c>
      <c r="C516" s="602">
        <f>'02'!E517</f>
        <v>0</v>
      </c>
      <c r="D516" s="603">
        <v>0</v>
      </c>
      <c r="E516" s="606" t="str">
        <f t="shared" si="24"/>
        <v/>
      </c>
      <c r="F516" s="524" t="str">
        <f t="shared" ref="F516:F579" si="25">IF(LEN(A516)=3,"是",IF(B516&lt;&gt;"",IF(SUM(C516:D516)&lt;&gt;0,"是","否"),"是"))</f>
        <v>否</v>
      </c>
      <c r="G516" s="312" t="str">
        <f t="shared" ref="G516:G579" si="26">IF(LEN(A516)=3,"类",IF(LEN(A516)=5,"款","项"))</f>
        <v>项</v>
      </c>
    </row>
    <row r="517" s="372" customFormat="1" ht="24" hidden="1" customHeight="1" spans="1:7">
      <c r="A517" s="330">
        <v>2070107</v>
      </c>
      <c r="B517" s="379" t="s">
        <v>543</v>
      </c>
      <c r="C517" s="602">
        <f>'02'!E518</f>
        <v>616</v>
      </c>
      <c r="D517" s="603">
        <v>595</v>
      </c>
      <c r="E517" s="606">
        <f t="shared" si="24"/>
        <v>-0.0340909090909091</v>
      </c>
      <c r="F517" s="524" t="str">
        <f t="shared" si="25"/>
        <v>是</v>
      </c>
      <c r="G517" s="312" t="str">
        <f t="shared" si="26"/>
        <v>项</v>
      </c>
    </row>
    <row r="518" ht="24" hidden="1" customHeight="1" spans="1:7">
      <c r="A518" s="330">
        <v>2070108</v>
      </c>
      <c r="B518" s="379" t="s">
        <v>544</v>
      </c>
      <c r="C518" s="602">
        <f>'02'!E519</f>
        <v>52</v>
      </c>
      <c r="D518" s="603">
        <v>49</v>
      </c>
      <c r="E518" s="606">
        <f t="shared" si="24"/>
        <v>-0.0576923076923077</v>
      </c>
      <c r="F518" s="524" t="str">
        <f t="shared" si="25"/>
        <v>是</v>
      </c>
      <c r="G518" s="312" t="str">
        <f t="shared" si="26"/>
        <v>项</v>
      </c>
    </row>
    <row r="519" s="372" customFormat="1" ht="24" hidden="1" customHeight="1" spans="1:7">
      <c r="A519" s="330">
        <v>2070109</v>
      </c>
      <c r="B519" s="379" t="s">
        <v>545</v>
      </c>
      <c r="C519" s="602">
        <f>'02'!E520</f>
        <v>1484</v>
      </c>
      <c r="D519" s="603">
        <v>1425</v>
      </c>
      <c r="E519" s="606">
        <f t="shared" si="24"/>
        <v>-0.0397574123989218</v>
      </c>
      <c r="F519" s="524" t="str">
        <f t="shared" si="25"/>
        <v>是</v>
      </c>
      <c r="G519" s="312" t="str">
        <f t="shared" si="26"/>
        <v>项</v>
      </c>
    </row>
    <row r="520" s="372" customFormat="1" ht="24" hidden="1" customHeight="1" spans="1:7">
      <c r="A520" s="330">
        <v>2070110</v>
      </c>
      <c r="B520" s="379" t="s">
        <v>546</v>
      </c>
      <c r="C520" s="602">
        <f>'02'!E521</f>
        <v>0</v>
      </c>
      <c r="D520" s="603">
        <v>0</v>
      </c>
      <c r="E520" s="606" t="str">
        <f t="shared" si="24"/>
        <v/>
      </c>
      <c r="F520" s="524" t="str">
        <f t="shared" si="25"/>
        <v>否</v>
      </c>
      <c r="G520" s="312" t="str">
        <f t="shared" si="26"/>
        <v>项</v>
      </c>
    </row>
    <row r="521" s="372" customFormat="1" ht="24" hidden="1" customHeight="1" spans="1:7">
      <c r="A521" s="330">
        <v>2070111</v>
      </c>
      <c r="B521" s="379" t="s">
        <v>547</v>
      </c>
      <c r="C521" s="602">
        <f>'02'!E522</f>
        <v>1017</v>
      </c>
      <c r="D521" s="603">
        <v>1068</v>
      </c>
      <c r="E521" s="606">
        <f t="shared" si="24"/>
        <v>0.0501474926253687</v>
      </c>
      <c r="F521" s="524" t="str">
        <f t="shared" si="25"/>
        <v>是</v>
      </c>
      <c r="G521" s="312" t="str">
        <f t="shared" si="26"/>
        <v>项</v>
      </c>
    </row>
    <row r="522" ht="24" hidden="1" customHeight="1" spans="1:7">
      <c r="A522" s="330">
        <v>2070112</v>
      </c>
      <c r="B522" s="379" t="s">
        <v>548</v>
      </c>
      <c r="C522" s="602">
        <f>'02'!E523</f>
        <v>950</v>
      </c>
      <c r="D522" s="603">
        <v>985</v>
      </c>
      <c r="E522" s="606">
        <f t="shared" si="24"/>
        <v>0.0368421052631579</v>
      </c>
      <c r="F522" s="524" t="str">
        <f t="shared" si="25"/>
        <v>是</v>
      </c>
      <c r="G522" s="312" t="str">
        <f t="shared" si="26"/>
        <v>项</v>
      </c>
    </row>
    <row r="523" s="372" customFormat="1" ht="24" hidden="1" customHeight="1" spans="1:7">
      <c r="A523" s="330">
        <v>2070113</v>
      </c>
      <c r="B523" s="379" t="s">
        <v>549</v>
      </c>
      <c r="C523" s="602">
        <f>'02'!E524</f>
        <v>154</v>
      </c>
      <c r="D523" s="603">
        <v>168</v>
      </c>
      <c r="E523" s="606">
        <f t="shared" si="24"/>
        <v>0.0909090909090909</v>
      </c>
      <c r="F523" s="524" t="str">
        <f t="shared" si="25"/>
        <v>是</v>
      </c>
      <c r="G523" s="312" t="str">
        <f t="shared" si="26"/>
        <v>项</v>
      </c>
    </row>
    <row r="524" s="372" customFormat="1" ht="24" hidden="1" customHeight="1" spans="1:7">
      <c r="A524" s="330">
        <v>2070114</v>
      </c>
      <c r="B524" s="379" t="s">
        <v>550</v>
      </c>
      <c r="C524" s="602">
        <f>'02'!E525</f>
        <v>1058</v>
      </c>
      <c r="D524" s="603">
        <v>1086</v>
      </c>
      <c r="E524" s="606">
        <f t="shared" si="24"/>
        <v>0.0264650283553875</v>
      </c>
      <c r="F524" s="524" t="str">
        <f t="shared" si="25"/>
        <v>是</v>
      </c>
      <c r="G524" s="312" t="str">
        <f t="shared" si="26"/>
        <v>项</v>
      </c>
    </row>
    <row r="525" s="372" customFormat="1" ht="24" hidden="1" customHeight="1" spans="1:7">
      <c r="A525" s="330">
        <v>2070199</v>
      </c>
      <c r="B525" s="379" t="s">
        <v>551</v>
      </c>
      <c r="C525" s="602">
        <f>'02'!E526</f>
        <v>5070</v>
      </c>
      <c r="D525" s="603">
        <v>5415</v>
      </c>
      <c r="E525" s="606">
        <f t="shared" si="24"/>
        <v>0.0680473372781065</v>
      </c>
      <c r="F525" s="524" t="str">
        <f t="shared" si="25"/>
        <v>是</v>
      </c>
      <c r="G525" s="312" t="str">
        <f t="shared" si="26"/>
        <v>项</v>
      </c>
    </row>
    <row r="526" s="372" customFormat="1" ht="24" customHeight="1" spans="1:7">
      <c r="A526" s="330">
        <v>20702</v>
      </c>
      <c r="B526" s="379" t="s">
        <v>552</v>
      </c>
      <c r="C526" s="602">
        <f>SUM(C527:C533)</f>
        <v>1574</v>
      </c>
      <c r="D526" s="602">
        <f>SUM(D527:D533)</f>
        <v>1516</v>
      </c>
      <c r="E526" s="606">
        <f t="shared" si="24"/>
        <v>-0.036848792884371</v>
      </c>
      <c r="F526" s="524" t="str">
        <f t="shared" si="25"/>
        <v>是</v>
      </c>
      <c r="G526" s="312" t="str">
        <f t="shared" si="26"/>
        <v>款</v>
      </c>
    </row>
    <row r="527" ht="24" hidden="1" customHeight="1" spans="1:7">
      <c r="A527" s="330">
        <v>2070201</v>
      </c>
      <c r="B527" s="379" t="s">
        <v>212</v>
      </c>
      <c r="C527" s="602">
        <f>'02'!E528</f>
        <v>0</v>
      </c>
      <c r="D527" s="603">
        <v>0</v>
      </c>
      <c r="E527" s="606" t="str">
        <f t="shared" si="24"/>
        <v/>
      </c>
      <c r="F527" s="524" t="str">
        <f t="shared" si="25"/>
        <v>否</v>
      </c>
      <c r="G527" s="312" t="str">
        <f t="shared" si="26"/>
        <v>项</v>
      </c>
    </row>
    <row r="528" ht="24" hidden="1" customHeight="1" spans="1:7">
      <c r="A528" s="330">
        <v>2070202</v>
      </c>
      <c r="B528" s="379" t="s">
        <v>213</v>
      </c>
      <c r="C528" s="602">
        <f>'02'!E529</f>
        <v>3</v>
      </c>
      <c r="D528" s="603">
        <v>6</v>
      </c>
      <c r="E528" s="606">
        <f t="shared" si="24"/>
        <v>1</v>
      </c>
      <c r="F528" s="524" t="str">
        <f t="shared" si="25"/>
        <v>是</v>
      </c>
      <c r="G528" s="312" t="str">
        <f t="shared" si="26"/>
        <v>项</v>
      </c>
    </row>
    <row r="529" s="372" customFormat="1" ht="24" hidden="1" customHeight="1" spans="1:7">
      <c r="A529" s="330">
        <v>2070203</v>
      </c>
      <c r="B529" s="379" t="s">
        <v>214</v>
      </c>
      <c r="C529" s="602">
        <f>'02'!E530</f>
        <v>0</v>
      </c>
      <c r="D529" s="603">
        <v>0</v>
      </c>
      <c r="E529" s="606" t="str">
        <f t="shared" si="24"/>
        <v/>
      </c>
      <c r="F529" s="524" t="str">
        <f t="shared" si="25"/>
        <v>否</v>
      </c>
      <c r="G529" s="312" t="str">
        <f t="shared" si="26"/>
        <v>项</v>
      </c>
    </row>
    <row r="530" s="372" customFormat="1" ht="24" hidden="1" customHeight="1" spans="1:7">
      <c r="A530" s="330">
        <v>2070204</v>
      </c>
      <c r="B530" s="379" t="s">
        <v>553</v>
      </c>
      <c r="C530" s="602">
        <f>'02'!E531</f>
        <v>400</v>
      </c>
      <c r="D530" s="603">
        <v>385</v>
      </c>
      <c r="E530" s="606">
        <f t="shared" si="24"/>
        <v>-0.0375</v>
      </c>
      <c r="F530" s="524" t="str">
        <f t="shared" si="25"/>
        <v>是</v>
      </c>
      <c r="G530" s="312" t="str">
        <f t="shared" si="26"/>
        <v>项</v>
      </c>
    </row>
    <row r="531" s="372" customFormat="1" ht="24" hidden="1" customHeight="1" spans="1:7">
      <c r="A531" s="330">
        <v>2070205</v>
      </c>
      <c r="B531" s="379" t="s">
        <v>554</v>
      </c>
      <c r="C531" s="602">
        <f>'02'!E532</f>
        <v>1171</v>
      </c>
      <c r="D531" s="603">
        <v>1125</v>
      </c>
      <c r="E531" s="606">
        <f t="shared" si="24"/>
        <v>-0.0392826643894108</v>
      </c>
      <c r="F531" s="524" t="str">
        <f t="shared" si="25"/>
        <v>是</v>
      </c>
      <c r="G531" s="312" t="str">
        <f t="shared" si="26"/>
        <v>项</v>
      </c>
    </row>
    <row r="532" s="372" customFormat="1" ht="24" hidden="1" customHeight="1" spans="1:7">
      <c r="A532" s="330">
        <v>2070206</v>
      </c>
      <c r="B532" s="379" t="s">
        <v>555</v>
      </c>
      <c r="C532" s="602">
        <f>'02'!E533</f>
        <v>0</v>
      </c>
      <c r="D532" s="603">
        <v>0</v>
      </c>
      <c r="E532" s="606" t="str">
        <f t="shared" si="24"/>
        <v/>
      </c>
      <c r="F532" s="524" t="str">
        <f t="shared" si="25"/>
        <v>否</v>
      </c>
      <c r="G532" s="312" t="str">
        <f t="shared" si="26"/>
        <v>项</v>
      </c>
    </row>
    <row r="533" s="372" customFormat="1" ht="24" hidden="1" customHeight="1" spans="1:7">
      <c r="A533" s="330">
        <v>2070299</v>
      </c>
      <c r="B533" s="379" t="s">
        <v>556</v>
      </c>
      <c r="C533" s="602">
        <f>'02'!E534</f>
        <v>0</v>
      </c>
      <c r="D533" s="603">
        <v>0</v>
      </c>
      <c r="E533" s="606" t="str">
        <f t="shared" si="24"/>
        <v/>
      </c>
      <c r="F533" s="524" t="str">
        <f t="shared" si="25"/>
        <v>否</v>
      </c>
      <c r="G533" s="312" t="str">
        <f t="shared" si="26"/>
        <v>项</v>
      </c>
    </row>
    <row r="534" s="372" customFormat="1" ht="24" customHeight="1" spans="1:7">
      <c r="A534" s="330">
        <v>20703</v>
      </c>
      <c r="B534" s="379" t="s">
        <v>557</v>
      </c>
      <c r="C534" s="602">
        <f>SUM(C535:C544)</f>
        <v>2053</v>
      </c>
      <c r="D534" s="602">
        <f>SUM(D535:D544)</f>
        <v>2052</v>
      </c>
      <c r="E534" s="606">
        <f t="shared" si="24"/>
        <v>-0.000487092060399416</v>
      </c>
      <c r="F534" s="524" t="str">
        <f t="shared" si="25"/>
        <v>是</v>
      </c>
      <c r="G534" s="312" t="str">
        <f t="shared" si="26"/>
        <v>款</v>
      </c>
    </row>
    <row r="535" s="372" customFormat="1" ht="24" hidden="1" customHeight="1" spans="1:7">
      <c r="A535" s="330">
        <v>2070301</v>
      </c>
      <c r="B535" s="379" t="s">
        <v>212</v>
      </c>
      <c r="C535" s="602">
        <f>'02'!E536</f>
        <v>149</v>
      </c>
      <c r="D535" s="603">
        <v>153</v>
      </c>
      <c r="E535" s="606">
        <f t="shared" si="24"/>
        <v>0.0268456375838926</v>
      </c>
      <c r="F535" s="524" t="str">
        <f t="shared" si="25"/>
        <v>是</v>
      </c>
      <c r="G535" s="312" t="str">
        <f t="shared" si="26"/>
        <v>项</v>
      </c>
    </row>
    <row r="536" s="372" customFormat="1" ht="24" hidden="1" customHeight="1" spans="1:7">
      <c r="A536" s="330">
        <v>2070302</v>
      </c>
      <c r="B536" s="379" t="s">
        <v>213</v>
      </c>
      <c r="C536" s="602">
        <f>'02'!E537</f>
        <v>2</v>
      </c>
      <c r="D536" s="603">
        <v>18</v>
      </c>
      <c r="E536" s="606">
        <f t="shared" si="24"/>
        <v>8</v>
      </c>
      <c r="F536" s="524" t="str">
        <f t="shared" si="25"/>
        <v>是</v>
      </c>
      <c r="G536" s="312" t="str">
        <f t="shared" si="26"/>
        <v>项</v>
      </c>
    </row>
    <row r="537" s="372" customFormat="1" ht="24" hidden="1" customHeight="1" spans="1:7">
      <c r="A537" s="330">
        <v>2070303</v>
      </c>
      <c r="B537" s="379" t="s">
        <v>214</v>
      </c>
      <c r="C537" s="602">
        <f>'02'!E538</f>
        <v>0</v>
      </c>
      <c r="D537" s="603">
        <v>0</v>
      </c>
      <c r="E537" s="606" t="str">
        <f t="shared" si="24"/>
        <v/>
      </c>
      <c r="F537" s="524" t="str">
        <f t="shared" si="25"/>
        <v>否</v>
      </c>
      <c r="G537" s="312" t="str">
        <f t="shared" si="26"/>
        <v>项</v>
      </c>
    </row>
    <row r="538" s="372" customFormat="1" ht="24" hidden="1" customHeight="1" spans="1:7">
      <c r="A538" s="330">
        <v>2070304</v>
      </c>
      <c r="B538" s="379" t="s">
        <v>558</v>
      </c>
      <c r="C538" s="602">
        <f>'02'!E539</f>
        <v>239</v>
      </c>
      <c r="D538" s="603">
        <v>224</v>
      </c>
      <c r="E538" s="606">
        <f t="shared" si="24"/>
        <v>-0.0627615062761506</v>
      </c>
      <c r="F538" s="524" t="str">
        <f t="shared" si="25"/>
        <v>是</v>
      </c>
      <c r="G538" s="312" t="str">
        <f t="shared" si="26"/>
        <v>项</v>
      </c>
    </row>
    <row r="539" s="372" customFormat="1" ht="24" hidden="1" customHeight="1" spans="1:7">
      <c r="A539" s="330">
        <v>2070305</v>
      </c>
      <c r="B539" s="379" t="s">
        <v>559</v>
      </c>
      <c r="C539" s="602">
        <f>'02'!E540</f>
        <v>0</v>
      </c>
      <c r="D539" s="603">
        <v>0</v>
      </c>
      <c r="E539" s="606" t="str">
        <f t="shared" si="24"/>
        <v/>
      </c>
      <c r="F539" s="524" t="str">
        <f t="shared" si="25"/>
        <v>否</v>
      </c>
      <c r="G539" s="312" t="str">
        <f t="shared" si="26"/>
        <v>项</v>
      </c>
    </row>
    <row r="540" s="372" customFormat="1" ht="24" hidden="1" customHeight="1" spans="1:7">
      <c r="A540" s="330">
        <v>2070306</v>
      </c>
      <c r="B540" s="379" t="s">
        <v>560</v>
      </c>
      <c r="C540" s="602">
        <f>'02'!E541</f>
        <v>38</v>
      </c>
      <c r="D540" s="603">
        <v>35</v>
      </c>
      <c r="E540" s="606">
        <f t="shared" si="24"/>
        <v>-0.0789473684210526</v>
      </c>
      <c r="F540" s="524" t="str">
        <f t="shared" si="25"/>
        <v>是</v>
      </c>
      <c r="G540" s="312" t="str">
        <f t="shared" si="26"/>
        <v>项</v>
      </c>
    </row>
    <row r="541" s="372" customFormat="1" ht="24" hidden="1" customHeight="1" spans="1:7">
      <c r="A541" s="330">
        <v>2070307</v>
      </c>
      <c r="B541" s="379" t="s">
        <v>561</v>
      </c>
      <c r="C541" s="602">
        <f>'02'!E542</f>
        <v>143</v>
      </c>
      <c r="D541" s="603">
        <v>135</v>
      </c>
      <c r="E541" s="606">
        <f t="shared" si="24"/>
        <v>-0.0559440559440559</v>
      </c>
      <c r="F541" s="524" t="str">
        <f t="shared" si="25"/>
        <v>是</v>
      </c>
      <c r="G541" s="312" t="str">
        <f t="shared" si="26"/>
        <v>项</v>
      </c>
    </row>
    <row r="542" s="372" customFormat="1" ht="24" hidden="1" customHeight="1" spans="1:7">
      <c r="A542" s="330">
        <v>2070308</v>
      </c>
      <c r="B542" s="379" t="s">
        <v>562</v>
      </c>
      <c r="C542" s="602">
        <f>'02'!E543</f>
        <v>1267</v>
      </c>
      <c r="D542" s="603">
        <v>1277</v>
      </c>
      <c r="E542" s="606">
        <f t="shared" si="24"/>
        <v>0.00789265982636148</v>
      </c>
      <c r="F542" s="524" t="str">
        <f t="shared" si="25"/>
        <v>是</v>
      </c>
      <c r="G542" s="312" t="str">
        <f t="shared" si="26"/>
        <v>项</v>
      </c>
    </row>
    <row r="543" s="372" customFormat="1" ht="24" hidden="1" customHeight="1" spans="1:7">
      <c r="A543" s="330">
        <v>2070309</v>
      </c>
      <c r="B543" s="379" t="s">
        <v>563</v>
      </c>
      <c r="C543" s="602">
        <f>'02'!E544</f>
        <v>120</v>
      </c>
      <c r="D543" s="603">
        <v>125</v>
      </c>
      <c r="E543" s="606">
        <f t="shared" si="24"/>
        <v>0.0416666666666667</v>
      </c>
      <c r="F543" s="524" t="str">
        <f t="shared" si="25"/>
        <v>是</v>
      </c>
      <c r="G543" s="312" t="str">
        <f t="shared" si="26"/>
        <v>项</v>
      </c>
    </row>
    <row r="544" ht="24" hidden="1" customHeight="1" spans="1:7">
      <c r="A544" s="330">
        <v>2070399</v>
      </c>
      <c r="B544" s="379" t="s">
        <v>564</v>
      </c>
      <c r="C544" s="602">
        <f>'02'!E545</f>
        <v>95</v>
      </c>
      <c r="D544" s="603">
        <v>85</v>
      </c>
      <c r="E544" s="606">
        <f t="shared" si="24"/>
        <v>-0.105263157894737</v>
      </c>
      <c r="F544" s="524" t="str">
        <f t="shared" si="25"/>
        <v>是</v>
      </c>
      <c r="G544" s="312" t="str">
        <f t="shared" si="26"/>
        <v>项</v>
      </c>
    </row>
    <row r="545" s="372" customFormat="1" ht="24" customHeight="1" spans="1:7">
      <c r="A545" s="330">
        <v>20706</v>
      </c>
      <c r="B545" s="379" t="s">
        <v>565</v>
      </c>
      <c r="C545" s="602">
        <f>SUM(C546:C553)</f>
        <v>46</v>
      </c>
      <c r="D545" s="602">
        <f>SUM(D546:D553)</f>
        <v>46</v>
      </c>
      <c r="E545" s="606">
        <f t="shared" si="24"/>
        <v>0</v>
      </c>
      <c r="F545" s="524" t="str">
        <f t="shared" si="25"/>
        <v>是</v>
      </c>
      <c r="G545" s="312" t="str">
        <f t="shared" si="26"/>
        <v>款</v>
      </c>
    </row>
    <row r="546" s="372" customFormat="1" ht="24" hidden="1" customHeight="1" spans="1:7">
      <c r="A546" s="330">
        <v>2070601</v>
      </c>
      <c r="B546" s="379" t="s">
        <v>212</v>
      </c>
      <c r="C546" s="602">
        <f>'02'!E547</f>
        <v>2</v>
      </c>
      <c r="D546" s="603">
        <v>4</v>
      </c>
      <c r="E546" s="606">
        <f t="shared" si="24"/>
        <v>1</v>
      </c>
      <c r="F546" s="524" t="str">
        <f t="shared" si="25"/>
        <v>是</v>
      </c>
      <c r="G546" s="312" t="str">
        <f t="shared" si="26"/>
        <v>项</v>
      </c>
    </row>
    <row r="547" s="372" customFormat="1" ht="24" hidden="1" customHeight="1" spans="1:7">
      <c r="A547" s="330">
        <v>2070602</v>
      </c>
      <c r="B547" s="379" t="s">
        <v>213</v>
      </c>
      <c r="C547" s="602">
        <f>'02'!E548</f>
        <v>0</v>
      </c>
      <c r="D547" s="603">
        <v>0</v>
      </c>
      <c r="E547" s="606" t="str">
        <f t="shared" si="24"/>
        <v/>
      </c>
      <c r="F547" s="524" t="str">
        <f t="shared" si="25"/>
        <v>否</v>
      </c>
      <c r="G547" s="312" t="str">
        <f t="shared" si="26"/>
        <v>项</v>
      </c>
    </row>
    <row r="548" s="372" customFormat="1" ht="24" hidden="1" customHeight="1" spans="1:7">
      <c r="A548" s="330">
        <v>2070603</v>
      </c>
      <c r="B548" s="379" t="s">
        <v>214</v>
      </c>
      <c r="C548" s="602">
        <f>'02'!E549</f>
        <v>0</v>
      </c>
      <c r="D548" s="603">
        <v>0</v>
      </c>
      <c r="E548" s="606" t="str">
        <f t="shared" si="24"/>
        <v/>
      </c>
      <c r="F548" s="524" t="str">
        <f t="shared" si="25"/>
        <v>否</v>
      </c>
      <c r="G548" s="312" t="str">
        <f t="shared" si="26"/>
        <v>项</v>
      </c>
    </row>
    <row r="549" s="372" customFormat="1" ht="24" hidden="1" customHeight="1" spans="1:7">
      <c r="A549" s="330">
        <v>2070604</v>
      </c>
      <c r="B549" s="379" t="s">
        <v>566</v>
      </c>
      <c r="C549" s="602">
        <f>'02'!E550</f>
        <v>0</v>
      </c>
      <c r="D549" s="603">
        <v>0</v>
      </c>
      <c r="E549" s="606" t="str">
        <f t="shared" si="24"/>
        <v/>
      </c>
      <c r="F549" s="524" t="str">
        <f t="shared" si="25"/>
        <v>否</v>
      </c>
      <c r="G549" s="312" t="str">
        <f t="shared" si="26"/>
        <v>项</v>
      </c>
    </row>
    <row r="550" s="372" customFormat="1" ht="24" hidden="1" customHeight="1" spans="1:7">
      <c r="A550" s="330">
        <v>2070605</v>
      </c>
      <c r="B550" s="379" t="s">
        <v>567</v>
      </c>
      <c r="C550" s="602">
        <f>'02'!E551</f>
        <v>16</v>
      </c>
      <c r="D550" s="603">
        <v>15</v>
      </c>
      <c r="E550" s="606">
        <f t="shared" si="24"/>
        <v>-0.0625</v>
      </c>
      <c r="F550" s="524" t="str">
        <f t="shared" si="25"/>
        <v>是</v>
      </c>
      <c r="G550" s="312" t="str">
        <f t="shared" si="26"/>
        <v>项</v>
      </c>
    </row>
    <row r="551" s="372" customFormat="1" ht="24" hidden="1" customHeight="1" spans="1:7">
      <c r="A551" s="330">
        <v>2070606</v>
      </c>
      <c r="B551" s="379" t="s">
        <v>568</v>
      </c>
      <c r="C551" s="602">
        <f>'02'!E552</f>
        <v>0</v>
      </c>
      <c r="D551" s="603">
        <v>0</v>
      </c>
      <c r="E551" s="606" t="str">
        <f t="shared" si="24"/>
        <v/>
      </c>
      <c r="F551" s="524" t="str">
        <f t="shared" si="25"/>
        <v>否</v>
      </c>
      <c r="G551" s="312" t="str">
        <f t="shared" si="26"/>
        <v>项</v>
      </c>
    </row>
    <row r="552" ht="24" hidden="1" customHeight="1" spans="1:7">
      <c r="A552" s="330">
        <v>2070607</v>
      </c>
      <c r="B552" s="379" t="s">
        <v>569</v>
      </c>
      <c r="C552" s="602">
        <f>'02'!E553</f>
        <v>28</v>
      </c>
      <c r="D552" s="603">
        <v>27</v>
      </c>
      <c r="E552" s="606">
        <f t="shared" si="24"/>
        <v>-0.0357142857142857</v>
      </c>
      <c r="F552" s="524" t="str">
        <f t="shared" si="25"/>
        <v>是</v>
      </c>
      <c r="G552" s="312" t="str">
        <f t="shared" si="26"/>
        <v>项</v>
      </c>
    </row>
    <row r="553" s="372" customFormat="1" ht="24" hidden="1" customHeight="1" spans="1:7">
      <c r="A553" s="330">
        <v>2070699</v>
      </c>
      <c r="B553" s="379" t="s">
        <v>570</v>
      </c>
      <c r="C553" s="602">
        <f>'02'!E554</f>
        <v>0</v>
      </c>
      <c r="D553" s="603">
        <v>0</v>
      </c>
      <c r="E553" s="606" t="str">
        <f t="shared" si="24"/>
        <v/>
      </c>
      <c r="F553" s="524" t="str">
        <f t="shared" si="25"/>
        <v>否</v>
      </c>
      <c r="G553" s="312" t="str">
        <f t="shared" si="26"/>
        <v>项</v>
      </c>
    </row>
    <row r="554" s="372" customFormat="1" ht="24" customHeight="1" spans="1:7">
      <c r="A554" s="330">
        <v>20708</v>
      </c>
      <c r="B554" s="379" t="s">
        <v>571</v>
      </c>
      <c r="C554" s="602">
        <f>SUM(C555:C561)</f>
        <v>4084</v>
      </c>
      <c r="D554" s="602">
        <f>SUM(D555:D561)</f>
        <v>3975</v>
      </c>
      <c r="E554" s="606">
        <f t="shared" si="24"/>
        <v>-0.0266895200783546</v>
      </c>
      <c r="F554" s="524" t="str">
        <f t="shared" si="25"/>
        <v>是</v>
      </c>
      <c r="G554" s="312" t="str">
        <f t="shared" si="26"/>
        <v>款</v>
      </c>
    </row>
    <row r="555" s="372" customFormat="1" ht="24" hidden="1" customHeight="1" spans="1:7">
      <c r="A555" s="330">
        <v>2070801</v>
      </c>
      <c r="B555" s="379" t="s">
        <v>212</v>
      </c>
      <c r="C555" s="602">
        <f>'02'!E556</f>
        <v>245</v>
      </c>
      <c r="D555" s="603">
        <v>252</v>
      </c>
      <c r="E555" s="606">
        <f t="shared" si="24"/>
        <v>0.0285714285714286</v>
      </c>
      <c r="F555" s="524" t="str">
        <f t="shared" si="25"/>
        <v>是</v>
      </c>
      <c r="G555" s="312" t="str">
        <f t="shared" si="26"/>
        <v>项</v>
      </c>
    </row>
    <row r="556" s="372" customFormat="1" ht="24" hidden="1" customHeight="1" spans="1:7">
      <c r="A556" s="330">
        <v>2070802</v>
      </c>
      <c r="B556" s="379" t="s">
        <v>213</v>
      </c>
      <c r="C556" s="602">
        <f>'02'!E557</f>
        <v>17</v>
      </c>
      <c r="D556" s="603">
        <v>14</v>
      </c>
      <c r="E556" s="606">
        <f t="shared" si="24"/>
        <v>-0.176470588235294</v>
      </c>
      <c r="F556" s="524" t="str">
        <f t="shared" si="25"/>
        <v>是</v>
      </c>
      <c r="G556" s="312" t="str">
        <f t="shared" si="26"/>
        <v>项</v>
      </c>
    </row>
    <row r="557" s="372" customFormat="1" ht="24" hidden="1" customHeight="1" spans="1:7">
      <c r="A557" s="330">
        <v>2070803</v>
      </c>
      <c r="B557" s="379" t="s">
        <v>214</v>
      </c>
      <c r="C557" s="602">
        <f>'02'!E558</f>
        <v>0</v>
      </c>
      <c r="D557" s="603">
        <v>0</v>
      </c>
      <c r="E557" s="606" t="str">
        <f t="shared" si="24"/>
        <v/>
      </c>
      <c r="F557" s="524" t="str">
        <f t="shared" si="25"/>
        <v>否</v>
      </c>
      <c r="G557" s="312" t="str">
        <f t="shared" si="26"/>
        <v>项</v>
      </c>
    </row>
    <row r="558" s="372" customFormat="1" ht="24" hidden="1" customHeight="1" spans="1:7">
      <c r="A558" s="330">
        <v>2070806</v>
      </c>
      <c r="B558" s="379" t="s">
        <v>572</v>
      </c>
      <c r="C558" s="602">
        <f>'02'!E559</f>
        <v>65</v>
      </c>
      <c r="D558" s="603">
        <v>63</v>
      </c>
      <c r="E558" s="606">
        <f t="shared" si="24"/>
        <v>-0.0307692307692308</v>
      </c>
      <c r="F558" s="524" t="str">
        <f t="shared" si="25"/>
        <v>是</v>
      </c>
      <c r="G558" s="312" t="str">
        <f t="shared" si="26"/>
        <v>项</v>
      </c>
    </row>
    <row r="559" s="372" customFormat="1" ht="24" hidden="1" customHeight="1" spans="1:7">
      <c r="A559" s="536">
        <v>2070807</v>
      </c>
      <c r="B559" s="379" t="s">
        <v>573</v>
      </c>
      <c r="C559" s="602">
        <f>'02'!E560</f>
        <v>160</v>
      </c>
      <c r="D559" s="603">
        <v>152</v>
      </c>
      <c r="E559" s="606">
        <f t="shared" si="24"/>
        <v>-0.05</v>
      </c>
      <c r="F559" s="524" t="str">
        <f t="shared" si="25"/>
        <v>是</v>
      </c>
      <c r="G559" s="312" t="str">
        <f t="shared" si="26"/>
        <v>项</v>
      </c>
    </row>
    <row r="560" s="372" customFormat="1" ht="24" hidden="1" customHeight="1" spans="1:7">
      <c r="A560" s="536">
        <v>2070808</v>
      </c>
      <c r="B560" s="379" t="s">
        <v>574</v>
      </c>
      <c r="C560" s="602">
        <f>'02'!E561</f>
        <v>2326</v>
      </c>
      <c r="D560" s="603">
        <v>2305</v>
      </c>
      <c r="E560" s="606">
        <f t="shared" si="24"/>
        <v>-0.00902837489251935</v>
      </c>
      <c r="F560" s="524" t="str">
        <f t="shared" si="25"/>
        <v>是</v>
      </c>
      <c r="G560" s="312" t="str">
        <f t="shared" si="26"/>
        <v>项</v>
      </c>
    </row>
    <row r="561" s="372" customFormat="1" ht="24" hidden="1" customHeight="1" spans="1:7">
      <c r="A561" s="330">
        <v>2070899</v>
      </c>
      <c r="B561" s="379" t="s">
        <v>575</v>
      </c>
      <c r="C561" s="602">
        <f>'02'!E562</f>
        <v>1271</v>
      </c>
      <c r="D561" s="603">
        <v>1189</v>
      </c>
      <c r="E561" s="606">
        <f t="shared" si="24"/>
        <v>-0.0645161290322581</v>
      </c>
      <c r="F561" s="524" t="str">
        <f t="shared" si="25"/>
        <v>是</v>
      </c>
      <c r="G561" s="312" t="str">
        <f t="shared" si="26"/>
        <v>项</v>
      </c>
    </row>
    <row r="562" s="372" customFormat="1" ht="24" customHeight="1" spans="1:7">
      <c r="A562" s="330">
        <v>20799</v>
      </c>
      <c r="B562" s="379" t="s">
        <v>576</v>
      </c>
      <c r="C562" s="602">
        <f>SUM(C563:C564)</f>
        <v>741</v>
      </c>
      <c r="D562" s="602">
        <f>SUM(D563:D564)</f>
        <v>596</v>
      </c>
      <c r="E562" s="606">
        <f t="shared" si="24"/>
        <v>-0.195681511470985</v>
      </c>
      <c r="F562" s="524" t="str">
        <f t="shared" si="25"/>
        <v>是</v>
      </c>
      <c r="G562" s="312" t="str">
        <f t="shared" si="26"/>
        <v>款</v>
      </c>
    </row>
    <row r="563" s="372" customFormat="1" ht="24" hidden="1" customHeight="1" spans="1:7">
      <c r="A563" s="330">
        <v>2079903</v>
      </c>
      <c r="B563" s="379" t="s">
        <v>578</v>
      </c>
      <c r="C563" s="602">
        <f>'02'!E565</f>
        <v>202</v>
      </c>
      <c r="D563" s="603">
        <v>175</v>
      </c>
      <c r="E563" s="606">
        <f t="shared" si="24"/>
        <v>-0.133663366336634</v>
      </c>
      <c r="F563" s="524" t="str">
        <f t="shared" si="25"/>
        <v>是</v>
      </c>
      <c r="G563" s="312" t="str">
        <f t="shared" si="26"/>
        <v>项</v>
      </c>
    </row>
    <row r="564" s="372" customFormat="1" ht="24" hidden="1" customHeight="1" spans="1:7">
      <c r="A564" s="330">
        <v>2079999</v>
      </c>
      <c r="B564" s="379" t="s">
        <v>579</v>
      </c>
      <c r="C564" s="602">
        <f>'02'!E566</f>
        <v>539</v>
      </c>
      <c r="D564" s="603">
        <v>421</v>
      </c>
      <c r="E564" s="606">
        <f t="shared" si="24"/>
        <v>-0.218923933209648</v>
      </c>
      <c r="F564" s="524" t="str">
        <f t="shared" si="25"/>
        <v>是</v>
      </c>
      <c r="G564" s="312" t="str">
        <f t="shared" si="26"/>
        <v>项</v>
      </c>
    </row>
    <row r="565" s="372" customFormat="1" ht="24" customHeight="1" spans="1:7">
      <c r="A565" s="329">
        <v>208</v>
      </c>
      <c r="B565" s="377" t="s">
        <v>182</v>
      </c>
      <c r="C565" s="601">
        <f>C566+C585+C593+C595+C604+C608+C618+C627+C634+C642+C651+C657+C660+C663+C666+C669+C672+C676+C680+C689+C692</f>
        <v>292685</v>
      </c>
      <c r="D565" s="601">
        <f>D566+D585+D593+D595+D604+D608+D618+D627+D634+D642+D651+D657+D660+D663+D666+D669+D672+D676+D680+D689+D692</f>
        <v>297208</v>
      </c>
      <c r="E565" s="605">
        <f t="shared" si="24"/>
        <v>0.0154534738712267</v>
      </c>
      <c r="F565" s="524" t="str">
        <f t="shared" si="25"/>
        <v>是</v>
      </c>
      <c r="G565" s="312" t="str">
        <f t="shared" si="26"/>
        <v>类</v>
      </c>
    </row>
    <row r="566" s="372" customFormat="1" ht="24" customHeight="1" spans="1:7">
      <c r="A566" s="330">
        <v>20801</v>
      </c>
      <c r="B566" s="379" t="s">
        <v>580</v>
      </c>
      <c r="C566" s="602">
        <f>SUM(C567:C584)</f>
        <v>8698</v>
      </c>
      <c r="D566" s="602">
        <f>SUM(D567:D584)</f>
        <v>8621</v>
      </c>
      <c r="E566" s="606">
        <f t="shared" si="24"/>
        <v>-0.00885260979535525</v>
      </c>
      <c r="F566" s="524" t="str">
        <f t="shared" si="25"/>
        <v>是</v>
      </c>
      <c r="G566" s="312" t="str">
        <f t="shared" si="26"/>
        <v>款</v>
      </c>
    </row>
    <row r="567" s="372" customFormat="1" ht="24" hidden="1" customHeight="1" spans="1:7">
      <c r="A567" s="330">
        <v>2080101</v>
      </c>
      <c r="B567" s="379" t="s">
        <v>212</v>
      </c>
      <c r="C567" s="602">
        <f>'02'!E569</f>
        <v>3049</v>
      </c>
      <c r="D567" s="603">
        <v>3089</v>
      </c>
      <c r="E567" s="606">
        <f t="shared" si="24"/>
        <v>0.0131190554280092</v>
      </c>
      <c r="F567" s="524" t="str">
        <f t="shared" si="25"/>
        <v>是</v>
      </c>
      <c r="G567" s="312" t="str">
        <f t="shared" si="26"/>
        <v>项</v>
      </c>
    </row>
    <row r="568" s="372" customFormat="1" ht="24" hidden="1" customHeight="1" spans="1:7">
      <c r="A568" s="330">
        <v>2080102</v>
      </c>
      <c r="B568" s="379" t="s">
        <v>213</v>
      </c>
      <c r="C568" s="602">
        <f>'02'!E570</f>
        <v>158</v>
      </c>
      <c r="D568" s="603">
        <v>145</v>
      </c>
      <c r="E568" s="606">
        <f t="shared" ref="E568:E591" si="27">IFERROR((D568-C568)/C568,"")</f>
        <v>-0.0822784810126582</v>
      </c>
      <c r="F568" s="524" t="str">
        <f t="shared" si="25"/>
        <v>是</v>
      </c>
      <c r="G568" s="312" t="str">
        <f t="shared" si="26"/>
        <v>项</v>
      </c>
    </row>
    <row r="569" s="372" customFormat="1" ht="24" hidden="1" customHeight="1" spans="1:7">
      <c r="A569" s="330">
        <v>2080103</v>
      </c>
      <c r="B569" s="379" t="s">
        <v>214</v>
      </c>
      <c r="C569" s="602">
        <f>'02'!E571</f>
        <v>0</v>
      </c>
      <c r="D569" s="603">
        <v>0</v>
      </c>
      <c r="E569" s="606" t="str">
        <f t="shared" si="27"/>
        <v/>
      </c>
      <c r="F569" s="524" t="str">
        <f t="shared" si="25"/>
        <v>否</v>
      </c>
      <c r="G569" s="312" t="str">
        <f t="shared" si="26"/>
        <v>项</v>
      </c>
    </row>
    <row r="570" s="372" customFormat="1" ht="24" hidden="1" customHeight="1" spans="1:7">
      <c r="A570" s="330">
        <v>2080104</v>
      </c>
      <c r="B570" s="379" t="s">
        <v>581</v>
      </c>
      <c r="C570" s="602">
        <f>'02'!E572</f>
        <v>25</v>
      </c>
      <c r="D570" s="603">
        <v>28</v>
      </c>
      <c r="E570" s="606">
        <f t="shared" si="27"/>
        <v>0.12</v>
      </c>
      <c r="F570" s="524" t="str">
        <f t="shared" si="25"/>
        <v>是</v>
      </c>
      <c r="G570" s="312" t="str">
        <f t="shared" si="26"/>
        <v>项</v>
      </c>
    </row>
    <row r="571" ht="24" hidden="1" customHeight="1" spans="1:7">
      <c r="A571" s="330">
        <v>2080105</v>
      </c>
      <c r="B571" s="379" t="s">
        <v>582</v>
      </c>
      <c r="C571" s="602">
        <f>'02'!E573</f>
        <v>19</v>
      </c>
      <c r="D571" s="603">
        <v>21</v>
      </c>
      <c r="E571" s="606">
        <f t="shared" si="27"/>
        <v>0.105263157894737</v>
      </c>
      <c r="F571" s="524" t="str">
        <f t="shared" si="25"/>
        <v>是</v>
      </c>
      <c r="G571" s="312" t="str">
        <f t="shared" si="26"/>
        <v>项</v>
      </c>
    </row>
    <row r="572" s="372" customFormat="1" ht="24" hidden="1" customHeight="1" spans="1:7">
      <c r="A572" s="330">
        <v>2080106</v>
      </c>
      <c r="B572" s="379" t="s">
        <v>583</v>
      </c>
      <c r="C572" s="602">
        <f>'02'!E574</f>
        <v>1</v>
      </c>
      <c r="D572" s="603">
        <v>0</v>
      </c>
      <c r="E572" s="606">
        <f t="shared" si="27"/>
        <v>-1</v>
      </c>
      <c r="F572" s="524" t="str">
        <f t="shared" si="25"/>
        <v>是</v>
      </c>
      <c r="G572" s="312" t="str">
        <f t="shared" si="26"/>
        <v>项</v>
      </c>
    </row>
    <row r="573" s="372" customFormat="1" ht="24" hidden="1" customHeight="1" spans="1:7">
      <c r="A573" s="330">
        <v>2080107</v>
      </c>
      <c r="B573" s="379" t="s">
        <v>584</v>
      </c>
      <c r="C573" s="602">
        <f>'02'!E575</f>
        <v>0</v>
      </c>
      <c r="D573" s="603">
        <v>0</v>
      </c>
      <c r="E573" s="606" t="str">
        <f t="shared" si="27"/>
        <v/>
      </c>
      <c r="F573" s="524" t="str">
        <f t="shared" si="25"/>
        <v>否</v>
      </c>
      <c r="G573" s="312" t="str">
        <f t="shared" si="26"/>
        <v>项</v>
      </c>
    </row>
    <row r="574" s="372" customFormat="1" ht="24" hidden="1" customHeight="1" spans="1:7">
      <c r="A574" s="330">
        <v>2080108</v>
      </c>
      <c r="B574" s="379" t="s">
        <v>252</v>
      </c>
      <c r="C574" s="602">
        <f>'02'!E576</f>
        <v>5</v>
      </c>
      <c r="D574" s="603">
        <v>7</v>
      </c>
      <c r="E574" s="606">
        <f t="shared" si="27"/>
        <v>0.4</v>
      </c>
      <c r="F574" s="524" t="str">
        <f t="shared" si="25"/>
        <v>是</v>
      </c>
      <c r="G574" s="312" t="str">
        <f t="shared" si="26"/>
        <v>项</v>
      </c>
    </row>
    <row r="575" s="372" customFormat="1" ht="24" hidden="1" customHeight="1" spans="1:7">
      <c r="A575" s="330">
        <v>2080109</v>
      </c>
      <c r="B575" s="379" t="s">
        <v>585</v>
      </c>
      <c r="C575" s="602">
        <f>'02'!E577</f>
        <v>575</v>
      </c>
      <c r="D575" s="603">
        <v>585</v>
      </c>
      <c r="E575" s="606">
        <f t="shared" si="27"/>
        <v>0.0173913043478261</v>
      </c>
      <c r="F575" s="524" t="str">
        <f t="shared" si="25"/>
        <v>是</v>
      </c>
      <c r="G575" s="312" t="str">
        <f t="shared" si="26"/>
        <v>项</v>
      </c>
    </row>
    <row r="576" s="372" customFormat="1" ht="24" hidden="1" customHeight="1" spans="1:7">
      <c r="A576" s="330">
        <v>2080110</v>
      </c>
      <c r="B576" s="379" t="s">
        <v>586</v>
      </c>
      <c r="C576" s="602">
        <f>'02'!E578</f>
        <v>100</v>
      </c>
      <c r="D576" s="603">
        <v>104</v>
      </c>
      <c r="E576" s="606">
        <f t="shared" si="27"/>
        <v>0.04</v>
      </c>
      <c r="F576" s="524" t="str">
        <f t="shared" si="25"/>
        <v>是</v>
      </c>
      <c r="G576" s="312" t="str">
        <f t="shared" si="26"/>
        <v>项</v>
      </c>
    </row>
    <row r="577" s="372" customFormat="1" ht="24" hidden="1" customHeight="1" spans="1:7">
      <c r="A577" s="330">
        <v>2080111</v>
      </c>
      <c r="B577" s="379" t="s">
        <v>587</v>
      </c>
      <c r="C577" s="602">
        <f>'02'!E579</f>
        <v>0</v>
      </c>
      <c r="D577" s="603">
        <v>0</v>
      </c>
      <c r="E577" s="606" t="str">
        <f t="shared" si="27"/>
        <v/>
      </c>
      <c r="F577" s="524" t="str">
        <f t="shared" si="25"/>
        <v>否</v>
      </c>
      <c r="G577" s="312" t="str">
        <f t="shared" si="26"/>
        <v>项</v>
      </c>
    </row>
    <row r="578" s="372" customFormat="1" ht="24" hidden="1" customHeight="1" spans="1:7">
      <c r="A578" s="330">
        <v>2080112</v>
      </c>
      <c r="B578" s="379" t="s">
        <v>588</v>
      </c>
      <c r="C578" s="602">
        <f>'02'!E580</f>
        <v>2</v>
      </c>
      <c r="D578" s="603">
        <v>2</v>
      </c>
      <c r="E578" s="606">
        <f t="shared" si="27"/>
        <v>0</v>
      </c>
      <c r="F578" s="524" t="str">
        <f t="shared" si="25"/>
        <v>是</v>
      </c>
      <c r="G578" s="312" t="str">
        <f t="shared" si="26"/>
        <v>项</v>
      </c>
    </row>
    <row r="579" ht="24" hidden="1" customHeight="1" spans="1:7">
      <c r="A579" s="527">
        <v>2080113</v>
      </c>
      <c r="B579" s="534" t="s">
        <v>589</v>
      </c>
      <c r="C579" s="602">
        <f>'02'!E581</f>
        <v>3</v>
      </c>
      <c r="D579" s="603">
        <v>0</v>
      </c>
      <c r="E579" s="606">
        <f t="shared" si="27"/>
        <v>-1</v>
      </c>
      <c r="F579" s="524" t="str">
        <f t="shared" si="25"/>
        <v>是</v>
      </c>
      <c r="G579" s="312" t="str">
        <f t="shared" si="26"/>
        <v>项</v>
      </c>
    </row>
    <row r="580" s="372" customFormat="1" ht="24" hidden="1" customHeight="1" spans="1:7">
      <c r="A580" s="527">
        <v>2080114</v>
      </c>
      <c r="B580" s="534" t="s">
        <v>590</v>
      </c>
      <c r="C580" s="602">
        <f>'02'!E582</f>
        <v>0</v>
      </c>
      <c r="D580" s="603">
        <v>0</v>
      </c>
      <c r="E580" s="606" t="str">
        <f t="shared" si="27"/>
        <v/>
      </c>
      <c r="F580" s="524" t="str">
        <f t="shared" ref="F580:F590" si="28">IF(LEN(A580)=3,"是",IF(B580&lt;&gt;"",IF(SUM(C580:D580)&lt;&gt;0,"是","否"),"是"))</f>
        <v>否</v>
      </c>
      <c r="G580" s="312" t="str">
        <f t="shared" ref="G580:G590" si="29">IF(LEN(A580)=3,"类",IF(LEN(A580)=5,"款","项"))</f>
        <v>项</v>
      </c>
    </row>
    <row r="581" s="372" customFormat="1" ht="24" hidden="1" customHeight="1" spans="1:7">
      <c r="A581" s="527">
        <v>2080115</v>
      </c>
      <c r="B581" s="534" t="s">
        <v>591</v>
      </c>
      <c r="C581" s="602">
        <f>'02'!E583</f>
        <v>0</v>
      </c>
      <c r="D581" s="603">
        <v>0</v>
      </c>
      <c r="E581" s="606" t="str">
        <f t="shared" si="27"/>
        <v/>
      </c>
      <c r="F581" s="524" t="str">
        <f t="shared" si="28"/>
        <v>否</v>
      </c>
      <c r="G581" s="312" t="str">
        <f t="shared" si="29"/>
        <v>项</v>
      </c>
    </row>
    <row r="582" s="372" customFormat="1" ht="24" hidden="1" customHeight="1" spans="1:7">
      <c r="A582" s="527">
        <v>2080116</v>
      </c>
      <c r="B582" s="534" t="s">
        <v>592</v>
      </c>
      <c r="C582" s="602">
        <f>'02'!E584</f>
        <v>0</v>
      </c>
      <c r="D582" s="603">
        <v>0</v>
      </c>
      <c r="E582" s="606" t="str">
        <f t="shared" si="27"/>
        <v/>
      </c>
      <c r="F582" s="524" t="str">
        <f t="shared" si="28"/>
        <v>否</v>
      </c>
      <c r="G582" s="312" t="str">
        <f t="shared" si="29"/>
        <v>项</v>
      </c>
    </row>
    <row r="583" ht="24" hidden="1" customHeight="1" spans="1:7">
      <c r="A583" s="527">
        <v>2080150</v>
      </c>
      <c r="B583" s="534" t="s">
        <v>221</v>
      </c>
      <c r="C583" s="602">
        <f>'02'!E585</f>
        <v>1690</v>
      </c>
      <c r="D583" s="603">
        <v>1715</v>
      </c>
      <c r="E583" s="606">
        <f t="shared" si="27"/>
        <v>0.014792899408284</v>
      </c>
      <c r="F583" s="524" t="str">
        <f t="shared" si="28"/>
        <v>是</v>
      </c>
      <c r="G583" s="312" t="str">
        <f t="shared" si="29"/>
        <v>项</v>
      </c>
    </row>
    <row r="584" ht="24" hidden="1" customHeight="1" spans="1:7">
      <c r="A584" s="330">
        <v>2080199</v>
      </c>
      <c r="B584" s="379" t="s">
        <v>593</v>
      </c>
      <c r="C584" s="602">
        <f>'02'!E586</f>
        <v>3071</v>
      </c>
      <c r="D584" s="603">
        <v>2925</v>
      </c>
      <c r="E584" s="606">
        <f t="shared" si="27"/>
        <v>-0.0475415174210355</v>
      </c>
      <c r="F584" s="524" t="str">
        <f t="shared" si="28"/>
        <v>是</v>
      </c>
      <c r="G584" s="312" t="str">
        <f t="shared" si="29"/>
        <v>项</v>
      </c>
    </row>
    <row r="585" s="372" customFormat="1" ht="24" customHeight="1" spans="1:7">
      <c r="A585" s="330">
        <v>20802</v>
      </c>
      <c r="B585" s="379" t="s">
        <v>594</v>
      </c>
      <c r="C585" s="602">
        <f>SUM(C586:C592)</f>
        <v>4526</v>
      </c>
      <c r="D585" s="602">
        <f>SUM(D586:D592)</f>
        <v>4472</v>
      </c>
      <c r="E585" s="606">
        <f t="shared" si="27"/>
        <v>-0.0119310649580203</v>
      </c>
      <c r="F585" s="524" t="str">
        <f t="shared" si="28"/>
        <v>是</v>
      </c>
      <c r="G585" s="312" t="str">
        <f t="shared" si="29"/>
        <v>款</v>
      </c>
    </row>
    <row r="586" s="372" customFormat="1" ht="24" hidden="1" customHeight="1" spans="1:7">
      <c r="A586" s="330">
        <v>2080201</v>
      </c>
      <c r="B586" s="379" t="s">
        <v>212</v>
      </c>
      <c r="C586" s="602">
        <f>'02'!E588</f>
        <v>1674</v>
      </c>
      <c r="D586" s="603">
        <v>1706</v>
      </c>
      <c r="E586" s="606">
        <f t="shared" si="27"/>
        <v>0.019115890083632</v>
      </c>
      <c r="F586" s="524" t="str">
        <f t="shared" si="28"/>
        <v>是</v>
      </c>
      <c r="G586" s="312" t="str">
        <f t="shared" si="29"/>
        <v>项</v>
      </c>
    </row>
    <row r="587" s="372" customFormat="1" ht="24" hidden="1" customHeight="1" spans="1:7">
      <c r="A587" s="330">
        <v>2080202</v>
      </c>
      <c r="B587" s="379" t="s">
        <v>213</v>
      </c>
      <c r="C587" s="602">
        <f>'02'!E589</f>
        <v>0</v>
      </c>
      <c r="D587" s="603">
        <v>0</v>
      </c>
      <c r="E587" s="606" t="str">
        <f t="shared" si="27"/>
        <v/>
      </c>
      <c r="F587" s="524" t="str">
        <f t="shared" si="28"/>
        <v>否</v>
      </c>
      <c r="G587" s="312" t="str">
        <f t="shared" si="29"/>
        <v>项</v>
      </c>
    </row>
    <row r="588" s="372" customFormat="1" ht="24" hidden="1" customHeight="1" spans="1:7">
      <c r="A588" s="330">
        <v>2080203</v>
      </c>
      <c r="B588" s="379" t="s">
        <v>214</v>
      </c>
      <c r="C588" s="602">
        <f>'02'!E590</f>
        <v>0</v>
      </c>
      <c r="D588" s="603">
        <v>0</v>
      </c>
      <c r="E588" s="606" t="str">
        <f t="shared" si="27"/>
        <v/>
      </c>
      <c r="F588" s="524" t="str">
        <f t="shared" si="28"/>
        <v>否</v>
      </c>
      <c r="G588" s="312" t="str">
        <f t="shared" si="29"/>
        <v>项</v>
      </c>
    </row>
    <row r="589" s="372" customFormat="1" ht="24" hidden="1" customHeight="1" spans="1:7">
      <c r="A589" s="330">
        <v>2080206</v>
      </c>
      <c r="B589" s="379" t="s">
        <v>595</v>
      </c>
      <c r="C589" s="602">
        <f>'02'!E591</f>
        <v>3</v>
      </c>
      <c r="D589" s="603">
        <v>4</v>
      </c>
      <c r="E589" s="606">
        <f t="shared" si="27"/>
        <v>0.333333333333333</v>
      </c>
      <c r="F589" s="524" t="str">
        <f t="shared" si="28"/>
        <v>是</v>
      </c>
      <c r="G589" s="312" t="str">
        <f t="shared" si="29"/>
        <v>项</v>
      </c>
    </row>
    <row r="590" s="372" customFormat="1" ht="24" hidden="1" customHeight="1" spans="1:7">
      <c r="A590" s="330">
        <v>2080207</v>
      </c>
      <c r="B590" s="379" t="s">
        <v>596</v>
      </c>
      <c r="C590" s="602">
        <f>'02'!E592</f>
        <v>11</v>
      </c>
      <c r="D590" s="603">
        <v>12</v>
      </c>
      <c r="E590" s="606">
        <f t="shared" si="27"/>
        <v>0.0909090909090909</v>
      </c>
      <c r="F590" s="524" t="str">
        <f t="shared" si="28"/>
        <v>是</v>
      </c>
      <c r="G590" s="312" t="str">
        <f t="shared" si="29"/>
        <v>项</v>
      </c>
    </row>
    <row r="591" s="374" customFormat="1" ht="24" hidden="1" customHeight="1" spans="1:7">
      <c r="A591" s="354">
        <v>2080209</v>
      </c>
      <c r="B591" s="327" t="s">
        <v>598</v>
      </c>
      <c r="C591" s="602">
        <f>'02'!E594</f>
        <v>27</v>
      </c>
      <c r="D591" s="603">
        <v>35</v>
      </c>
      <c r="E591" s="606"/>
      <c r="F591" s="609" t="str">
        <f t="shared" ref="F591:F641" si="30">IF(LEN(A591)=3,"是",IF(B591&lt;&gt;"",IF(SUM(C591:D591)&lt;&gt;0,"是","否"),"是"))</f>
        <v>是</v>
      </c>
      <c r="G591" s="313" t="str">
        <f t="shared" ref="G591:G641" si="31">IF(LEN(A591)=3,"类",IF(LEN(A591)=5,"款","项"))</f>
        <v>项</v>
      </c>
    </row>
    <row r="592" s="372" customFormat="1" ht="24" hidden="1" customHeight="1" spans="1:7">
      <c r="A592" s="330">
        <v>2080299</v>
      </c>
      <c r="B592" s="379" t="s">
        <v>599</v>
      </c>
      <c r="C592" s="602">
        <f>'02'!E595</f>
        <v>2811</v>
      </c>
      <c r="D592" s="603">
        <v>2715</v>
      </c>
      <c r="E592" s="606">
        <f t="shared" ref="E592:E655" si="32">IFERROR((D592-C592)/C592,"")</f>
        <v>-0.0341515474919957</v>
      </c>
      <c r="F592" s="524" t="str">
        <f t="shared" si="30"/>
        <v>是</v>
      </c>
      <c r="G592" s="312" t="str">
        <f t="shared" si="31"/>
        <v>项</v>
      </c>
    </row>
    <row r="593" s="372" customFormat="1" ht="24" hidden="1" customHeight="1" spans="1:7">
      <c r="A593" s="330">
        <v>20804</v>
      </c>
      <c r="B593" s="379" t="s">
        <v>600</v>
      </c>
      <c r="C593" s="602">
        <f>C594</f>
        <v>0</v>
      </c>
      <c r="D593" s="602">
        <f>D594</f>
        <v>0</v>
      </c>
      <c r="E593" s="606" t="str">
        <f t="shared" si="32"/>
        <v/>
      </c>
      <c r="F593" s="524" t="str">
        <f t="shared" si="30"/>
        <v>否</v>
      </c>
      <c r="G593" s="312" t="str">
        <f t="shared" si="31"/>
        <v>款</v>
      </c>
    </row>
    <row r="594" s="372" customFormat="1" ht="24" hidden="1" customHeight="1" spans="1:7">
      <c r="A594" s="330">
        <v>2080402</v>
      </c>
      <c r="B594" s="379" t="s">
        <v>601</v>
      </c>
      <c r="C594" s="602">
        <f>'02'!E597</f>
        <v>0</v>
      </c>
      <c r="D594" s="603">
        <v>0</v>
      </c>
      <c r="E594" s="606" t="str">
        <f t="shared" si="32"/>
        <v/>
      </c>
      <c r="F594" s="524" t="str">
        <f t="shared" si="30"/>
        <v>否</v>
      </c>
      <c r="G594" s="312" t="str">
        <f t="shared" si="31"/>
        <v>项</v>
      </c>
    </row>
    <row r="595" s="372" customFormat="1" ht="24" customHeight="1" spans="1:7">
      <c r="A595" s="330">
        <v>20805</v>
      </c>
      <c r="B595" s="379" t="s">
        <v>602</v>
      </c>
      <c r="C595" s="602">
        <f>SUM(C596:C603)</f>
        <v>135072</v>
      </c>
      <c r="D595" s="602">
        <f>SUM(D596:D603)</f>
        <v>139764</v>
      </c>
      <c r="E595" s="606">
        <f t="shared" si="32"/>
        <v>0.0347370291400142</v>
      </c>
      <c r="F595" s="524" t="str">
        <f t="shared" si="30"/>
        <v>是</v>
      </c>
      <c r="G595" s="312" t="str">
        <f t="shared" si="31"/>
        <v>款</v>
      </c>
    </row>
    <row r="596" s="372" customFormat="1" ht="24" hidden="1" customHeight="1" spans="1:7">
      <c r="A596" s="330">
        <v>2080501</v>
      </c>
      <c r="B596" s="379" t="s">
        <v>603</v>
      </c>
      <c r="C596" s="602">
        <f>'02'!E599</f>
        <v>20059</v>
      </c>
      <c r="D596" s="603">
        <v>20589</v>
      </c>
      <c r="E596" s="606">
        <f t="shared" si="32"/>
        <v>0.0264220549379331</v>
      </c>
      <c r="F596" s="524" t="str">
        <f t="shared" si="30"/>
        <v>是</v>
      </c>
      <c r="G596" s="312" t="str">
        <f t="shared" si="31"/>
        <v>项</v>
      </c>
    </row>
    <row r="597" s="372" customFormat="1" ht="24" hidden="1" customHeight="1" spans="1:7">
      <c r="A597" s="330">
        <v>2080502</v>
      </c>
      <c r="B597" s="379" t="s">
        <v>604</v>
      </c>
      <c r="C597" s="602">
        <f>'02'!E600</f>
        <v>22206</v>
      </c>
      <c r="D597" s="603">
        <v>22685</v>
      </c>
      <c r="E597" s="606">
        <f t="shared" si="32"/>
        <v>0.0215707466450509</v>
      </c>
      <c r="F597" s="524" t="str">
        <f t="shared" si="30"/>
        <v>是</v>
      </c>
      <c r="G597" s="312" t="str">
        <f t="shared" si="31"/>
        <v>项</v>
      </c>
    </row>
    <row r="598" s="372" customFormat="1" ht="24" hidden="1" customHeight="1" spans="1:7">
      <c r="A598" s="330">
        <v>2080503</v>
      </c>
      <c r="B598" s="379" t="s">
        <v>605</v>
      </c>
      <c r="C598" s="602">
        <f>'02'!E601</f>
        <v>230</v>
      </c>
      <c r="D598" s="603">
        <v>261</v>
      </c>
      <c r="E598" s="606">
        <f t="shared" si="32"/>
        <v>0.134782608695652</v>
      </c>
      <c r="F598" s="524" t="str">
        <f t="shared" si="30"/>
        <v>是</v>
      </c>
      <c r="G598" s="312" t="str">
        <f t="shared" si="31"/>
        <v>项</v>
      </c>
    </row>
    <row r="599" s="372" customFormat="1" ht="24" hidden="1" customHeight="1" spans="1:7">
      <c r="A599" s="330">
        <v>2080505</v>
      </c>
      <c r="B599" s="379" t="s">
        <v>606</v>
      </c>
      <c r="C599" s="602">
        <f>'02'!E602</f>
        <v>63816</v>
      </c>
      <c r="D599" s="603">
        <v>65356</v>
      </c>
      <c r="E599" s="606">
        <f t="shared" si="32"/>
        <v>0.0241318791525636</v>
      </c>
      <c r="F599" s="524" t="str">
        <f t="shared" si="30"/>
        <v>是</v>
      </c>
      <c r="G599" s="312" t="str">
        <f t="shared" si="31"/>
        <v>项</v>
      </c>
    </row>
    <row r="600" s="372" customFormat="1" ht="24" hidden="1" customHeight="1" spans="1:7">
      <c r="A600" s="330">
        <v>2080506</v>
      </c>
      <c r="B600" s="379" t="s">
        <v>607</v>
      </c>
      <c r="C600" s="602">
        <f>'02'!E603</f>
        <v>11865</v>
      </c>
      <c r="D600" s="603">
        <v>13125</v>
      </c>
      <c r="E600" s="606">
        <f t="shared" si="32"/>
        <v>0.106194690265487</v>
      </c>
      <c r="F600" s="524" t="str">
        <f t="shared" si="30"/>
        <v>是</v>
      </c>
      <c r="G600" s="312" t="str">
        <f t="shared" si="31"/>
        <v>项</v>
      </c>
    </row>
    <row r="601" s="372" customFormat="1" ht="24" hidden="1" customHeight="1" spans="1:7">
      <c r="A601" s="330">
        <v>2080507</v>
      </c>
      <c r="B601" s="379" t="s">
        <v>608</v>
      </c>
      <c r="C601" s="602">
        <f>'02'!E604</f>
        <v>16140</v>
      </c>
      <c r="D601" s="603">
        <v>16986</v>
      </c>
      <c r="E601" s="606">
        <f t="shared" si="32"/>
        <v>0.0524163568773234</v>
      </c>
      <c r="F601" s="524" t="str">
        <f t="shared" si="30"/>
        <v>是</v>
      </c>
      <c r="G601" s="312" t="str">
        <f t="shared" si="31"/>
        <v>项</v>
      </c>
    </row>
    <row r="602" s="372" customFormat="1" ht="24" hidden="1" customHeight="1" spans="1:7">
      <c r="A602" s="527">
        <v>2080508</v>
      </c>
      <c r="B602" s="534" t="s">
        <v>609</v>
      </c>
      <c r="C602" s="602">
        <f>'02'!E605</f>
        <v>0</v>
      </c>
      <c r="D602" s="603">
        <v>0</v>
      </c>
      <c r="E602" s="606" t="str">
        <f t="shared" si="32"/>
        <v/>
      </c>
      <c r="F602" s="524" t="str">
        <f t="shared" si="30"/>
        <v>否</v>
      </c>
      <c r="G602" s="312" t="str">
        <f t="shared" si="31"/>
        <v>项</v>
      </c>
    </row>
    <row r="603" ht="24" hidden="1" customHeight="1" spans="1:7">
      <c r="A603" s="330">
        <v>2080599</v>
      </c>
      <c r="B603" s="379" t="s">
        <v>610</v>
      </c>
      <c r="C603" s="602">
        <f>'02'!E606</f>
        <v>756</v>
      </c>
      <c r="D603" s="603">
        <v>762</v>
      </c>
      <c r="E603" s="606">
        <f t="shared" si="32"/>
        <v>0.00793650793650794</v>
      </c>
      <c r="F603" s="524" t="str">
        <f t="shared" si="30"/>
        <v>是</v>
      </c>
      <c r="G603" s="312" t="str">
        <f t="shared" si="31"/>
        <v>项</v>
      </c>
    </row>
    <row r="604" s="372" customFormat="1" ht="24" customHeight="1" spans="1:7">
      <c r="A604" s="330">
        <v>20806</v>
      </c>
      <c r="B604" s="379" t="s">
        <v>611</v>
      </c>
      <c r="C604" s="602">
        <f>SUM(C605:C607)</f>
        <v>410</v>
      </c>
      <c r="D604" s="602">
        <f>SUM(D605:D607)</f>
        <v>407</v>
      </c>
      <c r="E604" s="606">
        <f t="shared" si="32"/>
        <v>-0.00731707317073171</v>
      </c>
      <c r="F604" s="524" t="str">
        <f t="shared" si="30"/>
        <v>是</v>
      </c>
      <c r="G604" s="312" t="str">
        <f t="shared" si="31"/>
        <v>款</v>
      </c>
    </row>
    <row r="605" s="372" customFormat="1" ht="24" hidden="1" customHeight="1" spans="1:7">
      <c r="A605" s="330">
        <v>2080601</v>
      </c>
      <c r="B605" s="379" t="s">
        <v>612</v>
      </c>
      <c r="C605" s="602">
        <f>'02'!E608</f>
        <v>1</v>
      </c>
      <c r="D605" s="603">
        <v>2</v>
      </c>
      <c r="E605" s="606">
        <f t="shared" si="32"/>
        <v>1</v>
      </c>
      <c r="F605" s="524" t="str">
        <f t="shared" si="30"/>
        <v>是</v>
      </c>
      <c r="G605" s="312" t="str">
        <f t="shared" si="31"/>
        <v>项</v>
      </c>
    </row>
    <row r="606" s="372" customFormat="1" ht="24" hidden="1" customHeight="1" spans="1:7">
      <c r="A606" s="330">
        <v>2080602</v>
      </c>
      <c r="B606" s="379" t="s">
        <v>613</v>
      </c>
      <c r="C606" s="602">
        <f>'02'!E609</f>
        <v>0</v>
      </c>
      <c r="D606" s="603">
        <v>0</v>
      </c>
      <c r="E606" s="606" t="str">
        <f t="shared" si="32"/>
        <v/>
      </c>
      <c r="F606" s="524" t="str">
        <f t="shared" si="30"/>
        <v>否</v>
      </c>
      <c r="G606" s="312" t="str">
        <f t="shared" si="31"/>
        <v>项</v>
      </c>
    </row>
    <row r="607" s="372" customFormat="1" ht="24" hidden="1" customHeight="1" spans="1:7">
      <c r="A607" s="330">
        <v>2080699</v>
      </c>
      <c r="B607" s="379" t="s">
        <v>614</v>
      </c>
      <c r="C607" s="602">
        <f>'02'!E610</f>
        <v>409</v>
      </c>
      <c r="D607" s="603">
        <v>405</v>
      </c>
      <c r="E607" s="606">
        <f t="shared" si="32"/>
        <v>-0.0097799511002445</v>
      </c>
      <c r="F607" s="524" t="str">
        <f t="shared" si="30"/>
        <v>是</v>
      </c>
      <c r="G607" s="312" t="str">
        <f t="shared" si="31"/>
        <v>项</v>
      </c>
    </row>
    <row r="608" s="372" customFormat="1" ht="24" customHeight="1" spans="1:7">
      <c r="A608" s="330">
        <v>20807</v>
      </c>
      <c r="B608" s="379" t="s">
        <v>615</v>
      </c>
      <c r="C608" s="602">
        <f>SUM(C609:C617)</f>
        <v>16053</v>
      </c>
      <c r="D608" s="602">
        <f>SUM(D609:D617)</f>
        <v>15674</v>
      </c>
      <c r="E608" s="606">
        <f t="shared" si="32"/>
        <v>-0.0236092942129197</v>
      </c>
      <c r="F608" s="524" t="str">
        <f t="shared" si="30"/>
        <v>是</v>
      </c>
      <c r="G608" s="312" t="str">
        <f t="shared" si="31"/>
        <v>款</v>
      </c>
    </row>
    <row r="609" s="374" customFormat="1" ht="24" hidden="1" customHeight="1" spans="1:7">
      <c r="A609" s="331">
        <v>2080701</v>
      </c>
      <c r="B609" s="327" t="s">
        <v>616</v>
      </c>
      <c r="C609" s="602">
        <f>'02'!E612</f>
        <v>286</v>
      </c>
      <c r="D609" s="603">
        <v>275</v>
      </c>
      <c r="E609" s="606">
        <f t="shared" si="32"/>
        <v>-0.0384615384615385</v>
      </c>
      <c r="F609" s="609" t="str">
        <f t="shared" si="30"/>
        <v>是</v>
      </c>
      <c r="G609" s="313" t="str">
        <f t="shared" si="31"/>
        <v>项</v>
      </c>
    </row>
    <row r="610" s="372" customFormat="1" ht="24" hidden="1" customHeight="1" spans="1:7">
      <c r="A610" s="330">
        <v>2080702</v>
      </c>
      <c r="B610" s="379" t="s">
        <v>617</v>
      </c>
      <c r="C610" s="602">
        <f>'02'!E613</f>
        <v>818</v>
      </c>
      <c r="D610" s="603">
        <v>805</v>
      </c>
      <c r="E610" s="606">
        <f t="shared" si="32"/>
        <v>-0.0158924205378973</v>
      </c>
      <c r="F610" s="524" t="str">
        <f t="shared" si="30"/>
        <v>是</v>
      </c>
      <c r="G610" s="312" t="str">
        <f t="shared" si="31"/>
        <v>项</v>
      </c>
    </row>
    <row r="611" s="372" customFormat="1" ht="24" hidden="1" customHeight="1" spans="1:7">
      <c r="A611" s="330">
        <v>2080704</v>
      </c>
      <c r="B611" s="379" t="s">
        <v>618</v>
      </c>
      <c r="C611" s="602">
        <f>'02'!E614</f>
        <v>2348</v>
      </c>
      <c r="D611" s="603">
        <v>2325</v>
      </c>
      <c r="E611" s="606">
        <f t="shared" si="32"/>
        <v>-0.00979557069846678</v>
      </c>
      <c r="F611" s="524" t="str">
        <f t="shared" si="30"/>
        <v>是</v>
      </c>
      <c r="G611" s="312" t="str">
        <f t="shared" si="31"/>
        <v>项</v>
      </c>
    </row>
    <row r="612" s="372" customFormat="1" ht="24" hidden="1" customHeight="1" spans="1:7">
      <c r="A612" s="330">
        <v>2080705</v>
      </c>
      <c r="B612" s="379" t="s">
        <v>619</v>
      </c>
      <c r="C612" s="602">
        <f>'02'!E615</f>
        <v>7333</v>
      </c>
      <c r="D612" s="603">
        <v>7215</v>
      </c>
      <c r="E612" s="606">
        <f t="shared" si="32"/>
        <v>-0.016091640529115</v>
      </c>
      <c r="F612" s="524" t="str">
        <f t="shared" si="30"/>
        <v>是</v>
      </c>
      <c r="G612" s="312" t="str">
        <f t="shared" si="31"/>
        <v>项</v>
      </c>
    </row>
    <row r="613" s="313" customFormat="1" ht="24" hidden="1" customHeight="1" spans="1:8">
      <c r="A613" s="331">
        <v>2080709</v>
      </c>
      <c r="B613" s="327" t="s">
        <v>620</v>
      </c>
      <c r="C613" s="602">
        <f>'02'!E616</f>
        <v>0</v>
      </c>
      <c r="D613" s="603">
        <v>0</v>
      </c>
      <c r="E613" s="606" t="str">
        <f t="shared" si="32"/>
        <v/>
      </c>
      <c r="F613" s="609" t="str">
        <f t="shared" si="30"/>
        <v>否</v>
      </c>
      <c r="G613" s="313" t="str">
        <f t="shared" si="31"/>
        <v>项</v>
      </c>
      <c r="H613" s="374"/>
    </row>
    <row r="614" s="372" customFormat="1" ht="24" hidden="1" customHeight="1" spans="1:7">
      <c r="A614" s="330">
        <v>2080711</v>
      </c>
      <c r="B614" s="379" t="s">
        <v>621</v>
      </c>
      <c r="C614" s="602">
        <f>'02'!E617</f>
        <v>286</v>
      </c>
      <c r="D614" s="603">
        <v>292</v>
      </c>
      <c r="E614" s="606">
        <f t="shared" si="32"/>
        <v>0.020979020979021</v>
      </c>
      <c r="F614" s="524" t="str">
        <f t="shared" si="30"/>
        <v>是</v>
      </c>
      <c r="G614" s="312" t="str">
        <f t="shared" si="31"/>
        <v>项</v>
      </c>
    </row>
    <row r="615" s="372" customFormat="1" ht="24" hidden="1" customHeight="1" spans="1:7">
      <c r="A615" s="330">
        <v>2080712</v>
      </c>
      <c r="B615" s="379" t="s">
        <v>622</v>
      </c>
      <c r="C615" s="602">
        <f>'02'!E618</f>
        <v>266</v>
      </c>
      <c r="D615" s="603">
        <v>275</v>
      </c>
      <c r="E615" s="606">
        <f t="shared" si="32"/>
        <v>0.0338345864661654</v>
      </c>
      <c r="F615" s="524" t="str">
        <f t="shared" si="30"/>
        <v>是</v>
      </c>
      <c r="G615" s="312" t="str">
        <f t="shared" si="31"/>
        <v>项</v>
      </c>
    </row>
    <row r="616" s="374" customFormat="1" ht="24" hidden="1" customHeight="1" spans="1:7">
      <c r="A616" s="331">
        <v>2080713</v>
      </c>
      <c r="B616" s="327" t="s">
        <v>623</v>
      </c>
      <c r="C616" s="602">
        <f>'02'!E619</f>
        <v>426</v>
      </c>
      <c r="D616" s="603">
        <v>429</v>
      </c>
      <c r="E616" s="606">
        <f t="shared" si="32"/>
        <v>0.00704225352112676</v>
      </c>
      <c r="F616" s="609" t="str">
        <f t="shared" si="30"/>
        <v>是</v>
      </c>
      <c r="G616" s="313" t="str">
        <f t="shared" si="31"/>
        <v>项</v>
      </c>
    </row>
    <row r="617" s="372" customFormat="1" ht="24" hidden="1" customHeight="1" spans="1:7">
      <c r="A617" s="330">
        <v>2080799</v>
      </c>
      <c r="B617" s="379" t="s">
        <v>624</v>
      </c>
      <c r="C617" s="602">
        <f>'02'!E620</f>
        <v>4290</v>
      </c>
      <c r="D617" s="603">
        <v>4058</v>
      </c>
      <c r="E617" s="606">
        <f t="shared" si="32"/>
        <v>-0.0540792540792541</v>
      </c>
      <c r="F617" s="524" t="str">
        <f t="shared" si="30"/>
        <v>是</v>
      </c>
      <c r="G617" s="312" t="str">
        <f t="shared" si="31"/>
        <v>项</v>
      </c>
    </row>
    <row r="618" s="372" customFormat="1" ht="24" customHeight="1" spans="1:7">
      <c r="A618" s="330">
        <v>20808</v>
      </c>
      <c r="B618" s="379" t="s">
        <v>625</v>
      </c>
      <c r="C618" s="602">
        <f>SUM(C619:C626)</f>
        <v>17410</v>
      </c>
      <c r="D618" s="602">
        <f>SUM(D619:D626)</f>
        <v>16161</v>
      </c>
      <c r="E618" s="606">
        <f t="shared" si="32"/>
        <v>-0.0717403790924756</v>
      </c>
      <c r="F618" s="524" t="str">
        <f t="shared" si="30"/>
        <v>是</v>
      </c>
      <c r="G618" s="312" t="str">
        <f t="shared" si="31"/>
        <v>款</v>
      </c>
    </row>
    <row r="619" s="372" customFormat="1" ht="24" hidden="1" customHeight="1" spans="1:7">
      <c r="A619" s="330">
        <v>2080801</v>
      </c>
      <c r="B619" s="379" t="s">
        <v>626</v>
      </c>
      <c r="C619" s="602">
        <f>'02'!E622</f>
        <v>8130</v>
      </c>
      <c r="D619" s="603">
        <v>6812</v>
      </c>
      <c r="E619" s="606">
        <f t="shared" si="32"/>
        <v>-0.162115621156212</v>
      </c>
      <c r="F619" s="524" t="str">
        <f t="shared" si="30"/>
        <v>是</v>
      </c>
      <c r="G619" s="312" t="str">
        <f t="shared" si="31"/>
        <v>项</v>
      </c>
    </row>
    <row r="620" s="372" customFormat="1" ht="24" hidden="1" customHeight="1" spans="1:7">
      <c r="A620" s="330">
        <v>2080802</v>
      </c>
      <c r="B620" s="379" t="s">
        <v>627</v>
      </c>
      <c r="C620" s="602">
        <f>'02'!E623</f>
        <v>866</v>
      </c>
      <c r="D620" s="603">
        <v>825</v>
      </c>
      <c r="E620" s="606">
        <f t="shared" si="32"/>
        <v>-0.0473441108545035</v>
      </c>
      <c r="F620" s="524" t="str">
        <f t="shared" si="30"/>
        <v>是</v>
      </c>
      <c r="G620" s="312" t="str">
        <f t="shared" si="31"/>
        <v>项</v>
      </c>
    </row>
    <row r="621" s="488" customFormat="1" ht="24" hidden="1" customHeight="1" spans="1:7">
      <c r="A621" s="330">
        <v>2080803</v>
      </c>
      <c r="B621" s="379" t="s">
        <v>628</v>
      </c>
      <c r="C621" s="602">
        <f>'02'!E624</f>
        <v>2690</v>
      </c>
      <c r="D621" s="603">
        <v>2658</v>
      </c>
      <c r="E621" s="606">
        <f t="shared" si="32"/>
        <v>-0.0118959107806691</v>
      </c>
      <c r="F621" s="524" t="str">
        <f t="shared" si="30"/>
        <v>是</v>
      </c>
      <c r="G621" s="312" t="str">
        <f t="shared" si="31"/>
        <v>项</v>
      </c>
    </row>
    <row r="622" ht="24" hidden="1" customHeight="1" spans="1:7">
      <c r="A622" s="330">
        <v>2080805</v>
      </c>
      <c r="B622" s="379" t="s">
        <v>629</v>
      </c>
      <c r="C622" s="602">
        <f>'02'!E625</f>
        <v>1227</v>
      </c>
      <c r="D622" s="603">
        <v>1215</v>
      </c>
      <c r="E622" s="606">
        <f t="shared" si="32"/>
        <v>-0.0097799511002445</v>
      </c>
      <c r="F622" s="524" t="str">
        <f t="shared" si="30"/>
        <v>是</v>
      </c>
      <c r="G622" s="312" t="str">
        <f t="shared" si="31"/>
        <v>项</v>
      </c>
    </row>
    <row r="623" s="372" customFormat="1" ht="24" hidden="1" customHeight="1" spans="1:7">
      <c r="A623" s="330">
        <v>2080806</v>
      </c>
      <c r="B623" s="379" t="s">
        <v>630</v>
      </c>
      <c r="C623" s="602">
        <f>'02'!E626</f>
        <v>231</v>
      </c>
      <c r="D623" s="603">
        <v>228</v>
      </c>
      <c r="E623" s="606">
        <f t="shared" si="32"/>
        <v>-0.012987012987013</v>
      </c>
      <c r="F623" s="524" t="str">
        <f t="shared" si="30"/>
        <v>是</v>
      </c>
      <c r="G623" s="312" t="str">
        <f t="shared" si="31"/>
        <v>项</v>
      </c>
    </row>
    <row r="624" s="372" customFormat="1" ht="24" hidden="1" customHeight="1" spans="1:7">
      <c r="A624" s="330">
        <v>2080807</v>
      </c>
      <c r="B624" s="405" t="s">
        <v>631</v>
      </c>
      <c r="C624" s="602">
        <f>'02'!E627</f>
        <v>0</v>
      </c>
      <c r="D624" s="603">
        <v>0</v>
      </c>
      <c r="E624" s="606" t="str">
        <f t="shared" si="32"/>
        <v/>
      </c>
      <c r="F624" s="524" t="str">
        <f t="shared" si="30"/>
        <v>否</v>
      </c>
      <c r="G624" s="312" t="str">
        <f t="shared" si="31"/>
        <v>项</v>
      </c>
    </row>
    <row r="625" s="372" customFormat="1" ht="24" hidden="1" customHeight="1" spans="1:7">
      <c r="A625" s="330">
        <v>2080808</v>
      </c>
      <c r="B625" s="405" t="s">
        <v>632</v>
      </c>
      <c r="C625" s="602">
        <f>'02'!E628</f>
        <v>81</v>
      </c>
      <c r="D625" s="603">
        <v>67</v>
      </c>
      <c r="E625" s="606">
        <f t="shared" si="32"/>
        <v>-0.172839506172839</v>
      </c>
      <c r="F625" s="524" t="str">
        <f t="shared" si="30"/>
        <v>是</v>
      </c>
      <c r="G625" s="312" t="str">
        <f t="shared" si="31"/>
        <v>项</v>
      </c>
    </row>
    <row r="626" s="418" customFormat="1" ht="24" hidden="1" customHeight="1" spans="1:7">
      <c r="A626" s="330">
        <v>2080899</v>
      </c>
      <c r="B626" s="379" t="s">
        <v>633</v>
      </c>
      <c r="C626" s="602">
        <f>'02'!E629</f>
        <v>4185</v>
      </c>
      <c r="D626" s="603">
        <v>4356</v>
      </c>
      <c r="E626" s="606">
        <f t="shared" si="32"/>
        <v>0.0408602150537634</v>
      </c>
      <c r="F626" s="524" t="str">
        <f t="shared" si="30"/>
        <v>是</v>
      </c>
      <c r="G626" s="312" t="str">
        <f t="shared" si="31"/>
        <v>项</v>
      </c>
    </row>
    <row r="627" s="372" customFormat="1" ht="24" customHeight="1" spans="1:7">
      <c r="A627" s="330">
        <v>20809</v>
      </c>
      <c r="B627" s="379" t="s">
        <v>634</v>
      </c>
      <c r="C627" s="602">
        <f>SUM(C628:C633)</f>
        <v>2057</v>
      </c>
      <c r="D627" s="602">
        <f>SUM(D628:D633)</f>
        <v>2099</v>
      </c>
      <c r="E627" s="606">
        <f t="shared" si="32"/>
        <v>0.0204180845892076</v>
      </c>
      <c r="F627" s="524" t="str">
        <f t="shared" si="30"/>
        <v>是</v>
      </c>
      <c r="G627" s="312" t="str">
        <f t="shared" si="31"/>
        <v>款</v>
      </c>
    </row>
    <row r="628" s="372" customFormat="1" ht="24" hidden="1" customHeight="1" spans="1:7">
      <c r="A628" s="330">
        <v>2080901</v>
      </c>
      <c r="B628" s="379" t="s">
        <v>635</v>
      </c>
      <c r="C628" s="602">
        <f>'02'!E631</f>
        <v>397</v>
      </c>
      <c r="D628" s="603">
        <v>688</v>
      </c>
      <c r="E628" s="606">
        <f t="shared" si="32"/>
        <v>0.732997481108312</v>
      </c>
      <c r="F628" s="524" t="str">
        <f t="shared" si="30"/>
        <v>是</v>
      </c>
      <c r="G628" s="312" t="str">
        <f t="shared" si="31"/>
        <v>项</v>
      </c>
    </row>
    <row r="629" s="372" customFormat="1" ht="24" hidden="1" customHeight="1" spans="1:7">
      <c r="A629" s="330">
        <v>2080902</v>
      </c>
      <c r="B629" s="379" t="s">
        <v>636</v>
      </c>
      <c r="C629" s="602">
        <f>'02'!E632</f>
        <v>1255</v>
      </c>
      <c r="D629" s="603">
        <v>1029</v>
      </c>
      <c r="E629" s="606">
        <f t="shared" si="32"/>
        <v>-0.1800796812749</v>
      </c>
      <c r="F629" s="524" t="str">
        <f t="shared" si="30"/>
        <v>是</v>
      </c>
      <c r="G629" s="312" t="str">
        <f t="shared" si="31"/>
        <v>项</v>
      </c>
    </row>
    <row r="630" s="372" customFormat="1" ht="24" hidden="1" customHeight="1" spans="1:7">
      <c r="A630" s="330">
        <v>2080903</v>
      </c>
      <c r="B630" s="379" t="s">
        <v>637</v>
      </c>
      <c r="C630" s="602">
        <f>'02'!E633</f>
        <v>33</v>
      </c>
      <c r="D630" s="603">
        <v>34</v>
      </c>
      <c r="E630" s="606">
        <f t="shared" si="32"/>
        <v>0.0303030303030303</v>
      </c>
      <c r="F630" s="524" t="str">
        <f t="shared" si="30"/>
        <v>是</v>
      </c>
      <c r="G630" s="312" t="str">
        <f t="shared" si="31"/>
        <v>项</v>
      </c>
    </row>
    <row r="631" s="372" customFormat="1" ht="24" hidden="1" customHeight="1" spans="1:7">
      <c r="A631" s="330">
        <v>2080904</v>
      </c>
      <c r="B631" s="379" t="s">
        <v>638</v>
      </c>
      <c r="C631" s="602">
        <f>'02'!E634</f>
        <v>69</v>
      </c>
      <c r="D631" s="603">
        <v>58</v>
      </c>
      <c r="E631" s="606">
        <f t="shared" si="32"/>
        <v>-0.159420289855072</v>
      </c>
      <c r="F631" s="524" t="str">
        <f t="shared" si="30"/>
        <v>是</v>
      </c>
      <c r="G631" s="312" t="str">
        <f t="shared" si="31"/>
        <v>项</v>
      </c>
    </row>
    <row r="632" s="372" customFormat="1" ht="24" hidden="1" customHeight="1" spans="1:7">
      <c r="A632" s="330">
        <v>2080905</v>
      </c>
      <c r="B632" s="379" t="s">
        <v>639</v>
      </c>
      <c r="C632" s="602">
        <f>'02'!E635</f>
        <v>232</v>
      </c>
      <c r="D632" s="603">
        <v>215</v>
      </c>
      <c r="E632" s="606">
        <f t="shared" si="32"/>
        <v>-0.0732758620689655</v>
      </c>
      <c r="F632" s="524" t="str">
        <f t="shared" si="30"/>
        <v>是</v>
      </c>
      <c r="G632" s="312" t="str">
        <f t="shared" si="31"/>
        <v>项</v>
      </c>
    </row>
    <row r="633" s="372" customFormat="1" ht="24" hidden="1" customHeight="1" spans="1:7">
      <c r="A633" s="330">
        <v>2080999</v>
      </c>
      <c r="B633" s="379" t="s">
        <v>640</v>
      </c>
      <c r="C633" s="602">
        <f>'02'!E636</f>
        <v>71</v>
      </c>
      <c r="D633" s="603">
        <v>75</v>
      </c>
      <c r="E633" s="606">
        <f t="shared" si="32"/>
        <v>0.0563380281690141</v>
      </c>
      <c r="F633" s="524" t="str">
        <f t="shared" si="30"/>
        <v>是</v>
      </c>
      <c r="G633" s="312" t="str">
        <f t="shared" si="31"/>
        <v>项</v>
      </c>
    </row>
    <row r="634" s="372" customFormat="1" ht="24" customHeight="1" spans="1:7">
      <c r="A634" s="330">
        <v>20810</v>
      </c>
      <c r="B634" s="379" t="s">
        <v>641</v>
      </c>
      <c r="C634" s="602">
        <f>SUM(C635:C641)</f>
        <v>10391</v>
      </c>
      <c r="D634" s="602">
        <f>SUM(D635:D641)</f>
        <v>10700</v>
      </c>
      <c r="E634" s="606">
        <f t="shared" si="32"/>
        <v>0.0297372726397844</v>
      </c>
      <c r="F634" s="524" t="str">
        <f t="shared" si="30"/>
        <v>是</v>
      </c>
      <c r="G634" s="312" t="str">
        <f t="shared" si="31"/>
        <v>款</v>
      </c>
    </row>
    <row r="635" s="372" customFormat="1" ht="24" hidden="1" customHeight="1" spans="1:7">
      <c r="A635" s="330">
        <v>2081001</v>
      </c>
      <c r="B635" s="379" t="s">
        <v>642</v>
      </c>
      <c r="C635" s="602">
        <f>'02'!E638</f>
        <v>1084</v>
      </c>
      <c r="D635" s="603">
        <v>1198</v>
      </c>
      <c r="E635" s="606">
        <f t="shared" si="32"/>
        <v>0.105166051660517</v>
      </c>
      <c r="F635" s="524" t="str">
        <f t="shared" si="30"/>
        <v>是</v>
      </c>
      <c r="G635" s="312" t="str">
        <f t="shared" si="31"/>
        <v>项</v>
      </c>
    </row>
    <row r="636" ht="24" hidden="1" customHeight="1" spans="1:7">
      <c r="A636" s="330">
        <v>2081002</v>
      </c>
      <c r="B636" s="379" t="s">
        <v>643</v>
      </c>
      <c r="C636" s="602">
        <f>'02'!E639</f>
        <v>4566</v>
      </c>
      <c r="D636" s="603">
        <v>4693</v>
      </c>
      <c r="E636" s="606">
        <f t="shared" si="32"/>
        <v>0.027814279456855</v>
      </c>
      <c r="F636" s="524" t="str">
        <f t="shared" si="30"/>
        <v>是</v>
      </c>
      <c r="G636" s="312" t="str">
        <f t="shared" si="31"/>
        <v>项</v>
      </c>
    </row>
    <row r="637" s="372" customFormat="1" ht="24" hidden="1" customHeight="1" spans="1:7">
      <c r="A637" s="330">
        <v>2081003</v>
      </c>
      <c r="B637" s="379" t="s">
        <v>644</v>
      </c>
      <c r="C637" s="602">
        <f>'02'!E640</f>
        <v>0</v>
      </c>
      <c r="D637" s="603">
        <v>0</v>
      </c>
      <c r="E637" s="606" t="str">
        <f t="shared" si="32"/>
        <v/>
      </c>
      <c r="F637" s="524" t="str">
        <f t="shared" si="30"/>
        <v>否</v>
      </c>
      <c r="G637" s="312" t="str">
        <f t="shared" si="31"/>
        <v>项</v>
      </c>
    </row>
    <row r="638" s="372" customFormat="1" ht="24" hidden="1" customHeight="1" spans="1:7">
      <c r="A638" s="330">
        <v>2081004</v>
      </c>
      <c r="B638" s="379" t="s">
        <v>645</v>
      </c>
      <c r="C638" s="602">
        <f>'02'!E641</f>
        <v>3057</v>
      </c>
      <c r="D638" s="603">
        <v>2856</v>
      </c>
      <c r="E638" s="606">
        <f t="shared" si="32"/>
        <v>-0.0657507360157017</v>
      </c>
      <c r="F638" s="524" t="str">
        <f t="shared" si="30"/>
        <v>是</v>
      </c>
      <c r="G638" s="312" t="str">
        <f t="shared" si="31"/>
        <v>项</v>
      </c>
    </row>
    <row r="639" s="372" customFormat="1" ht="24" hidden="1" customHeight="1" spans="1:7">
      <c r="A639" s="330">
        <v>2081005</v>
      </c>
      <c r="B639" s="379" t="s">
        <v>646</v>
      </c>
      <c r="C639" s="602">
        <f>'02'!E642</f>
        <v>1089</v>
      </c>
      <c r="D639" s="603">
        <v>1036</v>
      </c>
      <c r="E639" s="606">
        <f t="shared" si="32"/>
        <v>-0.0486685032139578</v>
      </c>
      <c r="F639" s="524" t="str">
        <f t="shared" si="30"/>
        <v>是</v>
      </c>
      <c r="G639" s="312" t="str">
        <f t="shared" si="31"/>
        <v>项</v>
      </c>
    </row>
    <row r="640" s="372" customFormat="1" ht="24" hidden="1" customHeight="1" spans="1:7">
      <c r="A640" s="330">
        <v>2081006</v>
      </c>
      <c r="B640" s="379" t="s">
        <v>647</v>
      </c>
      <c r="C640" s="602">
        <f>'02'!E643</f>
        <v>327</v>
      </c>
      <c r="D640" s="603">
        <v>285</v>
      </c>
      <c r="E640" s="606">
        <f t="shared" si="32"/>
        <v>-0.128440366972477</v>
      </c>
      <c r="F640" s="524" t="str">
        <f t="shared" si="30"/>
        <v>是</v>
      </c>
      <c r="G640" s="312" t="str">
        <f t="shared" si="31"/>
        <v>项</v>
      </c>
    </row>
    <row r="641" s="372" customFormat="1" ht="24" hidden="1" customHeight="1" spans="1:7">
      <c r="A641" s="330">
        <v>2081099</v>
      </c>
      <c r="B641" s="379" t="s">
        <v>648</v>
      </c>
      <c r="C641" s="602">
        <f>'02'!E644</f>
        <v>268</v>
      </c>
      <c r="D641" s="603">
        <v>632</v>
      </c>
      <c r="E641" s="606">
        <f t="shared" si="32"/>
        <v>1.35820895522388</v>
      </c>
      <c r="F641" s="524" t="str">
        <f t="shared" si="30"/>
        <v>是</v>
      </c>
      <c r="G641" s="312" t="str">
        <f t="shared" si="31"/>
        <v>项</v>
      </c>
    </row>
    <row r="642" s="372" customFormat="1" ht="24" customHeight="1" spans="1:7">
      <c r="A642" s="330">
        <v>20811</v>
      </c>
      <c r="B642" s="379" t="s">
        <v>649</v>
      </c>
      <c r="C642" s="602">
        <f>SUM(C643:C650)</f>
        <v>6892</v>
      </c>
      <c r="D642" s="602">
        <f>SUM(D643:D650)</f>
        <v>7172</v>
      </c>
      <c r="E642" s="606">
        <f t="shared" si="32"/>
        <v>0.04062681369704</v>
      </c>
      <c r="F642" s="524" t="str">
        <f t="shared" ref="F642:F705" si="33">IF(LEN(A642)=3,"是",IF(B642&lt;&gt;"",IF(SUM(C642:D642)&lt;&gt;0,"是","否"),"是"))</f>
        <v>是</v>
      </c>
      <c r="G642" s="312" t="str">
        <f t="shared" ref="G642:G705" si="34">IF(LEN(A642)=3,"类",IF(LEN(A642)=5,"款","项"))</f>
        <v>款</v>
      </c>
    </row>
    <row r="643" s="372" customFormat="1" ht="24" hidden="1" customHeight="1" spans="1:7">
      <c r="A643" s="330">
        <v>2081101</v>
      </c>
      <c r="B643" s="379" t="s">
        <v>212</v>
      </c>
      <c r="C643" s="602">
        <f>'02'!E646</f>
        <v>1057</v>
      </c>
      <c r="D643" s="603">
        <v>1089</v>
      </c>
      <c r="E643" s="606">
        <f t="shared" si="32"/>
        <v>0.0302743614001892</v>
      </c>
      <c r="F643" s="524" t="str">
        <f t="shared" si="33"/>
        <v>是</v>
      </c>
      <c r="G643" s="312" t="str">
        <f t="shared" si="34"/>
        <v>项</v>
      </c>
    </row>
    <row r="644" s="372" customFormat="1" ht="24" hidden="1" customHeight="1" spans="1:7">
      <c r="A644" s="330">
        <v>2081102</v>
      </c>
      <c r="B644" s="379" t="s">
        <v>213</v>
      </c>
      <c r="C644" s="602">
        <f>'02'!E647</f>
        <v>12</v>
      </c>
      <c r="D644" s="603">
        <v>9</v>
      </c>
      <c r="E644" s="606">
        <f t="shared" si="32"/>
        <v>-0.25</v>
      </c>
      <c r="F644" s="524" t="str">
        <f t="shared" si="33"/>
        <v>是</v>
      </c>
      <c r="G644" s="312" t="str">
        <f t="shared" si="34"/>
        <v>项</v>
      </c>
    </row>
    <row r="645" s="372" customFormat="1" ht="24" hidden="1" customHeight="1" spans="1:7">
      <c r="A645" s="330">
        <v>2081103</v>
      </c>
      <c r="B645" s="379" t="s">
        <v>214</v>
      </c>
      <c r="C645" s="602">
        <f>'02'!E648</f>
        <v>43</v>
      </c>
      <c r="D645" s="603">
        <v>38</v>
      </c>
      <c r="E645" s="606">
        <f t="shared" si="32"/>
        <v>-0.116279069767442</v>
      </c>
      <c r="F645" s="524" t="str">
        <f t="shared" si="33"/>
        <v>是</v>
      </c>
      <c r="G645" s="312" t="str">
        <f t="shared" si="34"/>
        <v>项</v>
      </c>
    </row>
    <row r="646" ht="24" hidden="1" customHeight="1" spans="1:7">
      <c r="A646" s="330">
        <v>2081104</v>
      </c>
      <c r="B646" s="379" t="s">
        <v>650</v>
      </c>
      <c r="C646" s="602">
        <f>'02'!E649</f>
        <v>173</v>
      </c>
      <c r="D646" s="603">
        <v>151</v>
      </c>
      <c r="E646" s="606">
        <f t="shared" si="32"/>
        <v>-0.127167630057803</v>
      </c>
      <c r="F646" s="524" t="str">
        <f t="shared" si="33"/>
        <v>是</v>
      </c>
      <c r="G646" s="312" t="str">
        <f t="shared" si="34"/>
        <v>项</v>
      </c>
    </row>
    <row r="647" s="372" customFormat="1" ht="24" hidden="1" customHeight="1" spans="1:7">
      <c r="A647" s="330">
        <v>2081105</v>
      </c>
      <c r="B647" s="405" t="s">
        <v>651</v>
      </c>
      <c r="C647" s="602">
        <f>'02'!E650</f>
        <v>494</v>
      </c>
      <c r="D647" s="603">
        <v>502</v>
      </c>
      <c r="E647" s="606">
        <f t="shared" si="32"/>
        <v>0.0161943319838057</v>
      </c>
      <c r="F647" s="524" t="str">
        <f t="shared" si="33"/>
        <v>是</v>
      </c>
      <c r="G647" s="312" t="str">
        <f t="shared" si="34"/>
        <v>项</v>
      </c>
    </row>
    <row r="648" s="372" customFormat="1" ht="24" hidden="1" customHeight="1" spans="1:7">
      <c r="A648" s="330">
        <v>2081106</v>
      </c>
      <c r="B648" s="379" t="s">
        <v>652</v>
      </c>
      <c r="C648" s="602">
        <f>'02'!E651</f>
        <v>0</v>
      </c>
      <c r="D648" s="603">
        <v>0</v>
      </c>
      <c r="E648" s="606" t="str">
        <f t="shared" si="32"/>
        <v/>
      </c>
      <c r="F648" s="524" t="str">
        <f t="shared" si="33"/>
        <v>否</v>
      </c>
      <c r="G648" s="312" t="str">
        <f t="shared" si="34"/>
        <v>项</v>
      </c>
    </row>
    <row r="649" s="372" customFormat="1" ht="24" hidden="1" customHeight="1" spans="1:7">
      <c r="A649" s="330">
        <v>2081107</v>
      </c>
      <c r="B649" s="379" t="s">
        <v>653</v>
      </c>
      <c r="C649" s="602">
        <f>'02'!E652</f>
        <v>4352</v>
      </c>
      <c r="D649" s="603">
        <v>4625</v>
      </c>
      <c r="E649" s="606">
        <f t="shared" si="32"/>
        <v>0.0627297794117647</v>
      </c>
      <c r="F649" s="524" t="str">
        <f t="shared" si="33"/>
        <v>是</v>
      </c>
      <c r="G649" s="312" t="str">
        <f t="shared" si="34"/>
        <v>项</v>
      </c>
    </row>
    <row r="650" s="372" customFormat="1" ht="24" hidden="1" customHeight="1" spans="1:7">
      <c r="A650" s="330">
        <v>2081199</v>
      </c>
      <c r="B650" s="379" t="s">
        <v>654</v>
      </c>
      <c r="C650" s="602">
        <f>'02'!E653</f>
        <v>761</v>
      </c>
      <c r="D650" s="603">
        <v>758</v>
      </c>
      <c r="E650" s="606">
        <f t="shared" si="32"/>
        <v>-0.00394218134034166</v>
      </c>
      <c r="F650" s="524" t="str">
        <f t="shared" si="33"/>
        <v>是</v>
      </c>
      <c r="G650" s="312" t="str">
        <f t="shared" si="34"/>
        <v>项</v>
      </c>
    </row>
    <row r="651" s="372" customFormat="1" ht="24" customHeight="1" spans="1:7">
      <c r="A651" s="330">
        <v>20816</v>
      </c>
      <c r="B651" s="379" t="s">
        <v>655</v>
      </c>
      <c r="C651" s="602">
        <f>SUM(C652:C656)</f>
        <v>729</v>
      </c>
      <c r="D651" s="602">
        <f>SUM(D652:D656)</f>
        <v>754</v>
      </c>
      <c r="E651" s="606">
        <f t="shared" si="32"/>
        <v>0.0342935528120713</v>
      </c>
      <c r="F651" s="524" t="str">
        <f t="shared" si="33"/>
        <v>是</v>
      </c>
      <c r="G651" s="312" t="str">
        <f t="shared" si="34"/>
        <v>款</v>
      </c>
    </row>
    <row r="652" s="372" customFormat="1" ht="24" hidden="1" customHeight="1" spans="1:7">
      <c r="A652" s="330">
        <v>2081601</v>
      </c>
      <c r="B652" s="379" t="s">
        <v>212</v>
      </c>
      <c r="C652" s="602">
        <f>'02'!E655</f>
        <v>652</v>
      </c>
      <c r="D652" s="603">
        <v>685</v>
      </c>
      <c r="E652" s="606">
        <f t="shared" si="32"/>
        <v>0.0506134969325153</v>
      </c>
      <c r="F652" s="524" t="str">
        <f t="shared" si="33"/>
        <v>是</v>
      </c>
      <c r="G652" s="312" t="str">
        <f t="shared" si="34"/>
        <v>项</v>
      </c>
    </row>
    <row r="653" ht="24" hidden="1" customHeight="1" spans="1:7">
      <c r="A653" s="330">
        <v>2081602</v>
      </c>
      <c r="B653" s="379" t="s">
        <v>213</v>
      </c>
      <c r="C653" s="602">
        <f>'02'!E656</f>
        <v>40</v>
      </c>
      <c r="D653" s="603">
        <v>37</v>
      </c>
      <c r="E653" s="606">
        <f t="shared" si="32"/>
        <v>-0.075</v>
      </c>
      <c r="F653" s="524" t="str">
        <f t="shared" si="33"/>
        <v>是</v>
      </c>
      <c r="G653" s="312" t="str">
        <f t="shared" si="34"/>
        <v>项</v>
      </c>
    </row>
    <row r="654" s="372" customFormat="1" ht="24" hidden="1" customHeight="1" spans="1:7">
      <c r="A654" s="330">
        <v>2081603</v>
      </c>
      <c r="B654" s="379" t="s">
        <v>214</v>
      </c>
      <c r="C654" s="602">
        <f>'02'!E657</f>
        <v>0</v>
      </c>
      <c r="D654" s="603">
        <v>0</v>
      </c>
      <c r="E654" s="606" t="str">
        <f t="shared" si="32"/>
        <v/>
      </c>
      <c r="F654" s="524" t="str">
        <f t="shared" si="33"/>
        <v>否</v>
      </c>
      <c r="G654" s="312" t="str">
        <f t="shared" si="34"/>
        <v>项</v>
      </c>
    </row>
    <row r="655" s="372" customFormat="1" ht="24" hidden="1" customHeight="1" spans="1:7">
      <c r="A655" s="339">
        <v>2081650</v>
      </c>
      <c r="B655" s="379" t="s">
        <v>221</v>
      </c>
      <c r="C655" s="602">
        <f>'02'!E658</f>
        <v>0</v>
      </c>
      <c r="D655" s="603">
        <v>0</v>
      </c>
      <c r="E655" s="606" t="str">
        <f t="shared" si="32"/>
        <v/>
      </c>
      <c r="F655" s="524" t="str">
        <f t="shared" si="33"/>
        <v>否</v>
      </c>
      <c r="G655" s="312" t="str">
        <f t="shared" si="34"/>
        <v>项</v>
      </c>
    </row>
    <row r="656" s="372" customFormat="1" ht="24" hidden="1" customHeight="1" spans="1:7">
      <c r="A656" s="330">
        <v>2081699</v>
      </c>
      <c r="B656" s="379" t="s">
        <v>656</v>
      </c>
      <c r="C656" s="602">
        <f>'02'!E659</f>
        <v>37</v>
      </c>
      <c r="D656" s="603">
        <v>32</v>
      </c>
      <c r="E656" s="606">
        <f t="shared" ref="E656:E719" si="35">IFERROR((D656-C656)/C656,"")</f>
        <v>-0.135135135135135</v>
      </c>
      <c r="F656" s="524" t="str">
        <f t="shared" si="33"/>
        <v>是</v>
      </c>
      <c r="G656" s="312" t="str">
        <f t="shared" si="34"/>
        <v>项</v>
      </c>
    </row>
    <row r="657" s="372" customFormat="1" ht="24" customHeight="1" spans="1:7">
      <c r="A657" s="330">
        <v>20819</v>
      </c>
      <c r="B657" s="379" t="s">
        <v>657</v>
      </c>
      <c r="C657" s="602">
        <f>SUM(C658:C659)</f>
        <v>38012</v>
      </c>
      <c r="D657" s="602">
        <f>SUM(D658:D659)</f>
        <v>38154</v>
      </c>
      <c r="E657" s="606">
        <f t="shared" si="35"/>
        <v>0.00373566242239293</v>
      </c>
      <c r="F657" s="524" t="str">
        <f t="shared" si="33"/>
        <v>是</v>
      </c>
      <c r="G657" s="312" t="str">
        <f t="shared" si="34"/>
        <v>款</v>
      </c>
    </row>
    <row r="658" s="372" customFormat="1" ht="24" hidden="1" customHeight="1" spans="1:7">
      <c r="A658" s="330">
        <v>2081901</v>
      </c>
      <c r="B658" s="379" t="s">
        <v>658</v>
      </c>
      <c r="C658" s="602">
        <f>'02'!E661</f>
        <v>2516</v>
      </c>
      <c r="D658" s="603">
        <v>2586</v>
      </c>
      <c r="E658" s="606">
        <f t="shared" si="35"/>
        <v>0.0278219395866455</v>
      </c>
      <c r="F658" s="524" t="str">
        <f t="shared" si="33"/>
        <v>是</v>
      </c>
      <c r="G658" s="312" t="str">
        <f t="shared" si="34"/>
        <v>项</v>
      </c>
    </row>
    <row r="659" s="372" customFormat="1" ht="24" hidden="1" customHeight="1" spans="1:7">
      <c r="A659" s="330">
        <v>2081902</v>
      </c>
      <c r="B659" s="379" t="s">
        <v>659</v>
      </c>
      <c r="C659" s="602">
        <f>'02'!E662</f>
        <v>35496</v>
      </c>
      <c r="D659" s="603">
        <v>35568</v>
      </c>
      <c r="E659" s="606">
        <f t="shared" si="35"/>
        <v>0.00202839756592292</v>
      </c>
      <c r="F659" s="524" t="str">
        <f t="shared" si="33"/>
        <v>是</v>
      </c>
      <c r="G659" s="312" t="str">
        <f t="shared" si="34"/>
        <v>项</v>
      </c>
    </row>
    <row r="660" s="372" customFormat="1" ht="24" customHeight="1" spans="1:7">
      <c r="A660" s="330">
        <v>20820</v>
      </c>
      <c r="B660" s="379" t="s">
        <v>660</v>
      </c>
      <c r="C660" s="602">
        <f>SUM(C661:C662)</f>
        <v>1969</v>
      </c>
      <c r="D660" s="602">
        <f>SUM(D661:D662)</f>
        <v>1557</v>
      </c>
      <c r="E660" s="606">
        <f t="shared" si="35"/>
        <v>-0.209243270695785</v>
      </c>
      <c r="F660" s="524" t="str">
        <f t="shared" si="33"/>
        <v>是</v>
      </c>
      <c r="G660" s="312" t="str">
        <f t="shared" si="34"/>
        <v>款</v>
      </c>
    </row>
    <row r="661" ht="24" hidden="1" customHeight="1" spans="1:7">
      <c r="A661" s="330">
        <v>2082001</v>
      </c>
      <c r="B661" s="379" t="s">
        <v>661</v>
      </c>
      <c r="C661" s="602">
        <f>'02'!E664</f>
        <v>1784</v>
      </c>
      <c r="D661" s="603">
        <v>1389</v>
      </c>
      <c r="E661" s="606">
        <f t="shared" si="35"/>
        <v>-0.221412556053812</v>
      </c>
      <c r="F661" s="524" t="str">
        <f t="shared" si="33"/>
        <v>是</v>
      </c>
      <c r="G661" s="312" t="str">
        <f t="shared" si="34"/>
        <v>项</v>
      </c>
    </row>
    <row r="662" s="372" customFormat="1" ht="24" hidden="1" customHeight="1" spans="1:7">
      <c r="A662" s="330">
        <v>2082002</v>
      </c>
      <c r="B662" s="379" t="s">
        <v>662</v>
      </c>
      <c r="C662" s="602">
        <f>'02'!E665</f>
        <v>185</v>
      </c>
      <c r="D662" s="603">
        <v>168</v>
      </c>
      <c r="E662" s="606">
        <f t="shared" si="35"/>
        <v>-0.0918918918918919</v>
      </c>
      <c r="F662" s="524" t="str">
        <f t="shared" si="33"/>
        <v>是</v>
      </c>
      <c r="G662" s="312" t="str">
        <f t="shared" si="34"/>
        <v>项</v>
      </c>
    </row>
    <row r="663" s="372" customFormat="1" ht="24" customHeight="1" spans="1:7">
      <c r="A663" s="330">
        <v>20821</v>
      </c>
      <c r="B663" s="379" t="s">
        <v>663</v>
      </c>
      <c r="C663" s="602">
        <f>SUM(C664:C665)</f>
        <v>7509</v>
      </c>
      <c r="D663" s="602">
        <f>SUM(D664:D665)</f>
        <v>7410</v>
      </c>
      <c r="E663" s="606">
        <f t="shared" si="35"/>
        <v>-0.0131841789852177</v>
      </c>
      <c r="F663" s="524" t="str">
        <f t="shared" si="33"/>
        <v>是</v>
      </c>
      <c r="G663" s="312" t="str">
        <f t="shared" si="34"/>
        <v>款</v>
      </c>
    </row>
    <row r="664" s="372" customFormat="1" ht="24" hidden="1" customHeight="1" spans="1:7">
      <c r="A664" s="330">
        <v>2082101</v>
      </c>
      <c r="B664" s="379" t="s">
        <v>664</v>
      </c>
      <c r="C664" s="602">
        <f>'02'!E667</f>
        <v>217</v>
      </c>
      <c r="D664" s="603">
        <v>195</v>
      </c>
      <c r="E664" s="606">
        <f t="shared" si="35"/>
        <v>-0.101382488479263</v>
      </c>
      <c r="F664" s="524" t="str">
        <f t="shared" si="33"/>
        <v>是</v>
      </c>
      <c r="G664" s="312" t="str">
        <f t="shared" si="34"/>
        <v>项</v>
      </c>
    </row>
    <row r="665" s="372" customFormat="1" ht="24" hidden="1" customHeight="1" spans="1:7">
      <c r="A665" s="330">
        <v>2082102</v>
      </c>
      <c r="B665" s="379" t="s">
        <v>665</v>
      </c>
      <c r="C665" s="602">
        <f>'02'!E668</f>
        <v>7292</v>
      </c>
      <c r="D665" s="603">
        <v>7215</v>
      </c>
      <c r="E665" s="606">
        <f t="shared" si="35"/>
        <v>-0.0105595172792101</v>
      </c>
      <c r="F665" s="524" t="str">
        <f t="shared" si="33"/>
        <v>是</v>
      </c>
      <c r="G665" s="312" t="str">
        <f t="shared" si="34"/>
        <v>项</v>
      </c>
    </row>
    <row r="666" s="372" customFormat="1" ht="24" hidden="1" customHeight="1" spans="1:7">
      <c r="A666" s="330">
        <v>20824</v>
      </c>
      <c r="B666" s="379" t="s">
        <v>666</v>
      </c>
      <c r="C666" s="602">
        <f>SUM(C667:C668)</f>
        <v>0</v>
      </c>
      <c r="D666" s="602">
        <f>SUM(D667:D668)</f>
        <v>0</v>
      </c>
      <c r="E666" s="606" t="str">
        <f t="shared" si="35"/>
        <v/>
      </c>
      <c r="F666" s="524" t="str">
        <f t="shared" si="33"/>
        <v>否</v>
      </c>
      <c r="G666" s="312" t="str">
        <f t="shared" si="34"/>
        <v>款</v>
      </c>
    </row>
    <row r="667" s="372" customFormat="1" ht="24" hidden="1" customHeight="1" spans="1:7">
      <c r="A667" s="330">
        <v>2082401</v>
      </c>
      <c r="B667" s="379" t="s">
        <v>667</v>
      </c>
      <c r="C667" s="602">
        <f>'02'!E670</f>
        <v>0</v>
      </c>
      <c r="D667" s="603">
        <v>0</v>
      </c>
      <c r="E667" s="606" t="str">
        <f t="shared" si="35"/>
        <v/>
      </c>
      <c r="F667" s="524" t="str">
        <f t="shared" si="33"/>
        <v>否</v>
      </c>
      <c r="G667" s="312" t="str">
        <f t="shared" si="34"/>
        <v>项</v>
      </c>
    </row>
    <row r="668" s="372" customFormat="1" ht="24" hidden="1" customHeight="1" spans="1:7">
      <c r="A668" s="330">
        <v>2082402</v>
      </c>
      <c r="B668" s="379" t="s">
        <v>668</v>
      </c>
      <c r="C668" s="602">
        <f>'02'!E671</f>
        <v>0</v>
      </c>
      <c r="D668" s="603">
        <v>0</v>
      </c>
      <c r="E668" s="606" t="str">
        <f t="shared" si="35"/>
        <v/>
      </c>
      <c r="F668" s="524" t="str">
        <f t="shared" si="33"/>
        <v>否</v>
      </c>
      <c r="G668" s="312" t="str">
        <f t="shared" si="34"/>
        <v>项</v>
      </c>
    </row>
    <row r="669" s="372" customFormat="1" ht="24" customHeight="1" spans="1:7">
      <c r="A669" s="330">
        <v>20825</v>
      </c>
      <c r="B669" s="379" t="s">
        <v>669</v>
      </c>
      <c r="C669" s="602">
        <f>SUM(C670:C671)</f>
        <v>254</v>
      </c>
      <c r="D669" s="602">
        <f>SUM(D670:D671)</f>
        <v>225</v>
      </c>
      <c r="E669" s="606">
        <f t="shared" si="35"/>
        <v>-0.114173228346457</v>
      </c>
      <c r="F669" s="524" t="str">
        <f t="shared" si="33"/>
        <v>是</v>
      </c>
      <c r="G669" s="312" t="str">
        <f t="shared" si="34"/>
        <v>款</v>
      </c>
    </row>
    <row r="670" ht="24" hidden="1" customHeight="1" spans="1:7">
      <c r="A670" s="330">
        <v>2082501</v>
      </c>
      <c r="B670" s="379" t="s">
        <v>670</v>
      </c>
      <c r="C670" s="602">
        <f>'02'!E673</f>
        <v>0</v>
      </c>
      <c r="D670" s="603">
        <v>0</v>
      </c>
      <c r="E670" s="606" t="str">
        <f t="shared" si="35"/>
        <v/>
      </c>
      <c r="F670" s="524" t="str">
        <f t="shared" si="33"/>
        <v>否</v>
      </c>
      <c r="G670" s="312" t="str">
        <f t="shared" si="34"/>
        <v>项</v>
      </c>
    </row>
    <row r="671" s="372" customFormat="1" ht="24" hidden="1" customHeight="1" spans="1:7">
      <c r="A671" s="330">
        <v>2082502</v>
      </c>
      <c r="B671" s="379" t="s">
        <v>671</v>
      </c>
      <c r="C671" s="602">
        <f>'02'!E674</f>
        <v>254</v>
      </c>
      <c r="D671" s="603">
        <v>225</v>
      </c>
      <c r="E671" s="606">
        <f t="shared" si="35"/>
        <v>-0.114173228346457</v>
      </c>
      <c r="F671" s="524" t="str">
        <f t="shared" si="33"/>
        <v>是</v>
      </c>
      <c r="G671" s="312" t="str">
        <f t="shared" si="34"/>
        <v>项</v>
      </c>
    </row>
    <row r="672" s="372" customFormat="1" ht="24" customHeight="1" spans="1:7">
      <c r="A672" s="330">
        <v>20826</v>
      </c>
      <c r="B672" s="379" t="s">
        <v>672</v>
      </c>
      <c r="C672" s="602">
        <f>SUM(C673:C675)</f>
        <v>36669</v>
      </c>
      <c r="D672" s="602">
        <f>SUM(D673:D675)</f>
        <v>38187</v>
      </c>
      <c r="E672" s="606">
        <f t="shared" si="35"/>
        <v>0.0413973656221877</v>
      </c>
      <c r="F672" s="524" t="str">
        <f t="shared" si="33"/>
        <v>是</v>
      </c>
      <c r="G672" s="312" t="str">
        <f t="shared" si="34"/>
        <v>款</v>
      </c>
    </row>
    <row r="673" s="372" customFormat="1" ht="24" hidden="1" customHeight="1" spans="1:7">
      <c r="A673" s="330">
        <v>2082601</v>
      </c>
      <c r="B673" s="379" t="s">
        <v>673</v>
      </c>
      <c r="C673" s="602">
        <f>'02'!E676</f>
        <v>0</v>
      </c>
      <c r="D673" s="603">
        <v>0</v>
      </c>
      <c r="E673" s="606" t="str">
        <f t="shared" si="35"/>
        <v/>
      </c>
      <c r="F673" s="524" t="str">
        <f t="shared" si="33"/>
        <v>否</v>
      </c>
      <c r="G673" s="312" t="str">
        <f t="shared" si="34"/>
        <v>项</v>
      </c>
    </row>
    <row r="674" s="372" customFormat="1" ht="24" hidden="1" customHeight="1" spans="1:7">
      <c r="A674" s="330">
        <v>2082602</v>
      </c>
      <c r="B674" s="379" t="s">
        <v>674</v>
      </c>
      <c r="C674" s="602">
        <f>'02'!E677</f>
        <v>36669</v>
      </c>
      <c r="D674" s="603">
        <v>38187</v>
      </c>
      <c r="E674" s="606">
        <f t="shared" si="35"/>
        <v>0.0413973656221877</v>
      </c>
      <c r="F674" s="524" t="str">
        <f t="shared" si="33"/>
        <v>是</v>
      </c>
      <c r="G674" s="312" t="str">
        <f t="shared" si="34"/>
        <v>项</v>
      </c>
    </row>
    <row r="675" ht="24" hidden="1" customHeight="1" spans="1:7">
      <c r="A675" s="330">
        <v>2082699</v>
      </c>
      <c r="B675" s="379" t="s">
        <v>675</v>
      </c>
      <c r="C675" s="602">
        <f>'02'!E678</f>
        <v>0</v>
      </c>
      <c r="D675" s="603">
        <v>0</v>
      </c>
      <c r="E675" s="606" t="str">
        <f t="shared" si="35"/>
        <v/>
      </c>
      <c r="F675" s="524" t="str">
        <f t="shared" si="33"/>
        <v>否</v>
      </c>
      <c r="G675" s="312" t="str">
        <f t="shared" si="34"/>
        <v>项</v>
      </c>
    </row>
    <row r="676" s="372" customFormat="1" ht="24" hidden="1" customHeight="1" spans="1:7">
      <c r="A676" s="330">
        <v>20827</v>
      </c>
      <c r="B676" s="379" t="s">
        <v>676</v>
      </c>
      <c r="C676" s="602">
        <f>SUM(C677:C679)</f>
        <v>0</v>
      </c>
      <c r="D676" s="602">
        <f>SUM(D677:D679)</f>
        <v>0</v>
      </c>
      <c r="E676" s="606" t="str">
        <f t="shared" si="35"/>
        <v/>
      </c>
      <c r="F676" s="524" t="str">
        <f t="shared" si="33"/>
        <v>否</v>
      </c>
      <c r="G676" s="312" t="str">
        <f t="shared" si="34"/>
        <v>款</v>
      </c>
    </row>
    <row r="677" s="372" customFormat="1" ht="24" hidden="1" customHeight="1" spans="1:7">
      <c r="A677" s="330">
        <v>2082701</v>
      </c>
      <c r="B677" s="379" t="s">
        <v>677</v>
      </c>
      <c r="C677" s="602">
        <f>'02'!E680</f>
        <v>0</v>
      </c>
      <c r="D677" s="603">
        <v>0</v>
      </c>
      <c r="E677" s="606" t="str">
        <f t="shared" si="35"/>
        <v/>
      </c>
      <c r="F677" s="524" t="str">
        <f t="shared" si="33"/>
        <v>否</v>
      </c>
      <c r="G677" s="312" t="str">
        <f t="shared" si="34"/>
        <v>项</v>
      </c>
    </row>
    <row r="678" ht="24" hidden="1" customHeight="1" spans="1:7">
      <c r="A678" s="330">
        <v>2082702</v>
      </c>
      <c r="B678" s="379" t="s">
        <v>678</v>
      </c>
      <c r="C678" s="602">
        <f>'02'!E681</f>
        <v>0</v>
      </c>
      <c r="D678" s="603">
        <v>0</v>
      </c>
      <c r="E678" s="606" t="str">
        <f t="shared" si="35"/>
        <v/>
      </c>
      <c r="F678" s="524" t="str">
        <f t="shared" si="33"/>
        <v>否</v>
      </c>
      <c r="G678" s="312" t="str">
        <f t="shared" si="34"/>
        <v>项</v>
      </c>
    </row>
    <row r="679" s="372" customFormat="1" ht="24" hidden="1" customHeight="1" spans="1:7">
      <c r="A679" s="330">
        <v>2082799</v>
      </c>
      <c r="B679" s="379" t="s">
        <v>679</v>
      </c>
      <c r="C679" s="602">
        <f>'02'!E682</f>
        <v>0</v>
      </c>
      <c r="D679" s="603">
        <v>0</v>
      </c>
      <c r="E679" s="606" t="str">
        <f t="shared" si="35"/>
        <v/>
      </c>
      <c r="F679" s="524" t="str">
        <f t="shared" si="33"/>
        <v>否</v>
      </c>
      <c r="G679" s="312" t="str">
        <f t="shared" si="34"/>
        <v>项</v>
      </c>
    </row>
    <row r="680" s="372" customFormat="1" ht="24" customHeight="1" spans="1:7">
      <c r="A680" s="330">
        <v>20828</v>
      </c>
      <c r="B680" s="379" t="s">
        <v>680</v>
      </c>
      <c r="C680" s="602">
        <f>SUM(C681:C688)</f>
        <v>2060</v>
      </c>
      <c r="D680" s="602">
        <f>SUM(D681:D688)</f>
        <v>2078</v>
      </c>
      <c r="E680" s="606">
        <f t="shared" si="35"/>
        <v>0.0087378640776699</v>
      </c>
      <c r="F680" s="524" t="str">
        <f t="shared" si="33"/>
        <v>是</v>
      </c>
      <c r="G680" s="312" t="str">
        <f t="shared" si="34"/>
        <v>款</v>
      </c>
    </row>
    <row r="681" ht="24" hidden="1" customHeight="1" spans="1:7">
      <c r="A681" s="330">
        <v>2082801</v>
      </c>
      <c r="B681" s="379" t="s">
        <v>212</v>
      </c>
      <c r="C681" s="602">
        <f>'02'!E684</f>
        <v>784</v>
      </c>
      <c r="D681" s="603">
        <v>802</v>
      </c>
      <c r="E681" s="606">
        <f t="shared" si="35"/>
        <v>0.0229591836734694</v>
      </c>
      <c r="F681" s="524" t="str">
        <f t="shared" si="33"/>
        <v>是</v>
      </c>
      <c r="G681" s="312" t="str">
        <f t="shared" si="34"/>
        <v>项</v>
      </c>
    </row>
    <row r="682" s="372" customFormat="1" ht="24" hidden="1" customHeight="1" spans="1:7">
      <c r="A682" s="330">
        <v>2082802</v>
      </c>
      <c r="B682" s="379" t="s">
        <v>213</v>
      </c>
      <c r="C682" s="602">
        <f>'02'!E685</f>
        <v>58</v>
      </c>
      <c r="D682" s="603">
        <v>52</v>
      </c>
      <c r="E682" s="606">
        <f t="shared" si="35"/>
        <v>-0.103448275862069</v>
      </c>
      <c r="F682" s="524" t="str">
        <f t="shared" si="33"/>
        <v>是</v>
      </c>
      <c r="G682" s="312" t="str">
        <f t="shared" si="34"/>
        <v>项</v>
      </c>
    </row>
    <row r="683" s="372" customFormat="1" ht="24" hidden="1" customHeight="1" spans="1:7">
      <c r="A683" s="330">
        <v>2082803</v>
      </c>
      <c r="B683" s="379" t="s">
        <v>214</v>
      </c>
      <c r="C683" s="602">
        <f>'02'!E686</f>
        <v>0</v>
      </c>
      <c r="D683" s="603">
        <v>0</v>
      </c>
      <c r="E683" s="606" t="str">
        <f t="shared" si="35"/>
        <v/>
      </c>
      <c r="F683" s="524" t="str">
        <f t="shared" si="33"/>
        <v>否</v>
      </c>
      <c r="G683" s="312" t="str">
        <f t="shared" si="34"/>
        <v>项</v>
      </c>
    </row>
    <row r="684" s="372" customFormat="1" ht="24" hidden="1" customHeight="1" spans="1:7">
      <c r="A684" s="330">
        <v>2082804</v>
      </c>
      <c r="B684" s="379" t="s">
        <v>681</v>
      </c>
      <c r="C684" s="602">
        <f>'02'!E687</f>
        <v>416</v>
      </c>
      <c r="D684" s="603">
        <v>421</v>
      </c>
      <c r="E684" s="606">
        <f t="shared" si="35"/>
        <v>0.0120192307692308</v>
      </c>
      <c r="F684" s="524" t="str">
        <f t="shared" si="33"/>
        <v>是</v>
      </c>
      <c r="G684" s="312" t="str">
        <f t="shared" si="34"/>
        <v>项</v>
      </c>
    </row>
    <row r="685" s="372" customFormat="1" ht="24" hidden="1" customHeight="1" spans="1:7">
      <c r="A685" s="330">
        <v>2082805</v>
      </c>
      <c r="B685" s="405" t="s">
        <v>682</v>
      </c>
      <c r="C685" s="602">
        <f>'02'!E688</f>
        <v>0</v>
      </c>
      <c r="D685" s="603">
        <v>0</v>
      </c>
      <c r="E685" s="606" t="str">
        <f t="shared" si="35"/>
        <v/>
      </c>
      <c r="F685" s="524" t="str">
        <f t="shared" si="33"/>
        <v>否</v>
      </c>
      <c r="G685" s="312" t="str">
        <f t="shared" si="34"/>
        <v>项</v>
      </c>
    </row>
    <row r="686" s="372" customFormat="1" ht="24" hidden="1" customHeight="1" spans="1:7">
      <c r="A686" s="330">
        <v>2082806</v>
      </c>
      <c r="B686" s="405" t="s">
        <v>252</v>
      </c>
      <c r="C686" s="602">
        <f>'02'!E689</f>
        <v>0</v>
      </c>
      <c r="D686" s="603">
        <v>0</v>
      </c>
      <c r="E686" s="606" t="str">
        <f t="shared" si="35"/>
        <v/>
      </c>
      <c r="F686" s="524" t="str">
        <f t="shared" si="33"/>
        <v>否</v>
      </c>
      <c r="G686" s="312" t="str">
        <f t="shared" si="34"/>
        <v>项</v>
      </c>
    </row>
    <row r="687" s="372" customFormat="1" ht="24" hidden="1" customHeight="1" spans="1:7">
      <c r="A687" s="330">
        <v>2082850</v>
      </c>
      <c r="B687" s="379" t="s">
        <v>221</v>
      </c>
      <c r="C687" s="602">
        <f>'02'!E690</f>
        <v>789</v>
      </c>
      <c r="D687" s="603">
        <v>803</v>
      </c>
      <c r="E687" s="606">
        <f t="shared" si="35"/>
        <v>0.017743979721166</v>
      </c>
      <c r="F687" s="524" t="str">
        <f t="shared" si="33"/>
        <v>是</v>
      </c>
      <c r="G687" s="312" t="str">
        <f t="shared" si="34"/>
        <v>项</v>
      </c>
    </row>
    <row r="688" ht="24" hidden="1" customHeight="1" spans="1:7">
      <c r="A688" s="330">
        <v>2082899</v>
      </c>
      <c r="B688" s="379" t="s">
        <v>683</v>
      </c>
      <c r="C688" s="602">
        <f>'02'!E691</f>
        <v>13</v>
      </c>
      <c r="D688" s="603">
        <v>0</v>
      </c>
      <c r="E688" s="606">
        <f t="shared" si="35"/>
        <v>-1</v>
      </c>
      <c r="F688" s="524" t="str">
        <f t="shared" si="33"/>
        <v>是</v>
      </c>
      <c r="G688" s="312" t="str">
        <f t="shared" si="34"/>
        <v>项</v>
      </c>
    </row>
    <row r="689" s="372" customFormat="1" ht="24" customHeight="1" spans="1:7">
      <c r="A689" s="330">
        <v>20830</v>
      </c>
      <c r="B689" s="379" t="s">
        <v>684</v>
      </c>
      <c r="C689" s="602">
        <f>SUM(C690:C691)</f>
        <v>1610</v>
      </c>
      <c r="D689" s="602">
        <f>SUM(D690:D691)</f>
        <v>1615</v>
      </c>
      <c r="E689" s="606">
        <f t="shared" si="35"/>
        <v>0.0031055900621118</v>
      </c>
      <c r="F689" s="524" t="str">
        <f t="shared" si="33"/>
        <v>是</v>
      </c>
      <c r="G689" s="312" t="str">
        <f t="shared" si="34"/>
        <v>款</v>
      </c>
    </row>
    <row r="690" s="372" customFormat="1" ht="24" hidden="1" customHeight="1" spans="1:7">
      <c r="A690" s="330">
        <v>2083001</v>
      </c>
      <c r="B690" s="379" t="s">
        <v>685</v>
      </c>
      <c r="C690" s="602">
        <f>'02'!E693</f>
        <v>1610</v>
      </c>
      <c r="D690" s="603">
        <v>1615</v>
      </c>
      <c r="E690" s="606">
        <f t="shared" si="35"/>
        <v>0.0031055900621118</v>
      </c>
      <c r="F690" s="524" t="str">
        <f t="shared" si="33"/>
        <v>是</v>
      </c>
      <c r="G690" s="312" t="str">
        <f t="shared" si="34"/>
        <v>项</v>
      </c>
    </row>
    <row r="691" ht="24" hidden="1" customHeight="1" spans="1:7">
      <c r="A691" s="330">
        <v>2083099</v>
      </c>
      <c r="B691" s="379" t="s">
        <v>686</v>
      </c>
      <c r="C691" s="602">
        <f>'02'!E694</f>
        <v>0</v>
      </c>
      <c r="D691" s="603">
        <v>0</v>
      </c>
      <c r="E691" s="606" t="str">
        <f t="shared" si="35"/>
        <v/>
      </c>
      <c r="F691" s="524" t="str">
        <f t="shared" si="33"/>
        <v>否</v>
      </c>
      <c r="G691" s="312" t="str">
        <f t="shared" si="34"/>
        <v>项</v>
      </c>
    </row>
    <row r="692" s="372" customFormat="1" ht="24" customHeight="1" spans="1:7">
      <c r="A692" s="330">
        <v>20899</v>
      </c>
      <c r="B692" s="379" t="s">
        <v>687</v>
      </c>
      <c r="C692" s="602">
        <f>C693</f>
        <v>2364</v>
      </c>
      <c r="D692" s="602">
        <f>D693</f>
        <v>2158</v>
      </c>
      <c r="E692" s="606">
        <f t="shared" si="35"/>
        <v>-0.0871404399323181</v>
      </c>
      <c r="F692" s="524" t="str">
        <f t="shared" si="33"/>
        <v>是</v>
      </c>
      <c r="G692" s="312" t="str">
        <f t="shared" si="34"/>
        <v>款</v>
      </c>
    </row>
    <row r="693" s="372" customFormat="1" ht="24" hidden="1" customHeight="1" spans="1:7">
      <c r="A693" s="531">
        <v>2089999</v>
      </c>
      <c r="B693" s="379" t="s">
        <v>688</v>
      </c>
      <c r="C693" s="602">
        <f>'02'!E696</f>
        <v>2364</v>
      </c>
      <c r="D693" s="603">
        <v>2158</v>
      </c>
      <c r="E693" s="606">
        <f t="shared" si="35"/>
        <v>-0.0871404399323181</v>
      </c>
      <c r="F693" s="524" t="str">
        <f t="shared" si="33"/>
        <v>是</v>
      </c>
      <c r="G693" s="312" t="str">
        <f t="shared" si="34"/>
        <v>项</v>
      </c>
    </row>
    <row r="694" s="372" customFormat="1" ht="24" customHeight="1" spans="1:7">
      <c r="A694" s="329">
        <v>210</v>
      </c>
      <c r="B694" s="377" t="s">
        <v>183</v>
      </c>
      <c r="C694" s="601">
        <f>C695+C700+C715+C719+C731+C735+C740+C744+C748+C751+C760+C767+C772+C776</f>
        <v>214985</v>
      </c>
      <c r="D694" s="601">
        <f>D695+D700+D715+D719+D731+D735+D740+D744+D748+D751+D760+D767+D772+D776</f>
        <v>218613</v>
      </c>
      <c r="E694" s="605">
        <f t="shared" si="35"/>
        <v>0.016875595971812</v>
      </c>
      <c r="F694" s="524" t="str">
        <f t="shared" si="33"/>
        <v>是</v>
      </c>
      <c r="G694" s="312" t="str">
        <f t="shared" si="34"/>
        <v>类</v>
      </c>
    </row>
    <row r="695" ht="24" customHeight="1" spans="1:7">
      <c r="A695" s="330">
        <v>21001</v>
      </c>
      <c r="B695" s="379" t="s">
        <v>689</v>
      </c>
      <c r="C695" s="602">
        <f>SUM(C696:C699)</f>
        <v>3687</v>
      </c>
      <c r="D695" s="602">
        <f>SUM(D696:D699)</f>
        <v>3657</v>
      </c>
      <c r="E695" s="606">
        <f t="shared" si="35"/>
        <v>-0.0081366965012205</v>
      </c>
      <c r="F695" s="524" t="str">
        <f t="shared" si="33"/>
        <v>是</v>
      </c>
      <c r="G695" s="312" t="str">
        <f t="shared" si="34"/>
        <v>款</v>
      </c>
    </row>
    <row r="696" s="372" customFormat="1" ht="24" hidden="1" customHeight="1" spans="1:7">
      <c r="A696" s="330">
        <v>2100101</v>
      </c>
      <c r="B696" s="379" t="s">
        <v>212</v>
      </c>
      <c r="C696" s="602">
        <f>'02'!E699</f>
        <v>2306</v>
      </c>
      <c r="D696" s="603">
        <v>2372</v>
      </c>
      <c r="E696" s="606">
        <f t="shared" si="35"/>
        <v>0.028620988725065</v>
      </c>
      <c r="F696" s="524" t="str">
        <f t="shared" si="33"/>
        <v>是</v>
      </c>
      <c r="G696" s="312" t="str">
        <f t="shared" si="34"/>
        <v>项</v>
      </c>
    </row>
    <row r="697" s="372" customFormat="1" ht="24" hidden="1" customHeight="1" spans="1:7">
      <c r="A697" s="330">
        <v>2100102</v>
      </c>
      <c r="B697" s="379" t="s">
        <v>213</v>
      </c>
      <c r="C697" s="602">
        <f>'02'!E700</f>
        <v>27</v>
      </c>
      <c r="D697" s="603">
        <v>27</v>
      </c>
      <c r="E697" s="606">
        <f t="shared" si="35"/>
        <v>0</v>
      </c>
      <c r="F697" s="524" t="str">
        <f t="shared" si="33"/>
        <v>是</v>
      </c>
      <c r="G697" s="312" t="str">
        <f t="shared" si="34"/>
        <v>项</v>
      </c>
    </row>
    <row r="698" s="372" customFormat="1" ht="24" hidden="1" customHeight="1" spans="1:7">
      <c r="A698" s="330">
        <v>2100103</v>
      </c>
      <c r="B698" s="379" t="s">
        <v>214</v>
      </c>
      <c r="C698" s="602">
        <f>'02'!E701</f>
        <v>0</v>
      </c>
      <c r="D698" s="603">
        <v>0</v>
      </c>
      <c r="E698" s="606" t="str">
        <f t="shared" si="35"/>
        <v/>
      </c>
      <c r="F698" s="524" t="str">
        <f t="shared" si="33"/>
        <v>否</v>
      </c>
      <c r="G698" s="312" t="str">
        <f t="shared" si="34"/>
        <v>项</v>
      </c>
    </row>
    <row r="699" s="372" customFormat="1" ht="24" hidden="1" customHeight="1" spans="1:7">
      <c r="A699" s="330">
        <v>2100199</v>
      </c>
      <c r="B699" s="379" t="s">
        <v>690</v>
      </c>
      <c r="C699" s="602">
        <f>'02'!E702</f>
        <v>1354</v>
      </c>
      <c r="D699" s="603">
        <v>1258</v>
      </c>
      <c r="E699" s="606">
        <f t="shared" si="35"/>
        <v>-0.0709010339734121</v>
      </c>
      <c r="F699" s="524" t="str">
        <f t="shared" si="33"/>
        <v>是</v>
      </c>
      <c r="G699" s="312" t="str">
        <f t="shared" si="34"/>
        <v>项</v>
      </c>
    </row>
    <row r="700" ht="24" customHeight="1" spans="1:7">
      <c r="A700" s="330">
        <v>21002</v>
      </c>
      <c r="B700" s="379" t="s">
        <v>691</v>
      </c>
      <c r="C700" s="602">
        <f>SUM(C701:C714)</f>
        <v>22453</v>
      </c>
      <c r="D700" s="602">
        <f>SUM(D701:D714)</f>
        <v>23561</v>
      </c>
      <c r="E700" s="606">
        <f t="shared" si="35"/>
        <v>0.0493475259430811</v>
      </c>
      <c r="F700" s="524" t="str">
        <f t="shared" si="33"/>
        <v>是</v>
      </c>
      <c r="G700" s="312" t="str">
        <f t="shared" si="34"/>
        <v>款</v>
      </c>
    </row>
    <row r="701" s="372" customFormat="1" ht="24" hidden="1" customHeight="1" spans="1:7">
      <c r="A701" s="330">
        <v>2100201</v>
      </c>
      <c r="B701" s="379" t="s">
        <v>692</v>
      </c>
      <c r="C701" s="602">
        <f>'02'!E704</f>
        <v>14645</v>
      </c>
      <c r="D701" s="603">
        <v>15357</v>
      </c>
      <c r="E701" s="606">
        <f t="shared" si="35"/>
        <v>0.0486172755206555</v>
      </c>
      <c r="F701" s="524" t="str">
        <f t="shared" si="33"/>
        <v>是</v>
      </c>
      <c r="G701" s="312" t="str">
        <f t="shared" si="34"/>
        <v>项</v>
      </c>
    </row>
    <row r="702" s="372" customFormat="1" ht="24" hidden="1" customHeight="1" spans="1:7">
      <c r="A702" s="330">
        <v>2100202</v>
      </c>
      <c r="B702" s="379" t="s">
        <v>693</v>
      </c>
      <c r="C702" s="602">
        <f>'02'!E705</f>
        <v>5061</v>
      </c>
      <c r="D702" s="603">
        <v>5285</v>
      </c>
      <c r="E702" s="606">
        <f t="shared" si="35"/>
        <v>0.0442600276625173</v>
      </c>
      <c r="F702" s="524" t="str">
        <f t="shared" si="33"/>
        <v>是</v>
      </c>
      <c r="G702" s="312" t="str">
        <f t="shared" si="34"/>
        <v>项</v>
      </c>
    </row>
    <row r="703" s="372" customFormat="1" ht="24" hidden="1" customHeight="1" spans="1:7">
      <c r="A703" s="330">
        <v>2100203</v>
      </c>
      <c r="B703" s="379" t="s">
        <v>694</v>
      </c>
      <c r="C703" s="602">
        <f>'02'!E706</f>
        <v>1158</v>
      </c>
      <c r="D703" s="603">
        <v>1412</v>
      </c>
      <c r="E703" s="606">
        <f t="shared" si="35"/>
        <v>0.219343696027634</v>
      </c>
      <c r="F703" s="524" t="str">
        <f t="shared" si="33"/>
        <v>是</v>
      </c>
      <c r="G703" s="312" t="str">
        <f t="shared" si="34"/>
        <v>项</v>
      </c>
    </row>
    <row r="704" s="372" customFormat="1" ht="24" hidden="1" customHeight="1" spans="1:7">
      <c r="A704" s="330">
        <v>2100204</v>
      </c>
      <c r="B704" s="379" t="s">
        <v>695</v>
      </c>
      <c r="C704" s="602">
        <f>'02'!E707</f>
        <v>0</v>
      </c>
      <c r="D704" s="603">
        <v>0</v>
      </c>
      <c r="E704" s="606" t="str">
        <f t="shared" si="35"/>
        <v/>
      </c>
      <c r="F704" s="524" t="str">
        <f t="shared" si="33"/>
        <v>否</v>
      </c>
      <c r="G704" s="312" t="str">
        <f t="shared" si="34"/>
        <v>项</v>
      </c>
    </row>
    <row r="705" s="372" customFormat="1" ht="24" hidden="1" customHeight="1" spans="1:7">
      <c r="A705" s="330">
        <v>2100205</v>
      </c>
      <c r="B705" s="379" t="s">
        <v>696</v>
      </c>
      <c r="C705" s="602">
        <f>'02'!E708</f>
        <v>770</v>
      </c>
      <c r="D705" s="603">
        <v>782</v>
      </c>
      <c r="E705" s="606">
        <f t="shared" si="35"/>
        <v>0.0155844155844156</v>
      </c>
      <c r="F705" s="524" t="str">
        <f t="shared" si="33"/>
        <v>是</v>
      </c>
      <c r="G705" s="312" t="str">
        <f t="shared" si="34"/>
        <v>项</v>
      </c>
    </row>
    <row r="706" s="372" customFormat="1" ht="24" hidden="1" customHeight="1" spans="1:7">
      <c r="A706" s="330">
        <v>2100206</v>
      </c>
      <c r="B706" s="379" t="s">
        <v>697</v>
      </c>
      <c r="C706" s="602">
        <f>'02'!E709</f>
        <v>0</v>
      </c>
      <c r="D706" s="603">
        <v>0</v>
      </c>
      <c r="E706" s="606" t="str">
        <f t="shared" si="35"/>
        <v/>
      </c>
      <c r="F706" s="524" t="str">
        <f t="shared" ref="F706:F769" si="36">IF(LEN(A706)=3,"是",IF(B706&lt;&gt;"",IF(SUM(C706:D706)&lt;&gt;0,"是","否"),"是"))</f>
        <v>否</v>
      </c>
      <c r="G706" s="312" t="str">
        <f t="shared" ref="G706:G769" si="37">IF(LEN(A706)=3,"类",IF(LEN(A706)=5,"款","项"))</f>
        <v>项</v>
      </c>
    </row>
    <row r="707" s="372" customFormat="1" ht="24" hidden="1" customHeight="1" spans="1:7">
      <c r="A707" s="330">
        <v>2100207</v>
      </c>
      <c r="B707" s="379" t="s">
        <v>698</v>
      </c>
      <c r="C707" s="602">
        <f>'02'!E710</f>
        <v>0</v>
      </c>
      <c r="D707" s="603">
        <v>0</v>
      </c>
      <c r="E707" s="606" t="str">
        <f t="shared" si="35"/>
        <v/>
      </c>
      <c r="F707" s="524" t="str">
        <f t="shared" si="36"/>
        <v>否</v>
      </c>
      <c r="G707" s="312" t="str">
        <f t="shared" si="37"/>
        <v>项</v>
      </c>
    </row>
    <row r="708" ht="24" hidden="1" customHeight="1" spans="1:7">
      <c r="A708" s="330">
        <v>2100208</v>
      </c>
      <c r="B708" s="379" t="s">
        <v>699</v>
      </c>
      <c r="C708" s="602">
        <f>'02'!E711</f>
        <v>0</v>
      </c>
      <c r="D708" s="603">
        <v>0</v>
      </c>
      <c r="E708" s="606" t="str">
        <f t="shared" si="35"/>
        <v/>
      </c>
      <c r="F708" s="524" t="str">
        <f t="shared" si="36"/>
        <v>否</v>
      </c>
      <c r="G708" s="312" t="str">
        <f t="shared" si="37"/>
        <v>项</v>
      </c>
    </row>
    <row r="709" s="372" customFormat="1" ht="24" hidden="1" customHeight="1" spans="1:7">
      <c r="A709" s="330">
        <v>2100209</v>
      </c>
      <c r="B709" s="379" t="s">
        <v>700</v>
      </c>
      <c r="C709" s="602">
        <f>'02'!E712</f>
        <v>0</v>
      </c>
      <c r="D709" s="603">
        <v>0</v>
      </c>
      <c r="E709" s="606" t="str">
        <f t="shared" si="35"/>
        <v/>
      </c>
      <c r="F709" s="524" t="str">
        <f t="shared" si="36"/>
        <v>否</v>
      </c>
      <c r="G709" s="312" t="str">
        <f t="shared" si="37"/>
        <v>项</v>
      </c>
    </row>
    <row r="710" s="372" customFormat="1" ht="24" hidden="1" customHeight="1" spans="1:7">
      <c r="A710" s="330">
        <v>2100210</v>
      </c>
      <c r="B710" s="379" t="s">
        <v>701</v>
      </c>
      <c r="C710" s="602">
        <f>'02'!E713</f>
        <v>0</v>
      </c>
      <c r="D710" s="603">
        <v>0</v>
      </c>
      <c r="E710" s="606" t="str">
        <f t="shared" si="35"/>
        <v/>
      </c>
      <c r="F710" s="524" t="str">
        <f t="shared" si="36"/>
        <v>否</v>
      </c>
      <c r="G710" s="312" t="str">
        <f t="shared" si="37"/>
        <v>项</v>
      </c>
    </row>
    <row r="711" ht="24" hidden="1" customHeight="1" spans="1:7">
      <c r="A711" s="330">
        <v>2100211</v>
      </c>
      <c r="B711" s="379" t="s">
        <v>702</v>
      </c>
      <c r="C711" s="602">
        <f>'02'!E714</f>
        <v>0</v>
      </c>
      <c r="D711" s="603">
        <v>0</v>
      </c>
      <c r="E711" s="606" t="str">
        <f t="shared" si="35"/>
        <v/>
      </c>
      <c r="F711" s="524" t="str">
        <f t="shared" si="36"/>
        <v>否</v>
      </c>
      <c r="G711" s="312" t="str">
        <f t="shared" si="37"/>
        <v>项</v>
      </c>
    </row>
    <row r="712" s="372" customFormat="1" ht="24" hidden="1" customHeight="1" spans="1:7">
      <c r="A712" s="330">
        <v>2100212</v>
      </c>
      <c r="B712" s="379" t="s">
        <v>703</v>
      </c>
      <c r="C712" s="602">
        <f>'02'!E715</f>
        <v>0</v>
      </c>
      <c r="D712" s="603">
        <v>0</v>
      </c>
      <c r="E712" s="606" t="str">
        <f t="shared" si="35"/>
        <v/>
      </c>
      <c r="F712" s="524" t="str">
        <f t="shared" si="36"/>
        <v>否</v>
      </c>
      <c r="G712" s="312" t="str">
        <f t="shared" si="37"/>
        <v>项</v>
      </c>
    </row>
    <row r="713" ht="24" hidden="1" customHeight="1" spans="1:7">
      <c r="A713" s="330">
        <v>2100213</v>
      </c>
      <c r="B713" s="405" t="s">
        <v>704</v>
      </c>
      <c r="C713" s="602">
        <f>'02'!E716</f>
        <v>0</v>
      </c>
      <c r="D713" s="603">
        <v>0</v>
      </c>
      <c r="E713" s="606" t="str">
        <f t="shared" si="35"/>
        <v/>
      </c>
      <c r="F713" s="524" t="str">
        <f t="shared" si="36"/>
        <v>否</v>
      </c>
      <c r="G713" s="312" t="str">
        <f t="shared" si="37"/>
        <v>项</v>
      </c>
    </row>
    <row r="714" ht="24" hidden="1" customHeight="1" spans="1:7">
      <c r="A714" s="330">
        <v>2100299</v>
      </c>
      <c r="B714" s="379" t="s">
        <v>705</v>
      </c>
      <c r="C714" s="602">
        <f>'02'!E717</f>
        <v>819</v>
      </c>
      <c r="D714" s="603">
        <v>725</v>
      </c>
      <c r="E714" s="606">
        <f t="shared" si="35"/>
        <v>-0.114774114774115</v>
      </c>
      <c r="F714" s="524" t="str">
        <f t="shared" si="36"/>
        <v>是</v>
      </c>
      <c r="G714" s="312" t="str">
        <f t="shared" si="37"/>
        <v>项</v>
      </c>
    </row>
    <row r="715" s="372" customFormat="1" ht="24" customHeight="1" spans="1:7">
      <c r="A715" s="330">
        <v>21003</v>
      </c>
      <c r="B715" s="379" t="s">
        <v>706</v>
      </c>
      <c r="C715" s="602">
        <f>SUM(C716:C718)</f>
        <v>19954</v>
      </c>
      <c r="D715" s="602">
        <f>SUM(D716:D718)</f>
        <v>20063</v>
      </c>
      <c r="E715" s="606">
        <f t="shared" si="35"/>
        <v>0.00546256389696302</v>
      </c>
      <c r="F715" s="524" t="str">
        <f t="shared" si="36"/>
        <v>是</v>
      </c>
      <c r="G715" s="312" t="str">
        <f t="shared" si="37"/>
        <v>款</v>
      </c>
    </row>
    <row r="716" s="372" customFormat="1" ht="24" hidden="1" customHeight="1" spans="1:7">
      <c r="A716" s="330">
        <v>2100301</v>
      </c>
      <c r="B716" s="379" t="s">
        <v>707</v>
      </c>
      <c r="C716" s="602">
        <f>'02'!E719</f>
        <v>1527</v>
      </c>
      <c r="D716" s="603">
        <v>1586</v>
      </c>
      <c r="E716" s="606">
        <f t="shared" si="35"/>
        <v>0.0386378519973805</v>
      </c>
      <c r="F716" s="524" t="str">
        <f t="shared" si="36"/>
        <v>是</v>
      </c>
      <c r="G716" s="312" t="str">
        <f t="shared" si="37"/>
        <v>项</v>
      </c>
    </row>
    <row r="717" s="372" customFormat="1" ht="24" hidden="1" customHeight="1" spans="1:7">
      <c r="A717" s="330">
        <v>2100302</v>
      </c>
      <c r="B717" s="379" t="s">
        <v>708</v>
      </c>
      <c r="C717" s="602">
        <f>'02'!E720</f>
        <v>16108</v>
      </c>
      <c r="D717" s="603">
        <v>16258</v>
      </c>
      <c r="E717" s="606">
        <f t="shared" si="35"/>
        <v>0.00931214303451701</v>
      </c>
      <c r="F717" s="524" t="str">
        <f t="shared" si="36"/>
        <v>是</v>
      </c>
      <c r="G717" s="312" t="str">
        <f t="shared" si="37"/>
        <v>项</v>
      </c>
    </row>
    <row r="718" s="372" customFormat="1" ht="24" hidden="1" customHeight="1" spans="1:7">
      <c r="A718" s="330">
        <v>2100399</v>
      </c>
      <c r="B718" s="379" t="s">
        <v>709</v>
      </c>
      <c r="C718" s="602">
        <f>'02'!E721</f>
        <v>2319</v>
      </c>
      <c r="D718" s="603">
        <v>2219</v>
      </c>
      <c r="E718" s="606">
        <f t="shared" si="35"/>
        <v>-0.043122035360069</v>
      </c>
      <c r="F718" s="524" t="str">
        <f t="shared" si="36"/>
        <v>是</v>
      </c>
      <c r="G718" s="312" t="str">
        <f t="shared" si="37"/>
        <v>项</v>
      </c>
    </row>
    <row r="719" ht="24" customHeight="1" spans="1:7">
      <c r="A719" s="330">
        <v>21004</v>
      </c>
      <c r="B719" s="379" t="s">
        <v>710</v>
      </c>
      <c r="C719" s="602">
        <f>SUM(C720:C730)</f>
        <v>24844</v>
      </c>
      <c r="D719" s="602">
        <f>SUM(D720:D730)</f>
        <v>24369</v>
      </c>
      <c r="E719" s="606">
        <f t="shared" si="35"/>
        <v>-0.0191193044598293</v>
      </c>
      <c r="F719" s="524" t="str">
        <f t="shared" si="36"/>
        <v>是</v>
      </c>
      <c r="G719" s="312" t="str">
        <f t="shared" si="37"/>
        <v>款</v>
      </c>
    </row>
    <row r="720" s="372" customFormat="1" ht="24" hidden="1" customHeight="1" spans="1:7">
      <c r="A720" s="330">
        <v>2100401</v>
      </c>
      <c r="B720" s="379" t="s">
        <v>711</v>
      </c>
      <c r="C720" s="602">
        <f>'02'!E723</f>
        <v>5317</v>
      </c>
      <c r="D720" s="603">
        <v>5382</v>
      </c>
      <c r="E720" s="606">
        <f t="shared" ref="E720:E766" si="38">IFERROR((D720-C720)/C720,"")</f>
        <v>0.0122249388753056</v>
      </c>
      <c r="F720" s="524" t="str">
        <f t="shared" si="36"/>
        <v>是</v>
      </c>
      <c r="G720" s="312" t="str">
        <f t="shared" si="37"/>
        <v>项</v>
      </c>
    </row>
    <row r="721" s="372" customFormat="1" ht="24" hidden="1" customHeight="1" spans="1:7">
      <c r="A721" s="330">
        <v>2100402</v>
      </c>
      <c r="B721" s="379" t="s">
        <v>712</v>
      </c>
      <c r="C721" s="602">
        <f>'02'!E724</f>
        <v>244</v>
      </c>
      <c r="D721" s="603">
        <v>248</v>
      </c>
      <c r="E721" s="606">
        <f t="shared" si="38"/>
        <v>0.0163934426229508</v>
      </c>
      <c r="F721" s="524" t="str">
        <f t="shared" si="36"/>
        <v>是</v>
      </c>
      <c r="G721" s="312" t="str">
        <f t="shared" si="37"/>
        <v>项</v>
      </c>
    </row>
    <row r="722" s="372" customFormat="1" ht="24" hidden="1" customHeight="1" spans="1:7">
      <c r="A722" s="330">
        <v>2100403</v>
      </c>
      <c r="B722" s="379" t="s">
        <v>713</v>
      </c>
      <c r="C722" s="602">
        <f>'02'!E725</f>
        <v>7405</v>
      </c>
      <c r="D722" s="603">
        <v>7453</v>
      </c>
      <c r="E722" s="606">
        <f t="shared" si="38"/>
        <v>0.00648210668467252</v>
      </c>
      <c r="F722" s="524" t="str">
        <f t="shared" si="36"/>
        <v>是</v>
      </c>
      <c r="G722" s="312" t="str">
        <f t="shared" si="37"/>
        <v>项</v>
      </c>
    </row>
    <row r="723" s="372" customFormat="1" ht="24" hidden="1" customHeight="1" spans="1:7">
      <c r="A723" s="330">
        <v>2100404</v>
      </c>
      <c r="B723" s="379" t="s">
        <v>714</v>
      </c>
      <c r="C723" s="602">
        <f>'02'!E726</f>
        <v>0</v>
      </c>
      <c r="D723" s="603">
        <v>0</v>
      </c>
      <c r="E723" s="606" t="str">
        <f t="shared" si="38"/>
        <v/>
      </c>
      <c r="F723" s="524" t="str">
        <f t="shared" si="36"/>
        <v>否</v>
      </c>
      <c r="G723" s="312" t="str">
        <f t="shared" si="37"/>
        <v>项</v>
      </c>
    </row>
    <row r="724" s="372" customFormat="1" ht="24" hidden="1" customHeight="1" spans="1:7">
      <c r="A724" s="330">
        <v>2100405</v>
      </c>
      <c r="B724" s="379" t="s">
        <v>715</v>
      </c>
      <c r="C724" s="602">
        <f>'02'!E727</f>
        <v>2</v>
      </c>
      <c r="D724" s="603">
        <v>3</v>
      </c>
      <c r="E724" s="606">
        <f t="shared" si="38"/>
        <v>0.5</v>
      </c>
      <c r="F724" s="524" t="str">
        <f t="shared" si="36"/>
        <v>是</v>
      </c>
      <c r="G724" s="312" t="str">
        <f t="shared" si="37"/>
        <v>项</v>
      </c>
    </row>
    <row r="725" s="372" customFormat="1" ht="24" hidden="1" customHeight="1" spans="1:7">
      <c r="A725" s="330">
        <v>2100406</v>
      </c>
      <c r="B725" s="379" t="s">
        <v>716</v>
      </c>
      <c r="C725" s="602">
        <f>'02'!E728</f>
        <v>1221</v>
      </c>
      <c r="D725" s="603">
        <v>1265</v>
      </c>
      <c r="E725" s="606">
        <f t="shared" si="38"/>
        <v>0.036036036036036</v>
      </c>
      <c r="F725" s="524" t="str">
        <f t="shared" si="36"/>
        <v>是</v>
      </c>
      <c r="G725" s="312" t="str">
        <f t="shared" si="37"/>
        <v>项</v>
      </c>
    </row>
    <row r="726" s="372" customFormat="1" ht="24" hidden="1" customHeight="1" spans="1:7">
      <c r="A726" s="330">
        <v>2100407</v>
      </c>
      <c r="B726" s="379" t="s">
        <v>717</v>
      </c>
      <c r="C726" s="602">
        <f>'02'!E729</f>
        <v>0</v>
      </c>
      <c r="D726" s="603">
        <v>0</v>
      </c>
      <c r="E726" s="606" t="str">
        <f t="shared" si="38"/>
        <v/>
      </c>
      <c r="F726" s="524" t="str">
        <f t="shared" si="36"/>
        <v>否</v>
      </c>
      <c r="G726" s="312" t="str">
        <f t="shared" si="37"/>
        <v>项</v>
      </c>
    </row>
    <row r="727" s="372" customFormat="1" ht="24" hidden="1" customHeight="1" spans="1:7">
      <c r="A727" s="330">
        <v>2100408</v>
      </c>
      <c r="B727" s="379" t="s">
        <v>718</v>
      </c>
      <c r="C727" s="602">
        <f>'02'!E730</f>
        <v>9443</v>
      </c>
      <c r="D727" s="603">
        <v>8986</v>
      </c>
      <c r="E727" s="606">
        <f t="shared" si="38"/>
        <v>-0.0483956369797734</v>
      </c>
      <c r="F727" s="524" t="str">
        <f t="shared" si="36"/>
        <v>是</v>
      </c>
      <c r="G727" s="312" t="str">
        <f t="shared" si="37"/>
        <v>项</v>
      </c>
    </row>
    <row r="728" s="372" customFormat="1" ht="24" hidden="1" customHeight="1" spans="1:7">
      <c r="A728" s="330">
        <v>2100409</v>
      </c>
      <c r="B728" s="379" t="s">
        <v>719</v>
      </c>
      <c r="C728" s="602">
        <f>'02'!E731</f>
        <v>1103</v>
      </c>
      <c r="D728" s="603">
        <v>930</v>
      </c>
      <c r="E728" s="606">
        <f t="shared" si="38"/>
        <v>-0.156844968268359</v>
      </c>
      <c r="F728" s="524" t="str">
        <f t="shared" si="36"/>
        <v>是</v>
      </c>
      <c r="G728" s="312" t="str">
        <f t="shared" si="37"/>
        <v>项</v>
      </c>
    </row>
    <row r="729" s="372" customFormat="1" ht="24" hidden="1" customHeight="1" spans="1:7">
      <c r="A729" s="330">
        <v>2100410</v>
      </c>
      <c r="B729" s="379" t="s">
        <v>720</v>
      </c>
      <c r="C729" s="602">
        <f>'02'!E732</f>
        <v>-98</v>
      </c>
      <c r="D729" s="603">
        <v>0</v>
      </c>
      <c r="E729" s="606">
        <f>-IFERROR((D729-C729)/C729,"")</f>
        <v>1</v>
      </c>
      <c r="F729" s="524" t="str">
        <f t="shared" si="36"/>
        <v>是</v>
      </c>
      <c r="G729" s="312" t="str">
        <f t="shared" si="37"/>
        <v>项</v>
      </c>
    </row>
    <row r="730" s="372" customFormat="1" ht="24" hidden="1" customHeight="1" spans="1:7">
      <c r="A730" s="330">
        <v>2100499</v>
      </c>
      <c r="B730" s="379" t="s">
        <v>721</v>
      </c>
      <c r="C730" s="602">
        <f>'02'!E733</f>
        <v>207</v>
      </c>
      <c r="D730" s="603">
        <v>102</v>
      </c>
      <c r="E730" s="606">
        <f t="shared" si="38"/>
        <v>-0.507246376811594</v>
      </c>
      <c r="F730" s="524" t="str">
        <f t="shared" si="36"/>
        <v>是</v>
      </c>
      <c r="G730" s="312" t="str">
        <f t="shared" si="37"/>
        <v>项</v>
      </c>
    </row>
    <row r="731" ht="24" customHeight="1" spans="1:7">
      <c r="A731" s="330">
        <v>21007</v>
      </c>
      <c r="B731" s="379" t="s">
        <v>722</v>
      </c>
      <c r="C731" s="602">
        <f>SUM(C732:C734)</f>
        <v>5652</v>
      </c>
      <c r="D731" s="602">
        <f>SUM(D732:D734)</f>
        <v>5085</v>
      </c>
      <c r="E731" s="606">
        <f t="shared" si="38"/>
        <v>-0.10031847133758</v>
      </c>
      <c r="F731" s="524" t="str">
        <f t="shared" si="36"/>
        <v>是</v>
      </c>
      <c r="G731" s="312" t="str">
        <f t="shared" si="37"/>
        <v>款</v>
      </c>
    </row>
    <row r="732" s="372" customFormat="1" ht="24" hidden="1" customHeight="1" spans="1:7">
      <c r="A732" s="330">
        <v>2100716</v>
      </c>
      <c r="B732" s="379" t="s">
        <v>723</v>
      </c>
      <c r="C732" s="602">
        <f>'02'!E735</f>
        <v>127</v>
      </c>
      <c r="D732" s="603">
        <v>141</v>
      </c>
      <c r="E732" s="606">
        <f t="shared" si="38"/>
        <v>0.110236220472441</v>
      </c>
      <c r="F732" s="524" t="str">
        <f t="shared" si="36"/>
        <v>是</v>
      </c>
      <c r="G732" s="312" t="str">
        <f t="shared" si="37"/>
        <v>项</v>
      </c>
    </row>
    <row r="733" s="372" customFormat="1" ht="24" hidden="1" customHeight="1" spans="1:7">
      <c r="A733" s="330">
        <v>2100717</v>
      </c>
      <c r="B733" s="379" t="s">
        <v>724</v>
      </c>
      <c r="C733" s="602">
        <f>'02'!E736</f>
        <v>44</v>
      </c>
      <c r="D733" s="603">
        <v>32</v>
      </c>
      <c r="E733" s="606">
        <f t="shared" si="38"/>
        <v>-0.272727272727273</v>
      </c>
      <c r="F733" s="524" t="str">
        <f t="shared" si="36"/>
        <v>是</v>
      </c>
      <c r="G733" s="312" t="str">
        <f t="shared" si="37"/>
        <v>项</v>
      </c>
    </row>
    <row r="734" s="372" customFormat="1" ht="24" hidden="1" customHeight="1" spans="1:7">
      <c r="A734" s="330">
        <v>2100799</v>
      </c>
      <c r="B734" s="379" t="s">
        <v>725</v>
      </c>
      <c r="C734" s="602">
        <f>'02'!E737</f>
        <v>5481</v>
      </c>
      <c r="D734" s="603">
        <v>4912</v>
      </c>
      <c r="E734" s="606">
        <f t="shared" si="38"/>
        <v>-0.10381317277869</v>
      </c>
      <c r="F734" s="524" t="str">
        <f t="shared" si="36"/>
        <v>是</v>
      </c>
      <c r="G734" s="312" t="str">
        <f t="shared" si="37"/>
        <v>项</v>
      </c>
    </row>
    <row r="735" ht="24" customHeight="1" spans="1:7">
      <c r="A735" s="330">
        <v>21011</v>
      </c>
      <c r="B735" s="379" t="s">
        <v>726</v>
      </c>
      <c r="C735" s="602">
        <f>SUM(C736:C739)</f>
        <v>43738</v>
      </c>
      <c r="D735" s="602">
        <f>SUM(D736:D739)</f>
        <v>44727</v>
      </c>
      <c r="E735" s="606">
        <f t="shared" si="38"/>
        <v>0.0226119164113585</v>
      </c>
      <c r="F735" s="524" t="str">
        <f t="shared" si="36"/>
        <v>是</v>
      </c>
      <c r="G735" s="312" t="str">
        <f t="shared" si="37"/>
        <v>款</v>
      </c>
    </row>
    <row r="736" s="372" customFormat="1" ht="24" hidden="1" customHeight="1" spans="1:7">
      <c r="A736" s="330">
        <v>2101101</v>
      </c>
      <c r="B736" s="379" t="s">
        <v>727</v>
      </c>
      <c r="C736" s="602">
        <f>'02'!E739</f>
        <v>7794</v>
      </c>
      <c r="D736" s="603">
        <v>8159</v>
      </c>
      <c r="E736" s="606">
        <f t="shared" si="38"/>
        <v>0.0468308955606877</v>
      </c>
      <c r="F736" s="524" t="str">
        <f t="shared" si="36"/>
        <v>是</v>
      </c>
      <c r="G736" s="312" t="str">
        <f t="shared" si="37"/>
        <v>项</v>
      </c>
    </row>
    <row r="737" s="372" customFormat="1" ht="24" hidden="1" customHeight="1" spans="1:7">
      <c r="A737" s="330">
        <v>2101102</v>
      </c>
      <c r="B737" s="379" t="s">
        <v>728</v>
      </c>
      <c r="C737" s="602">
        <f>'02'!E740</f>
        <v>17238</v>
      </c>
      <c r="D737" s="603">
        <v>17658</v>
      </c>
      <c r="E737" s="606">
        <f t="shared" si="38"/>
        <v>0.0243647754959972</v>
      </c>
      <c r="F737" s="524" t="str">
        <f t="shared" si="36"/>
        <v>是</v>
      </c>
      <c r="G737" s="312" t="str">
        <f t="shared" si="37"/>
        <v>项</v>
      </c>
    </row>
    <row r="738" s="372" customFormat="1" ht="24" hidden="1" customHeight="1" spans="1:7">
      <c r="A738" s="330">
        <v>2101103</v>
      </c>
      <c r="B738" s="379" t="s">
        <v>729</v>
      </c>
      <c r="C738" s="602">
        <f>'02'!E741</f>
        <v>16671</v>
      </c>
      <c r="D738" s="603">
        <v>16825</v>
      </c>
      <c r="E738" s="606">
        <f t="shared" si="38"/>
        <v>0.00923759822446164</v>
      </c>
      <c r="F738" s="524" t="str">
        <f t="shared" si="36"/>
        <v>是</v>
      </c>
      <c r="G738" s="312" t="str">
        <f t="shared" si="37"/>
        <v>项</v>
      </c>
    </row>
    <row r="739" s="372" customFormat="1" ht="24" hidden="1" customHeight="1" spans="1:7">
      <c r="A739" s="330">
        <v>2101199</v>
      </c>
      <c r="B739" s="379" t="s">
        <v>730</v>
      </c>
      <c r="C739" s="602">
        <f>'02'!E742</f>
        <v>2035</v>
      </c>
      <c r="D739" s="603">
        <v>2085</v>
      </c>
      <c r="E739" s="606">
        <f t="shared" si="38"/>
        <v>0.0245700245700246</v>
      </c>
      <c r="F739" s="524" t="str">
        <f t="shared" si="36"/>
        <v>是</v>
      </c>
      <c r="G739" s="312" t="str">
        <f t="shared" si="37"/>
        <v>项</v>
      </c>
    </row>
    <row r="740" s="372" customFormat="1" ht="24" customHeight="1" spans="1:7">
      <c r="A740" s="330">
        <v>21012</v>
      </c>
      <c r="B740" s="379" t="s">
        <v>731</v>
      </c>
      <c r="C740" s="602">
        <f>SUM(C741:C743)</f>
        <v>70408</v>
      </c>
      <c r="D740" s="602">
        <f>SUM(D741:D743)</f>
        <v>72883</v>
      </c>
      <c r="E740" s="606">
        <f t="shared" si="38"/>
        <v>0.0351522554255198</v>
      </c>
      <c r="F740" s="524" t="str">
        <f t="shared" si="36"/>
        <v>是</v>
      </c>
      <c r="G740" s="312" t="str">
        <f t="shared" si="37"/>
        <v>款</v>
      </c>
    </row>
    <row r="741" s="372" customFormat="1" ht="24" hidden="1" customHeight="1" spans="1:7">
      <c r="A741" s="330">
        <v>2101201</v>
      </c>
      <c r="B741" s="379" t="s">
        <v>732</v>
      </c>
      <c r="C741" s="602">
        <f>'02'!E744</f>
        <v>22</v>
      </c>
      <c r="D741" s="603">
        <v>25</v>
      </c>
      <c r="E741" s="606">
        <f t="shared" si="38"/>
        <v>0.136363636363636</v>
      </c>
      <c r="F741" s="524" t="str">
        <f t="shared" si="36"/>
        <v>是</v>
      </c>
      <c r="G741" s="312" t="str">
        <f t="shared" si="37"/>
        <v>项</v>
      </c>
    </row>
    <row r="742" s="372" customFormat="1" ht="24" hidden="1" customHeight="1" spans="1:7">
      <c r="A742" s="330">
        <v>2101202</v>
      </c>
      <c r="B742" s="379" t="s">
        <v>733</v>
      </c>
      <c r="C742" s="602">
        <f>'02'!E745</f>
        <v>70386</v>
      </c>
      <c r="D742" s="603">
        <v>72858</v>
      </c>
      <c r="E742" s="606">
        <f t="shared" si="38"/>
        <v>0.0351206205779558</v>
      </c>
      <c r="F742" s="524" t="str">
        <f t="shared" si="36"/>
        <v>是</v>
      </c>
      <c r="G742" s="312" t="str">
        <f t="shared" si="37"/>
        <v>项</v>
      </c>
    </row>
    <row r="743" s="372" customFormat="1" ht="24" hidden="1" customHeight="1" spans="1:7">
      <c r="A743" s="330">
        <v>2101299</v>
      </c>
      <c r="B743" s="379" t="s">
        <v>734</v>
      </c>
      <c r="C743" s="602">
        <f>'02'!E746</f>
        <v>0</v>
      </c>
      <c r="D743" s="603">
        <v>0</v>
      </c>
      <c r="E743" s="606" t="str">
        <f t="shared" si="38"/>
        <v/>
      </c>
      <c r="F743" s="524" t="str">
        <f t="shared" si="36"/>
        <v>否</v>
      </c>
      <c r="G743" s="312" t="str">
        <f t="shared" si="37"/>
        <v>项</v>
      </c>
    </row>
    <row r="744" s="372" customFormat="1" ht="24" customHeight="1" spans="1:7">
      <c r="A744" s="330">
        <v>21013</v>
      </c>
      <c r="B744" s="379" t="s">
        <v>735</v>
      </c>
      <c r="C744" s="602">
        <f>SUM(C745:C747)</f>
        <v>8176</v>
      </c>
      <c r="D744" s="602">
        <f>SUM(D745:D747)</f>
        <v>8841</v>
      </c>
      <c r="E744" s="606">
        <f t="shared" si="38"/>
        <v>0.0813356164383562</v>
      </c>
      <c r="F744" s="524" t="str">
        <f t="shared" si="36"/>
        <v>是</v>
      </c>
      <c r="G744" s="312" t="str">
        <f t="shared" si="37"/>
        <v>款</v>
      </c>
    </row>
    <row r="745" s="372" customFormat="1" ht="24" hidden="1" customHeight="1" spans="1:7">
      <c r="A745" s="330">
        <v>2101301</v>
      </c>
      <c r="B745" s="379" t="s">
        <v>736</v>
      </c>
      <c r="C745" s="602">
        <f>'02'!E748</f>
        <v>8047</v>
      </c>
      <c r="D745" s="603">
        <v>8715</v>
      </c>
      <c r="E745" s="606">
        <f t="shared" si="38"/>
        <v>0.0830123027215111</v>
      </c>
      <c r="F745" s="524" t="str">
        <f t="shared" si="36"/>
        <v>是</v>
      </c>
      <c r="G745" s="312" t="str">
        <f t="shared" si="37"/>
        <v>项</v>
      </c>
    </row>
    <row r="746" s="372" customFormat="1" ht="24" hidden="1" customHeight="1" spans="1:7">
      <c r="A746" s="330">
        <v>2101302</v>
      </c>
      <c r="B746" s="379" t="s">
        <v>737</v>
      </c>
      <c r="C746" s="602">
        <f>'02'!E749</f>
        <v>100</v>
      </c>
      <c r="D746" s="603">
        <v>101</v>
      </c>
      <c r="E746" s="606">
        <f t="shared" si="38"/>
        <v>0.01</v>
      </c>
      <c r="F746" s="524" t="str">
        <f t="shared" si="36"/>
        <v>是</v>
      </c>
      <c r="G746" s="312" t="str">
        <f t="shared" si="37"/>
        <v>项</v>
      </c>
    </row>
    <row r="747" ht="24" hidden="1" customHeight="1" spans="1:7">
      <c r="A747" s="330">
        <v>2101399</v>
      </c>
      <c r="B747" s="379" t="s">
        <v>738</v>
      </c>
      <c r="C747" s="602">
        <f>'02'!E750</f>
        <v>29</v>
      </c>
      <c r="D747" s="603">
        <v>25</v>
      </c>
      <c r="E747" s="606">
        <f t="shared" si="38"/>
        <v>-0.137931034482759</v>
      </c>
      <c r="F747" s="524" t="str">
        <f t="shared" si="36"/>
        <v>是</v>
      </c>
      <c r="G747" s="312" t="str">
        <f t="shared" si="37"/>
        <v>项</v>
      </c>
    </row>
    <row r="748" s="372" customFormat="1" ht="24" customHeight="1" spans="1:7">
      <c r="A748" s="330">
        <v>21014</v>
      </c>
      <c r="B748" s="379" t="s">
        <v>739</v>
      </c>
      <c r="C748" s="602">
        <f>SUM(C749:C750)</f>
        <v>277</v>
      </c>
      <c r="D748" s="602">
        <f>SUM(D749:D750)</f>
        <v>270</v>
      </c>
      <c r="E748" s="606">
        <f t="shared" si="38"/>
        <v>-0.0252707581227437</v>
      </c>
      <c r="F748" s="524" t="str">
        <f t="shared" si="36"/>
        <v>是</v>
      </c>
      <c r="G748" s="312" t="str">
        <f t="shared" si="37"/>
        <v>款</v>
      </c>
    </row>
    <row r="749" s="372" customFormat="1" ht="24" hidden="1" customHeight="1" spans="1:7">
      <c r="A749" s="330">
        <v>2101401</v>
      </c>
      <c r="B749" s="379" t="s">
        <v>740</v>
      </c>
      <c r="C749" s="602">
        <f>'02'!E752</f>
        <v>277</v>
      </c>
      <c r="D749" s="603">
        <v>270</v>
      </c>
      <c r="E749" s="606">
        <f t="shared" si="38"/>
        <v>-0.0252707581227437</v>
      </c>
      <c r="F749" s="524" t="str">
        <f t="shared" si="36"/>
        <v>是</v>
      </c>
      <c r="G749" s="312" t="str">
        <f t="shared" si="37"/>
        <v>项</v>
      </c>
    </row>
    <row r="750" ht="24" hidden="1" customHeight="1" spans="1:7">
      <c r="A750" s="330">
        <v>2101499</v>
      </c>
      <c r="B750" s="379" t="s">
        <v>741</v>
      </c>
      <c r="C750" s="602">
        <f>'02'!E753</f>
        <v>0</v>
      </c>
      <c r="D750" s="603">
        <v>0</v>
      </c>
      <c r="E750" s="606" t="str">
        <f t="shared" si="38"/>
        <v/>
      </c>
      <c r="F750" s="524" t="str">
        <f t="shared" si="36"/>
        <v>否</v>
      </c>
      <c r="G750" s="312" t="str">
        <f t="shared" si="37"/>
        <v>项</v>
      </c>
    </row>
    <row r="751" s="372" customFormat="1" ht="24" customHeight="1" spans="1:7">
      <c r="A751" s="330">
        <v>21015</v>
      </c>
      <c r="B751" s="379" t="s">
        <v>742</v>
      </c>
      <c r="C751" s="602">
        <f>SUM(C752:C759)</f>
        <v>2399</v>
      </c>
      <c r="D751" s="602">
        <f>SUM(D752:D759)</f>
        <v>2194</v>
      </c>
      <c r="E751" s="606">
        <f t="shared" si="38"/>
        <v>-0.0854522717799083</v>
      </c>
      <c r="F751" s="524" t="str">
        <f t="shared" si="36"/>
        <v>是</v>
      </c>
      <c r="G751" s="312" t="str">
        <f t="shared" si="37"/>
        <v>款</v>
      </c>
    </row>
    <row r="752" s="372" customFormat="1" ht="24" hidden="1" customHeight="1" spans="1:7">
      <c r="A752" s="330">
        <v>2101501</v>
      </c>
      <c r="B752" s="379" t="s">
        <v>212</v>
      </c>
      <c r="C752" s="602">
        <f>'02'!E755</f>
        <v>1464</v>
      </c>
      <c r="D752" s="603">
        <v>1483</v>
      </c>
      <c r="E752" s="606">
        <f t="shared" si="38"/>
        <v>0.0129781420765027</v>
      </c>
      <c r="F752" s="524" t="str">
        <f t="shared" si="36"/>
        <v>是</v>
      </c>
      <c r="G752" s="312" t="str">
        <f t="shared" si="37"/>
        <v>项</v>
      </c>
    </row>
    <row r="753" s="372" customFormat="1" ht="24" hidden="1" customHeight="1" spans="1:7">
      <c r="A753" s="330">
        <v>2101502</v>
      </c>
      <c r="B753" s="379" t="s">
        <v>213</v>
      </c>
      <c r="C753" s="602">
        <f>'02'!E756</f>
        <v>43</v>
      </c>
      <c r="D753" s="603">
        <v>0</v>
      </c>
      <c r="E753" s="606">
        <f t="shared" si="38"/>
        <v>-1</v>
      </c>
      <c r="F753" s="524" t="str">
        <f t="shared" si="36"/>
        <v>是</v>
      </c>
      <c r="G753" s="312" t="str">
        <f t="shared" si="37"/>
        <v>项</v>
      </c>
    </row>
    <row r="754" ht="24" hidden="1" customHeight="1" spans="1:7">
      <c r="A754" s="330">
        <v>2101503</v>
      </c>
      <c r="B754" s="379" t="s">
        <v>214</v>
      </c>
      <c r="C754" s="602">
        <f>'02'!E757</f>
        <v>0</v>
      </c>
      <c r="D754" s="603">
        <v>0</v>
      </c>
      <c r="E754" s="606" t="str">
        <f t="shared" si="38"/>
        <v/>
      </c>
      <c r="F754" s="524" t="str">
        <f t="shared" si="36"/>
        <v>否</v>
      </c>
      <c r="G754" s="312" t="str">
        <f t="shared" si="37"/>
        <v>项</v>
      </c>
    </row>
    <row r="755" s="372" customFormat="1" ht="24" hidden="1" customHeight="1" spans="1:7">
      <c r="A755" s="330">
        <v>2101504</v>
      </c>
      <c r="B755" s="379" t="s">
        <v>252</v>
      </c>
      <c r="C755" s="602">
        <f>'02'!E758</f>
        <v>18</v>
      </c>
      <c r="D755" s="603">
        <v>26</v>
      </c>
      <c r="E755" s="606">
        <f t="shared" si="38"/>
        <v>0.444444444444444</v>
      </c>
      <c r="F755" s="524" t="str">
        <f t="shared" si="36"/>
        <v>是</v>
      </c>
      <c r="G755" s="312" t="str">
        <f t="shared" si="37"/>
        <v>项</v>
      </c>
    </row>
    <row r="756" s="372" customFormat="1" ht="24" hidden="1" customHeight="1" spans="1:7">
      <c r="A756" s="330">
        <v>2101505</v>
      </c>
      <c r="B756" s="379" t="s">
        <v>743</v>
      </c>
      <c r="C756" s="602">
        <f>'02'!E759</f>
        <v>26</v>
      </c>
      <c r="D756" s="603">
        <v>25</v>
      </c>
      <c r="E756" s="606">
        <f t="shared" si="38"/>
        <v>-0.0384615384615385</v>
      </c>
      <c r="F756" s="524" t="str">
        <f t="shared" si="36"/>
        <v>是</v>
      </c>
      <c r="G756" s="312" t="str">
        <f t="shared" si="37"/>
        <v>项</v>
      </c>
    </row>
    <row r="757" s="372" customFormat="1" ht="24" hidden="1" customHeight="1" spans="1:7">
      <c r="A757" s="330">
        <v>2101506</v>
      </c>
      <c r="B757" s="379" t="s">
        <v>744</v>
      </c>
      <c r="C757" s="602">
        <f>'02'!E760</f>
        <v>247</v>
      </c>
      <c r="D757" s="603">
        <v>107</v>
      </c>
      <c r="E757" s="606">
        <f t="shared" si="38"/>
        <v>-0.566801619433198</v>
      </c>
      <c r="F757" s="524" t="str">
        <f t="shared" si="36"/>
        <v>是</v>
      </c>
      <c r="G757" s="312" t="str">
        <f t="shared" si="37"/>
        <v>项</v>
      </c>
    </row>
    <row r="758" s="372" customFormat="1" ht="24" hidden="1" customHeight="1" spans="1:7">
      <c r="A758" s="330">
        <v>2101550</v>
      </c>
      <c r="B758" s="379" t="s">
        <v>221</v>
      </c>
      <c r="C758" s="602">
        <f>'02'!E761</f>
        <v>522</v>
      </c>
      <c r="D758" s="603">
        <v>535</v>
      </c>
      <c r="E758" s="606">
        <f t="shared" si="38"/>
        <v>0.024904214559387</v>
      </c>
      <c r="F758" s="524" t="str">
        <f t="shared" si="36"/>
        <v>是</v>
      </c>
      <c r="G758" s="312" t="str">
        <f t="shared" si="37"/>
        <v>项</v>
      </c>
    </row>
    <row r="759" ht="24" hidden="1" customHeight="1" spans="1:7">
      <c r="A759" s="330">
        <v>2101599</v>
      </c>
      <c r="B759" s="379" t="s">
        <v>745</v>
      </c>
      <c r="C759" s="602">
        <f>'02'!E762</f>
        <v>79</v>
      </c>
      <c r="D759" s="603">
        <v>18</v>
      </c>
      <c r="E759" s="606">
        <f t="shared" si="38"/>
        <v>-0.772151898734177</v>
      </c>
      <c r="F759" s="524" t="str">
        <f t="shared" si="36"/>
        <v>是</v>
      </c>
      <c r="G759" s="312" t="str">
        <f t="shared" si="37"/>
        <v>项</v>
      </c>
    </row>
    <row r="760" s="372" customFormat="1" ht="24" customHeight="1" spans="1:7">
      <c r="A760" s="330">
        <v>21017</v>
      </c>
      <c r="B760" s="379" t="s">
        <v>748</v>
      </c>
      <c r="C760" s="602">
        <f>SUM(C761:C766)</f>
        <v>137</v>
      </c>
      <c r="D760" s="602">
        <f>SUM(D761:D766)</f>
        <v>123</v>
      </c>
      <c r="E760" s="606">
        <f t="shared" si="38"/>
        <v>-0.102189781021898</v>
      </c>
      <c r="F760" s="524" t="str">
        <f t="shared" si="36"/>
        <v>是</v>
      </c>
      <c r="G760" s="312" t="str">
        <f t="shared" si="37"/>
        <v>款</v>
      </c>
    </row>
    <row r="761" s="372" customFormat="1" ht="24" hidden="1" customHeight="1" spans="1:7">
      <c r="A761" s="330">
        <v>2101701</v>
      </c>
      <c r="B761" s="379" t="s">
        <v>212</v>
      </c>
      <c r="C761" s="602">
        <f>'02'!E766</f>
        <v>0</v>
      </c>
      <c r="D761" s="603">
        <v>0</v>
      </c>
      <c r="E761" s="606" t="str">
        <f t="shared" si="38"/>
        <v/>
      </c>
      <c r="F761" s="524" t="str">
        <f t="shared" si="36"/>
        <v>否</v>
      </c>
      <c r="G761" s="312" t="str">
        <f t="shared" si="37"/>
        <v>项</v>
      </c>
    </row>
    <row r="762" s="372" customFormat="1" ht="24" hidden="1" customHeight="1" spans="1:7">
      <c r="A762" s="330">
        <v>2101702</v>
      </c>
      <c r="B762" s="379" t="s">
        <v>213</v>
      </c>
      <c r="C762" s="602">
        <f>'02'!E767</f>
        <v>0</v>
      </c>
      <c r="D762" s="603">
        <v>0</v>
      </c>
      <c r="E762" s="606" t="str">
        <f t="shared" si="38"/>
        <v/>
      </c>
      <c r="F762" s="524" t="str">
        <f t="shared" si="36"/>
        <v>否</v>
      </c>
      <c r="G762" s="312" t="str">
        <f t="shared" si="37"/>
        <v>项</v>
      </c>
    </row>
    <row r="763" s="372" customFormat="1" ht="24" hidden="1" customHeight="1" spans="1:7">
      <c r="A763" s="330">
        <v>2101703</v>
      </c>
      <c r="B763" s="379" t="s">
        <v>214</v>
      </c>
      <c r="C763" s="602">
        <f>'02'!E768</f>
        <v>0</v>
      </c>
      <c r="D763" s="603">
        <v>0</v>
      </c>
      <c r="E763" s="606" t="str">
        <f t="shared" si="38"/>
        <v/>
      </c>
      <c r="F763" s="524" t="str">
        <f t="shared" si="36"/>
        <v>否</v>
      </c>
      <c r="G763" s="312" t="str">
        <f t="shared" si="37"/>
        <v>项</v>
      </c>
    </row>
    <row r="764" s="372" customFormat="1" ht="24" hidden="1" customHeight="1" spans="1:7">
      <c r="A764" s="330">
        <v>2101704</v>
      </c>
      <c r="B764" s="379" t="s">
        <v>749</v>
      </c>
      <c r="C764" s="602">
        <f>'02'!E769</f>
        <v>26</v>
      </c>
      <c r="D764" s="603">
        <v>25</v>
      </c>
      <c r="E764" s="606">
        <f t="shared" si="38"/>
        <v>-0.0384615384615385</v>
      </c>
      <c r="F764" s="524" t="str">
        <f t="shared" si="36"/>
        <v>是</v>
      </c>
      <c r="G764" s="312" t="str">
        <f t="shared" si="37"/>
        <v>项</v>
      </c>
    </row>
    <row r="765" s="374" customFormat="1" ht="24" hidden="1" customHeight="1" spans="1:7">
      <c r="A765" s="354">
        <v>2101750</v>
      </c>
      <c r="B765" s="327" t="s">
        <v>221</v>
      </c>
      <c r="C765" s="602">
        <f>'02'!E770</f>
        <v>0</v>
      </c>
      <c r="D765" s="603">
        <v>0</v>
      </c>
      <c r="E765" s="606"/>
      <c r="F765" s="609" t="str">
        <f t="shared" si="36"/>
        <v>否</v>
      </c>
      <c r="G765" s="313" t="str">
        <f t="shared" si="37"/>
        <v>项</v>
      </c>
    </row>
    <row r="766" s="372" customFormat="1" ht="24" hidden="1" customHeight="1" spans="1:7">
      <c r="A766" s="330">
        <v>2101799</v>
      </c>
      <c r="B766" s="379" t="s">
        <v>750</v>
      </c>
      <c r="C766" s="602">
        <f>'02'!E771</f>
        <v>111</v>
      </c>
      <c r="D766" s="603">
        <v>98</v>
      </c>
      <c r="E766" s="606">
        <f t="shared" ref="E766:E776" si="39">IFERROR((D766-C766)/C766,"")</f>
        <v>-0.117117117117117</v>
      </c>
      <c r="F766" s="524" t="str">
        <f t="shared" si="36"/>
        <v>是</v>
      </c>
      <c r="G766" s="312" t="str">
        <f t="shared" si="37"/>
        <v>项</v>
      </c>
    </row>
    <row r="767" s="372" customFormat="1" ht="24" customHeight="1" spans="1:7">
      <c r="A767" s="330">
        <v>21018</v>
      </c>
      <c r="B767" s="379" t="s">
        <v>751</v>
      </c>
      <c r="C767" s="602">
        <f>SUM(C768:C771)</f>
        <v>10</v>
      </c>
      <c r="D767" s="602">
        <f>SUM(D768:D771)</f>
        <v>0</v>
      </c>
      <c r="E767" s="606">
        <f t="shared" si="39"/>
        <v>-1</v>
      </c>
      <c r="F767" s="524" t="str">
        <f t="shared" si="36"/>
        <v>是</v>
      </c>
      <c r="G767" s="312" t="str">
        <f t="shared" si="37"/>
        <v>款</v>
      </c>
    </row>
    <row r="768" s="372" customFormat="1" ht="24" hidden="1" customHeight="1" spans="1:7">
      <c r="A768" s="330">
        <v>2101801</v>
      </c>
      <c r="B768" s="379" t="s">
        <v>212</v>
      </c>
      <c r="C768" s="602">
        <f>'02'!E773</f>
        <v>0</v>
      </c>
      <c r="D768" s="603">
        <v>0</v>
      </c>
      <c r="E768" s="606" t="str">
        <f t="shared" si="39"/>
        <v/>
      </c>
      <c r="F768" s="524" t="str">
        <f t="shared" si="36"/>
        <v>否</v>
      </c>
      <c r="G768" s="312" t="str">
        <f t="shared" si="37"/>
        <v>项</v>
      </c>
    </row>
    <row r="769" s="372" customFormat="1" ht="24" hidden="1" customHeight="1" spans="1:7">
      <c r="A769" s="330">
        <v>2101802</v>
      </c>
      <c r="B769" s="379" t="s">
        <v>213</v>
      </c>
      <c r="C769" s="602">
        <f>'02'!E774</f>
        <v>0</v>
      </c>
      <c r="D769" s="603">
        <v>0</v>
      </c>
      <c r="E769" s="606" t="str">
        <f t="shared" si="39"/>
        <v/>
      </c>
      <c r="F769" s="524" t="str">
        <f t="shared" ref="F769:F774" si="40">IF(LEN(A769)=3,"是",IF(B769&lt;&gt;"",IF(SUM(C769:D769)&lt;&gt;0,"是","否"),"是"))</f>
        <v>否</v>
      </c>
      <c r="G769" s="312" t="str">
        <f t="shared" ref="G769:G774" si="41">IF(LEN(A769)=3,"类",IF(LEN(A769)=5,"款","项"))</f>
        <v>项</v>
      </c>
    </row>
    <row r="770" s="372" customFormat="1" ht="24" hidden="1" customHeight="1" spans="1:7">
      <c r="A770" s="330">
        <v>2101803</v>
      </c>
      <c r="B770" s="379" t="s">
        <v>214</v>
      </c>
      <c r="C770" s="602">
        <f>'02'!E775</f>
        <v>0</v>
      </c>
      <c r="D770" s="603">
        <v>0</v>
      </c>
      <c r="E770" s="606" t="str">
        <f t="shared" si="39"/>
        <v/>
      </c>
      <c r="F770" s="524" t="str">
        <f t="shared" si="40"/>
        <v>否</v>
      </c>
      <c r="G770" s="312" t="str">
        <f t="shared" si="41"/>
        <v>项</v>
      </c>
    </row>
    <row r="771" s="372" customFormat="1" ht="24" hidden="1" customHeight="1" spans="1:7">
      <c r="A771" s="330">
        <v>2101899</v>
      </c>
      <c r="B771" s="327" t="s">
        <v>752</v>
      </c>
      <c r="C771" s="608">
        <f>'02'!E776</f>
        <v>10</v>
      </c>
      <c r="D771" s="607">
        <v>0</v>
      </c>
      <c r="E771" s="606">
        <f t="shared" si="39"/>
        <v>-1</v>
      </c>
      <c r="F771" s="524" t="str">
        <f t="shared" si="40"/>
        <v>是</v>
      </c>
      <c r="G771" s="312" t="str">
        <f t="shared" si="41"/>
        <v>项</v>
      </c>
    </row>
    <row r="772" s="539" customFormat="1" ht="24" customHeight="1" spans="1:7">
      <c r="A772" s="537">
        <v>21019</v>
      </c>
      <c r="B772" s="350" t="s">
        <v>1756</v>
      </c>
      <c r="C772" s="610">
        <f>SUM(C773:C775)</f>
        <v>10591</v>
      </c>
      <c r="D772" s="610">
        <f>SUM(D773:D775)</f>
        <v>10625</v>
      </c>
      <c r="E772" s="606">
        <f t="shared" si="39"/>
        <v>0.00321027287319422</v>
      </c>
      <c r="F772" s="611" t="str">
        <f t="shared" si="40"/>
        <v>是</v>
      </c>
      <c r="G772" s="612" t="str">
        <f t="shared" si="41"/>
        <v>款</v>
      </c>
    </row>
    <row r="773" s="487" customFormat="1" ht="24" hidden="1" customHeight="1" spans="1:7">
      <c r="A773" s="538">
        <v>2101901</v>
      </c>
      <c r="B773" s="350" t="s">
        <v>754</v>
      </c>
      <c r="C773" s="608">
        <f>'02'!E778</f>
        <v>0</v>
      </c>
      <c r="D773" s="607">
        <v>0</v>
      </c>
      <c r="E773" s="606" t="str">
        <f t="shared" si="39"/>
        <v/>
      </c>
      <c r="F773" s="609" t="str">
        <f t="shared" si="40"/>
        <v>否</v>
      </c>
      <c r="G773" s="613" t="str">
        <f t="shared" si="41"/>
        <v>项</v>
      </c>
    </row>
    <row r="774" s="539" customFormat="1" ht="24" hidden="1" customHeight="1" spans="1:7">
      <c r="A774" s="537">
        <v>2101902</v>
      </c>
      <c r="B774" s="350" t="s">
        <v>1757</v>
      </c>
      <c r="C774" s="608"/>
      <c r="D774" s="607">
        <v>10625</v>
      </c>
      <c r="E774" s="606" t="str">
        <f t="shared" si="39"/>
        <v/>
      </c>
      <c r="F774" s="611" t="str">
        <f t="shared" si="40"/>
        <v>是</v>
      </c>
      <c r="G774" s="612" t="str">
        <f t="shared" si="41"/>
        <v>项</v>
      </c>
    </row>
    <row r="775" s="539" customFormat="1" ht="24" hidden="1" customHeight="1" spans="1:7">
      <c r="A775" s="537">
        <v>2101999</v>
      </c>
      <c r="B775" s="350" t="s">
        <v>1758</v>
      </c>
      <c r="C775" s="608">
        <f>'02'!E779</f>
        <v>10591</v>
      </c>
      <c r="D775" s="607">
        <v>0</v>
      </c>
      <c r="E775" s="606">
        <f t="shared" si="39"/>
        <v>-1</v>
      </c>
      <c r="F775" s="611" t="str">
        <f t="shared" ref="F775:F832" si="42">IF(LEN(A775)=3,"是",IF(B775&lt;&gt;"",IF(SUM(C775:D775)&lt;&gt;0,"是","否"),"是"))</f>
        <v>是</v>
      </c>
      <c r="G775" s="612" t="str">
        <f t="shared" ref="G775:G832" si="43">IF(LEN(A775)=3,"类",IF(LEN(A775)=5,"款","项"))</f>
        <v>项</v>
      </c>
    </row>
    <row r="776" s="372" customFormat="1" ht="24" customHeight="1" spans="1:7">
      <c r="A776" s="330">
        <v>21099</v>
      </c>
      <c r="B776" s="327" t="s">
        <v>756</v>
      </c>
      <c r="C776" s="608">
        <f>C777</f>
        <v>2659</v>
      </c>
      <c r="D776" s="608">
        <f>D777</f>
        <v>2215</v>
      </c>
      <c r="E776" s="606">
        <f t="shared" si="39"/>
        <v>-0.166980067694622</v>
      </c>
      <c r="F776" s="524" t="str">
        <f t="shared" si="42"/>
        <v>是</v>
      </c>
      <c r="G776" s="312" t="str">
        <f t="shared" si="43"/>
        <v>款</v>
      </c>
    </row>
    <row r="777" ht="24" hidden="1" customHeight="1" spans="1:7">
      <c r="A777" s="326">
        <v>2109999</v>
      </c>
      <c r="B777" s="379" t="s">
        <v>757</v>
      </c>
      <c r="C777" s="602">
        <f>'02'!E781</f>
        <v>2659</v>
      </c>
      <c r="D777" s="603">
        <v>2215</v>
      </c>
      <c r="E777" s="606">
        <f t="shared" ref="E776:E833" si="44">IFERROR((D777-C777)/C777,"")</f>
        <v>-0.166980067694622</v>
      </c>
      <c r="F777" s="524" t="str">
        <f t="shared" si="42"/>
        <v>是</v>
      </c>
      <c r="G777" s="312" t="str">
        <f t="shared" si="43"/>
        <v>项</v>
      </c>
    </row>
    <row r="778" s="372" customFormat="1" ht="24" customHeight="1" spans="1:7">
      <c r="A778" s="329">
        <v>211</v>
      </c>
      <c r="B778" s="377" t="s">
        <v>184</v>
      </c>
      <c r="C778" s="601">
        <f>C779+C789+C793+C802+C809+C816+C819+C822+C824+C826+C832+C835+C837+C848</f>
        <v>109450</v>
      </c>
      <c r="D778" s="601">
        <f>D779+D789+D793+D802+D809+D816+D819+D822+D824+D826+D832+D835+D837+D848</f>
        <v>106384</v>
      </c>
      <c r="E778" s="605">
        <f t="shared" si="44"/>
        <v>-0.0280127912288716</v>
      </c>
      <c r="F778" s="524" t="str">
        <f t="shared" si="42"/>
        <v>是</v>
      </c>
      <c r="G778" s="312" t="str">
        <f t="shared" si="43"/>
        <v>类</v>
      </c>
    </row>
    <row r="779" s="372" customFormat="1" ht="24" customHeight="1" spans="1:7">
      <c r="A779" s="330">
        <v>21101</v>
      </c>
      <c r="B779" s="379" t="s">
        <v>758</v>
      </c>
      <c r="C779" s="602">
        <f>SUM(C780:C788)</f>
        <v>4944</v>
      </c>
      <c r="D779" s="602">
        <f>SUM(D780:D788)</f>
        <v>4855</v>
      </c>
      <c r="E779" s="606">
        <f t="shared" si="44"/>
        <v>-0.0180016181229773</v>
      </c>
      <c r="F779" s="524" t="str">
        <f t="shared" si="42"/>
        <v>是</v>
      </c>
      <c r="G779" s="312" t="str">
        <f t="shared" si="43"/>
        <v>款</v>
      </c>
    </row>
    <row r="780" s="372" customFormat="1" ht="24" hidden="1" customHeight="1" spans="1:7">
      <c r="A780" s="330">
        <v>2110101</v>
      </c>
      <c r="B780" s="379" t="s">
        <v>212</v>
      </c>
      <c r="C780" s="602">
        <f>'02'!E784</f>
        <v>2251</v>
      </c>
      <c r="D780" s="603">
        <v>2295</v>
      </c>
      <c r="E780" s="606">
        <f t="shared" si="44"/>
        <v>0.0195468680586406</v>
      </c>
      <c r="F780" s="524" t="str">
        <f t="shared" si="42"/>
        <v>是</v>
      </c>
      <c r="G780" s="312" t="str">
        <f t="shared" si="43"/>
        <v>项</v>
      </c>
    </row>
    <row r="781" ht="24" hidden="1" customHeight="1" spans="1:7">
      <c r="A781" s="330">
        <v>2110102</v>
      </c>
      <c r="B781" s="379" t="s">
        <v>213</v>
      </c>
      <c r="C781" s="602">
        <f>'02'!E785</f>
        <v>96</v>
      </c>
      <c r="D781" s="603">
        <v>85</v>
      </c>
      <c r="E781" s="606">
        <f t="shared" si="44"/>
        <v>-0.114583333333333</v>
      </c>
      <c r="F781" s="524" t="str">
        <f t="shared" si="42"/>
        <v>是</v>
      </c>
      <c r="G781" s="312" t="str">
        <f t="shared" si="43"/>
        <v>项</v>
      </c>
    </row>
    <row r="782" s="372" customFormat="1" ht="24" hidden="1" customHeight="1" spans="1:7">
      <c r="A782" s="330">
        <v>2110103</v>
      </c>
      <c r="B782" s="379" t="s">
        <v>214</v>
      </c>
      <c r="C782" s="602">
        <f>'02'!E786</f>
        <v>0</v>
      </c>
      <c r="D782" s="603">
        <v>0</v>
      </c>
      <c r="E782" s="606" t="str">
        <f t="shared" si="44"/>
        <v/>
      </c>
      <c r="F782" s="524" t="str">
        <f t="shared" si="42"/>
        <v>否</v>
      </c>
      <c r="G782" s="312" t="str">
        <f t="shared" si="43"/>
        <v>项</v>
      </c>
    </row>
    <row r="783" s="372" customFormat="1" ht="24" hidden="1" customHeight="1" spans="1:7">
      <c r="A783" s="330">
        <v>2110104</v>
      </c>
      <c r="B783" s="379" t="s">
        <v>759</v>
      </c>
      <c r="C783" s="602">
        <f>'02'!E787</f>
        <v>10</v>
      </c>
      <c r="D783" s="603">
        <v>9</v>
      </c>
      <c r="E783" s="606">
        <f t="shared" si="44"/>
        <v>-0.1</v>
      </c>
      <c r="F783" s="524" t="str">
        <f t="shared" si="42"/>
        <v>是</v>
      </c>
      <c r="G783" s="312" t="str">
        <f t="shared" si="43"/>
        <v>项</v>
      </c>
    </row>
    <row r="784" ht="24" hidden="1" customHeight="1" spans="1:7">
      <c r="A784" s="330">
        <v>2110105</v>
      </c>
      <c r="B784" s="379" t="s">
        <v>760</v>
      </c>
      <c r="C784" s="602">
        <f>'02'!E788</f>
        <v>0</v>
      </c>
      <c r="D784" s="603">
        <v>0</v>
      </c>
      <c r="E784" s="606" t="str">
        <f t="shared" si="44"/>
        <v/>
      </c>
      <c r="F784" s="524" t="str">
        <f t="shared" si="42"/>
        <v>否</v>
      </c>
      <c r="G784" s="312" t="str">
        <f t="shared" si="43"/>
        <v>项</v>
      </c>
    </row>
    <row r="785" s="372" customFormat="1" ht="24" hidden="1" customHeight="1" spans="1:7">
      <c r="A785" s="330">
        <v>2110106</v>
      </c>
      <c r="B785" s="379" t="s">
        <v>761</v>
      </c>
      <c r="C785" s="602">
        <f>'02'!E789</f>
        <v>0</v>
      </c>
      <c r="D785" s="603">
        <v>0</v>
      </c>
      <c r="E785" s="606" t="str">
        <f t="shared" si="44"/>
        <v/>
      </c>
      <c r="F785" s="524" t="str">
        <f t="shared" si="42"/>
        <v>否</v>
      </c>
      <c r="G785" s="312" t="str">
        <f t="shared" si="43"/>
        <v>项</v>
      </c>
    </row>
    <row r="786" s="372" customFormat="1" ht="24" hidden="1" customHeight="1" spans="1:7">
      <c r="A786" s="330">
        <v>2110107</v>
      </c>
      <c r="B786" s="379" t="s">
        <v>762</v>
      </c>
      <c r="C786" s="602">
        <f>'02'!E790</f>
        <v>39</v>
      </c>
      <c r="D786" s="603">
        <v>41</v>
      </c>
      <c r="E786" s="606">
        <f t="shared" si="44"/>
        <v>0.0512820512820513</v>
      </c>
      <c r="F786" s="524" t="str">
        <f t="shared" si="42"/>
        <v>是</v>
      </c>
      <c r="G786" s="312" t="str">
        <f t="shared" si="43"/>
        <v>项</v>
      </c>
    </row>
    <row r="787" s="372" customFormat="1" ht="24" hidden="1" customHeight="1" spans="1:7">
      <c r="A787" s="330">
        <v>2110108</v>
      </c>
      <c r="B787" s="379" t="s">
        <v>763</v>
      </c>
      <c r="C787" s="602">
        <f>'02'!E791</f>
        <v>0</v>
      </c>
      <c r="D787" s="603">
        <v>0</v>
      </c>
      <c r="E787" s="606" t="str">
        <f t="shared" si="44"/>
        <v/>
      </c>
      <c r="F787" s="524" t="str">
        <f t="shared" si="42"/>
        <v>否</v>
      </c>
      <c r="G787" s="312" t="str">
        <f t="shared" si="43"/>
        <v>项</v>
      </c>
    </row>
    <row r="788" s="372" customFormat="1" ht="24" hidden="1" customHeight="1" spans="1:7">
      <c r="A788" s="330">
        <v>2110199</v>
      </c>
      <c r="B788" s="379" t="s">
        <v>764</v>
      </c>
      <c r="C788" s="602">
        <f>'02'!E792</f>
        <v>2548</v>
      </c>
      <c r="D788" s="603">
        <v>2425</v>
      </c>
      <c r="E788" s="606">
        <f t="shared" si="44"/>
        <v>-0.0482731554160126</v>
      </c>
      <c r="F788" s="524" t="str">
        <f t="shared" si="42"/>
        <v>是</v>
      </c>
      <c r="G788" s="312" t="str">
        <f t="shared" si="43"/>
        <v>项</v>
      </c>
    </row>
    <row r="789" s="372" customFormat="1" ht="24" customHeight="1" spans="1:7">
      <c r="A789" s="330">
        <v>21102</v>
      </c>
      <c r="B789" s="379" t="s">
        <v>765</v>
      </c>
      <c r="C789" s="602">
        <f>SUM(C790:C792)</f>
        <v>391</v>
      </c>
      <c r="D789" s="602">
        <f>SUM(D790:D792)</f>
        <v>365</v>
      </c>
      <c r="E789" s="606">
        <f t="shared" si="44"/>
        <v>-0.0664961636828645</v>
      </c>
      <c r="F789" s="524" t="str">
        <f t="shared" si="42"/>
        <v>是</v>
      </c>
      <c r="G789" s="312" t="str">
        <f t="shared" si="43"/>
        <v>款</v>
      </c>
    </row>
    <row r="790" s="372" customFormat="1" ht="24" hidden="1" customHeight="1" spans="1:7">
      <c r="A790" s="330">
        <v>2110203</v>
      </c>
      <c r="B790" s="379" t="s">
        <v>766</v>
      </c>
      <c r="C790" s="602">
        <f>'02'!E794</f>
        <v>0</v>
      </c>
      <c r="D790" s="603">
        <v>0</v>
      </c>
      <c r="E790" s="606" t="str">
        <f t="shared" si="44"/>
        <v/>
      </c>
      <c r="F790" s="524" t="str">
        <f t="shared" si="42"/>
        <v>否</v>
      </c>
      <c r="G790" s="312" t="str">
        <f t="shared" si="43"/>
        <v>项</v>
      </c>
    </row>
    <row r="791" s="372" customFormat="1" ht="24" hidden="1" customHeight="1" spans="1:7">
      <c r="A791" s="330">
        <v>2110204</v>
      </c>
      <c r="B791" s="379" t="s">
        <v>767</v>
      </c>
      <c r="C791" s="602">
        <f>'02'!E795</f>
        <v>0</v>
      </c>
      <c r="D791" s="603">
        <v>0</v>
      </c>
      <c r="E791" s="606" t="str">
        <f t="shared" si="44"/>
        <v/>
      </c>
      <c r="F791" s="524" t="str">
        <f t="shared" si="42"/>
        <v>否</v>
      </c>
      <c r="G791" s="312" t="str">
        <f t="shared" si="43"/>
        <v>项</v>
      </c>
    </row>
    <row r="792" s="372" customFormat="1" ht="24" hidden="1" customHeight="1" spans="1:7">
      <c r="A792" s="330">
        <v>2110299</v>
      </c>
      <c r="B792" s="379" t="s">
        <v>768</v>
      </c>
      <c r="C792" s="602">
        <f>'02'!E796</f>
        <v>391</v>
      </c>
      <c r="D792" s="603">
        <v>365</v>
      </c>
      <c r="E792" s="606">
        <f t="shared" si="44"/>
        <v>-0.0664961636828645</v>
      </c>
      <c r="F792" s="524" t="str">
        <f t="shared" si="42"/>
        <v>是</v>
      </c>
      <c r="G792" s="312" t="str">
        <f t="shared" si="43"/>
        <v>项</v>
      </c>
    </row>
    <row r="793" ht="24" customHeight="1" spans="1:7">
      <c r="A793" s="330">
        <v>21103</v>
      </c>
      <c r="B793" s="379" t="s">
        <v>769</v>
      </c>
      <c r="C793" s="602">
        <f>SUM(C794:C801)</f>
        <v>21964</v>
      </c>
      <c r="D793" s="602">
        <f>SUM(D794:D801)</f>
        <v>23548</v>
      </c>
      <c r="E793" s="606">
        <f t="shared" si="44"/>
        <v>0.0721180112912038</v>
      </c>
      <c r="F793" s="524" t="str">
        <f t="shared" si="42"/>
        <v>是</v>
      </c>
      <c r="G793" s="312" t="str">
        <f t="shared" si="43"/>
        <v>款</v>
      </c>
    </row>
    <row r="794" s="372" customFormat="1" ht="24" hidden="1" customHeight="1" spans="1:7">
      <c r="A794" s="330">
        <v>2110301</v>
      </c>
      <c r="B794" s="379" t="s">
        <v>770</v>
      </c>
      <c r="C794" s="602">
        <f>'02'!E798</f>
        <v>540</v>
      </c>
      <c r="D794" s="603">
        <v>525</v>
      </c>
      <c r="E794" s="606">
        <f t="shared" si="44"/>
        <v>-0.0277777777777778</v>
      </c>
      <c r="F794" s="524" t="str">
        <f t="shared" si="42"/>
        <v>是</v>
      </c>
      <c r="G794" s="312" t="str">
        <f t="shared" si="43"/>
        <v>项</v>
      </c>
    </row>
    <row r="795" ht="24" hidden="1" customHeight="1" spans="1:7">
      <c r="A795" s="330">
        <v>2110302</v>
      </c>
      <c r="B795" s="379" t="s">
        <v>771</v>
      </c>
      <c r="C795" s="602">
        <f>'02'!E799</f>
        <v>20037</v>
      </c>
      <c r="D795" s="603">
        <v>21808</v>
      </c>
      <c r="E795" s="606">
        <f t="shared" si="44"/>
        <v>0.0883864850027449</v>
      </c>
      <c r="F795" s="524" t="str">
        <f t="shared" si="42"/>
        <v>是</v>
      </c>
      <c r="G795" s="312" t="str">
        <f t="shared" si="43"/>
        <v>项</v>
      </c>
    </row>
    <row r="796" s="372" customFormat="1" ht="24" hidden="1" customHeight="1" spans="1:7">
      <c r="A796" s="330">
        <v>2110303</v>
      </c>
      <c r="B796" s="379" t="s">
        <v>772</v>
      </c>
      <c r="C796" s="602">
        <f>'02'!E800</f>
        <v>0</v>
      </c>
      <c r="D796" s="603">
        <v>0</v>
      </c>
      <c r="E796" s="606" t="str">
        <f t="shared" si="44"/>
        <v/>
      </c>
      <c r="F796" s="524" t="str">
        <f t="shared" si="42"/>
        <v>否</v>
      </c>
      <c r="G796" s="312" t="str">
        <f t="shared" si="43"/>
        <v>项</v>
      </c>
    </row>
    <row r="797" ht="24" hidden="1" customHeight="1" spans="1:7">
      <c r="A797" s="330">
        <v>2110304</v>
      </c>
      <c r="B797" s="379" t="s">
        <v>773</v>
      </c>
      <c r="C797" s="602">
        <f>'02'!E801</f>
        <v>870</v>
      </c>
      <c r="D797" s="603">
        <v>795</v>
      </c>
      <c r="E797" s="606">
        <f t="shared" si="44"/>
        <v>-0.0862068965517241</v>
      </c>
      <c r="F797" s="524" t="str">
        <f t="shared" si="42"/>
        <v>是</v>
      </c>
      <c r="G797" s="312" t="str">
        <f t="shared" si="43"/>
        <v>项</v>
      </c>
    </row>
    <row r="798" ht="24" hidden="1" customHeight="1" spans="1:7">
      <c r="A798" s="330">
        <v>2110305</v>
      </c>
      <c r="B798" s="379" t="s">
        <v>774</v>
      </c>
      <c r="C798" s="602">
        <f>'02'!E802</f>
        <v>0</v>
      </c>
      <c r="D798" s="603">
        <v>0</v>
      </c>
      <c r="E798" s="606" t="str">
        <f t="shared" si="44"/>
        <v/>
      </c>
      <c r="F798" s="524" t="str">
        <f t="shared" si="42"/>
        <v>否</v>
      </c>
      <c r="G798" s="312" t="str">
        <f t="shared" si="43"/>
        <v>项</v>
      </c>
    </row>
    <row r="799" s="372" customFormat="1" ht="24" hidden="1" customHeight="1" spans="1:7">
      <c r="A799" s="330">
        <v>2110306</v>
      </c>
      <c r="B799" s="379" t="s">
        <v>775</v>
      </c>
      <c r="C799" s="602">
        <f>'02'!E803</f>
        <v>0</v>
      </c>
      <c r="D799" s="603">
        <v>0</v>
      </c>
      <c r="E799" s="606" t="str">
        <f t="shared" si="44"/>
        <v/>
      </c>
      <c r="F799" s="524" t="str">
        <f t="shared" si="42"/>
        <v>否</v>
      </c>
      <c r="G799" s="312" t="str">
        <f t="shared" si="43"/>
        <v>项</v>
      </c>
    </row>
    <row r="800" s="372" customFormat="1" ht="24" hidden="1" customHeight="1" spans="1:7">
      <c r="A800" s="356">
        <v>2110307</v>
      </c>
      <c r="B800" s="379" t="s">
        <v>776</v>
      </c>
      <c r="C800" s="602">
        <f>'02'!E804</f>
        <v>380</v>
      </c>
      <c r="D800" s="603">
        <v>420</v>
      </c>
      <c r="E800" s="606">
        <f t="shared" si="44"/>
        <v>0.105263157894737</v>
      </c>
      <c r="F800" s="524" t="str">
        <f t="shared" si="42"/>
        <v>是</v>
      </c>
      <c r="G800" s="312" t="str">
        <f t="shared" si="43"/>
        <v>项</v>
      </c>
    </row>
    <row r="801" s="372" customFormat="1" ht="24" hidden="1" customHeight="1" spans="1:7">
      <c r="A801" s="330">
        <v>2110399</v>
      </c>
      <c r="B801" s="379" t="s">
        <v>777</v>
      </c>
      <c r="C801" s="602">
        <f>'02'!E805</f>
        <v>137</v>
      </c>
      <c r="D801" s="603">
        <v>0</v>
      </c>
      <c r="E801" s="606">
        <f t="shared" si="44"/>
        <v>-1</v>
      </c>
      <c r="F801" s="524" t="str">
        <f t="shared" si="42"/>
        <v>是</v>
      </c>
      <c r="G801" s="312" t="str">
        <f t="shared" si="43"/>
        <v>项</v>
      </c>
    </row>
    <row r="802" s="372" customFormat="1" ht="24" customHeight="1" spans="1:7">
      <c r="A802" s="330">
        <v>21104</v>
      </c>
      <c r="B802" s="379" t="s">
        <v>778</v>
      </c>
      <c r="C802" s="602">
        <f>SUM(C803:C808)</f>
        <v>64332</v>
      </c>
      <c r="D802" s="602">
        <f>SUM(D803:D808)</f>
        <v>59670</v>
      </c>
      <c r="E802" s="606">
        <f t="shared" si="44"/>
        <v>-0.0724678231673195</v>
      </c>
      <c r="F802" s="524" t="str">
        <f t="shared" si="42"/>
        <v>是</v>
      </c>
      <c r="G802" s="312" t="str">
        <f t="shared" si="43"/>
        <v>款</v>
      </c>
    </row>
    <row r="803" s="372" customFormat="1" ht="24" hidden="1" customHeight="1" spans="1:7">
      <c r="A803" s="330">
        <v>2110401</v>
      </c>
      <c r="B803" s="379" t="s">
        <v>779</v>
      </c>
      <c r="C803" s="602">
        <f>'02'!E807</f>
        <v>61240</v>
      </c>
      <c r="D803" s="603">
        <v>56282</v>
      </c>
      <c r="E803" s="606">
        <f t="shared" si="44"/>
        <v>-0.0809601567602874</v>
      </c>
      <c r="F803" s="524" t="str">
        <f t="shared" si="42"/>
        <v>是</v>
      </c>
      <c r="G803" s="312" t="str">
        <f t="shared" si="43"/>
        <v>项</v>
      </c>
    </row>
    <row r="804" s="372" customFormat="1" ht="24" hidden="1" customHeight="1" spans="1:7">
      <c r="A804" s="330">
        <v>2110402</v>
      </c>
      <c r="B804" s="379" t="s">
        <v>780</v>
      </c>
      <c r="C804" s="602">
        <f>'02'!E808</f>
        <v>380</v>
      </c>
      <c r="D804" s="603">
        <v>791</v>
      </c>
      <c r="E804" s="606">
        <f t="shared" si="44"/>
        <v>1.08157894736842</v>
      </c>
      <c r="F804" s="524" t="str">
        <f t="shared" si="42"/>
        <v>是</v>
      </c>
      <c r="G804" s="312" t="str">
        <f t="shared" si="43"/>
        <v>项</v>
      </c>
    </row>
    <row r="805" s="372" customFormat="1" ht="24" hidden="1" customHeight="1" spans="1:7">
      <c r="A805" s="330">
        <v>2110404</v>
      </c>
      <c r="B805" s="379" t="s">
        <v>781</v>
      </c>
      <c r="C805" s="602">
        <f>'02'!E809</f>
        <v>700</v>
      </c>
      <c r="D805" s="603">
        <v>715</v>
      </c>
      <c r="E805" s="606">
        <f t="shared" si="44"/>
        <v>0.0214285714285714</v>
      </c>
      <c r="F805" s="524" t="str">
        <f t="shared" si="42"/>
        <v>是</v>
      </c>
      <c r="G805" s="312" t="str">
        <f t="shared" si="43"/>
        <v>项</v>
      </c>
    </row>
    <row r="806" s="372" customFormat="1" ht="24" hidden="1" customHeight="1" spans="1:7">
      <c r="A806" s="330">
        <v>2110405</v>
      </c>
      <c r="B806" s="405" t="s">
        <v>782</v>
      </c>
      <c r="C806" s="602">
        <f>'02'!E810</f>
        <v>42</v>
      </c>
      <c r="D806" s="603">
        <v>18</v>
      </c>
      <c r="E806" s="606">
        <f t="shared" si="44"/>
        <v>-0.571428571428571</v>
      </c>
      <c r="F806" s="524" t="str">
        <f t="shared" si="42"/>
        <v>是</v>
      </c>
      <c r="G806" s="312" t="str">
        <f t="shared" si="43"/>
        <v>项</v>
      </c>
    </row>
    <row r="807" s="372" customFormat="1" ht="24" hidden="1" customHeight="1" spans="1:7">
      <c r="A807" s="330">
        <v>2110406</v>
      </c>
      <c r="B807" s="405" t="s">
        <v>783</v>
      </c>
      <c r="C807" s="602">
        <f>'02'!E811</f>
        <v>52</v>
      </c>
      <c r="D807" s="603">
        <v>36</v>
      </c>
      <c r="E807" s="606">
        <f t="shared" si="44"/>
        <v>-0.307692307692308</v>
      </c>
      <c r="F807" s="524" t="str">
        <f t="shared" si="42"/>
        <v>是</v>
      </c>
      <c r="G807" s="312" t="str">
        <f t="shared" si="43"/>
        <v>项</v>
      </c>
    </row>
    <row r="808" ht="24" hidden="1" customHeight="1" spans="1:7">
      <c r="A808" s="330">
        <v>2110499</v>
      </c>
      <c r="B808" s="379" t="s">
        <v>784</v>
      </c>
      <c r="C808" s="602">
        <f>'02'!E812</f>
        <v>1918</v>
      </c>
      <c r="D808" s="603">
        <v>1828</v>
      </c>
      <c r="E808" s="606">
        <f t="shared" si="44"/>
        <v>-0.0469238790406674</v>
      </c>
      <c r="F808" s="524" t="str">
        <f t="shared" si="42"/>
        <v>是</v>
      </c>
      <c r="G808" s="312" t="str">
        <f t="shared" si="43"/>
        <v>项</v>
      </c>
    </row>
    <row r="809" s="372" customFormat="1" ht="24" customHeight="1" spans="1:7">
      <c r="A809" s="330">
        <v>21105</v>
      </c>
      <c r="B809" s="379" t="s">
        <v>785</v>
      </c>
      <c r="C809" s="602">
        <f>SUM(C810:C815)</f>
        <v>16089</v>
      </c>
      <c r="D809" s="602">
        <f>SUM(D810:D815)</f>
        <v>16220</v>
      </c>
      <c r="E809" s="606">
        <f t="shared" si="44"/>
        <v>0.00814220896264529</v>
      </c>
      <c r="F809" s="524" t="str">
        <f t="shared" si="42"/>
        <v>是</v>
      </c>
      <c r="G809" s="312" t="str">
        <f t="shared" si="43"/>
        <v>款</v>
      </c>
    </row>
    <row r="810" s="372" customFormat="1" ht="24" hidden="1" customHeight="1" spans="1:7">
      <c r="A810" s="330">
        <v>2110501</v>
      </c>
      <c r="B810" s="379" t="s">
        <v>786</v>
      </c>
      <c r="C810" s="602">
        <f>'02'!E814</f>
        <v>13132</v>
      </c>
      <c r="D810" s="603">
        <v>13352</v>
      </c>
      <c r="E810" s="606">
        <f t="shared" si="44"/>
        <v>0.0167529698446543</v>
      </c>
      <c r="F810" s="524" t="str">
        <f t="shared" si="42"/>
        <v>是</v>
      </c>
      <c r="G810" s="312" t="str">
        <f t="shared" si="43"/>
        <v>项</v>
      </c>
    </row>
    <row r="811" s="372" customFormat="1" ht="24" hidden="1" customHeight="1" spans="1:7">
      <c r="A811" s="330">
        <v>2110502</v>
      </c>
      <c r="B811" s="379" t="s">
        <v>787</v>
      </c>
      <c r="C811" s="602">
        <f>'02'!E815</f>
        <v>2043</v>
      </c>
      <c r="D811" s="603">
        <v>2330</v>
      </c>
      <c r="E811" s="606">
        <f t="shared" si="44"/>
        <v>0.140479686735193</v>
      </c>
      <c r="F811" s="524" t="str">
        <f t="shared" si="42"/>
        <v>是</v>
      </c>
      <c r="G811" s="312" t="str">
        <f t="shared" si="43"/>
        <v>项</v>
      </c>
    </row>
    <row r="812" ht="24" hidden="1" customHeight="1" spans="1:7">
      <c r="A812" s="330">
        <v>2110503</v>
      </c>
      <c r="B812" s="379" t="s">
        <v>788</v>
      </c>
      <c r="C812" s="602">
        <f>'02'!E816</f>
        <v>0</v>
      </c>
      <c r="D812" s="603">
        <v>0</v>
      </c>
      <c r="E812" s="606" t="str">
        <f t="shared" si="44"/>
        <v/>
      </c>
      <c r="F812" s="524" t="str">
        <f t="shared" si="42"/>
        <v>否</v>
      </c>
      <c r="G812" s="312" t="str">
        <f t="shared" si="43"/>
        <v>项</v>
      </c>
    </row>
    <row r="813" s="372" customFormat="1" ht="24" hidden="1" customHeight="1" spans="1:7">
      <c r="A813" s="330">
        <v>2110506</v>
      </c>
      <c r="B813" s="379" t="s">
        <v>789</v>
      </c>
      <c r="C813" s="602">
        <f>'02'!E817</f>
        <v>2</v>
      </c>
      <c r="D813" s="603">
        <v>3</v>
      </c>
      <c r="E813" s="606">
        <f t="shared" si="44"/>
        <v>0.5</v>
      </c>
      <c r="F813" s="524" t="str">
        <f t="shared" si="42"/>
        <v>是</v>
      </c>
      <c r="G813" s="312" t="str">
        <f t="shared" si="43"/>
        <v>项</v>
      </c>
    </row>
    <row r="814" s="372" customFormat="1" ht="24" hidden="1" customHeight="1" spans="1:7">
      <c r="A814" s="330">
        <v>2110507</v>
      </c>
      <c r="B814" s="379" t="s">
        <v>790</v>
      </c>
      <c r="C814" s="602">
        <f>'02'!E818</f>
        <v>360</v>
      </c>
      <c r="D814" s="603">
        <v>0</v>
      </c>
      <c r="E814" s="606">
        <f t="shared" si="44"/>
        <v>-1</v>
      </c>
      <c r="F814" s="524" t="str">
        <f t="shared" si="42"/>
        <v>是</v>
      </c>
      <c r="G814" s="312" t="str">
        <f t="shared" si="43"/>
        <v>项</v>
      </c>
    </row>
    <row r="815" s="372" customFormat="1" ht="24" hidden="1" customHeight="1" spans="1:7">
      <c r="A815" s="330">
        <v>2110599</v>
      </c>
      <c r="B815" s="379" t="s">
        <v>791</v>
      </c>
      <c r="C815" s="602">
        <f>'02'!E819</f>
        <v>552</v>
      </c>
      <c r="D815" s="603">
        <v>535</v>
      </c>
      <c r="E815" s="606">
        <f t="shared" si="44"/>
        <v>-0.0307971014492754</v>
      </c>
      <c r="F815" s="524" t="str">
        <f t="shared" si="42"/>
        <v>是</v>
      </c>
      <c r="G815" s="312" t="str">
        <f t="shared" si="43"/>
        <v>项</v>
      </c>
    </row>
    <row r="816" s="372" customFormat="1" ht="24" customHeight="1" spans="1:7">
      <c r="A816" s="330">
        <v>21107</v>
      </c>
      <c r="B816" s="379" t="s">
        <v>792</v>
      </c>
      <c r="C816" s="602">
        <f>SUM(C817:C818)</f>
        <v>19</v>
      </c>
      <c r="D816" s="602">
        <f>SUM(D817:D818)</f>
        <v>0</v>
      </c>
      <c r="E816" s="606">
        <f t="shared" si="44"/>
        <v>-1</v>
      </c>
      <c r="F816" s="524" t="str">
        <f t="shared" si="42"/>
        <v>是</v>
      </c>
      <c r="G816" s="312" t="str">
        <f t="shared" si="43"/>
        <v>款</v>
      </c>
    </row>
    <row r="817" s="372" customFormat="1" ht="24" hidden="1" customHeight="1" spans="1:7">
      <c r="A817" s="330">
        <v>2110704</v>
      </c>
      <c r="B817" s="379" t="s">
        <v>793</v>
      </c>
      <c r="C817" s="602">
        <f>'02'!E821</f>
        <v>0</v>
      </c>
      <c r="D817" s="603">
        <v>0</v>
      </c>
      <c r="E817" s="606" t="str">
        <f t="shared" si="44"/>
        <v/>
      </c>
      <c r="F817" s="524" t="str">
        <f t="shared" si="42"/>
        <v>否</v>
      </c>
      <c r="G817" s="312" t="str">
        <f t="shared" si="43"/>
        <v>项</v>
      </c>
    </row>
    <row r="818" s="372" customFormat="1" ht="24" hidden="1" customHeight="1" spans="1:7">
      <c r="A818" s="330">
        <v>2110799</v>
      </c>
      <c r="B818" s="379" t="s">
        <v>794</v>
      </c>
      <c r="C818" s="602">
        <f>'02'!E822</f>
        <v>19</v>
      </c>
      <c r="D818" s="603">
        <v>0</v>
      </c>
      <c r="E818" s="606">
        <f t="shared" si="44"/>
        <v>-1</v>
      </c>
      <c r="F818" s="524" t="str">
        <f t="shared" si="42"/>
        <v>是</v>
      </c>
      <c r="G818" s="312" t="str">
        <f t="shared" si="43"/>
        <v>项</v>
      </c>
    </row>
    <row r="819" s="372" customFormat="1" ht="24" hidden="1" customHeight="1" spans="1:7">
      <c r="A819" s="330">
        <v>21108</v>
      </c>
      <c r="B819" s="379" t="s">
        <v>795</v>
      </c>
      <c r="C819" s="602">
        <f>SUM(C820:C821)</f>
        <v>0</v>
      </c>
      <c r="D819" s="602">
        <f>SUM(D820:D821)</f>
        <v>0</v>
      </c>
      <c r="E819" s="606" t="str">
        <f t="shared" si="44"/>
        <v/>
      </c>
      <c r="F819" s="524" t="str">
        <f t="shared" si="42"/>
        <v>否</v>
      </c>
      <c r="G819" s="312" t="str">
        <f t="shared" si="43"/>
        <v>款</v>
      </c>
    </row>
    <row r="820" s="372" customFormat="1" ht="24" hidden="1" customHeight="1" spans="1:7">
      <c r="A820" s="330">
        <v>2110804</v>
      </c>
      <c r="B820" s="379" t="s">
        <v>796</v>
      </c>
      <c r="C820" s="602">
        <f>'02'!E824</f>
        <v>0</v>
      </c>
      <c r="D820" s="603">
        <v>0</v>
      </c>
      <c r="E820" s="606" t="str">
        <f t="shared" si="44"/>
        <v/>
      </c>
      <c r="F820" s="524" t="str">
        <f t="shared" si="42"/>
        <v>否</v>
      </c>
      <c r="G820" s="312" t="str">
        <f t="shared" si="43"/>
        <v>项</v>
      </c>
    </row>
    <row r="821" s="372" customFormat="1" ht="24" hidden="1" customHeight="1" spans="1:7">
      <c r="A821" s="330">
        <v>2110899</v>
      </c>
      <c r="B821" s="379" t="s">
        <v>797</v>
      </c>
      <c r="C821" s="602">
        <f>'02'!E825</f>
        <v>0</v>
      </c>
      <c r="D821" s="603">
        <v>0</v>
      </c>
      <c r="E821" s="606" t="str">
        <f t="shared" si="44"/>
        <v/>
      </c>
      <c r="F821" s="524" t="str">
        <f t="shared" si="42"/>
        <v>否</v>
      </c>
      <c r="G821" s="312" t="str">
        <f t="shared" si="43"/>
        <v>项</v>
      </c>
    </row>
    <row r="822" ht="24" hidden="1" customHeight="1" spans="1:7">
      <c r="A822" s="330">
        <v>21109</v>
      </c>
      <c r="B822" s="379" t="s">
        <v>798</v>
      </c>
      <c r="C822" s="602">
        <f>C823</f>
        <v>0</v>
      </c>
      <c r="D822" s="602">
        <f>D823</f>
        <v>0</v>
      </c>
      <c r="E822" s="606" t="str">
        <f t="shared" si="44"/>
        <v/>
      </c>
      <c r="F822" s="524" t="str">
        <f t="shared" si="42"/>
        <v>否</v>
      </c>
      <c r="G822" s="312" t="str">
        <f t="shared" si="43"/>
        <v>款</v>
      </c>
    </row>
    <row r="823" s="372" customFormat="1" ht="24" hidden="1" customHeight="1" spans="1:7">
      <c r="A823" s="326">
        <v>2110901</v>
      </c>
      <c r="B823" s="534" t="s">
        <v>799</v>
      </c>
      <c r="C823" s="602">
        <f>'02'!E827</f>
        <v>0</v>
      </c>
      <c r="D823" s="603">
        <v>0</v>
      </c>
      <c r="E823" s="606" t="str">
        <f t="shared" si="44"/>
        <v/>
      </c>
      <c r="F823" s="524" t="str">
        <f t="shared" si="42"/>
        <v>否</v>
      </c>
      <c r="G823" s="312" t="str">
        <f t="shared" si="43"/>
        <v>项</v>
      </c>
    </row>
    <row r="824" s="372" customFormat="1" ht="24" hidden="1" customHeight="1" spans="1:7">
      <c r="A824" s="330">
        <v>21110</v>
      </c>
      <c r="B824" s="379" t="s">
        <v>800</v>
      </c>
      <c r="C824" s="602">
        <f>C825</f>
        <v>0</v>
      </c>
      <c r="D824" s="602">
        <f>D825</f>
        <v>0</v>
      </c>
      <c r="E824" s="606" t="str">
        <f t="shared" si="44"/>
        <v/>
      </c>
      <c r="F824" s="524" t="str">
        <f t="shared" si="42"/>
        <v>否</v>
      </c>
      <c r="G824" s="312" t="str">
        <f t="shared" si="43"/>
        <v>款</v>
      </c>
    </row>
    <row r="825" s="372" customFormat="1" ht="24" hidden="1" customHeight="1" spans="1:7">
      <c r="A825" s="326">
        <v>2111001</v>
      </c>
      <c r="B825" s="534" t="s">
        <v>801</v>
      </c>
      <c r="C825" s="602">
        <f>'02'!E829</f>
        <v>0</v>
      </c>
      <c r="D825" s="603">
        <v>0</v>
      </c>
      <c r="E825" s="606" t="str">
        <f t="shared" si="44"/>
        <v/>
      </c>
      <c r="F825" s="524" t="str">
        <f t="shared" si="42"/>
        <v>否</v>
      </c>
      <c r="G825" s="312" t="str">
        <f t="shared" si="43"/>
        <v>项</v>
      </c>
    </row>
    <row r="826" s="372" customFormat="1" ht="24" customHeight="1" spans="1:7">
      <c r="A826" s="330">
        <v>21111</v>
      </c>
      <c r="B826" s="379" t="s">
        <v>802</v>
      </c>
      <c r="C826" s="602">
        <f>SUM(C827:C831)</f>
        <v>249</v>
      </c>
      <c r="D826" s="602">
        <f>SUM(D827:D831)</f>
        <v>252</v>
      </c>
      <c r="E826" s="606">
        <f t="shared" si="44"/>
        <v>0.0120481927710843</v>
      </c>
      <c r="F826" s="524" t="str">
        <f t="shared" si="42"/>
        <v>是</v>
      </c>
      <c r="G826" s="312" t="str">
        <f t="shared" si="43"/>
        <v>款</v>
      </c>
    </row>
    <row r="827" s="372" customFormat="1" ht="24" hidden="1" customHeight="1" spans="1:7">
      <c r="A827" s="330">
        <v>2111101</v>
      </c>
      <c r="B827" s="379" t="s">
        <v>803</v>
      </c>
      <c r="C827" s="602">
        <f>'02'!E831</f>
        <v>0</v>
      </c>
      <c r="D827" s="603">
        <v>0</v>
      </c>
      <c r="E827" s="606" t="str">
        <f t="shared" si="44"/>
        <v/>
      </c>
      <c r="F827" s="524" t="str">
        <f t="shared" si="42"/>
        <v>否</v>
      </c>
      <c r="G827" s="312" t="str">
        <f t="shared" si="43"/>
        <v>项</v>
      </c>
    </row>
    <row r="828" s="372" customFormat="1" ht="24" hidden="1" customHeight="1" spans="1:7">
      <c r="A828" s="330">
        <v>2111102</v>
      </c>
      <c r="B828" s="379" t="s">
        <v>804</v>
      </c>
      <c r="C828" s="602">
        <f>'02'!E832</f>
        <v>249</v>
      </c>
      <c r="D828" s="603">
        <v>252</v>
      </c>
      <c r="E828" s="606">
        <f t="shared" si="44"/>
        <v>0.0120481927710843</v>
      </c>
      <c r="F828" s="524" t="str">
        <f t="shared" si="42"/>
        <v>是</v>
      </c>
      <c r="G828" s="312" t="str">
        <f t="shared" si="43"/>
        <v>项</v>
      </c>
    </row>
    <row r="829" ht="24" hidden="1" customHeight="1" spans="1:7">
      <c r="A829" s="330">
        <v>2111103</v>
      </c>
      <c r="B829" s="379" t="s">
        <v>805</v>
      </c>
      <c r="C829" s="602">
        <f>'02'!E833</f>
        <v>0</v>
      </c>
      <c r="D829" s="603">
        <v>0</v>
      </c>
      <c r="E829" s="606" t="str">
        <f t="shared" si="44"/>
        <v/>
      </c>
      <c r="F829" s="524" t="str">
        <f t="shared" si="42"/>
        <v>否</v>
      </c>
      <c r="G829" s="312" t="str">
        <f t="shared" si="43"/>
        <v>项</v>
      </c>
    </row>
    <row r="830" s="372" customFormat="1" ht="24" hidden="1" customHeight="1" spans="1:7">
      <c r="A830" s="330">
        <v>2111104</v>
      </c>
      <c r="B830" s="379" t="s">
        <v>806</v>
      </c>
      <c r="C830" s="602">
        <f>'02'!E834</f>
        <v>0</v>
      </c>
      <c r="D830" s="603">
        <v>0</v>
      </c>
      <c r="E830" s="606" t="str">
        <f t="shared" si="44"/>
        <v/>
      </c>
      <c r="F830" s="524" t="str">
        <f t="shared" si="42"/>
        <v>否</v>
      </c>
      <c r="G830" s="312" t="str">
        <f t="shared" si="43"/>
        <v>项</v>
      </c>
    </row>
    <row r="831" s="372" customFormat="1" ht="24" hidden="1" customHeight="1" spans="1:7">
      <c r="A831" s="330">
        <v>2111199</v>
      </c>
      <c r="B831" s="379" t="s">
        <v>807</v>
      </c>
      <c r="C831" s="602">
        <f>'02'!E835</f>
        <v>0</v>
      </c>
      <c r="D831" s="603">
        <v>0</v>
      </c>
      <c r="E831" s="606" t="str">
        <f t="shared" si="44"/>
        <v/>
      </c>
      <c r="F831" s="524" t="str">
        <f t="shared" si="42"/>
        <v>否</v>
      </c>
      <c r="G831" s="312" t="str">
        <f t="shared" si="43"/>
        <v>项</v>
      </c>
    </row>
    <row r="832" s="374" customFormat="1" ht="24" hidden="1" customHeight="1" spans="1:7">
      <c r="A832" s="331">
        <v>21112</v>
      </c>
      <c r="B832" s="327" t="s">
        <v>808</v>
      </c>
      <c r="C832" s="608">
        <f>C833</f>
        <v>0</v>
      </c>
      <c r="D832" s="608">
        <f>D833</f>
        <v>0</v>
      </c>
      <c r="E832" s="606" t="str">
        <f t="shared" si="44"/>
        <v/>
      </c>
      <c r="F832" s="609" t="str">
        <f t="shared" si="42"/>
        <v>否</v>
      </c>
      <c r="G832" s="313" t="str">
        <f t="shared" si="43"/>
        <v>款</v>
      </c>
    </row>
    <row r="833" s="372" customFormat="1" ht="24" hidden="1" customHeight="1" spans="1:7">
      <c r="A833" s="356">
        <v>2111201</v>
      </c>
      <c r="B833" s="379" t="s">
        <v>809</v>
      </c>
      <c r="C833" s="602">
        <f>'02'!E837</f>
        <v>0</v>
      </c>
      <c r="D833" s="603">
        <v>0</v>
      </c>
      <c r="E833" s="606" t="str">
        <f t="shared" si="44"/>
        <v/>
      </c>
      <c r="F833" s="524" t="str">
        <f t="shared" ref="F833:F896" si="45">IF(LEN(A833)=3,"是",IF(B833&lt;&gt;"",IF(SUM(C833:D833)&lt;&gt;0,"是","否"),"是"))</f>
        <v>否</v>
      </c>
      <c r="G833" s="312" t="str">
        <f t="shared" ref="G833:G896" si="46">IF(LEN(A833)=3,"类",IF(LEN(A833)=5,"款","项"))</f>
        <v>项</v>
      </c>
    </row>
    <row r="834" s="374" customFormat="1" ht="24" hidden="1" customHeight="1" spans="1:7">
      <c r="A834" s="540">
        <v>2111299</v>
      </c>
      <c r="B834" s="327" t="s">
        <v>810</v>
      </c>
      <c r="C834" s="602">
        <f>'02'!E838</f>
        <v>0</v>
      </c>
      <c r="D834" s="603">
        <v>0</v>
      </c>
      <c r="E834" s="606"/>
      <c r="F834" s="609" t="str">
        <f t="shared" si="45"/>
        <v>否</v>
      </c>
      <c r="G834" s="313" t="str">
        <f t="shared" si="46"/>
        <v>项</v>
      </c>
    </row>
    <row r="835" s="372" customFormat="1" ht="24" hidden="1" customHeight="1" spans="1:7">
      <c r="A835" s="330">
        <v>21113</v>
      </c>
      <c r="B835" s="379" t="s">
        <v>811</v>
      </c>
      <c r="C835" s="602">
        <f>C836</f>
        <v>0</v>
      </c>
      <c r="D835" s="602">
        <f>D836</f>
        <v>0</v>
      </c>
      <c r="E835" s="606" t="str">
        <f t="shared" ref="E835:E898" si="47">IFERROR((D835-C835)/C835,"")</f>
        <v/>
      </c>
      <c r="F835" s="524" t="str">
        <f t="shared" si="45"/>
        <v>否</v>
      </c>
      <c r="G835" s="312" t="str">
        <f t="shared" si="46"/>
        <v>款</v>
      </c>
    </row>
    <row r="836" ht="24" hidden="1" customHeight="1" spans="1:7">
      <c r="A836" s="356">
        <v>2111301</v>
      </c>
      <c r="B836" s="379" t="s">
        <v>812</v>
      </c>
      <c r="C836" s="602">
        <f>'02'!E840</f>
        <v>0</v>
      </c>
      <c r="D836" s="603">
        <v>0</v>
      </c>
      <c r="E836" s="606" t="str">
        <f t="shared" si="47"/>
        <v/>
      </c>
      <c r="F836" s="524" t="str">
        <f t="shared" si="45"/>
        <v>否</v>
      </c>
      <c r="G836" s="312" t="str">
        <f t="shared" si="46"/>
        <v>项</v>
      </c>
    </row>
    <row r="837" s="372" customFormat="1" ht="24" customHeight="1" spans="1:7">
      <c r="A837" s="330">
        <v>21114</v>
      </c>
      <c r="B837" s="379" t="s">
        <v>813</v>
      </c>
      <c r="C837" s="602">
        <f>SUM(C838:C847)</f>
        <v>81</v>
      </c>
      <c r="D837" s="602">
        <f>SUM(D838:D847)</f>
        <v>85</v>
      </c>
      <c r="E837" s="606">
        <f t="shared" si="47"/>
        <v>0.0493827160493827</v>
      </c>
      <c r="F837" s="524" t="str">
        <f t="shared" si="45"/>
        <v>是</v>
      </c>
      <c r="G837" s="312" t="str">
        <f t="shared" si="46"/>
        <v>款</v>
      </c>
    </row>
    <row r="838" s="372" customFormat="1" ht="24" hidden="1" customHeight="1" spans="1:7">
      <c r="A838" s="330">
        <v>2111401</v>
      </c>
      <c r="B838" s="379" t="s">
        <v>212</v>
      </c>
      <c r="C838" s="602">
        <f>'02'!E842</f>
        <v>0</v>
      </c>
      <c r="D838" s="603">
        <v>0</v>
      </c>
      <c r="E838" s="606" t="str">
        <f t="shared" si="47"/>
        <v/>
      </c>
      <c r="F838" s="524" t="str">
        <f t="shared" si="45"/>
        <v>否</v>
      </c>
      <c r="G838" s="312" t="str">
        <f t="shared" si="46"/>
        <v>项</v>
      </c>
    </row>
    <row r="839" ht="24" hidden="1" customHeight="1" spans="1:7">
      <c r="A839" s="330">
        <v>2111402</v>
      </c>
      <c r="B839" s="379" t="s">
        <v>213</v>
      </c>
      <c r="C839" s="602">
        <f>'02'!E843</f>
        <v>0</v>
      </c>
      <c r="D839" s="603">
        <v>0</v>
      </c>
      <c r="E839" s="606" t="str">
        <f t="shared" si="47"/>
        <v/>
      </c>
      <c r="F839" s="524" t="str">
        <f t="shared" si="45"/>
        <v>否</v>
      </c>
      <c r="G839" s="312" t="str">
        <f t="shared" si="46"/>
        <v>项</v>
      </c>
    </row>
    <row r="840" s="372" customFormat="1" ht="24" hidden="1" customHeight="1" spans="1:7">
      <c r="A840" s="330">
        <v>2111403</v>
      </c>
      <c r="B840" s="379" t="s">
        <v>214</v>
      </c>
      <c r="C840" s="602">
        <f>'02'!E844</f>
        <v>0</v>
      </c>
      <c r="D840" s="603">
        <v>0</v>
      </c>
      <c r="E840" s="606" t="str">
        <f t="shared" si="47"/>
        <v/>
      </c>
      <c r="F840" s="524" t="str">
        <f t="shared" si="45"/>
        <v>否</v>
      </c>
      <c r="G840" s="312" t="str">
        <f t="shared" si="46"/>
        <v>项</v>
      </c>
    </row>
    <row r="841" s="372" customFormat="1" ht="24" hidden="1" customHeight="1" spans="1:7">
      <c r="A841" s="330">
        <v>2111406</v>
      </c>
      <c r="B841" s="379" t="s">
        <v>814</v>
      </c>
      <c r="C841" s="602">
        <f>'02'!E845</f>
        <v>0</v>
      </c>
      <c r="D841" s="603">
        <v>0</v>
      </c>
      <c r="E841" s="606" t="str">
        <f t="shared" si="47"/>
        <v/>
      </c>
      <c r="F841" s="524" t="str">
        <f t="shared" si="45"/>
        <v>否</v>
      </c>
      <c r="G841" s="312" t="str">
        <f t="shared" si="46"/>
        <v>项</v>
      </c>
    </row>
    <row r="842" ht="24" hidden="1" customHeight="1" spans="1:7">
      <c r="A842" s="330">
        <v>2111407</v>
      </c>
      <c r="B842" s="379" t="s">
        <v>815</v>
      </c>
      <c r="C842" s="602">
        <f>'02'!E846</f>
        <v>0</v>
      </c>
      <c r="D842" s="603">
        <v>0</v>
      </c>
      <c r="E842" s="606" t="str">
        <f t="shared" si="47"/>
        <v/>
      </c>
      <c r="F842" s="524" t="str">
        <f t="shared" si="45"/>
        <v>否</v>
      </c>
      <c r="G842" s="312" t="str">
        <f t="shared" si="46"/>
        <v>项</v>
      </c>
    </row>
    <row r="843" s="372" customFormat="1" ht="24" hidden="1" customHeight="1" spans="1:7">
      <c r="A843" s="330">
        <v>2111408</v>
      </c>
      <c r="B843" s="379" t="s">
        <v>816</v>
      </c>
      <c r="C843" s="602">
        <f>'02'!E847</f>
        <v>0</v>
      </c>
      <c r="D843" s="603">
        <v>0</v>
      </c>
      <c r="E843" s="606" t="str">
        <f t="shared" si="47"/>
        <v/>
      </c>
      <c r="F843" s="524" t="str">
        <f t="shared" si="45"/>
        <v>否</v>
      </c>
      <c r="G843" s="312" t="str">
        <f t="shared" si="46"/>
        <v>项</v>
      </c>
    </row>
    <row r="844" ht="24" hidden="1" customHeight="1" spans="1:7">
      <c r="A844" s="330">
        <v>2111411</v>
      </c>
      <c r="B844" s="379" t="s">
        <v>252</v>
      </c>
      <c r="C844" s="602">
        <f>'02'!E848</f>
        <v>0</v>
      </c>
      <c r="D844" s="603">
        <v>0</v>
      </c>
      <c r="E844" s="606" t="str">
        <f t="shared" si="47"/>
        <v/>
      </c>
      <c r="F844" s="524" t="str">
        <f t="shared" si="45"/>
        <v>否</v>
      </c>
      <c r="G844" s="312" t="str">
        <f t="shared" si="46"/>
        <v>项</v>
      </c>
    </row>
    <row r="845" s="372" customFormat="1" ht="24" hidden="1" customHeight="1" spans="1:7">
      <c r="A845" s="330">
        <v>2111413</v>
      </c>
      <c r="B845" s="379" t="s">
        <v>817</v>
      </c>
      <c r="C845" s="602">
        <f>'02'!E849</f>
        <v>0</v>
      </c>
      <c r="D845" s="603">
        <v>0</v>
      </c>
      <c r="E845" s="606" t="str">
        <f t="shared" si="47"/>
        <v/>
      </c>
      <c r="F845" s="524" t="str">
        <f t="shared" si="45"/>
        <v>否</v>
      </c>
      <c r="G845" s="312" t="str">
        <f t="shared" si="46"/>
        <v>项</v>
      </c>
    </row>
    <row r="846" ht="24" hidden="1" customHeight="1" spans="1:7">
      <c r="A846" s="330">
        <v>2111450</v>
      </c>
      <c r="B846" s="379" t="s">
        <v>221</v>
      </c>
      <c r="C846" s="602">
        <f>'02'!E850</f>
        <v>81</v>
      </c>
      <c r="D846" s="603">
        <v>85</v>
      </c>
      <c r="E846" s="606">
        <f t="shared" si="47"/>
        <v>0.0493827160493827</v>
      </c>
      <c r="F846" s="524" t="str">
        <f t="shared" si="45"/>
        <v>是</v>
      </c>
      <c r="G846" s="312" t="str">
        <f t="shared" si="46"/>
        <v>项</v>
      </c>
    </row>
    <row r="847" s="372" customFormat="1" ht="24" hidden="1" customHeight="1" spans="1:7">
      <c r="A847" s="330">
        <v>2111499</v>
      </c>
      <c r="B847" s="379" t="s">
        <v>818</v>
      </c>
      <c r="C847" s="602">
        <f>'02'!E851</f>
        <v>0</v>
      </c>
      <c r="D847" s="603">
        <v>0</v>
      </c>
      <c r="E847" s="606" t="str">
        <f t="shared" si="47"/>
        <v/>
      </c>
      <c r="F847" s="524" t="str">
        <f t="shared" si="45"/>
        <v>否</v>
      </c>
      <c r="G847" s="312" t="str">
        <f t="shared" si="46"/>
        <v>项</v>
      </c>
    </row>
    <row r="848" s="372" customFormat="1" ht="24" customHeight="1" spans="1:7">
      <c r="A848" s="330">
        <v>21199</v>
      </c>
      <c r="B848" s="379" t="s">
        <v>819</v>
      </c>
      <c r="C848" s="602">
        <f>C849</f>
        <v>1381</v>
      </c>
      <c r="D848" s="602">
        <f>D849</f>
        <v>1389</v>
      </c>
      <c r="E848" s="606">
        <f t="shared" si="47"/>
        <v>0.0057929036929761</v>
      </c>
      <c r="F848" s="524" t="str">
        <f t="shared" si="45"/>
        <v>是</v>
      </c>
      <c r="G848" s="312" t="str">
        <f t="shared" si="46"/>
        <v>款</v>
      </c>
    </row>
    <row r="849" s="372" customFormat="1" ht="24" hidden="1" customHeight="1" spans="1:7">
      <c r="A849" s="614">
        <v>2119999</v>
      </c>
      <c r="B849" s="542" t="s">
        <v>820</v>
      </c>
      <c r="C849" s="602">
        <f>'02'!E853</f>
        <v>1381</v>
      </c>
      <c r="D849" s="603">
        <v>1389</v>
      </c>
      <c r="E849" s="606">
        <f t="shared" si="47"/>
        <v>0.0057929036929761</v>
      </c>
      <c r="F849" s="524" t="str">
        <f t="shared" si="45"/>
        <v>是</v>
      </c>
      <c r="G849" s="312" t="str">
        <f t="shared" si="46"/>
        <v>项</v>
      </c>
    </row>
    <row r="850" s="372" customFormat="1" ht="24" customHeight="1" spans="1:7">
      <c r="A850" s="329">
        <v>212</v>
      </c>
      <c r="B850" s="377" t="s">
        <v>185</v>
      </c>
      <c r="C850" s="601">
        <f>C851+C862+C864+C867+C869+C871</f>
        <v>73971</v>
      </c>
      <c r="D850" s="601">
        <f>D851+D862+D864+D867+D869+D871</f>
        <v>75139</v>
      </c>
      <c r="E850" s="605">
        <f t="shared" si="47"/>
        <v>0.0157899717456841</v>
      </c>
      <c r="F850" s="524" t="str">
        <f t="shared" si="45"/>
        <v>是</v>
      </c>
      <c r="G850" s="312" t="str">
        <f t="shared" si="46"/>
        <v>类</v>
      </c>
    </row>
    <row r="851" s="372" customFormat="1" ht="24" customHeight="1" spans="1:7">
      <c r="A851" s="330">
        <v>21201</v>
      </c>
      <c r="B851" s="379" t="s">
        <v>821</v>
      </c>
      <c r="C851" s="602">
        <f>SUM(C852:C861)</f>
        <v>17237</v>
      </c>
      <c r="D851" s="602">
        <f>SUM(D852:D861)</f>
        <v>18634</v>
      </c>
      <c r="E851" s="606">
        <f t="shared" si="47"/>
        <v>0.0810465858328015</v>
      </c>
      <c r="F851" s="524" t="str">
        <f t="shared" si="45"/>
        <v>是</v>
      </c>
      <c r="G851" s="312" t="str">
        <f t="shared" si="46"/>
        <v>款</v>
      </c>
    </row>
    <row r="852" ht="24" hidden="1" customHeight="1" spans="1:7">
      <c r="A852" s="330">
        <v>2120101</v>
      </c>
      <c r="B852" s="379" t="s">
        <v>212</v>
      </c>
      <c r="C852" s="602">
        <f>'02'!E856</f>
        <v>2682</v>
      </c>
      <c r="D852" s="603">
        <v>2725</v>
      </c>
      <c r="E852" s="606">
        <f t="shared" si="47"/>
        <v>0.0160328113348248</v>
      </c>
      <c r="F852" s="524" t="str">
        <f t="shared" si="45"/>
        <v>是</v>
      </c>
      <c r="G852" s="312" t="str">
        <f t="shared" si="46"/>
        <v>项</v>
      </c>
    </row>
    <row r="853" s="372" customFormat="1" ht="24" hidden="1" customHeight="1" spans="1:7">
      <c r="A853" s="330">
        <v>2120102</v>
      </c>
      <c r="B853" s="379" t="s">
        <v>213</v>
      </c>
      <c r="C853" s="602">
        <f>'02'!E857</f>
        <v>345</v>
      </c>
      <c r="D853" s="603">
        <v>325</v>
      </c>
      <c r="E853" s="606">
        <f t="shared" si="47"/>
        <v>-0.0579710144927536</v>
      </c>
      <c r="F853" s="524" t="str">
        <f t="shared" si="45"/>
        <v>是</v>
      </c>
      <c r="G853" s="312" t="str">
        <f t="shared" si="46"/>
        <v>项</v>
      </c>
    </row>
    <row r="854" ht="24" hidden="1" customHeight="1" spans="1:7">
      <c r="A854" s="330">
        <v>2120103</v>
      </c>
      <c r="B854" s="379" t="s">
        <v>214</v>
      </c>
      <c r="C854" s="602">
        <f>'02'!E858</f>
        <v>0</v>
      </c>
      <c r="D854" s="603">
        <v>0</v>
      </c>
      <c r="E854" s="606" t="str">
        <f t="shared" si="47"/>
        <v/>
      </c>
      <c r="F854" s="524" t="str">
        <f t="shared" si="45"/>
        <v>否</v>
      </c>
      <c r="G854" s="312" t="str">
        <f t="shared" si="46"/>
        <v>项</v>
      </c>
    </row>
    <row r="855" s="372" customFormat="1" ht="24" hidden="1" customHeight="1" spans="1:7">
      <c r="A855" s="330">
        <v>2120104</v>
      </c>
      <c r="B855" s="379" t="s">
        <v>822</v>
      </c>
      <c r="C855" s="602">
        <f>'02'!E859</f>
        <v>1430</v>
      </c>
      <c r="D855" s="603">
        <v>1425</v>
      </c>
      <c r="E855" s="606">
        <f t="shared" si="47"/>
        <v>-0.0034965034965035</v>
      </c>
      <c r="F855" s="524" t="str">
        <f t="shared" si="45"/>
        <v>是</v>
      </c>
      <c r="G855" s="312" t="str">
        <f t="shared" si="46"/>
        <v>项</v>
      </c>
    </row>
    <row r="856" ht="24" hidden="1" customHeight="1" spans="1:7">
      <c r="A856" s="330">
        <v>2120105</v>
      </c>
      <c r="B856" s="379" t="s">
        <v>823</v>
      </c>
      <c r="C856" s="602">
        <f>'02'!E860</f>
        <v>0</v>
      </c>
      <c r="D856" s="603">
        <v>0</v>
      </c>
      <c r="E856" s="606" t="str">
        <f t="shared" si="47"/>
        <v/>
      </c>
      <c r="F856" s="524" t="str">
        <f t="shared" si="45"/>
        <v>否</v>
      </c>
      <c r="G856" s="312" t="str">
        <f t="shared" si="46"/>
        <v>项</v>
      </c>
    </row>
    <row r="857" s="372" customFormat="1" ht="24" hidden="1" customHeight="1" spans="1:7">
      <c r="A857" s="330">
        <v>2120106</v>
      </c>
      <c r="B857" s="379" t="s">
        <v>824</v>
      </c>
      <c r="C857" s="602">
        <f>'02'!E861</f>
        <v>739</v>
      </c>
      <c r="D857" s="603">
        <v>728</v>
      </c>
      <c r="E857" s="606">
        <f t="shared" si="47"/>
        <v>-0.0148849797023004</v>
      </c>
      <c r="F857" s="524" t="str">
        <f t="shared" si="45"/>
        <v>是</v>
      </c>
      <c r="G857" s="312" t="str">
        <f t="shared" si="46"/>
        <v>项</v>
      </c>
    </row>
    <row r="858" s="372" customFormat="1" ht="24" hidden="1" customHeight="1" spans="1:7">
      <c r="A858" s="330">
        <v>2120107</v>
      </c>
      <c r="B858" s="379" t="s">
        <v>825</v>
      </c>
      <c r="C858" s="602">
        <f>'02'!E862</f>
        <v>0</v>
      </c>
      <c r="D858" s="603">
        <v>0</v>
      </c>
      <c r="E858" s="606" t="str">
        <f t="shared" si="47"/>
        <v/>
      </c>
      <c r="F858" s="524" t="str">
        <f t="shared" si="45"/>
        <v>否</v>
      </c>
      <c r="G858" s="312" t="str">
        <f t="shared" si="46"/>
        <v>项</v>
      </c>
    </row>
    <row r="859" s="372" customFormat="1" ht="24" hidden="1" customHeight="1" spans="1:7">
      <c r="A859" s="330">
        <v>2120109</v>
      </c>
      <c r="B859" s="379" t="s">
        <v>826</v>
      </c>
      <c r="C859" s="602">
        <f>'02'!E863</f>
        <v>186</v>
      </c>
      <c r="D859" s="603">
        <v>175</v>
      </c>
      <c r="E859" s="606">
        <f t="shared" si="47"/>
        <v>-0.0591397849462366</v>
      </c>
      <c r="F859" s="524" t="str">
        <f t="shared" si="45"/>
        <v>是</v>
      </c>
      <c r="G859" s="312" t="str">
        <f t="shared" si="46"/>
        <v>项</v>
      </c>
    </row>
    <row r="860" s="372" customFormat="1" ht="24" hidden="1" customHeight="1" spans="1:7">
      <c r="A860" s="330">
        <v>2120110</v>
      </c>
      <c r="B860" s="379" t="s">
        <v>827</v>
      </c>
      <c r="C860" s="602">
        <f>'02'!E864</f>
        <v>0</v>
      </c>
      <c r="D860" s="603">
        <v>0</v>
      </c>
      <c r="E860" s="606" t="str">
        <f t="shared" si="47"/>
        <v/>
      </c>
      <c r="F860" s="524" t="str">
        <f t="shared" si="45"/>
        <v>否</v>
      </c>
      <c r="G860" s="312" t="str">
        <f t="shared" si="46"/>
        <v>项</v>
      </c>
    </row>
    <row r="861" s="372" customFormat="1" ht="24" hidden="1" customHeight="1" spans="1:7">
      <c r="A861" s="330">
        <v>2120199</v>
      </c>
      <c r="B861" s="379" t="s">
        <v>828</v>
      </c>
      <c r="C861" s="602">
        <f>'02'!E865</f>
        <v>11855</v>
      </c>
      <c r="D861" s="603">
        <v>13256</v>
      </c>
      <c r="E861" s="606">
        <f t="shared" si="47"/>
        <v>0.118177983973007</v>
      </c>
      <c r="F861" s="524" t="str">
        <f t="shared" si="45"/>
        <v>是</v>
      </c>
      <c r="G861" s="312" t="str">
        <f t="shared" si="46"/>
        <v>项</v>
      </c>
    </row>
    <row r="862" s="372" customFormat="1" ht="24" customHeight="1" spans="1:7">
      <c r="A862" s="330">
        <v>21202</v>
      </c>
      <c r="B862" s="379" t="s">
        <v>829</v>
      </c>
      <c r="C862" s="602">
        <f>C863</f>
        <v>14052</v>
      </c>
      <c r="D862" s="602">
        <f>D863</f>
        <v>15589</v>
      </c>
      <c r="E862" s="606">
        <f t="shared" si="47"/>
        <v>0.109379447765443</v>
      </c>
      <c r="F862" s="524" t="str">
        <f t="shared" si="45"/>
        <v>是</v>
      </c>
      <c r="G862" s="312" t="str">
        <f t="shared" si="46"/>
        <v>款</v>
      </c>
    </row>
    <row r="863" s="372" customFormat="1" ht="24" hidden="1" customHeight="1" spans="1:7">
      <c r="A863" s="326">
        <v>2120201</v>
      </c>
      <c r="B863" s="534" t="s">
        <v>830</v>
      </c>
      <c r="C863" s="602">
        <f>'02'!E867</f>
        <v>14052</v>
      </c>
      <c r="D863" s="603">
        <v>15589</v>
      </c>
      <c r="E863" s="606">
        <f t="shared" si="47"/>
        <v>0.109379447765443</v>
      </c>
      <c r="F863" s="524" t="str">
        <f t="shared" si="45"/>
        <v>是</v>
      </c>
      <c r="G863" s="312" t="str">
        <f t="shared" si="46"/>
        <v>项</v>
      </c>
    </row>
    <row r="864" s="372" customFormat="1" ht="24" customHeight="1" spans="1:7">
      <c r="A864" s="330">
        <v>21203</v>
      </c>
      <c r="B864" s="379" t="s">
        <v>831</v>
      </c>
      <c r="C864" s="602">
        <f>SUM(C865:C866)</f>
        <v>16974</v>
      </c>
      <c r="D864" s="602">
        <f>SUM(D865:D866)</f>
        <v>15500</v>
      </c>
      <c r="E864" s="606">
        <f t="shared" si="47"/>
        <v>-0.0868386944739013</v>
      </c>
      <c r="F864" s="524" t="str">
        <f t="shared" si="45"/>
        <v>是</v>
      </c>
      <c r="G864" s="312" t="str">
        <f t="shared" si="46"/>
        <v>款</v>
      </c>
    </row>
    <row r="865" s="372" customFormat="1" ht="24" hidden="1" customHeight="1" spans="1:7">
      <c r="A865" s="330">
        <v>2120303</v>
      </c>
      <c r="B865" s="379" t="s">
        <v>832</v>
      </c>
      <c r="C865" s="602">
        <f>'02'!E869</f>
        <v>5525</v>
      </c>
      <c r="D865" s="603">
        <v>5625</v>
      </c>
      <c r="E865" s="606">
        <f t="shared" si="47"/>
        <v>0.0180995475113122</v>
      </c>
      <c r="F865" s="524" t="str">
        <f t="shared" si="45"/>
        <v>是</v>
      </c>
      <c r="G865" s="312" t="str">
        <f t="shared" si="46"/>
        <v>项</v>
      </c>
    </row>
    <row r="866" s="372" customFormat="1" ht="24" hidden="1" customHeight="1" spans="1:7">
      <c r="A866" s="330">
        <v>2120399</v>
      </c>
      <c r="B866" s="379" t="s">
        <v>833</v>
      </c>
      <c r="C866" s="602">
        <f>'02'!E870</f>
        <v>11449</v>
      </c>
      <c r="D866" s="603">
        <v>9875</v>
      </c>
      <c r="E866" s="606">
        <f t="shared" si="47"/>
        <v>-0.137479255830204</v>
      </c>
      <c r="F866" s="524" t="str">
        <f t="shared" si="45"/>
        <v>是</v>
      </c>
      <c r="G866" s="312" t="str">
        <f t="shared" si="46"/>
        <v>项</v>
      </c>
    </row>
    <row r="867" s="372" customFormat="1" ht="24" customHeight="1" spans="1:7">
      <c r="A867" s="330">
        <v>21205</v>
      </c>
      <c r="B867" s="379" t="s">
        <v>834</v>
      </c>
      <c r="C867" s="602">
        <f t="shared" ref="C867:C871" si="48">C868</f>
        <v>16821</v>
      </c>
      <c r="D867" s="602">
        <f>D868</f>
        <v>16958</v>
      </c>
      <c r="E867" s="606">
        <f t="shared" si="47"/>
        <v>0.00814458117828904</v>
      </c>
      <c r="F867" s="524" t="str">
        <f t="shared" si="45"/>
        <v>是</v>
      </c>
      <c r="G867" s="312" t="str">
        <f t="shared" si="46"/>
        <v>款</v>
      </c>
    </row>
    <row r="868" s="372" customFormat="1" ht="24" hidden="1" customHeight="1" spans="1:7">
      <c r="A868" s="326">
        <v>2120501</v>
      </c>
      <c r="B868" s="534" t="s">
        <v>835</v>
      </c>
      <c r="C868" s="602">
        <f>'02'!E872</f>
        <v>16821</v>
      </c>
      <c r="D868" s="603">
        <v>16958</v>
      </c>
      <c r="E868" s="606">
        <f t="shared" si="47"/>
        <v>0.00814458117828904</v>
      </c>
      <c r="F868" s="524" t="str">
        <f t="shared" si="45"/>
        <v>是</v>
      </c>
      <c r="G868" s="312" t="str">
        <f t="shared" si="46"/>
        <v>项</v>
      </c>
    </row>
    <row r="869" s="372" customFormat="1" ht="24" hidden="1" customHeight="1" spans="1:7">
      <c r="A869" s="330">
        <v>21206</v>
      </c>
      <c r="B869" s="379" t="s">
        <v>836</v>
      </c>
      <c r="C869" s="602">
        <f t="shared" si="48"/>
        <v>0</v>
      </c>
      <c r="D869" s="602">
        <f>D870</f>
        <v>0</v>
      </c>
      <c r="E869" s="606" t="str">
        <f t="shared" si="47"/>
        <v/>
      </c>
      <c r="F869" s="524" t="str">
        <f t="shared" si="45"/>
        <v>否</v>
      </c>
      <c r="G869" s="312" t="str">
        <f t="shared" si="46"/>
        <v>款</v>
      </c>
    </row>
    <row r="870" s="372" customFormat="1" ht="24" hidden="1" customHeight="1" spans="1:7">
      <c r="A870" s="326">
        <v>2120601</v>
      </c>
      <c r="B870" s="534" t="s">
        <v>837</v>
      </c>
      <c r="C870" s="602">
        <f>'02'!E874</f>
        <v>0</v>
      </c>
      <c r="D870" s="603">
        <v>0</v>
      </c>
      <c r="E870" s="606" t="str">
        <f t="shared" si="47"/>
        <v/>
      </c>
      <c r="F870" s="524" t="str">
        <f t="shared" si="45"/>
        <v>否</v>
      </c>
      <c r="G870" s="312" t="str">
        <f t="shared" si="46"/>
        <v>项</v>
      </c>
    </row>
    <row r="871" ht="24" customHeight="1" spans="1:7">
      <c r="A871" s="330">
        <v>21299</v>
      </c>
      <c r="B871" s="379" t="s">
        <v>838</v>
      </c>
      <c r="C871" s="602">
        <f t="shared" si="48"/>
        <v>8887</v>
      </c>
      <c r="D871" s="602">
        <f>D872</f>
        <v>8458</v>
      </c>
      <c r="E871" s="606">
        <f t="shared" si="47"/>
        <v>-0.0482727579610667</v>
      </c>
      <c r="F871" s="524" t="str">
        <f t="shared" si="45"/>
        <v>是</v>
      </c>
      <c r="G871" s="312" t="str">
        <f t="shared" si="46"/>
        <v>款</v>
      </c>
    </row>
    <row r="872" s="372" customFormat="1" ht="24" hidden="1" customHeight="1" spans="1:7">
      <c r="A872" s="326">
        <v>2129999</v>
      </c>
      <c r="B872" s="534" t="s">
        <v>839</v>
      </c>
      <c r="C872" s="602">
        <f>'02'!E876</f>
        <v>8887</v>
      </c>
      <c r="D872" s="603">
        <v>8458</v>
      </c>
      <c r="E872" s="606">
        <f t="shared" si="47"/>
        <v>-0.0482727579610667</v>
      </c>
      <c r="F872" s="524" t="str">
        <f t="shared" si="45"/>
        <v>是</v>
      </c>
      <c r="G872" s="312" t="str">
        <f t="shared" si="46"/>
        <v>项</v>
      </c>
    </row>
    <row r="873" ht="24" customHeight="1" spans="1:7">
      <c r="A873" s="329">
        <v>213</v>
      </c>
      <c r="B873" s="377" t="s">
        <v>186</v>
      </c>
      <c r="C873" s="601">
        <f>C874+C900+C923+C951+C958+C964+C970+C973</f>
        <v>239253</v>
      </c>
      <c r="D873" s="601">
        <f>D874+D900+D923+D951+D958+D964+D970+D973</f>
        <v>244052</v>
      </c>
      <c r="E873" s="605">
        <f t="shared" si="47"/>
        <v>0.0200582646821565</v>
      </c>
      <c r="F873" s="524" t="str">
        <f t="shared" si="45"/>
        <v>是</v>
      </c>
      <c r="G873" s="312" t="str">
        <f t="shared" si="46"/>
        <v>类</v>
      </c>
    </row>
    <row r="874" ht="24" customHeight="1" spans="1:7">
      <c r="A874" s="330">
        <v>21301</v>
      </c>
      <c r="B874" s="379" t="s">
        <v>840</v>
      </c>
      <c r="C874" s="602">
        <f>SUM(C875:C899)</f>
        <v>70576</v>
      </c>
      <c r="D874" s="602">
        <f>SUM(D875:D899)</f>
        <v>69235</v>
      </c>
      <c r="E874" s="606">
        <f t="shared" si="47"/>
        <v>-0.0190007934708683</v>
      </c>
      <c r="F874" s="524" t="str">
        <f t="shared" si="45"/>
        <v>是</v>
      </c>
      <c r="G874" s="312" t="str">
        <f t="shared" si="46"/>
        <v>款</v>
      </c>
    </row>
    <row r="875" s="372" customFormat="1" ht="24" hidden="1" customHeight="1" spans="1:7">
      <c r="A875" s="330">
        <v>2130101</v>
      </c>
      <c r="B875" s="379" t="s">
        <v>212</v>
      </c>
      <c r="C875" s="602">
        <f>'02'!E879</f>
        <v>3914</v>
      </c>
      <c r="D875" s="603">
        <v>3985</v>
      </c>
      <c r="E875" s="606">
        <f t="shared" si="47"/>
        <v>0.0181400102197241</v>
      </c>
      <c r="F875" s="524" t="str">
        <f t="shared" si="45"/>
        <v>是</v>
      </c>
      <c r="G875" s="312" t="str">
        <f t="shared" si="46"/>
        <v>项</v>
      </c>
    </row>
    <row r="876" s="372" customFormat="1" ht="24" hidden="1" customHeight="1" spans="1:7">
      <c r="A876" s="330">
        <v>2130102</v>
      </c>
      <c r="B876" s="379" t="s">
        <v>213</v>
      </c>
      <c r="C876" s="602">
        <f>'02'!E880</f>
        <v>107</v>
      </c>
      <c r="D876" s="603">
        <v>102</v>
      </c>
      <c r="E876" s="606">
        <f t="shared" si="47"/>
        <v>-0.0467289719626168</v>
      </c>
      <c r="F876" s="524" t="str">
        <f t="shared" si="45"/>
        <v>是</v>
      </c>
      <c r="G876" s="312" t="str">
        <f t="shared" si="46"/>
        <v>项</v>
      </c>
    </row>
    <row r="877" s="372" customFormat="1" ht="24" hidden="1" customHeight="1" spans="1:7">
      <c r="A877" s="330">
        <v>2130103</v>
      </c>
      <c r="B877" s="379" t="s">
        <v>214</v>
      </c>
      <c r="C877" s="602">
        <f>'02'!E881</f>
        <v>0</v>
      </c>
      <c r="D877" s="603">
        <v>0</v>
      </c>
      <c r="E877" s="606" t="str">
        <f t="shared" si="47"/>
        <v/>
      </c>
      <c r="F877" s="524" t="str">
        <f t="shared" si="45"/>
        <v>否</v>
      </c>
      <c r="G877" s="312" t="str">
        <f t="shared" si="46"/>
        <v>项</v>
      </c>
    </row>
    <row r="878" s="372" customFormat="1" ht="24" hidden="1" customHeight="1" spans="1:7">
      <c r="A878" s="330">
        <v>2130104</v>
      </c>
      <c r="B878" s="379" t="s">
        <v>221</v>
      </c>
      <c r="C878" s="602">
        <f>'02'!E882</f>
        <v>20274</v>
      </c>
      <c r="D878" s="603">
        <v>20652</v>
      </c>
      <c r="E878" s="606">
        <f t="shared" si="47"/>
        <v>0.0186445693992305</v>
      </c>
      <c r="F878" s="524" t="str">
        <f t="shared" si="45"/>
        <v>是</v>
      </c>
      <c r="G878" s="312" t="str">
        <f t="shared" si="46"/>
        <v>项</v>
      </c>
    </row>
    <row r="879" s="372" customFormat="1" ht="24" hidden="1" customHeight="1" spans="1:7">
      <c r="A879" s="330">
        <v>2130105</v>
      </c>
      <c r="B879" s="379" t="s">
        <v>841</v>
      </c>
      <c r="C879" s="602">
        <f>'02'!E883</f>
        <v>-7</v>
      </c>
      <c r="D879" s="603">
        <v>0</v>
      </c>
      <c r="E879" s="606">
        <f>-IFERROR((D879-C879)/C879,"")</f>
        <v>1</v>
      </c>
      <c r="F879" s="524" t="str">
        <f t="shared" si="45"/>
        <v>是</v>
      </c>
      <c r="G879" s="312" t="str">
        <f t="shared" si="46"/>
        <v>项</v>
      </c>
    </row>
    <row r="880" s="372" customFormat="1" ht="24" hidden="1" customHeight="1" spans="1:7">
      <c r="A880" s="330">
        <v>2130106</v>
      </c>
      <c r="B880" s="379" t="s">
        <v>842</v>
      </c>
      <c r="C880" s="602">
        <f>'02'!E884</f>
        <v>1082</v>
      </c>
      <c r="D880" s="603">
        <v>1105</v>
      </c>
      <c r="E880" s="606">
        <f t="shared" si="47"/>
        <v>0.0212569316081331</v>
      </c>
      <c r="F880" s="524" t="str">
        <f t="shared" si="45"/>
        <v>是</v>
      </c>
      <c r="G880" s="312" t="str">
        <f t="shared" si="46"/>
        <v>项</v>
      </c>
    </row>
    <row r="881" s="372" customFormat="1" ht="24" hidden="1" customHeight="1" spans="1:7">
      <c r="A881" s="330">
        <v>2130108</v>
      </c>
      <c r="B881" s="379" t="s">
        <v>843</v>
      </c>
      <c r="C881" s="602">
        <f>'02'!E885</f>
        <v>783</v>
      </c>
      <c r="D881" s="603">
        <v>775</v>
      </c>
      <c r="E881" s="606">
        <f t="shared" si="47"/>
        <v>-0.0102171136653895</v>
      </c>
      <c r="F881" s="524" t="str">
        <f t="shared" si="45"/>
        <v>是</v>
      </c>
      <c r="G881" s="312" t="str">
        <f t="shared" si="46"/>
        <v>项</v>
      </c>
    </row>
    <row r="882" s="372" customFormat="1" ht="24" hidden="1" customHeight="1" spans="1:7">
      <c r="A882" s="330">
        <v>2130109</v>
      </c>
      <c r="B882" s="379" t="s">
        <v>844</v>
      </c>
      <c r="C882" s="602">
        <f>'02'!E886</f>
        <v>17</v>
      </c>
      <c r="D882" s="603">
        <v>19</v>
      </c>
      <c r="E882" s="606">
        <f t="shared" si="47"/>
        <v>0.117647058823529</v>
      </c>
      <c r="F882" s="524" t="str">
        <f t="shared" si="45"/>
        <v>是</v>
      </c>
      <c r="G882" s="312" t="str">
        <f t="shared" si="46"/>
        <v>项</v>
      </c>
    </row>
    <row r="883" s="372" customFormat="1" ht="24" hidden="1" customHeight="1" spans="1:7">
      <c r="A883" s="330">
        <v>2130110</v>
      </c>
      <c r="B883" s="379" t="s">
        <v>845</v>
      </c>
      <c r="C883" s="602">
        <f>'02'!E887</f>
        <v>13</v>
      </c>
      <c r="D883" s="603">
        <v>18</v>
      </c>
      <c r="E883" s="606">
        <f t="shared" si="47"/>
        <v>0.384615384615385</v>
      </c>
      <c r="F883" s="524" t="str">
        <f t="shared" si="45"/>
        <v>是</v>
      </c>
      <c r="G883" s="312" t="str">
        <f t="shared" si="46"/>
        <v>项</v>
      </c>
    </row>
    <row r="884" s="372" customFormat="1" ht="24" hidden="1" customHeight="1" spans="1:7">
      <c r="A884" s="330">
        <v>2130111</v>
      </c>
      <c r="B884" s="379" t="s">
        <v>846</v>
      </c>
      <c r="C884" s="602">
        <f>'02'!E888</f>
        <v>53</v>
      </c>
      <c r="D884" s="603">
        <v>48</v>
      </c>
      <c r="E884" s="606">
        <f t="shared" si="47"/>
        <v>-0.0943396226415094</v>
      </c>
      <c r="F884" s="524" t="str">
        <f t="shared" si="45"/>
        <v>是</v>
      </c>
      <c r="G884" s="312" t="str">
        <f t="shared" si="46"/>
        <v>项</v>
      </c>
    </row>
    <row r="885" ht="24" hidden="1" customHeight="1" spans="1:7">
      <c r="A885" s="330">
        <v>2130112</v>
      </c>
      <c r="B885" s="379" t="s">
        <v>847</v>
      </c>
      <c r="C885" s="602">
        <f>'02'!E889</f>
        <v>24</v>
      </c>
      <c r="D885" s="603">
        <v>25</v>
      </c>
      <c r="E885" s="606">
        <f t="shared" si="47"/>
        <v>0.0416666666666667</v>
      </c>
      <c r="F885" s="524" t="str">
        <f t="shared" si="45"/>
        <v>是</v>
      </c>
      <c r="G885" s="312" t="str">
        <f t="shared" si="46"/>
        <v>项</v>
      </c>
    </row>
    <row r="886" s="372" customFormat="1" ht="24" hidden="1" customHeight="1" spans="1:7">
      <c r="A886" s="330">
        <v>2130114</v>
      </c>
      <c r="B886" s="379" t="s">
        <v>848</v>
      </c>
      <c r="C886" s="602">
        <f>'02'!E890</f>
        <v>0</v>
      </c>
      <c r="D886" s="603">
        <v>0</v>
      </c>
      <c r="E886" s="606" t="str">
        <f t="shared" si="47"/>
        <v/>
      </c>
      <c r="F886" s="524" t="str">
        <f t="shared" si="45"/>
        <v>否</v>
      </c>
      <c r="G886" s="312" t="str">
        <f t="shared" si="46"/>
        <v>项</v>
      </c>
    </row>
    <row r="887" ht="24" hidden="1" customHeight="1" spans="1:7">
      <c r="A887" s="330">
        <v>2130119</v>
      </c>
      <c r="B887" s="379" t="s">
        <v>849</v>
      </c>
      <c r="C887" s="602">
        <f>'02'!E891</f>
        <v>158</v>
      </c>
      <c r="D887" s="603">
        <v>165</v>
      </c>
      <c r="E887" s="606">
        <f t="shared" si="47"/>
        <v>0.0443037974683544</v>
      </c>
      <c r="F887" s="524" t="str">
        <f t="shared" si="45"/>
        <v>是</v>
      </c>
      <c r="G887" s="312" t="str">
        <f t="shared" si="46"/>
        <v>项</v>
      </c>
    </row>
    <row r="888" s="372" customFormat="1" ht="24" hidden="1" customHeight="1" spans="1:7">
      <c r="A888" s="330">
        <v>2130120</v>
      </c>
      <c r="B888" s="379" t="s">
        <v>850</v>
      </c>
      <c r="C888" s="602">
        <f>'02'!E892</f>
        <v>6438</v>
      </c>
      <c r="D888" s="603">
        <v>6625</v>
      </c>
      <c r="E888" s="606">
        <f t="shared" si="47"/>
        <v>0.0290462876669773</v>
      </c>
      <c r="F888" s="524" t="str">
        <f t="shared" si="45"/>
        <v>是</v>
      </c>
      <c r="G888" s="312" t="str">
        <f t="shared" si="46"/>
        <v>项</v>
      </c>
    </row>
    <row r="889" s="372" customFormat="1" ht="24" hidden="1" customHeight="1" spans="1:7">
      <c r="A889" s="330">
        <v>2130121</v>
      </c>
      <c r="B889" s="379" t="s">
        <v>851</v>
      </c>
      <c r="C889" s="602">
        <f>'02'!E893</f>
        <v>0</v>
      </c>
      <c r="D889" s="603">
        <v>0</v>
      </c>
      <c r="E889" s="606" t="str">
        <f t="shared" si="47"/>
        <v/>
      </c>
      <c r="F889" s="524" t="str">
        <f t="shared" si="45"/>
        <v>否</v>
      </c>
      <c r="G889" s="312" t="str">
        <f t="shared" si="46"/>
        <v>项</v>
      </c>
    </row>
    <row r="890" ht="24" hidden="1" customHeight="1" spans="1:7">
      <c r="A890" s="330">
        <v>2130122</v>
      </c>
      <c r="B890" s="379" t="s">
        <v>852</v>
      </c>
      <c r="C890" s="602">
        <f>'02'!E894</f>
        <v>16238</v>
      </c>
      <c r="D890" s="603">
        <v>14258</v>
      </c>
      <c r="E890" s="606">
        <f t="shared" si="47"/>
        <v>-0.121936199039291</v>
      </c>
      <c r="F890" s="524" t="str">
        <f t="shared" si="45"/>
        <v>是</v>
      </c>
      <c r="G890" s="312" t="str">
        <f t="shared" si="46"/>
        <v>项</v>
      </c>
    </row>
    <row r="891" s="372" customFormat="1" ht="24" hidden="1" customHeight="1" spans="1:7">
      <c r="A891" s="330">
        <v>2130124</v>
      </c>
      <c r="B891" s="379" t="s">
        <v>853</v>
      </c>
      <c r="C891" s="602">
        <f>'02'!E895</f>
        <v>16</v>
      </c>
      <c r="D891" s="603">
        <v>21</v>
      </c>
      <c r="E891" s="606">
        <f t="shared" si="47"/>
        <v>0.3125</v>
      </c>
      <c r="F891" s="524" t="str">
        <f t="shared" si="45"/>
        <v>是</v>
      </c>
      <c r="G891" s="312" t="str">
        <f t="shared" si="46"/>
        <v>项</v>
      </c>
    </row>
    <row r="892" ht="24" hidden="1" customHeight="1" spans="1:7">
      <c r="A892" s="330">
        <v>2130125</v>
      </c>
      <c r="B892" s="379" t="s">
        <v>854</v>
      </c>
      <c r="C892" s="602">
        <f>'02'!E896</f>
        <v>38</v>
      </c>
      <c r="D892" s="603">
        <v>40</v>
      </c>
      <c r="E892" s="606">
        <f t="shared" si="47"/>
        <v>0.0526315789473684</v>
      </c>
      <c r="F892" s="524" t="str">
        <f t="shared" si="45"/>
        <v>是</v>
      </c>
      <c r="G892" s="312" t="str">
        <f t="shared" si="46"/>
        <v>项</v>
      </c>
    </row>
    <row r="893" s="372" customFormat="1" ht="24" hidden="1" customHeight="1" spans="1:7">
      <c r="A893" s="330">
        <v>2130126</v>
      </c>
      <c r="B893" s="379" t="s">
        <v>855</v>
      </c>
      <c r="C893" s="602">
        <f>'02'!E897</f>
        <v>660</v>
      </c>
      <c r="D893" s="603">
        <v>675</v>
      </c>
      <c r="E893" s="606">
        <f t="shared" si="47"/>
        <v>0.0227272727272727</v>
      </c>
      <c r="F893" s="524" t="str">
        <f t="shared" si="45"/>
        <v>是</v>
      </c>
      <c r="G893" s="312" t="str">
        <f t="shared" si="46"/>
        <v>项</v>
      </c>
    </row>
    <row r="894" ht="24" hidden="1" customHeight="1" spans="1:7">
      <c r="A894" s="330">
        <v>2130135</v>
      </c>
      <c r="B894" s="379" t="s">
        <v>856</v>
      </c>
      <c r="C894" s="602">
        <f>'02'!E898</f>
        <v>5151</v>
      </c>
      <c r="D894" s="603">
        <v>5215</v>
      </c>
      <c r="E894" s="606">
        <f t="shared" si="47"/>
        <v>0.0124247718889536</v>
      </c>
      <c r="F894" s="524" t="str">
        <f t="shared" si="45"/>
        <v>是</v>
      </c>
      <c r="G894" s="312" t="str">
        <f t="shared" si="46"/>
        <v>项</v>
      </c>
    </row>
    <row r="895" s="372" customFormat="1" ht="24" hidden="1" customHeight="1" spans="1:7">
      <c r="A895" s="330">
        <v>2130142</v>
      </c>
      <c r="B895" s="379" t="s">
        <v>857</v>
      </c>
      <c r="C895" s="602">
        <f>'02'!E899</f>
        <v>11</v>
      </c>
      <c r="D895" s="603">
        <v>13</v>
      </c>
      <c r="E895" s="606">
        <f t="shared" si="47"/>
        <v>0.181818181818182</v>
      </c>
      <c r="F895" s="524" t="str">
        <f t="shared" si="45"/>
        <v>是</v>
      </c>
      <c r="G895" s="312" t="str">
        <f t="shared" si="46"/>
        <v>项</v>
      </c>
    </row>
    <row r="896" ht="24" hidden="1" customHeight="1" spans="1:7">
      <c r="A896" s="330">
        <v>2130148</v>
      </c>
      <c r="B896" s="405" t="s">
        <v>858</v>
      </c>
      <c r="C896" s="602">
        <f>'02'!E900</f>
        <v>177</v>
      </c>
      <c r="D896" s="603">
        <v>182</v>
      </c>
      <c r="E896" s="606">
        <f t="shared" si="47"/>
        <v>0.0282485875706215</v>
      </c>
      <c r="F896" s="524" t="str">
        <f t="shared" si="45"/>
        <v>是</v>
      </c>
      <c r="G896" s="312" t="str">
        <f t="shared" si="46"/>
        <v>项</v>
      </c>
    </row>
    <row r="897" ht="24" hidden="1" customHeight="1" spans="1:7">
      <c r="A897" s="330">
        <v>2130152</v>
      </c>
      <c r="B897" s="379" t="s">
        <v>859</v>
      </c>
      <c r="C897" s="602">
        <f>'02'!E901</f>
        <v>5</v>
      </c>
      <c r="D897" s="603">
        <v>6</v>
      </c>
      <c r="E897" s="606">
        <f t="shared" si="47"/>
        <v>0.2</v>
      </c>
      <c r="F897" s="524" t="str">
        <f t="shared" ref="F897:F960" si="49">IF(LEN(A897)=3,"是",IF(B897&lt;&gt;"",IF(SUM(C897:D897)&lt;&gt;0,"是","否"),"是"))</f>
        <v>是</v>
      </c>
      <c r="G897" s="312" t="str">
        <f t="shared" ref="G897:G960" si="50">IF(LEN(A897)=3,"类",IF(LEN(A897)=5,"款","项"))</f>
        <v>项</v>
      </c>
    </row>
    <row r="898" s="372" customFormat="1" ht="24" hidden="1" customHeight="1" spans="1:7">
      <c r="A898" s="330">
        <v>2130153</v>
      </c>
      <c r="B898" s="379" t="s">
        <v>860</v>
      </c>
      <c r="C898" s="602">
        <f>'02'!E902</f>
        <v>10290</v>
      </c>
      <c r="D898" s="603">
        <v>10310</v>
      </c>
      <c r="E898" s="606">
        <f t="shared" si="47"/>
        <v>0.00194363459669582</v>
      </c>
      <c r="F898" s="524" t="str">
        <f t="shared" si="49"/>
        <v>是</v>
      </c>
      <c r="G898" s="312" t="str">
        <f t="shared" si="50"/>
        <v>项</v>
      </c>
    </row>
    <row r="899" s="372" customFormat="1" ht="24" hidden="1" customHeight="1" spans="1:7">
      <c r="A899" s="330">
        <v>2130199</v>
      </c>
      <c r="B899" s="379" t="s">
        <v>861</v>
      </c>
      <c r="C899" s="602">
        <f>'02'!E903</f>
        <v>5134</v>
      </c>
      <c r="D899" s="603">
        <v>4996</v>
      </c>
      <c r="E899" s="606">
        <f t="shared" ref="E899:E962" si="51">IFERROR((D899-C899)/C899,"")</f>
        <v>-0.0268796260225945</v>
      </c>
      <c r="F899" s="524" t="str">
        <f t="shared" si="49"/>
        <v>是</v>
      </c>
      <c r="G899" s="312" t="str">
        <f t="shared" si="50"/>
        <v>项</v>
      </c>
    </row>
    <row r="900" s="372" customFormat="1" ht="24" customHeight="1" spans="1:7">
      <c r="A900" s="330">
        <v>21302</v>
      </c>
      <c r="B900" s="379" t="s">
        <v>862</v>
      </c>
      <c r="C900" s="602">
        <f>SUM(C901:C922)</f>
        <v>27251</v>
      </c>
      <c r="D900" s="602">
        <f>SUM(D901:D922)</f>
        <v>27748</v>
      </c>
      <c r="E900" s="606">
        <f t="shared" si="51"/>
        <v>0.0182378628307218</v>
      </c>
      <c r="F900" s="524" t="str">
        <f t="shared" si="49"/>
        <v>是</v>
      </c>
      <c r="G900" s="312" t="str">
        <f t="shared" si="50"/>
        <v>款</v>
      </c>
    </row>
    <row r="901" s="372" customFormat="1" ht="24" hidden="1" customHeight="1" spans="1:7">
      <c r="A901" s="330">
        <v>2130201</v>
      </c>
      <c r="B901" s="379" t="s">
        <v>212</v>
      </c>
      <c r="C901" s="602">
        <f>'02'!E905</f>
        <v>1868</v>
      </c>
      <c r="D901" s="603">
        <v>1886</v>
      </c>
      <c r="E901" s="606">
        <f t="shared" si="51"/>
        <v>0.00963597430406852</v>
      </c>
      <c r="F901" s="524" t="str">
        <f t="shared" si="49"/>
        <v>是</v>
      </c>
      <c r="G901" s="312" t="str">
        <f t="shared" si="50"/>
        <v>项</v>
      </c>
    </row>
    <row r="902" s="372" customFormat="1" ht="24" hidden="1" customHeight="1" spans="1:7">
      <c r="A902" s="330">
        <v>2130202</v>
      </c>
      <c r="B902" s="379" t="s">
        <v>213</v>
      </c>
      <c r="C902" s="602">
        <f>'02'!E906</f>
        <v>0</v>
      </c>
      <c r="D902" s="603">
        <v>0</v>
      </c>
      <c r="E902" s="606" t="str">
        <f t="shared" si="51"/>
        <v/>
      </c>
      <c r="F902" s="524" t="str">
        <f t="shared" si="49"/>
        <v>否</v>
      </c>
      <c r="G902" s="312" t="str">
        <f t="shared" si="50"/>
        <v>项</v>
      </c>
    </row>
    <row r="903" s="372" customFormat="1" ht="24" hidden="1" customHeight="1" spans="1:7">
      <c r="A903" s="330">
        <v>2130203</v>
      </c>
      <c r="B903" s="379" t="s">
        <v>214</v>
      </c>
      <c r="C903" s="602">
        <f>'02'!E907</f>
        <v>83</v>
      </c>
      <c r="D903" s="603">
        <v>89</v>
      </c>
      <c r="E903" s="606">
        <f t="shared" si="51"/>
        <v>0.072289156626506</v>
      </c>
      <c r="F903" s="524" t="str">
        <f t="shared" si="49"/>
        <v>是</v>
      </c>
      <c r="G903" s="312" t="str">
        <f t="shared" si="50"/>
        <v>项</v>
      </c>
    </row>
    <row r="904" s="372" customFormat="1" ht="24" hidden="1" customHeight="1" spans="1:7">
      <c r="A904" s="330">
        <v>2130204</v>
      </c>
      <c r="B904" s="379" t="s">
        <v>863</v>
      </c>
      <c r="C904" s="602">
        <f>'02'!E908</f>
        <v>5064</v>
      </c>
      <c r="D904" s="603">
        <v>5095</v>
      </c>
      <c r="E904" s="606">
        <f t="shared" si="51"/>
        <v>0.0061216429699842</v>
      </c>
      <c r="F904" s="524" t="str">
        <f t="shared" si="49"/>
        <v>是</v>
      </c>
      <c r="G904" s="312" t="str">
        <f t="shared" si="50"/>
        <v>项</v>
      </c>
    </row>
    <row r="905" s="372" customFormat="1" ht="24" hidden="1" customHeight="1" spans="1:7">
      <c r="A905" s="330">
        <v>2130205</v>
      </c>
      <c r="B905" s="379" t="s">
        <v>864</v>
      </c>
      <c r="C905" s="602">
        <f>'02'!E909</f>
        <v>2033</v>
      </c>
      <c r="D905" s="603">
        <v>2058</v>
      </c>
      <c r="E905" s="606">
        <f t="shared" si="51"/>
        <v>0.0122970978848992</v>
      </c>
      <c r="F905" s="524" t="str">
        <f t="shared" si="49"/>
        <v>是</v>
      </c>
      <c r="G905" s="312" t="str">
        <f t="shared" si="50"/>
        <v>项</v>
      </c>
    </row>
    <row r="906" s="372" customFormat="1" ht="24" hidden="1" customHeight="1" spans="1:7">
      <c r="A906" s="330">
        <v>2130206</v>
      </c>
      <c r="B906" s="379" t="s">
        <v>865</v>
      </c>
      <c r="C906" s="602">
        <f>'02'!E910</f>
        <v>77</v>
      </c>
      <c r="D906" s="603">
        <v>68</v>
      </c>
      <c r="E906" s="606">
        <f t="shared" si="51"/>
        <v>-0.116883116883117</v>
      </c>
      <c r="F906" s="524" t="str">
        <f t="shared" si="49"/>
        <v>是</v>
      </c>
      <c r="G906" s="312" t="str">
        <f t="shared" si="50"/>
        <v>项</v>
      </c>
    </row>
    <row r="907" s="372" customFormat="1" ht="24" hidden="1" customHeight="1" spans="1:7">
      <c r="A907" s="330">
        <v>2130207</v>
      </c>
      <c r="B907" s="379" t="s">
        <v>866</v>
      </c>
      <c r="C907" s="602">
        <f>'02'!E911</f>
        <v>583</v>
      </c>
      <c r="D907" s="603">
        <v>592</v>
      </c>
      <c r="E907" s="606">
        <f t="shared" si="51"/>
        <v>0.0154373927958834</v>
      </c>
      <c r="F907" s="524" t="str">
        <f t="shared" si="49"/>
        <v>是</v>
      </c>
      <c r="G907" s="312" t="str">
        <f t="shared" si="50"/>
        <v>项</v>
      </c>
    </row>
    <row r="908" s="372" customFormat="1" ht="24" hidden="1" customHeight="1" spans="1:7">
      <c r="A908" s="330">
        <v>2130209</v>
      </c>
      <c r="B908" s="379" t="s">
        <v>867</v>
      </c>
      <c r="C908" s="602">
        <f>'02'!E912</f>
        <v>6301</v>
      </c>
      <c r="D908" s="603">
        <v>6325</v>
      </c>
      <c r="E908" s="606">
        <f t="shared" si="51"/>
        <v>0.00380891921917156</v>
      </c>
      <c r="F908" s="524" t="str">
        <f t="shared" si="49"/>
        <v>是</v>
      </c>
      <c r="G908" s="312" t="str">
        <f t="shared" si="50"/>
        <v>项</v>
      </c>
    </row>
    <row r="909" s="372" customFormat="1" ht="24" hidden="1" customHeight="1" spans="1:7">
      <c r="A909" s="330">
        <v>2130211</v>
      </c>
      <c r="B909" s="379" t="s">
        <v>868</v>
      </c>
      <c r="C909" s="602">
        <f>'02'!E913</f>
        <v>9</v>
      </c>
      <c r="D909" s="603">
        <v>11</v>
      </c>
      <c r="E909" s="606">
        <f t="shared" si="51"/>
        <v>0.222222222222222</v>
      </c>
      <c r="F909" s="524" t="str">
        <f t="shared" si="49"/>
        <v>是</v>
      </c>
      <c r="G909" s="312" t="str">
        <f t="shared" si="50"/>
        <v>项</v>
      </c>
    </row>
    <row r="910" s="372" customFormat="1" ht="24" hidden="1" customHeight="1" spans="1:7">
      <c r="A910" s="330">
        <v>2130212</v>
      </c>
      <c r="B910" s="379" t="s">
        <v>869</v>
      </c>
      <c r="C910" s="602">
        <f>'02'!E914</f>
        <v>761</v>
      </c>
      <c r="D910" s="603">
        <v>775</v>
      </c>
      <c r="E910" s="606">
        <f t="shared" si="51"/>
        <v>0.0183968462549277</v>
      </c>
      <c r="F910" s="524" t="str">
        <f t="shared" si="49"/>
        <v>是</v>
      </c>
      <c r="G910" s="312" t="str">
        <f t="shared" si="50"/>
        <v>项</v>
      </c>
    </row>
    <row r="911" s="372" customFormat="1" ht="24" hidden="1" customHeight="1" spans="1:7">
      <c r="A911" s="330">
        <v>2130213</v>
      </c>
      <c r="B911" s="379" t="s">
        <v>870</v>
      </c>
      <c r="C911" s="602">
        <f>'02'!E915</f>
        <v>0</v>
      </c>
      <c r="D911" s="603">
        <v>0</v>
      </c>
      <c r="E911" s="606" t="str">
        <f t="shared" si="51"/>
        <v/>
      </c>
      <c r="F911" s="524" t="str">
        <f t="shared" si="49"/>
        <v>否</v>
      </c>
      <c r="G911" s="312" t="str">
        <f t="shared" si="50"/>
        <v>项</v>
      </c>
    </row>
    <row r="912" s="372" customFormat="1" ht="24" hidden="1" customHeight="1" spans="1:7">
      <c r="A912" s="330">
        <v>2130217</v>
      </c>
      <c r="B912" s="379" t="s">
        <v>871</v>
      </c>
      <c r="C912" s="602">
        <f>'02'!E916</f>
        <v>0</v>
      </c>
      <c r="D912" s="603">
        <v>0</v>
      </c>
      <c r="E912" s="606" t="str">
        <f t="shared" si="51"/>
        <v/>
      </c>
      <c r="F912" s="524" t="str">
        <f t="shared" si="49"/>
        <v>否</v>
      </c>
      <c r="G912" s="312" t="str">
        <f t="shared" si="50"/>
        <v>项</v>
      </c>
    </row>
    <row r="913" s="372" customFormat="1" ht="24" hidden="1" customHeight="1" spans="1:7">
      <c r="A913" s="330">
        <v>2130220</v>
      </c>
      <c r="B913" s="379" t="s">
        <v>872</v>
      </c>
      <c r="C913" s="602">
        <f>'02'!E917</f>
        <v>0</v>
      </c>
      <c r="D913" s="603">
        <v>0</v>
      </c>
      <c r="E913" s="606" t="str">
        <f t="shared" si="51"/>
        <v/>
      </c>
      <c r="F913" s="524" t="str">
        <f t="shared" si="49"/>
        <v>否</v>
      </c>
      <c r="G913" s="312" t="str">
        <f t="shared" si="50"/>
        <v>项</v>
      </c>
    </row>
    <row r="914" s="372" customFormat="1" ht="24" hidden="1" customHeight="1" spans="1:7">
      <c r="A914" s="330">
        <v>2130221</v>
      </c>
      <c r="B914" s="379" t="s">
        <v>873</v>
      </c>
      <c r="C914" s="602">
        <f>'02'!E918</f>
        <v>0</v>
      </c>
      <c r="D914" s="603">
        <v>0</v>
      </c>
      <c r="E914" s="606" t="str">
        <f t="shared" si="51"/>
        <v/>
      </c>
      <c r="F914" s="524" t="str">
        <f t="shared" si="49"/>
        <v>否</v>
      </c>
      <c r="G914" s="312" t="str">
        <f t="shared" si="50"/>
        <v>项</v>
      </c>
    </row>
    <row r="915" s="372" customFormat="1" ht="24" hidden="1" customHeight="1" spans="1:7">
      <c r="A915" s="330">
        <v>2130223</v>
      </c>
      <c r="B915" s="379" t="s">
        <v>874</v>
      </c>
      <c r="C915" s="602">
        <f>'02'!E919</f>
        <v>0</v>
      </c>
      <c r="D915" s="603">
        <v>0</v>
      </c>
      <c r="E915" s="606" t="str">
        <f t="shared" si="51"/>
        <v/>
      </c>
      <c r="F915" s="524" t="str">
        <f t="shared" si="49"/>
        <v>否</v>
      </c>
      <c r="G915" s="312" t="str">
        <f t="shared" si="50"/>
        <v>项</v>
      </c>
    </row>
    <row r="916" s="372" customFormat="1" ht="24" hidden="1" customHeight="1" spans="1:7">
      <c r="A916" s="330">
        <v>2130226</v>
      </c>
      <c r="B916" s="379" t="s">
        <v>875</v>
      </c>
      <c r="C916" s="602">
        <f>'02'!E920</f>
        <v>0</v>
      </c>
      <c r="D916" s="603">
        <v>0</v>
      </c>
      <c r="E916" s="606" t="str">
        <f t="shared" si="51"/>
        <v/>
      </c>
      <c r="F916" s="524" t="str">
        <f t="shared" si="49"/>
        <v>否</v>
      </c>
      <c r="G916" s="312" t="str">
        <f t="shared" si="50"/>
        <v>项</v>
      </c>
    </row>
    <row r="917" s="372" customFormat="1" ht="24" hidden="1" customHeight="1" spans="1:7">
      <c r="A917" s="330">
        <v>2130227</v>
      </c>
      <c r="B917" s="379" t="s">
        <v>876</v>
      </c>
      <c r="C917" s="602">
        <f>'02'!E921</f>
        <v>262</v>
      </c>
      <c r="D917" s="603">
        <v>0</v>
      </c>
      <c r="E917" s="606">
        <f t="shared" si="51"/>
        <v>-1</v>
      </c>
      <c r="F917" s="524" t="str">
        <f t="shared" si="49"/>
        <v>是</v>
      </c>
      <c r="G917" s="312" t="str">
        <f t="shared" si="50"/>
        <v>项</v>
      </c>
    </row>
    <row r="918" s="372" customFormat="1" ht="24" hidden="1" customHeight="1" spans="1:7">
      <c r="A918" s="330">
        <v>2130234</v>
      </c>
      <c r="B918" s="379" t="s">
        <v>877</v>
      </c>
      <c r="C918" s="602">
        <f>'02'!E922</f>
        <v>2120</v>
      </c>
      <c r="D918" s="603">
        <v>2525</v>
      </c>
      <c r="E918" s="606">
        <f t="shared" si="51"/>
        <v>0.191037735849057</v>
      </c>
      <c r="F918" s="524" t="str">
        <f t="shared" si="49"/>
        <v>是</v>
      </c>
      <c r="G918" s="312" t="str">
        <f t="shared" si="50"/>
        <v>项</v>
      </c>
    </row>
    <row r="919" s="372" customFormat="1" ht="24" hidden="1" customHeight="1" spans="1:7">
      <c r="A919" s="330">
        <v>2130236</v>
      </c>
      <c r="B919" s="379" t="s">
        <v>878</v>
      </c>
      <c r="C919" s="602">
        <f>'02'!E923</f>
        <v>44</v>
      </c>
      <c r="D919" s="603">
        <v>48</v>
      </c>
      <c r="E919" s="606">
        <f t="shared" si="51"/>
        <v>0.0909090909090909</v>
      </c>
      <c r="F919" s="524" t="str">
        <f t="shared" si="49"/>
        <v>是</v>
      </c>
      <c r="G919" s="312" t="str">
        <f t="shared" si="50"/>
        <v>项</v>
      </c>
    </row>
    <row r="920" s="372" customFormat="1" ht="24" hidden="1" customHeight="1" spans="1:7">
      <c r="A920" s="330">
        <v>2130237</v>
      </c>
      <c r="B920" s="379" t="s">
        <v>847</v>
      </c>
      <c r="C920" s="602">
        <f>'02'!E924</f>
        <v>30</v>
      </c>
      <c r="D920" s="603">
        <v>32</v>
      </c>
      <c r="E920" s="606">
        <f t="shared" si="51"/>
        <v>0.0666666666666667</v>
      </c>
      <c r="F920" s="524" t="str">
        <f t="shared" si="49"/>
        <v>是</v>
      </c>
      <c r="G920" s="312" t="str">
        <f t="shared" si="50"/>
        <v>项</v>
      </c>
    </row>
    <row r="921" s="372" customFormat="1" ht="24" hidden="1" customHeight="1" spans="1:7">
      <c r="A921" s="339">
        <v>2130238</v>
      </c>
      <c r="B921" s="379" t="s">
        <v>879</v>
      </c>
      <c r="C921" s="602">
        <f>'02'!E925</f>
        <v>3468</v>
      </c>
      <c r="D921" s="603">
        <v>3758</v>
      </c>
      <c r="E921" s="606">
        <f t="shared" si="51"/>
        <v>0.0836216839677047</v>
      </c>
      <c r="F921" s="524" t="str">
        <f t="shared" si="49"/>
        <v>是</v>
      </c>
      <c r="G921" s="312" t="str">
        <f t="shared" si="50"/>
        <v>项</v>
      </c>
    </row>
    <row r="922" s="372" customFormat="1" ht="24" hidden="1" customHeight="1" spans="1:7">
      <c r="A922" s="330">
        <v>2130299</v>
      </c>
      <c r="B922" s="379" t="s">
        <v>880</v>
      </c>
      <c r="C922" s="602">
        <f>'02'!E926</f>
        <v>4548</v>
      </c>
      <c r="D922" s="603">
        <v>4486</v>
      </c>
      <c r="E922" s="606">
        <f t="shared" si="51"/>
        <v>-0.0136323658751099</v>
      </c>
      <c r="F922" s="524" t="str">
        <f t="shared" si="49"/>
        <v>是</v>
      </c>
      <c r="G922" s="312" t="str">
        <f t="shared" si="50"/>
        <v>项</v>
      </c>
    </row>
    <row r="923" s="372" customFormat="1" ht="24" customHeight="1" spans="1:7">
      <c r="A923" s="330">
        <v>21303</v>
      </c>
      <c r="B923" s="379" t="s">
        <v>881</v>
      </c>
      <c r="C923" s="602">
        <f>SUM(C924:C950)</f>
        <v>22459</v>
      </c>
      <c r="D923" s="602">
        <f>SUM(D924:D950)</f>
        <v>23676</v>
      </c>
      <c r="E923" s="606">
        <f t="shared" si="51"/>
        <v>0.0541876307938911</v>
      </c>
      <c r="F923" s="524" t="str">
        <f t="shared" si="49"/>
        <v>是</v>
      </c>
      <c r="G923" s="312" t="str">
        <f t="shared" si="50"/>
        <v>款</v>
      </c>
    </row>
    <row r="924" ht="24" hidden="1" customHeight="1" spans="1:7">
      <c r="A924" s="330">
        <v>2130301</v>
      </c>
      <c r="B924" s="379" t="s">
        <v>212</v>
      </c>
      <c r="C924" s="602">
        <f>'02'!E928</f>
        <v>2104</v>
      </c>
      <c r="D924" s="603">
        <v>2158</v>
      </c>
      <c r="E924" s="606">
        <f t="shared" si="51"/>
        <v>0.0256653992395437</v>
      </c>
      <c r="F924" s="524" t="str">
        <f t="shared" si="49"/>
        <v>是</v>
      </c>
      <c r="G924" s="312" t="str">
        <f t="shared" si="50"/>
        <v>项</v>
      </c>
    </row>
    <row r="925" s="372" customFormat="1" ht="24" hidden="1" customHeight="1" spans="1:7">
      <c r="A925" s="330">
        <v>2130302</v>
      </c>
      <c r="B925" s="379" t="s">
        <v>213</v>
      </c>
      <c r="C925" s="602">
        <f>'02'!E929</f>
        <v>174</v>
      </c>
      <c r="D925" s="603">
        <v>169</v>
      </c>
      <c r="E925" s="606">
        <f t="shared" si="51"/>
        <v>-0.028735632183908</v>
      </c>
      <c r="F925" s="524" t="str">
        <f t="shared" si="49"/>
        <v>是</v>
      </c>
      <c r="G925" s="312" t="str">
        <f t="shared" si="50"/>
        <v>项</v>
      </c>
    </row>
    <row r="926" s="372" customFormat="1" ht="24" hidden="1" customHeight="1" spans="1:7">
      <c r="A926" s="330">
        <v>2130303</v>
      </c>
      <c r="B926" s="379" t="s">
        <v>214</v>
      </c>
      <c r="C926" s="602">
        <f>'02'!E930</f>
        <v>0</v>
      </c>
      <c r="D926" s="603">
        <v>0</v>
      </c>
      <c r="E926" s="606" t="str">
        <f t="shared" si="51"/>
        <v/>
      </c>
      <c r="F926" s="524" t="str">
        <f t="shared" si="49"/>
        <v>否</v>
      </c>
      <c r="G926" s="312" t="str">
        <f t="shared" si="50"/>
        <v>项</v>
      </c>
    </row>
    <row r="927" s="372" customFormat="1" ht="24" hidden="1" customHeight="1" spans="1:7">
      <c r="A927" s="330">
        <v>2130304</v>
      </c>
      <c r="B927" s="379" t="s">
        <v>882</v>
      </c>
      <c r="C927" s="602">
        <f>'02'!E931</f>
        <v>1242</v>
      </c>
      <c r="D927" s="603">
        <v>1232</v>
      </c>
      <c r="E927" s="606">
        <f t="shared" si="51"/>
        <v>-0.00805152979066022</v>
      </c>
      <c r="F927" s="524" t="str">
        <f t="shared" si="49"/>
        <v>是</v>
      </c>
      <c r="G927" s="312" t="str">
        <f t="shared" si="50"/>
        <v>项</v>
      </c>
    </row>
    <row r="928" s="372" customFormat="1" ht="24" hidden="1" customHeight="1" spans="1:7">
      <c r="A928" s="330">
        <v>2130305</v>
      </c>
      <c r="B928" s="379" t="s">
        <v>883</v>
      </c>
      <c r="C928" s="602">
        <f>'02'!E932</f>
        <v>9231</v>
      </c>
      <c r="D928" s="603">
        <v>10856</v>
      </c>
      <c r="E928" s="606">
        <f t="shared" si="51"/>
        <v>0.176037265735023</v>
      </c>
      <c r="F928" s="524" t="str">
        <f t="shared" si="49"/>
        <v>是</v>
      </c>
      <c r="G928" s="312" t="str">
        <f t="shared" si="50"/>
        <v>项</v>
      </c>
    </row>
    <row r="929" s="372" customFormat="1" ht="24" hidden="1" customHeight="1" spans="1:7">
      <c r="A929" s="330">
        <v>2130306</v>
      </c>
      <c r="B929" s="379" t="s">
        <v>884</v>
      </c>
      <c r="C929" s="602">
        <f>'02'!E933</f>
        <v>551</v>
      </c>
      <c r="D929" s="603">
        <v>535</v>
      </c>
      <c r="E929" s="606">
        <f t="shared" si="51"/>
        <v>-0.029038112522686</v>
      </c>
      <c r="F929" s="524" t="str">
        <f t="shared" si="49"/>
        <v>是</v>
      </c>
      <c r="G929" s="312" t="str">
        <f t="shared" si="50"/>
        <v>项</v>
      </c>
    </row>
    <row r="930" s="372" customFormat="1" ht="24" hidden="1" customHeight="1" spans="1:7">
      <c r="A930" s="330">
        <v>2130307</v>
      </c>
      <c r="B930" s="379" t="s">
        <v>885</v>
      </c>
      <c r="C930" s="602">
        <f>'02'!E934</f>
        <v>0</v>
      </c>
      <c r="D930" s="603">
        <v>0</v>
      </c>
      <c r="E930" s="606" t="str">
        <f t="shared" si="51"/>
        <v/>
      </c>
      <c r="F930" s="524" t="str">
        <f t="shared" si="49"/>
        <v>否</v>
      </c>
      <c r="G930" s="312" t="str">
        <f t="shared" si="50"/>
        <v>项</v>
      </c>
    </row>
    <row r="931" s="372" customFormat="1" ht="24" hidden="1" customHeight="1" spans="1:7">
      <c r="A931" s="330">
        <v>2130308</v>
      </c>
      <c r="B931" s="379" t="s">
        <v>886</v>
      </c>
      <c r="C931" s="602">
        <f>'02'!E935</f>
        <v>1630</v>
      </c>
      <c r="D931" s="603">
        <v>1585</v>
      </c>
      <c r="E931" s="606">
        <f t="shared" si="51"/>
        <v>-0.0276073619631902</v>
      </c>
      <c r="F931" s="524" t="str">
        <f t="shared" si="49"/>
        <v>是</v>
      </c>
      <c r="G931" s="312" t="str">
        <f t="shared" si="50"/>
        <v>项</v>
      </c>
    </row>
    <row r="932" s="372" customFormat="1" ht="24" hidden="1" customHeight="1" spans="1:7">
      <c r="A932" s="330">
        <v>2130309</v>
      </c>
      <c r="B932" s="379" t="s">
        <v>887</v>
      </c>
      <c r="C932" s="602">
        <f>'02'!E936</f>
        <v>0</v>
      </c>
      <c r="D932" s="603">
        <v>0</v>
      </c>
      <c r="E932" s="606" t="str">
        <f t="shared" si="51"/>
        <v/>
      </c>
      <c r="F932" s="524" t="str">
        <f t="shared" si="49"/>
        <v>否</v>
      </c>
      <c r="G932" s="312" t="str">
        <f t="shared" si="50"/>
        <v>项</v>
      </c>
    </row>
    <row r="933" s="372" customFormat="1" ht="24" hidden="1" customHeight="1" spans="1:7">
      <c r="A933" s="330">
        <v>2130310</v>
      </c>
      <c r="B933" s="379" t="s">
        <v>888</v>
      </c>
      <c r="C933" s="602">
        <f>'02'!E937</f>
        <v>1551</v>
      </c>
      <c r="D933" s="603">
        <v>1568</v>
      </c>
      <c r="E933" s="606">
        <f t="shared" si="51"/>
        <v>0.0109606705351386</v>
      </c>
      <c r="F933" s="524" t="str">
        <f t="shared" si="49"/>
        <v>是</v>
      </c>
      <c r="G933" s="312" t="str">
        <f t="shared" si="50"/>
        <v>项</v>
      </c>
    </row>
    <row r="934" s="372" customFormat="1" ht="24" hidden="1" customHeight="1" spans="1:7">
      <c r="A934" s="330">
        <v>2130311</v>
      </c>
      <c r="B934" s="379" t="s">
        <v>889</v>
      </c>
      <c r="C934" s="602">
        <f>'02'!E938</f>
        <v>208</v>
      </c>
      <c r="D934" s="603">
        <v>212</v>
      </c>
      <c r="E934" s="606">
        <f t="shared" si="51"/>
        <v>0.0192307692307692</v>
      </c>
      <c r="F934" s="524" t="str">
        <f t="shared" si="49"/>
        <v>是</v>
      </c>
      <c r="G934" s="312" t="str">
        <f t="shared" si="50"/>
        <v>项</v>
      </c>
    </row>
    <row r="935" s="372" customFormat="1" ht="24" hidden="1" customHeight="1" spans="1:7">
      <c r="A935" s="330">
        <v>2130312</v>
      </c>
      <c r="B935" s="379" t="s">
        <v>890</v>
      </c>
      <c r="C935" s="602">
        <f>'02'!E939</f>
        <v>0</v>
      </c>
      <c r="D935" s="603">
        <v>0</v>
      </c>
      <c r="E935" s="606" t="str">
        <f t="shared" si="51"/>
        <v/>
      </c>
      <c r="F935" s="524" t="str">
        <f t="shared" si="49"/>
        <v>否</v>
      </c>
      <c r="G935" s="312" t="str">
        <f t="shared" si="50"/>
        <v>项</v>
      </c>
    </row>
    <row r="936" s="372" customFormat="1" ht="24" hidden="1" customHeight="1" spans="1:7">
      <c r="A936" s="330">
        <v>2130313</v>
      </c>
      <c r="B936" s="379" t="s">
        <v>891</v>
      </c>
      <c r="C936" s="602">
        <f>'02'!E940</f>
        <v>25</v>
      </c>
      <c r="D936" s="603">
        <v>26</v>
      </c>
      <c r="E936" s="606">
        <f t="shared" si="51"/>
        <v>0.04</v>
      </c>
      <c r="F936" s="524" t="str">
        <f t="shared" si="49"/>
        <v>是</v>
      </c>
      <c r="G936" s="312" t="str">
        <f t="shared" si="50"/>
        <v>项</v>
      </c>
    </row>
    <row r="937" s="372" customFormat="1" ht="24" hidden="1" customHeight="1" spans="1:7">
      <c r="A937" s="330">
        <v>2130314</v>
      </c>
      <c r="B937" s="379" t="s">
        <v>892</v>
      </c>
      <c r="C937" s="602">
        <f>'02'!E941</f>
        <v>218</v>
      </c>
      <c r="D937" s="603">
        <v>253</v>
      </c>
      <c r="E937" s="606">
        <f t="shared" si="51"/>
        <v>0.160550458715596</v>
      </c>
      <c r="F937" s="524" t="str">
        <f t="shared" si="49"/>
        <v>是</v>
      </c>
      <c r="G937" s="312" t="str">
        <f t="shared" si="50"/>
        <v>项</v>
      </c>
    </row>
    <row r="938" s="372" customFormat="1" ht="24" hidden="1" customHeight="1" spans="1:7">
      <c r="A938" s="330">
        <v>2130315</v>
      </c>
      <c r="B938" s="379" t="s">
        <v>893</v>
      </c>
      <c r="C938" s="602">
        <f>'02'!E942</f>
        <v>147</v>
      </c>
      <c r="D938" s="603">
        <v>156</v>
      </c>
      <c r="E938" s="606">
        <f t="shared" si="51"/>
        <v>0.0612244897959184</v>
      </c>
      <c r="F938" s="524" t="str">
        <f t="shared" si="49"/>
        <v>是</v>
      </c>
      <c r="G938" s="312" t="str">
        <f t="shared" si="50"/>
        <v>项</v>
      </c>
    </row>
    <row r="939" s="372" customFormat="1" ht="24" hidden="1" customHeight="1" spans="1:7">
      <c r="A939" s="330">
        <v>2130316</v>
      </c>
      <c r="B939" s="379" t="s">
        <v>894</v>
      </c>
      <c r="C939" s="602">
        <f>'02'!E943</f>
        <v>620</v>
      </c>
      <c r="D939" s="603">
        <v>595</v>
      </c>
      <c r="E939" s="606">
        <f t="shared" si="51"/>
        <v>-0.0403225806451613</v>
      </c>
      <c r="F939" s="524" t="str">
        <f t="shared" si="49"/>
        <v>是</v>
      </c>
      <c r="G939" s="312" t="str">
        <f t="shared" si="50"/>
        <v>项</v>
      </c>
    </row>
    <row r="940" s="372" customFormat="1" ht="24" hidden="1" customHeight="1" spans="1:7">
      <c r="A940" s="330">
        <v>2130317</v>
      </c>
      <c r="B940" s="379" t="s">
        <v>895</v>
      </c>
      <c r="C940" s="602">
        <f>'02'!E944</f>
        <v>1557</v>
      </c>
      <c r="D940" s="603">
        <v>1526</v>
      </c>
      <c r="E940" s="606">
        <f t="shared" si="51"/>
        <v>-0.0199100834938985</v>
      </c>
      <c r="F940" s="524" t="str">
        <f t="shared" si="49"/>
        <v>是</v>
      </c>
      <c r="G940" s="312" t="str">
        <f t="shared" si="50"/>
        <v>项</v>
      </c>
    </row>
    <row r="941" s="372" customFormat="1" ht="24" hidden="1" customHeight="1" spans="1:7">
      <c r="A941" s="330">
        <v>2130318</v>
      </c>
      <c r="B941" s="379" t="s">
        <v>896</v>
      </c>
      <c r="C941" s="602">
        <f>'02'!E945</f>
        <v>0</v>
      </c>
      <c r="D941" s="603">
        <v>0</v>
      </c>
      <c r="E941" s="606" t="str">
        <f t="shared" si="51"/>
        <v/>
      </c>
      <c r="F941" s="524" t="str">
        <f t="shared" si="49"/>
        <v>否</v>
      </c>
      <c r="G941" s="312" t="str">
        <f t="shared" si="50"/>
        <v>项</v>
      </c>
    </row>
    <row r="942" s="372" customFormat="1" ht="24" hidden="1" customHeight="1" spans="1:7">
      <c r="A942" s="330">
        <v>2130319</v>
      </c>
      <c r="B942" s="379" t="s">
        <v>897</v>
      </c>
      <c r="C942" s="602">
        <f>'02'!E946</f>
        <v>48</v>
      </c>
      <c r="D942" s="603">
        <v>52</v>
      </c>
      <c r="E942" s="606">
        <f t="shared" si="51"/>
        <v>0.0833333333333333</v>
      </c>
      <c r="F942" s="524" t="str">
        <f t="shared" si="49"/>
        <v>是</v>
      </c>
      <c r="G942" s="312" t="str">
        <f t="shared" si="50"/>
        <v>项</v>
      </c>
    </row>
    <row r="943" s="372" customFormat="1" ht="24" hidden="1" customHeight="1" spans="1:7">
      <c r="A943" s="330">
        <v>2130321</v>
      </c>
      <c r="B943" s="379" t="s">
        <v>898</v>
      </c>
      <c r="C943" s="602">
        <f>'02'!E947</f>
        <v>507</v>
      </c>
      <c r="D943" s="603">
        <v>395</v>
      </c>
      <c r="E943" s="606">
        <f t="shared" si="51"/>
        <v>-0.220907297830375</v>
      </c>
      <c r="F943" s="524" t="str">
        <f t="shared" si="49"/>
        <v>是</v>
      </c>
      <c r="G943" s="312" t="str">
        <f t="shared" si="50"/>
        <v>项</v>
      </c>
    </row>
    <row r="944" s="372" customFormat="1" ht="24" hidden="1" customHeight="1" spans="1:7">
      <c r="A944" s="330">
        <v>2130322</v>
      </c>
      <c r="B944" s="379" t="s">
        <v>899</v>
      </c>
      <c r="C944" s="602">
        <f>'02'!E948</f>
        <v>0</v>
      </c>
      <c r="D944" s="603">
        <v>0</v>
      </c>
      <c r="E944" s="606" t="str">
        <f t="shared" si="51"/>
        <v/>
      </c>
      <c r="F944" s="524" t="str">
        <f t="shared" si="49"/>
        <v>否</v>
      </c>
      <c r="G944" s="312" t="str">
        <f t="shared" si="50"/>
        <v>项</v>
      </c>
    </row>
    <row r="945" s="372" customFormat="1" ht="24" hidden="1" customHeight="1" spans="1:7">
      <c r="A945" s="330">
        <v>2130333</v>
      </c>
      <c r="B945" s="379" t="s">
        <v>874</v>
      </c>
      <c r="C945" s="602">
        <f>'02'!E949</f>
        <v>0</v>
      </c>
      <c r="D945" s="603">
        <v>0</v>
      </c>
      <c r="E945" s="606" t="str">
        <f t="shared" si="51"/>
        <v/>
      </c>
      <c r="F945" s="524" t="str">
        <f t="shared" si="49"/>
        <v>否</v>
      </c>
      <c r="G945" s="312" t="str">
        <f t="shared" si="50"/>
        <v>项</v>
      </c>
    </row>
    <row r="946" s="372" customFormat="1" ht="24" hidden="1" customHeight="1" spans="1:7">
      <c r="A946" s="330">
        <v>2130334</v>
      </c>
      <c r="B946" s="379" t="s">
        <v>900</v>
      </c>
      <c r="C946" s="602">
        <f>'02'!E950</f>
        <v>86</v>
      </c>
      <c r="D946" s="603">
        <v>80</v>
      </c>
      <c r="E946" s="606">
        <f t="shared" si="51"/>
        <v>-0.0697674418604651</v>
      </c>
      <c r="F946" s="524" t="str">
        <f t="shared" si="49"/>
        <v>是</v>
      </c>
      <c r="G946" s="312" t="str">
        <f t="shared" si="50"/>
        <v>项</v>
      </c>
    </row>
    <row r="947" s="372" customFormat="1" ht="24" hidden="1" customHeight="1" spans="1:7">
      <c r="A947" s="330">
        <v>2130335</v>
      </c>
      <c r="B947" s="379" t="s">
        <v>901</v>
      </c>
      <c r="C947" s="602">
        <f>'02'!E951</f>
        <v>164</v>
      </c>
      <c r="D947" s="603">
        <v>135</v>
      </c>
      <c r="E947" s="606">
        <f t="shared" si="51"/>
        <v>-0.176829268292683</v>
      </c>
      <c r="F947" s="524" t="str">
        <f t="shared" si="49"/>
        <v>是</v>
      </c>
      <c r="G947" s="312" t="str">
        <f t="shared" si="50"/>
        <v>项</v>
      </c>
    </row>
    <row r="948" s="372" customFormat="1" ht="24" hidden="1" customHeight="1" spans="1:7">
      <c r="A948" s="330">
        <v>2130336</v>
      </c>
      <c r="B948" s="379" t="s">
        <v>902</v>
      </c>
      <c r="C948" s="602">
        <f>'02'!E952</f>
        <v>0</v>
      </c>
      <c r="D948" s="603">
        <v>0</v>
      </c>
      <c r="E948" s="606" t="str">
        <f t="shared" si="51"/>
        <v/>
      </c>
      <c r="F948" s="524" t="str">
        <f t="shared" si="49"/>
        <v>否</v>
      </c>
      <c r="G948" s="312" t="str">
        <f t="shared" si="50"/>
        <v>项</v>
      </c>
    </row>
    <row r="949" ht="24" hidden="1" customHeight="1" spans="1:7">
      <c r="A949" s="330">
        <v>2130337</v>
      </c>
      <c r="B949" s="379" t="s">
        <v>903</v>
      </c>
      <c r="C949" s="602">
        <f>'02'!E953</f>
        <v>0</v>
      </c>
      <c r="D949" s="603">
        <v>0</v>
      </c>
      <c r="E949" s="606" t="str">
        <f t="shared" si="51"/>
        <v/>
      </c>
      <c r="F949" s="524" t="str">
        <f t="shared" si="49"/>
        <v>否</v>
      </c>
      <c r="G949" s="312" t="str">
        <f t="shared" si="50"/>
        <v>项</v>
      </c>
    </row>
    <row r="950" s="372" customFormat="1" ht="24" hidden="1" customHeight="1" spans="1:7">
      <c r="A950" s="330">
        <v>2130399</v>
      </c>
      <c r="B950" s="379" t="s">
        <v>904</v>
      </c>
      <c r="C950" s="602">
        <f>'02'!E954</f>
        <v>2396</v>
      </c>
      <c r="D950" s="603">
        <v>2143</v>
      </c>
      <c r="E950" s="606">
        <f t="shared" si="51"/>
        <v>-0.10559265442404</v>
      </c>
      <c r="F950" s="524" t="str">
        <f t="shared" si="49"/>
        <v>是</v>
      </c>
      <c r="G950" s="312" t="str">
        <f t="shared" si="50"/>
        <v>项</v>
      </c>
    </row>
    <row r="951" s="372" customFormat="1" ht="24" customHeight="1" spans="1:7">
      <c r="A951" s="330">
        <v>21305</v>
      </c>
      <c r="B951" s="405" t="s">
        <v>905</v>
      </c>
      <c r="C951" s="602">
        <f>SUM(C952:C957)</f>
        <v>93339</v>
      </c>
      <c r="D951" s="602">
        <f>SUM(D952:D957)</f>
        <v>96950</v>
      </c>
      <c r="E951" s="606">
        <f t="shared" si="51"/>
        <v>0.0386869368645475</v>
      </c>
      <c r="F951" s="524" t="str">
        <f t="shared" si="49"/>
        <v>是</v>
      </c>
      <c r="G951" s="312" t="str">
        <f t="shared" si="50"/>
        <v>款</v>
      </c>
    </row>
    <row r="952" s="372" customFormat="1" ht="24" hidden="1" customHeight="1" spans="1:7">
      <c r="A952" s="330">
        <v>2130504</v>
      </c>
      <c r="B952" s="379" t="s">
        <v>906</v>
      </c>
      <c r="C952" s="602">
        <f>'02'!E959</f>
        <v>21390</v>
      </c>
      <c r="D952" s="603">
        <v>22158</v>
      </c>
      <c r="E952" s="606">
        <f t="shared" si="51"/>
        <v>0.0359046283309958</v>
      </c>
      <c r="F952" s="524" t="str">
        <f t="shared" si="49"/>
        <v>是</v>
      </c>
      <c r="G952" s="312" t="str">
        <f t="shared" si="50"/>
        <v>项</v>
      </c>
    </row>
    <row r="953" s="372" customFormat="1" ht="24" hidden="1" customHeight="1" spans="1:7">
      <c r="A953" s="330">
        <v>2130505</v>
      </c>
      <c r="B953" s="379" t="s">
        <v>907</v>
      </c>
      <c r="C953" s="602">
        <f>'02'!E960</f>
        <v>21792</v>
      </c>
      <c r="D953" s="603">
        <v>22465</v>
      </c>
      <c r="E953" s="606">
        <f t="shared" si="51"/>
        <v>0.030882892804699</v>
      </c>
      <c r="F953" s="524" t="str">
        <f t="shared" si="49"/>
        <v>是</v>
      </c>
      <c r="G953" s="312" t="str">
        <f t="shared" si="50"/>
        <v>项</v>
      </c>
    </row>
    <row r="954" s="372" customFormat="1" ht="24" hidden="1" customHeight="1" spans="1:7">
      <c r="A954" s="330">
        <v>2130506</v>
      </c>
      <c r="B954" s="379" t="s">
        <v>908</v>
      </c>
      <c r="C954" s="602">
        <f>'02'!E961</f>
        <v>1058</v>
      </c>
      <c r="D954" s="603">
        <v>869</v>
      </c>
      <c r="E954" s="606">
        <f t="shared" si="51"/>
        <v>-0.178638941398866</v>
      </c>
      <c r="F954" s="524" t="str">
        <f t="shared" si="49"/>
        <v>是</v>
      </c>
      <c r="G954" s="312" t="str">
        <f t="shared" si="50"/>
        <v>项</v>
      </c>
    </row>
    <row r="955" s="372" customFormat="1" ht="24" hidden="1" customHeight="1" spans="1:7">
      <c r="A955" s="330">
        <v>2130507</v>
      </c>
      <c r="B955" s="405" t="s">
        <v>909</v>
      </c>
      <c r="C955" s="602">
        <f>'02'!E962</f>
        <v>-514</v>
      </c>
      <c r="D955" s="603">
        <v>0</v>
      </c>
      <c r="E955" s="606">
        <f>-IFERROR((D955-C955)/C955,"")</f>
        <v>1</v>
      </c>
      <c r="F955" s="524" t="str">
        <f t="shared" si="49"/>
        <v>是</v>
      </c>
      <c r="G955" s="312" t="str">
        <f t="shared" si="50"/>
        <v>项</v>
      </c>
    </row>
    <row r="956" s="372" customFormat="1" ht="24" hidden="1" customHeight="1" spans="1:7">
      <c r="A956" s="330">
        <v>2130508</v>
      </c>
      <c r="B956" s="379" t="s">
        <v>910</v>
      </c>
      <c r="C956" s="602">
        <f>'02'!E963</f>
        <v>0</v>
      </c>
      <c r="D956" s="603">
        <v>0</v>
      </c>
      <c r="E956" s="606" t="str">
        <f t="shared" si="51"/>
        <v/>
      </c>
      <c r="F956" s="524" t="str">
        <f t="shared" si="49"/>
        <v>否</v>
      </c>
      <c r="G956" s="312" t="str">
        <f t="shared" si="50"/>
        <v>项</v>
      </c>
    </row>
    <row r="957" s="372" customFormat="1" ht="24" hidden="1" customHeight="1" spans="1:7">
      <c r="A957" s="330">
        <v>2130599</v>
      </c>
      <c r="B957" s="405" t="s">
        <v>911</v>
      </c>
      <c r="C957" s="602">
        <f>'02'!E965</f>
        <v>49613</v>
      </c>
      <c r="D957" s="603">
        <v>51458</v>
      </c>
      <c r="E957" s="606">
        <f t="shared" si="51"/>
        <v>0.0371878338338742</v>
      </c>
      <c r="F957" s="524" t="str">
        <f t="shared" ref="F957:F1020" si="52">IF(LEN(A957)=3,"是",IF(B957&lt;&gt;"",IF(SUM(C957:D957)&lt;&gt;0,"是","否"),"是"))</f>
        <v>是</v>
      </c>
      <c r="G957" s="312" t="str">
        <f t="shared" ref="G957:G1020" si="53">IF(LEN(A957)=3,"类",IF(LEN(A957)=5,"款","项"))</f>
        <v>项</v>
      </c>
    </row>
    <row r="958" s="372" customFormat="1" ht="24" customHeight="1" spans="1:7">
      <c r="A958" s="330">
        <v>21307</v>
      </c>
      <c r="B958" s="379" t="s">
        <v>912</v>
      </c>
      <c r="C958" s="602">
        <f>SUM(C959:C963)</f>
        <v>16943</v>
      </c>
      <c r="D958" s="602">
        <f>SUM(D959:D963)</f>
        <v>17444</v>
      </c>
      <c r="E958" s="606">
        <f t="shared" si="51"/>
        <v>0.0295697338133743</v>
      </c>
      <c r="F958" s="524" t="str">
        <f t="shared" si="52"/>
        <v>是</v>
      </c>
      <c r="G958" s="312" t="str">
        <f t="shared" si="53"/>
        <v>款</v>
      </c>
    </row>
    <row r="959" s="372" customFormat="1" ht="24" hidden="1" customHeight="1" spans="1:7">
      <c r="A959" s="330">
        <v>2130701</v>
      </c>
      <c r="B959" s="379" t="s">
        <v>913</v>
      </c>
      <c r="C959" s="602">
        <f>'02'!E967</f>
        <v>2218</v>
      </c>
      <c r="D959" s="603">
        <v>2401</v>
      </c>
      <c r="E959" s="606">
        <f t="shared" ref="E959:E1022" si="54">IFERROR((D959-C959)/C959,"")</f>
        <v>0.0825067628494139</v>
      </c>
      <c r="F959" s="524" t="str">
        <f t="shared" si="52"/>
        <v>是</v>
      </c>
      <c r="G959" s="312" t="str">
        <f t="shared" si="53"/>
        <v>项</v>
      </c>
    </row>
    <row r="960" s="372" customFormat="1" ht="24" hidden="1" customHeight="1" spans="1:7">
      <c r="A960" s="330">
        <v>2130705</v>
      </c>
      <c r="B960" s="379" t="s">
        <v>914</v>
      </c>
      <c r="C960" s="602">
        <f>'02'!E968</f>
        <v>14312</v>
      </c>
      <c r="D960" s="603">
        <v>14589</v>
      </c>
      <c r="E960" s="606">
        <f t="shared" si="54"/>
        <v>0.0193543879262158</v>
      </c>
      <c r="F960" s="524" t="str">
        <f t="shared" si="52"/>
        <v>是</v>
      </c>
      <c r="G960" s="312" t="str">
        <f t="shared" si="53"/>
        <v>项</v>
      </c>
    </row>
    <row r="961" s="372" customFormat="1" ht="24" hidden="1" customHeight="1" spans="1:7">
      <c r="A961" s="330">
        <v>2130706</v>
      </c>
      <c r="B961" s="379" t="s">
        <v>915</v>
      </c>
      <c r="C961" s="602">
        <f>'02'!E969</f>
        <v>10</v>
      </c>
      <c r="D961" s="603">
        <v>18</v>
      </c>
      <c r="E961" s="606">
        <f t="shared" si="54"/>
        <v>0.8</v>
      </c>
      <c r="F961" s="524" t="str">
        <f t="shared" si="52"/>
        <v>是</v>
      </c>
      <c r="G961" s="312" t="str">
        <f t="shared" si="53"/>
        <v>项</v>
      </c>
    </row>
    <row r="962" s="372" customFormat="1" ht="24" hidden="1" customHeight="1" spans="1:7">
      <c r="A962" s="330">
        <v>2130707</v>
      </c>
      <c r="B962" s="379" t="s">
        <v>916</v>
      </c>
      <c r="C962" s="602">
        <f>'02'!E970</f>
        <v>152</v>
      </c>
      <c r="D962" s="603">
        <v>165</v>
      </c>
      <c r="E962" s="606">
        <f t="shared" si="54"/>
        <v>0.0855263157894737</v>
      </c>
      <c r="F962" s="524" t="str">
        <f t="shared" si="52"/>
        <v>是</v>
      </c>
      <c r="G962" s="312" t="str">
        <f t="shared" si="53"/>
        <v>项</v>
      </c>
    </row>
    <row r="963" s="372" customFormat="1" ht="24" hidden="1" customHeight="1" spans="1:7">
      <c r="A963" s="330">
        <v>2130799</v>
      </c>
      <c r="B963" s="379" t="s">
        <v>917</v>
      </c>
      <c r="C963" s="602">
        <f>'02'!E971</f>
        <v>251</v>
      </c>
      <c r="D963" s="603">
        <v>271</v>
      </c>
      <c r="E963" s="606">
        <f t="shared" si="54"/>
        <v>0.0796812749003984</v>
      </c>
      <c r="F963" s="524" t="str">
        <f t="shared" si="52"/>
        <v>是</v>
      </c>
      <c r="G963" s="312" t="str">
        <f t="shared" si="53"/>
        <v>项</v>
      </c>
    </row>
    <row r="964" s="372" customFormat="1" ht="24" customHeight="1" spans="1:7">
      <c r="A964" s="330">
        <v>21308</v>
      </c>
      <c r="B964" s="379" t="s">
        <v>918</v>
      </c>
      <c r="C964" s="602">
        <f>SUM(C965:C969)</f>
        <v>6998</v>
      </c>
      <c r="D964" s="602">
        <f>SUM(D965:D969)</f>
        <v>7471</v>
      </c>
      <c r="E964" s="606">
        <f t="shared" si="54"/>
        <v>0.067590740211489</v>
      </c>
      <c r="F964" s="524" t="str">
        <f t="shared" si="52"/>
        <v>是</v>
      </c>
      <c r="G964" s="312" t="str">
        <f t="shared" si="53"/>
        <v>款</v>
      </c>
    </row>
    <row r="965" s="372" customFormat="1" ht="24" hidden="1" customHeight="1" spans="1:7">
      <c r="A965" s="330">
        <v>2130801</v>
      </c>
      <c r="B965" s="379" t="s">
        <v>919</v>
      </c>
      <c r="C965" s="602">
        <f>'02'!E973</f>
        <v>156</v>
      </c>
      <c r="D965" s="603">
        <v>194</v>
      </c>
      <c r="E965" s="606">
        <f t="shared" si="54"/>
        <v>0.243589743589744</v>
      </c>
      <c r="F965" s="524" t="str">
        <f t="shared" si="52"/>
        <v>是</v>
      </c>
      <c r="G965" s="312" t="str">
        <f t="shared" si="53"/>
        <v>项</v>
      </c>
    </row>
    <row r="966" s="372" customFormat="1" ht="24" hidden="1" customHeight="1" spans="1:7">
      <c r="A966" s="330">
        <v>2130803</v>
      </c>
      <c r="B966" s="379" t="s">
        <v>920</v>
      </c>
      <c r="C966" s="602">
        <f>'02'!E974</f>
        <v>3984</v>
      </c>
      <c r="D966" s="603">
        <v>4125</v>
      </c>
      <c r="E966" s="606">
        <f t="shared" si="54"/>
        <v>0.0353915662650602</v>
      </c>
      <c r="F966" s="524" t="str">
        <f t="shared" si="52"/>
        <v>是</v>
      </c>
      <c r="G966" s="312" t="str">
        <f t="shared" si="53"/>
        <v>项</v>
      </c>
    </row>
    <row r="967" s="372" customFormat="1" ht="24" hidden="1" customHeight="1" spans="1:7">
      <c r="A967" s="330">
        <v>2130804</v>
      </c>
      <c r="B967" s="405" t="s">
        <v>921</v>
      </c>
      <c r="C967" s="602">
        <f>'02'!E975</f>
        <v>2858</v>
      </c>
      <c r="D967" s="603">
        <v>3152</v>
      </c>
      <c r="E967" s="606">
        <f t="shared" si="54"/>
        <v>0.102869139258223</v>
      </c>
      <c r="F967" s="524" t="str">
        <f t="shared" si="52"/>
        <v>是</v>
      </c>
      <c r="G967" s="312" t="str">
        <f t="shared" si="53"/>
        <v>项</v>
      </c>
    </row>
    <row r="968" s="372" customFormat="1" ht="24" hidden="1" customHeight="1" spans="1:7">
      <c r="A968" s="330">
        <v>2130805</v>
      </c>
      <c r="B968" s="379" t="s">
        <v>922</v>
      </c>
      <c r="C968" s="602">
        <f>'02'!E976</f>
        <v>0</v>
      </c>
      <c r="D968" s="603">
        <v>0</v>
      </c>
      <c r="E968" s="606" t="str">
        <f t="shared" si="54"/>
        <v/>
      </c>
      <c r="F968" s="524" t="str">
        <f t="shared" si="52"/>
        <v>否</v>
      </c>
      <c r="G968" s="312" t="str">
        <f t="shared" si="53"/>
        <v>项</v>
      </c>
    </row>
    <row r="969" s="372" customFormat="1" ht="24" hidden="1" customHeight="1" spans="1:7">
      <c r="A969" s="330">
        <v>2130899</v>
      </c>
      <c r="B969" s="379" t="s">
        <v>923</v>
      </c>
      <c r="C969" s="602">
        <f>'02'!E977</f>
        <v>0</v>
      </c>
      <c r="D969" s="603">
        <v>0</v>
      </c>
      <c r="E969" s="606" t="str">
        <f t="shared" si="54"/>
        <v/>
      </c>
      <c r="F969" s="524" t="str">
        <f t="shared" si="52"/>
        <v>否</v>
      </c>
      <c r="G969" s="312" t="str">
        <f t="shared" si="53"/>
        <v>项</v>
      </c>
    </row>
    <row r="970" s="372" customFormat="1" ht="24" hidden="1" customHeight="1" spans="1:7">
      <c r="A970" s="330">
        <v>21309</v>
      </c>
      <c r="B970" s="379" t="s">
        <v>924</v>
      </c>
      <c r="C970" s="602">
        <f>SUM(C971:C972)</f>
        <v>0</v>
      </c>
      <c r="D970" s="602">
        <f>SUM(D971:D972)</f>
        <v>0</v>
      </c>
      <c r="E970" s="606" t="str">
        <f t="shared" si="54"/>
        <v/>
      </c>
      <c r="F970" s="524" t="str">
        <f t="shared" si="52"/>
        <v>否</v>
      </c>
      <c r="G970" s="312" t="str">
        <f t="shared" si="53"/>
        <v>款</v>
      </c>
    </row>
    <row r="971" s="372" customFormat="1" ht="24" hidden="1" customHeight="1" spans="1:7">
      <c r="A971" s="330">
        <v>2130901</v>
      </c>
      <c r="B971" s="379" t="s">
        <v>925</v>
      </c>
      <c r="C971" s="602">
        <f>'02'!E979</f>
        <v>0</v>
      </c>
      <c r="D971" s="603">
        <v>0</v>
      </c>
      <c r="E971" s="606" t="str">
        <f t="shared" si="54"/>
        <v/>
      </c>
      <c r="F971" s="524" t="str">
        <f t="shared" si="52"/>
        <v>否</v>
      </c>
      <c r="G971" s="312" t="str">
        <f t="shared" si="53"/>
        <v>项</v>
      </c>
    </row>
    <row r="972" ht="24" hidden="1" customHeight="1" spans="1:7">
      <c r="A972" s="330">
        <v>2130999</v>
      </c>
      <c r="B972" s="379" t="s">
        <v>926</v>
      </c>
      <c r="C972" s="602">
        <f>'02'!E980</f>
        <v>0</v>
      </c>
      <c r="D972" s="603">
        <v>0</v>
      </c>
      <c r="E972" s="606" t="str">
        <f t="shared" si="54"/>
        <v/>
      </c>
      <c r="F972" s="524" t="str">
        <f t="shared" si="52"/>
        <v>否</v>
      </c>
      <c r="G972" s="312" t="str">
        <f t="shared" si="53"/>
        <v>项</v>
      </c>
    </row>
    <row r="973" s="372" customFormat="1" ht="24" customHeight="1" spans="1:7">
      <c r="A973" s="330">
        <v>21399</v>
      </c>
      <c r="B973" s="379" t="s">
        <v>927</v>
      </c>
      <c r="C973" s="602">
        <f>SUM(C974:C975)</f>
        <v>1687</v>
      </c>
      <c r="D973" s="602">
        <f>SUM(D974:D975)</f>
        <v>1528</v>
      </c>
      <c r="E973" s="606">
        <f t="shared" si="54"/>
        <v>-0.0942501481920569</v>
      </c>
      <c r="F973" s="524" t="str">
        <f t="shared" si="52"/>
        <v>是</v>
      </c>
      <c r="G973" s="312" t="str">
        <f t="shared" si="53"/>
        <v>款</v>
      </c>
    </row>
    <row r="974" s="372" customFormat="1" ht="24" hidden="1" customHeight="1" spans="1:7">
      <c r="A974" s="330">
        <v>2139901</v>
      </c>
      <c r="B974" s="379" t="s">
        <v>928</v>
      </c>
      <c r="C974" s="602">
        <f>'02'!E982</f>
        <v>0</v>
      </c>
      <c r="D974" s="603">
        <v>0</v>
      </c>
      <c r="E974" s="606" t="str">
        <f t="shared" si="54"/>
        <v/>
      </c>
      <c r="F974" s="524" t="str">
        <f t="shared" si="52"/>
        <v>否</v>
      </c>
      <c r="G974" s="312" t="str">
        <f t="shared" si="53"/>
        <v>项</v>
      </c>
    </row>
    <row r="975" s="372" customFormat="1" ht="24" hidden="1" customHeight="1" spans="1:7">
      <c r="A975" s="330">
        <v>2139999</v>
      </c>
      <c r="B975" s="379" t="s">
        <v>929</v>
      </c>
      <c r="C975" s="602">
        <f>'02'!E983</f>
        <v>1687</v>
      </c>
      <c r="D975" s="603">
        <v>1528</v>
      </c>
      <c r="E975" s="606">
        <f t="shared" si="54"/>
        <v>-0.0942501481920569</v>
      </c>
      <c r="F975" s="524" t="str">
        <f t="shared" si="52"/>
        <v>是</v>
      </c>
      <c r="G975" s="312" t="str">
        <f t="shared" si="53"/>
        <v>项</v>
      </c>
    </row>
    <row r="976" s="372" customFormat="1" ht="24" customHeight="1" spans="1:7">
      <c r="A976" s="329">
        <v>214</v>
      </c>
      <c r="B976" s="377" t="s">
        <v>187</v>
      </c>
      <c r="C976" s="601">
        <f>C977+C998+C1008+C1018+C1025</f>
        <v>66230</v>
      </c>
      <c r="D976" s="601">
        <f>D977+D998+D1008+D1018+D1025</f>
        <v>66499</v>
      </c>
      <c r="E976" s="605">
        <f t="shared" si="54"/>
        <v>0.00406160350294428</v>
      </c>
      <c r="F976" s="524" t="str">
        <f t="shared" si="52"/>
        <v>是</v>
      </c>
      <c r="G976" s="312" t="str">
        <f t="shared" si="53"/>
        <v>类</v>
      </c>
    </row>
    <row r="977" s="372" customFormat="1" ht="24" customHeight="1" spans="1:7">
      <c r="A977" s="330">
        <v>21401</v>
      </c>
      <c r="B977" s="379" t="s">
        <v>930</v>
      </c>
      <c r="C977" s="602">
        <f>SUM(C978:C997)</f>
        <v>52189</v>
      </c>
      <c r="D977" s="602">
        <f>SUM(D978:D997)</f>
        <v>53306</v>
      </c>
      <c r="E977" s="606">
        <f t="shared" si="54"/>
        <v>0.0214029776389661</v>
      </c>
      <c r="F977" s="524" t="str">
        <f t="shared" si="52"/>
        <v>是</v>
      </c>
      <c r="G977" s="312" t="str">
        <f t="shared" si="53"/>
        <v>款</v>
      </c>
    </row>
    <row r="978" s="372" customFormat="1" ht="24" hidden="1" customHeight="1" spans="1:7">
      <c r="A978" s="330">
        <v>2140101</v>
      </c>
      <c r="B978" s="379" t="s">
        <v>212</v>
      </c>
      <c r="C978" s="602">
        <f>'02'!E986</f>
        <v>4830</v>
      </c>
      <c r="D978" s="603">
        <v>4886</v>
      </c>
      <c r="E978" s="606">
        <f t="shared" si="54"/>
        <v>0.0115942028985507</v>
      </c>
      <c r="F978" s="524" t="str">
        <f t="shared" si="52"/>
        <v>是</v>
      </c>
      <c r="G978" s="312" t="str">
        <f t="shared" si="53"/>
        <v>项</v>
      </c>
    </row>
    <row r="979" s="372" customFormat="1" ht="24" hidden="1" customHeight="1" spans="1:7">
      <c r="A979" s="330">
        <v>2140102</v>
      </c>
      <c r="B979" s="379" t="s">
        <v>213</v>
      </c>
      <c r="C979" s="602">
        <f>'02'!E987</f>
        <v>82</v>
      </c>
      <c r="D979" s="603">
        <v>80</v>
      </c>
      <c r="E979" s="606">
        <f t="shared" si="54"/>
        <v>-0.024390243902439</v>
      </c>
      <c r="F979" s="524" t="str">
        <f t="shared" si="52"/>
        <v>是</v>
      </c>
      <c r="G979" s="312" t="str">
        <f t="shared" si="53"/>
        <v>项</v>
      </c>
    </row>
    <row r="980" s="372" customFormat="1" ht="24" hidden="1" customHeight="1" spans="1:7">
      <c r="A980" s="330">
        <v>2140103</v>
      </c>
      <c r="B980" s="379" t="s">
        <v>214</v>
      </c>
      <c r="C980" s="602">
        <f>'02'!E988</f>
        <v>0</v>
      </c>
      <c r="D980" s="603">
        <v>0</v>
      </c>
      <c r="E980" s="606" t="str">
        <f t="shared" si="54"/>
        <v/>
      </c>
      <c r="F980" s="524" t="str">
        <f t="shared" si="52"/>
        <v>否</v>
      </c>
      <c r="G980" s="312" t="str">
        <f t="shared" si="53"/>
        <v>项</v>
      </c>
    </row>
    <row r="981" s="372" customFormat="1" ht="24" hidden="1" customHeight="1" spans="1:7">
      <c r="A981" s="330">
        <v>2140104</v>
      </c>
      <c r="B981" s="379" t="s">
        <v>931</v>
      </c>
      <c r="C981" s="602">
        <f>'02'!E989</f>
        <v>29659</v>
      </c>
      <c r="D981" s="603">
        <v>30458</v>
      </c>
      <c r="E981" s="606">
        <f t="shared" si="54"/>
        <v>0.0269395461748542</v>
      </c>
      <c r="F981" s="524" t="str">
        <f t="shared" si="52"/>
        <v>是</v>
      </c>
      <c r="G981" s="312" t="str">
        <f t="shared" si="53"/>
        <v>项</v>
      </c>
    </row>
    <row r="982" s="372" customFormat="1" ht="24" hidden="1" customHeight="1" spans="1:7">
      <c r="A982" s="330">
        <v>2140106</v>
      </c>
      <c r="B982" s="379" t="s">
        <v>932</v>
      </c>
      <c r="C982" s="602">
        <f>'02'!E990</f>
        <v>5516</v>
      </c>
      <c r="D982" s="603">
        <v>6325</v>
      </c>
      <c r="E982" s="606">
        <f t="shared" si="54"/>
        <v>0.146664249456128</v>
      </c>
      <c r="F982" s="524" t="str">
        <f t="shared" si="52"/>
        <v>是</v>
      </c>
      <c r="G982" s="312" t="str">
        <f t="shared" si="53"/>
        <v>项</v>
      </c>
    </row>
    <row r="983" ht="24" hidden="1" customHeight="1" spans="1:7">
      <c r="A983" s="330">
        <v>2140109</v>
      </c>
      <c r="B983" s="379" t="s">
        <v>933</v>
      </c>
      <c r="C983" s="602">
        <f>'02'!E991</f>
        <v>0</v>
      </c>
      <c r="D983" s="603">
        <v>0</v>
      </c>
      <c r="E983" s="606" t="str">
        <f t="shared" si="54"/>
        <v/>
      </c>
      <c r="F983" s="524" t="str">
        <f t="shared" si="52"/>
        <v>否</v>
      </c>
      <c r="G983" s="312" t="str">
        <f t="shared" si="53"/>
        <v>项</v>
      </c>
    </row>
    <row r="984" s="372" customFormat="1" ht="24" hidden="1" customHeight="1" spans="1:7">
      <c r="A984" s="330">
        <v>2140110</v>
      </c>
      <c r="B984" s="379" t="s">
        <v>934</v>
      </c>
      <c r="C984" s="602">
        <f>'02'!E992</f>
        <v>208</v>
      </c>
      <c r="D984" s="603">
        <v>212</v>
      </c>
      <c r="E984" s="606">
        <f t="shared" si="54"/>
        <v>0.0192307692307692</v>
      </c>
      <c r="F984" s="524" t="str">
        <f t="shared" si="52"/>
        <v>是</v>
      </c>
      <c r="G984" s="312" t="str">
        <f t="shared" si="53"/>
        <v>项</v>
      </c>
    </row>
    <row r="985" s="372" customFormat="1" ht="24" hidden="1" customHeight="1" spans="1:7">
      <c r="A985" s="330">
        <v>2140112</v>
      </c>
      <c r="B985" s="379" t="s">
        <v>935</v>
      </c>
      <c r="C985" s="602">
        <f>'02'!E993</f>
        <v>3563</v>
      </c>
      <c r="D985" s="603">
        <v>3081</v>
      </c>
      <c r="E985" s="606">
        <f t="shared" si="54"/>
        <v>-0.135279259051361</v>
      </c>
      <c r="F985" s="524" t="str">
        <f t="shared" si="52"/>
        <v>是</v>
      </c>
      <c r="G985" s="312" t="str">
        <f t="shared" si="53"/>
        <v>项</v>
      </c>
    </row>
    <row r="986" s="372" customFormat="1" ht="24" hidden="1" customHeight="1" spans="1:7">
      <c r="A986" s="330">
        <v>2140114</v>
      </c>
      <c r="B986" s="379" t="s">
        <v>936</v>
      </c>
      <c r="C986" s="602">
        <f>'02'!E994</f>
        <v>0</v>
      </c>
      <c r="D986" s="603">
        <v>0</v>
      </c>
      <c r="E986" s="606" t="str">
        <f t="shared" si="54"/>
        <v/>
      </c>
      <c r="F986" s="524" t="str">
        <f t="shared" si="52"/>
        <v>否</v>
      </c>
      <c r="G986" s="312" t="str">
        <f t="shared" si="53"/>
        <v>项</v>
      </c>
    </row>
    <row r="987" s="372" customFormat="1" ht="24" hidden="1" customHeight="1" spans="1:7">
      <c r="A987" s="330">
        <v>2140122</v>
      </c>
      <c r="B987" s="379" t="s">
        <v>937</v>
      </c>
      <c r="C987" s="602">
        <f>'02'!E995</f>
        <v>0</v>
      </c>
      <c r="D987" s="603">
        <v>0</v>
      </c>
      <c r="E987" s="606" t="str">
        <f t="shared" si="54"/>
        <v/>
      </c>
      <c r="F987" s="524" t="str">
        <f t="shared" si="52"/>
        <v>否</v>
      </c>
      <c r="G987" s="312" t="str">
        <f t="shared" si="53"/>
        <v>项</v>
      </c>
    </row>
    <row r="988" s="372" customFormat="1" ht="24" hidden="1" customHeight="1" spans="1:7">
      <c r="A988" s="330">
        <v>2140123</v>
      </c>
      <c r="B988" s="379" t="s">
        <v>938</v>
      </c>
      <c r="C988" s="602">
        <f>'02'!E996</f>
        <v>1</v>
      </c>
      <c r="D988" s="603">
        <v>0</v>
      </c>
      <c r="E988" s="606">
        <f t="shared" si="54"/>
        <v>-1</v>
      </c>
      <c r="F988" s="524" t="str">
        <f t="shared" si="52"/>
        <v>是</v>
      </c>
      <c r="G988" s="312" t="str">
        <f t="shared" si="53"/>
        <v>项</v>
      </c>
    </row>
    <row r="989" ht="24" hidden="1" customHeight="1" spans="1:7">
      <c r="A989" s="330">
        <v>2140127</v>
      </c>
      <c r="B989" s="379" t="s">
        <v>939</v>
      </c>
      <c r="C989" s="602">
        <f>'02'!E997</f>
        <v>0</v>
      </c>
      <c r="D989" s="603">
        <v>0</v>
      </c>
      <c r="E989" s="606" t="str">
        <f t="shared" si="54"/>
        <v/>
      </c>
      <c r="F989" s="524" t="str">
        <f t="shared" si="52"/>
        <v>否</v>
      </c>
      <c r="G989" s="312" t="str">
        <f t="shared" si="53"/>
        <v>项</v>
      </c>
    </row>
    <row r="990" s="372" customFormat="1" ht="24" hidden="1" customHeight="1" spans="1:7">
      <c r="A990" s="330">
        <v>2140128</v>
      </c>
      <c r="B990" s="379" t="s">
        <v>940</v>
      </c>
      <c r="C990" s="602">
        <f>'02'!E998</f>
        <v>0</v>
      </c>
      <c r="D990" s="603">
        <v>0</v>
      </c>
      <c r="E990" s="606" t="str">
        <f t="shared" si="54"/>
        <v/>
      </c>
      <c r="F990" s="524" t="str">
        <f t="shared" si="52"/>
        <v>否</v>
      </c>
      <c r="G990" s="312" t="str">
        <f t="shared" si="53"/>
        <v>项</v>
      </c>
    </row>
    <row r="991" s="372" customFormat="1" ht="24" hidden="1" customHeight="1" spans="1:7">
      <c r="A991" s="330">
        <v>2140129</v>
      </c>
      <c r="B991" s="379" t="s">
        <v>941</v>
      </c>
      <c r="C991" s="602">
        <f>'02'!E999</f>
        <v>0</v>
      </c>
      <c r="D991" s="603">
        <v>0</v>
      </c>
      <c r="E991" s="606" t="str">
        <f t="shared" si="54"/>
        <v/>
      </c>
      <c r="F991" s="524" t="str">
        <f t="shared" si="52"/>
        <v>否</v>
      </c>
      <c r="G991" s="312" t="str">
        <f t="shared" si="53"/>
        <v>项</v>
      </c>
    </row>
    <row r="992" s="372" customFormat="1" ht="24" hidden="1" customHeight="1" spans="1:7">
      <c r="A992" s="330">
        <v>2140130</v>
      </c>
      <c r="B992" s="379" t="s">
        <v>942</v>
      </c>
      <c r="C992" s="602">
        <f>'02'!E1000</f>
        <v>0</v>
      </c>
      <c r="D992" s="603">
        <v>0</v>
      </c>
      <c r="E992" s="606" t="str">
        <f t="shared" si="54"/>
        <v/>
      </c>
      <c r="F992" s="524" t="str">
        <f t="shared" si="52"/>
        <v>否</v>
      </c>
      <c r="G992" s="312" t="str">
        <f t="shared" si="53"/>
        <v>项</v>
      </c>
    </row>
    <row r="993" s="372" customFormat="1" ht="24" hidden="1" customHeight="1" spans="1:7">
      <c r="A993" s="330">
        <v>2140131</v>
      </c>
      <c r="B993" s="379" t="s">
        <v>943</v>
      </c>
      <c r="C993" s="602">
        <f>'02'!E1001</f>
        <v>23</v>
      </c>
      <c r="D993" s="603">
        <v>28</v>
      </c>
      <c r="E993" s="606">
        <f t="shared" si="54"/>
        <v>0.217391304347826</v>
      </c>
      <c r="F993" s="524" t="str">
        <f t="shared" si="52"/>
        <v>是</v>
      </c>
      <c r="G993" s="312" t="str">
        <f t="shared" si="53"/>
        <v>项</v>
      </c>
    </row>
    <row r="994" s="372" customFormat="1" ht="24" hidden="1" customHeight="1" spans="1:7">
      <c r="A994" s="330">
        <v>2140133</v>
      </c>
      <c r="B994" s="379" t="s">
        <v>944</v>
      </c>
      <c r="C994" s="602">
        <f>'02'!E1002</f>
        <v>0</v>
      </c>
      <c r="D994" s="603">
        <v>0</v>
      </c>
      <c r="E994" s="606" t="str">
        <f t="shared" si="54"/>
        <v/>
      </c>
      <c r="F994" s="524" t="str">
        <f t="shared" si="52"/>
        <v>否</v>
      </c>
      <c r="G994" s="312" t="str">
        <f t="shared" si="53"/>
        <v>项</v>
      </c>
    </row>
    <row r="995" s="372" customFormat="1" ht="24" hidden="1" customHeight="1" spans="1:7">
      <c r="A995" s="330">
        <v>2140136</v>
      </c>
      <c r="B995" s="379" t="s">
        <v>945</v>
      </c>
      <c r="C995" s="602">
        <f>'02'!E1003</f>
        <v>4</v>
      </c>
      <c r="D995" s="603">
        <v>6</v>
      </c>
      <c r="E995" s="606">
        <f t="shared" si="54"/>
        <v>0.5</v>
      </c>
      <c r="F995" s="524" t="str">
        <f t="shared" si="52"/>
        <v>是</v>
      </c>
      <c r="G995" s="312" t="str">
        <f t="shared" si="53"/>
        <v>项</v>
      </c>
    </row>
    <row r="996" ht="24" hidden="1" customHeight="1" spans="1:7">
      <c r="A996" s="330">
        <v>2140138</v>
      </c>
      <c r="B996" s="379" t="s">
        <v>946</v>
      </c>
      <c r="C996" s="602">
        <f>'02'!E1004</f>
        <v>156</v>
      </c>
      <c r="D996" s="603">
        <v>162</v>
      </c>
      <c r="E996" s="606">
        <f t="shared" si="54"/>
        <v>0.0384615384615385</v>
      </c>
      <c r="F996" s="524" t="str">
        <f t="shared" si="52"/>
        <v>是</v>
      </c>
      <c r="G996" s="312" t="str">
        <f t="shared" si="53"/>
        <v>项</v>
      </c>
    </row>
    <row r="997" s="372" customFormat="1" ht="24" hidden="1" customHeight="1" spans="1:7">
      <c r="A997" s="330">
        <v>2140199</v>
      </c>
      <c r="B997" s="379" t="s">
        <v>947</v>
      </c>
      <c r="C997" s="602">
        <f>'02'!E1005</f>
        <v>8147</v>
      </c>
      <c r="D997" s="603">
        <v>8068</v>
      </c>
      <c r="E997" s="606">
        <f t="shared" si="54"/>
        <v>-0.00969682091567448</v>
      </c>
      <c r="F997" s="524" t="str">
        <f t="shared" si="52"/>
        <v>是</v>
      </c>
      <c r="G997" s="312" t="str">
        <f t="shared" si="53"/>
        <v>项</v>
      </c>
    </row>
    <row r="998" s="372" customFormat="1" ht="24" customHeight="1" spans="1:7">
      <c r="A998" s="330">
        <v>21402</v>
      </c>
      <c r="B998" s="379" t="s">
        <v>948</v>
      </c>
      <c r="C998" s="602">
        <f>SUM(C999:C1007)</f>
        <v>172</v>
      </c>
      <c r="D998" s="602">
        <f>SUM(D999:D1007)</f>
        <v>158</v>
      </c>
      <c r="E998" s="606">
        <f t="shared" si="54"/>
        <v>-0.0813953488372093</v>
      </c>
      <c r="F998" s="524" t="str">
        <f t="shared" si="52"/>
        <v>是</v>
      </c>
      <c r="G998" s="312" t="str">
        <f t="shared" si="53"/>
        <v>款</v>
      </c>
    </row>
    <row r="999" ht="24" hidden="1" customHeight="1" spans="1:7">
      <c r="A999" s="330">
        <v>2140201</v>
      </c>
      <c r="B999" s="379" t="s">
        <v>212</v>
      </c>
      <c r="C999" s="602">
        <f>'02'!E1007</f>
        <v>0</v>
      </c>
      <c r="D999" s="603">
        <v>0</v>
      </c>
      <c r="E999" s="606" t="str">
        <f t="shared" si="54"/>
        <v/>
      </c>
      <c r="F999" s="524" t="str">
        <f t="shared" si="52"/>
        <v>否</v>
      </c>
      <c r="G999" s="312" t="str">
        <f t="shared" si="53"/>
        <v>项</v>
      </c>
    </row>
    <row r="1000" s="372" customFormat="1" ht="24" hidden="1" customHeight="1" spans="1:7">
      <c r="A1000" s="330">
        <v>2140202</v>
      </c>
      <c r="B1000" s="379" t="s">
        <v>213</v>
      </c>
      <c r="C1000" s="602">
        <f>'02'!E1008</f>
        <v>0</v>
      </c>
      <c r="D1000" s="603">
        <v>0</v>
      </c>
      <c r="E1000" s="606" t="str">
        <f t="shared" si="54"/>
        <v/>
      </c>
      <c r="F1000" s="524" t="str">
        <f t="shared" si="52"/>
        <v>否</v>
      </c>
      <c r="G1000" s="312" t="str">
        <f t="shared" si="53"/>
        <v>项</v>
      </c>
    </row>
    <row r="1001" s="372" customFormat="1" ht="24" hidden="1" customHeight="1" spans="1:7">
      <c r="A1001" s="330">
        <v>2140203</v>
      </c>
      <c r="B1001" s="379" t="s">
        <v>214</v>
      </c>
      <c r="C1001" s="602">
        <f>'02'!E1009</f>
        <v>0</v>
      </c>
      <c r="D1001" s="603">
        <v>0</v>
      </c>
      <c r="E1001" s="606" t="str">
        <f t="shared" si="54"/>
        <v/>
      </c>
      <c r="F1001" s="524" t="str">
        <f t="shared" si="52"/>
        <v>否</v>
      </c>
      <c r="G1001" s="312" t="str">
        <f t="shared" si="53"/>
        <v>项</v>
      </c>
    </row>
    <row r="1002" ht="24" hidden="1" customHeight="1" spans="1:7">
      <c r="A1002" s="330">
        <v>2140204</v>
      </c>
      <c r="B1002" s="379" t="s">
        <v>949</v>
      </c>
      <c r="C1002" s="602">
        <f>'02'!E1010</f>
        <v>0</v>
      </c>
      <c r="D1002" s="603">
        <v>0</v>
      </c>
      <c r="E1002" s="606" t="str">
        <f t="shared" si="54"/>
        <v/>
      </c>
      <c r="F1002" s="524" t="str">
        <f t="shared" si="52"/>
        <v>否</v>
      </c>
      <c r="G1002" s="312" t="str">
        <f t="shared" si="53"/>
        <v>项</v>
      </c>
    </row>
    <row r="1003" ht="24" hidden="1" customHeight="1" spans="1:7">
      <c r="A1003" s="330">
        <v>2140205</v>
      </c>
      <c r="B1003" s="379" t="s">
        <v>950</v>
      </c>
      <c r="C1003" s="602">
        <f>'02'!E1011</f>
        <v>0</v>
      </c>
      <c r="D1003" s="603">
        <v>0</v>
      </c>
      <c r="E1003" s="606" t="str">
        <f t="shared" si="54"/>
        <v/>
      </c>
      <c r="F1003" s="524" t="str">
        <f t="shared" si="52"/>
        <v>否</v>
      </c>
      <c r="G1003" s="312" t="str">
        <f t="shared" si="53"/>
        <v>项</v>
      </c>
    </row>
    <row r="1004" s="372" customFormat="1" ht="24" hidden="1" customHeight="1" spans="1:7">
      <c r="A1004" s="330">
        <v>2140206</v>
      </c>
      <c r="B1004" s="379" t="s">
        <v>951</v>
      </c>
      <c r="C1004" s="602">
        <f>'02'!E1012</f>
        <v>0</v>
      </c>
      <c r="D1004" s="603">
        <v>0</v>
      </c>
      <c r="E1004" s="606" t="str">
        <f t="shared" si="54"/>
        <v/>
      </c>
      <c r="F1004" s="524" t="str">
        <f t="shared" si="52"/>
        <v>否</v>
      </c>
      <c r="G1004" s="312" t="str">
        <f t="shared" si="53"/>
        <v>项</v>
      </c>
    </row>
    <row r="1005" s="372" customFormat="1" ht="24" hidden="1" customHeight="1" spans="1:7">
      <c r="A1005" s="330">
        <v>2140207</v>
      </c>
      <c r="B1005" s="379" t="s">
        <v>952</v>
      </c>
      <c r="C1005" s="602">
        <f>'02'!E1013</f>
        <v>0</v>
      </c>
      <c r="D1005" s="603">
        <v>0</v>
      </c>
      <c r="E1005" s="606" t="str">
        <f t="shared" si="54"/>
        <v/>
      </c>
      <c r="F1005" s="524" t="str">
        <f t="shared" si="52"/>
        <v>否</v>
      </c>
      <c r="G1005" s="312" t="str">
        <f t="shared" si="53"/>
        <v>项</v>
      </c>
    </row>
    <row r="1006" s="372" customFormat="1" ht="24" hidden="1" customHeight="1" spans="1:7">
      <c r="A1006" s="330">
        <v>2140208</v>
      </c>
      <c r="B1006" s="379" t="s">
        <v>953</v>
      </c>
      <c r="C1006" s="602">
        <f>'02'!E1014</f>
        <v>0</v>
      </c>
      <c r="D1006" s="603">
        <v>0</v>
      </c>
      <c r="E1006" s="606" t="str">
        <f t="shared" si="54"/>
        <v/>
      </c>
      <c r="F1006" s="524" t="str">
        <f t="shared" si="52"/>
        <v>否</v>
      </c>
      <c r="G1006" s="312" t="str">
        <f t="shared" si="53"/>
        <v>项</v>
      </c>
    </row>
    <row r="1007" s="372" customFormat="1" ht="24" hidden="1" customHeight="1" spans="1:7">
      <c r="A1007" s="330">
        <v>2140299</v>
      </c>
      <c r="B1007" s="379" t="s">
        <v>954</v>
      </c>
      <c r="C1007" s="602">
        <f>'02'!E1015</f>
        <v>172</v>
      </c>
      <c r="D1007" s="603">
        <v>158</v>
      </c>
      <c r="E1007" s="606">
        <f t="shared" si="54"/>
        <v>-0.0813953488372093</v>
      </c>
      <c r="F1007" s="524" t="str">
        <f t="shared" si="52"/>
        <v>是</v>
      </c>
      <c r="G1007" s="312" t="str">
        <f t="shared" si="53"/>
        <v>项</v>
      </c>
    </row>
    <row r="1008" s="372" customFormat="1" ht="24" customHeight="1" spans="1:7">
      <c r="A1008" s="330">
        <v>21403</v>
      </c>
      <c r="B1008" s="379" t="s">
        <v>955</v>
      </c>
      <c r="C1008" s="602">
        <f>SUM(C1009:C1017)</f>
        <v>10861</v>
      </c>
      <c r="D1008" s="602">
        <f>SUM(D1009:D1017)</f>
        <v>10258</v>
      </c>
      <c r="E1008" s="606">
        <f t="shared" si="54"/>
        <v>-0.0555197495626554</v>
      </c>
      <c r="F1008" s="524" t="str">
        <f t="shared" si="52"/>
        <v>是</v>
      </c>
      <c r="G1008" s="312" t="str">
        <f t="shared" si="53"/>
        <v>款</v>
      </c>
    </row>
    <row r="1009" s="372" customFormat="1" ht="24" hidden="1" customHeight="1" spans="1:7">
      <c r="A1009" s="330">
        <v>2140301</v>
      </c>
      <c r="B1009" s="379" t="s">
        <v>212</v>
      </c>
      <c r="C1009" s="602">
        <f>'02'!E1017</f>
        <v>9</v>
      </c>
      <c r="D1009" s="603">
        <v>0</v>
      </c>
      <c r="E1009" s="606">
        <f t="shared" si="54"/>
        <v>-1</v>
      </c>
      <c r="F1009" s="524" t="str">
        <f t="shared" si="52"/>
        <v>是</v>
      </c>
      <c r="G1009" s="312" t="str">
        <f t="shared" si="53"/>
        <v>项</v>
      </c>
    </row>
    <row r="1010" s="372" customFormat="1" ht="24" hidden="1" customHeight="1" spans="1:7">
      <c r="A1010" s="330">
        <v>2140302</v>
      </c>
      <c r="B1010" s="379" t="s">
        <v>213</v>
      </c>
      <c r="C1010" s="602">
        <f>'02'!E1018</f>
        <v>0</v>
      </c>
      <c r="D1010" s="603">
        <v>0</v>
      </c>
      <c r="E1010" s="606" t="str">
        <f t="shared" si="54"/>
        <v/>
      </c>
      <c r="F1010" s="524" t="str">
        <f t="shared" si="52"/>
        <v>否</v>
      </c>
      <c r="G1010" s="312" t="str">
        <f t="shared" si="53"/>
        <v>项</v>
      </c>
    </row>
    <row r="1011" s="372" customFormat="1" ht="24" hidden="1" customHeight="1" spans="1:7">
      <c r="A1011" s="330">
        <v>2140303</v>
      </c>
      <c r="B1011" s="379" t="s">
        <v>214</v>
      </c>
      <c r="C1011" s="602">
        <f>'02'!E1019</f>
        <v>0</v>
      </c>
      <c r="D1011" s="603">
        <v>0</v>
      </c>
      <c r="E1011" s="606" t="str">
        <f t="shared" si="54"/>
        <v/>
      </c>
      <c r="F1011" s="524" t="str">
        <f t="shared" si="52"/>
        <v>否</v>
      </c>
      <c r="G1011" s="312" t="str">
        <f t="shared" si="53"/>
        <v>项</v>
      </c>
    </row>
    <row r="1012" s="372" customFormat="1" ht="24" hidden="1" customHeight="1" spans="1:7">
      <c r="A1012" s="330">
        <v>2140304</v>
      </c>
      <c r="B1012" s="379" t="s">
        <v>956</v>
      </c>
      <c r="C1012" s="602">
        <f>'02'!E1020</f>
        <v>80</v>
      </c>
      <c r="D1012" s="603">
        <v>0</v>
      </c>
      <c r="E1012" s="606">
        <f t="shared" si="54"/>
        <v>-1</v>
      </c>
      <c r="F1012" s="524" t="str">
        <f t="shared" si="52"/>
        <v>是</v>
      </c>
      <c r="G1012" s="312" t="str">
        <f t="shared" si="53"/>
        <v>项</v>
      </c>
    </row>
    <row r="1013" s="372" customFormat="1" ht="24" hidden="1" customHeight="1" spans="1:7">
      <c r="A1013" s="330">
        <v>2140305</v>
      </c>
      <c r="B1013" s="379" t="s">
        <v>957</v>
      </c>
      <c r="C1013" s="602">
        <f>'02'!E1021</f>
        <v>0</v>
      </c>
      <c r="D1013" s="603">
        <v>0</v>
      </c>
      <c r="E1013" s="606" t="str">
        <f t="shared" si="54"/>
        <v/>
      </c>
      <c r="F1013" s="524" t="str">
        <f t="shared" si="52"/>
        <v>否</v>
      </c>
      <c r="G1013" s="312" t="str">
        <f t="shared" si="53"/>
        <v>项</v>
      </c>
    </row>
    <row r="1014" s="372" customFormat="1" ht="24" hidden="1" customHeight="1" spans="1:7">
      <c r="A1014" s="330">
        <v>2140306</v>
      </c>
      <c r="B1014" s="379" t="s">
        <v>958</v>
      </c>
      <c r="C1014" s="602">
        <f>'02'!E1022</f>
        <v>0</v>
      </c>
      <c r="D1014" s="603">
        <v>0</v>
      </c>
      <c r="E1014" s="606" t="str">
        <f t="shared" si="54"/>
        <v/>
      </c>
      <c r="F1014" s="524" t="str">
        <f t="shared" si="52"/>
        <v>否</v>
      </c>
      <c r="G1014" s="312" t="str">
        <f t="shared" si="53"/>
        <v>项</v>
      </c>
    </row>
    <row r="1015" s="372" customFormat="1" ht="24" hidden="1" customHeight="1" spans="1:7">
      <c r="A1015" s="330">
        <v>2140307</v>
      </c>
      <c r="B1015" s="379" t="s">
        <v>959</v>
      </c>
      <c r="C1015" s="602">
        <f>'02'!E1023</f>
        <v>0</v>
      </c>
      <c r="D1015" s="603">
        <v>0</v>
      </c>
      <c r="E1015" s="606" t="str">
        <f t="shared" si="54"/>
        <v/>
      </c>
      <c r="F1015" s="524" t="str">
        <f t="shared" si="52"/>
        <v>否</v>
      </c>
      <c r="G1015" s="312" t="str">
        <f t="shared" si="53"/>
        <v>项</v>
      </c>
    </row>
    <row r="1016" s="372" customFormat="1" ht="24" hidden="1" customHeight="1" spans="1:7">
      <c r="A1016" s="330">
        <v>2140308</v>
      </c>
      <c r="B1016" s="379" t="s">
        <v>960</v>
      </c>
      <c r="C1016" s="602">
        <f>'02'!E1024</f>
        <v>0</v>
      </c>
      <c r="D1016" s="603">
        <v>0</v>
      </c>
      <c r="E1016" s="606" t="str">
        <f t="shared" si="54"/>
        <v/>
      </c>
      <c r="F1016" s="524" t="str">
        <f t="shared" si="52"/>
        <v>否</v>
      </c>
      <c r="G1016" s="312" t="str">
        <f t="shared" si="53"/>
        <v>项</v>
      </c>
    </row>
    <row r="1017" s="372" customFormat="1" ht="24" hidden="1" customHeight="1" spans="1:7">
      <c r="A1017" s="330">
        <v>2140399</v>
      </c>
      <c r="B1017" s="379" t="s">
        <v>961</v>
      </c>
      <c r="C1017" s="602">
        <f>'02'!E1025</f>
        <v>10772</v>
      </c>
      <c r="D1017" s="603">
        <v>10258</v>
      </c>
      <c r="E1017" s="606">
        <f t="shared" si="54"/>
        <v>-0.0477163015224656</v>
      </c>
      <c r="F1017" s="524" t="str">
        <f t="shared" si="52"/>
        <v>是</v>
      </c>
      <c r="G1017" s="312" t="str">
        <f t="shared" si="53"/>
        <v>项</v>
      </c>
    </row>
    <row r="1018" s="372" customFormat="1" ht="24" customHeight="1" spans="1:7">
      <c r="A1018" s="330">
        <v>21405</v>
      </c>
      <c r="B1018" s="379" t="s">
        <v>962</v>
      </c>
      <c r="C1018" s="602">
        <f>SUM(C1019:C1024)</f>
        <v>240</v>
      </c>
      <c r="D1018" s="602">
        <f>SUM(D1019:D1024)</f>
        <v>180</v>
      </c>
      <c r="E1018" s="606">
        <f t="shared" si="54"/>
        <v>-0.25</v>
      </c>
      <c r="F1018" s="524" t="str">
        <f t="shared" si="52"/>
        <v>是</v>
      </c>
      <c r="G1018" s="312" t="str">
        <f t="shared" si="53"/>
        <v>款</v>
      </c>
    </row>
    <row r="1019" s="372" customFormat="1" ht="24" hidden="1" customHeight="1" spans="1:7">
      <c r="A1019" s="330">
        <v>2140501</v>
      </c>
      <c r="B1019" s="379" t="s">
        <v>212</v>
      </c>
      <c r="C1019" s="602">
        <f>'02'!E1027</f>
        <v>240</v>
      </c>
      <c r="D1019" s="603">
        <v>180</v>
      </c>
      <c r="E1019" s="606">
        <f t="shared" si="54"/>
        <v>-0.25</v>
      </c>
      <c r="F1019" s="524" t="str">
        <f t="shared" si="52"/>
        <v>是</v>
      </c>
      <c r="G1019" s="312" t="str">
        <f t="shared" si="53"/>
        <v>项</v>
      </c>
    </row>
    <row r="1020" s="372" customFormat="1" ht="24" hidden="1" customHeight="1" spans="1:7">
      <c r="A1020" s="330">
        <v>2140502</v>
      </c>
      <c r="B1020" s="379" t="s">
        <v>213</v>
      </c>
      <c r="C1020" s="602">
        <f>'02'!E1028</f>
        <v>0</v>
      </c>
      <c r="D1020" s="603">
        <v>0</v>
      </c>
      <c r="E1020" s="606" t="str">
        <f t="shared" si="54"/>
        <v/>
      </c>
      <c r="F1020" s="524" t="str">
        <f t="shared" si="52"/>
        <v>否</v>
      </c>
      <c r="G1020" s="312" t="str">
        <f t="shared" si="53"/>
        <v>项</v>
      </c>
    </row>
    <row r="1021" s="372" customFormat="1" ht="24" hidden="1" customHeight="1" spans="1:7">
      <c r="A1021" s="330">
        <v>2140503</v>
      </c>
      <c r="B1021" s="379" t="s">
        <v>214</v>
      </c>
      <c r="C1021" s="602">
        <f>'02'!E1029</f>
        <v>0</v>
      </c>
      <c r="D1021" s="603">
        <v>0</v>
      </c>
      <c r="E1021" s="606" t="str">
        <f t="shared" si="54"/>
        <v/>
      </c>
      <c r="F1021" s="524" t="str">
        <f t="shared" ref="F1021:F1084" si="55">IF(LEN(A1021)=3,"是",IF(B1021&lt;&gt;"",IF(SUM(C1021:D1021)&lt;&gt;0,"是","否"),"是"))</f>
        <v>否</v>
      </c>
      <c r="G1021" s="312" t="str">
        <f t="shared" ref="G1021:G1084" si="56">IF(LEN(A1021)=3,"类",IF(LEN(A1021)=5,"款","项"))</f>
        <v>项</v>
      </c>
    </row>
    <row r="1022" s="372" customFormat="1" ht="24" hidden="1" customHeight="1" spans="1:7">
      <c r="A1022" s="330">
        <v>2140504</v>
      </c>
      <c r="B1022" s="379" t="s">
        <v>953</v>
      </c>
      <c r="C1022" s="602">
        <f>'02'!E1030</f>
        <v>0</v>
      </c>
      <c r="D1022" s="603">
        <v>0</v>
      </c>
      <c r="E1022" s="606" t="str">
        <f t="shared" si="54"/>
        <v/>
      </c>
      <c r="F1022" s="524" t="str">
        <f t="shared" si="55"/>
        <v>否</v>
      </c>
      <c r="G1022" s="312" t="str">
        <f t="shared" si="56"/>
        <v>项</v>
      </c>
    </row>
    <row r="1023" s="372" customFormat="1" ht="24" hidden="1" customHeight="1" spans="1:7">
      <c r="A1023" s="330">
        <v>2140505</v>
      </c>
      <c r="B1023" s="379" t="s">
        <v>963</v>
      </c>
      <c r="C1023" s="602">
        <f>'02'!E1031</f>
        <v>0</v>
      </c>
      <c r="D1023" s="603">
        <v>0</v>
      </c>
      <c r="E1023" s="606" t="str">
        <f t="shared" ref="E1023:E1086" si="57">IFERROR((D1023-C1023)/C1023,"")</f>
        <v/>
      </c>
      <c r="F1023" s="524" t="str">
        <f t="shared" si="55"/>
        <v>否</v>
      </c>
      <c r="G1023" s="312" t="str">
        <f t="shared" si="56"/>
        <v>项</v>
      </c>
    </row>
    <row r="1024" s="372" customFormat="1" ht="24" hidden="1" customHeight="1" spans="1:7">
      <c r="A1024" s="330">
        <v>2140599</v>
      </c>
      <c r="B1024" s="379" t="s">
        <v>964</v>
      </c>
      <c r="C1024" s="602">
        <f>'02'!E1032</f>
        <v>0</v>
      </c>
      <c r="D1024" s="603">
        <v>0</v>
      </c>
      <c r="E1024" s="606" t="str">
        <f t="shared" si="57"/>
        <v/>
      </c>
      <c r="F1024" s="524" t="str">
        <f t="shared" si="55"/>
        <v>否</v>
      </c>
      <c r="G1024" s="312" t="str">
        <f t="shared" si="56"/>
        <v>项</v>
      </c>
    </row>
    <row r="1025" s="372" customFormat="1" ht="24" customHeight="1" spans="1:7">
      <c r="A1025" s="330">
        <v>21499</v>
      </c>
      <c r="B1025" s="379" t="s">
        <v>965</v>
      </c>
      <c r="C1025" s="602">
        <f>SUM(C1026:C1027)</f>
        <v>2768</v>
      </c>
      <c r="D1025" s="602">
        <f>SUM(D1026:D1027)</f>
        <v>2597</v>
      </c>
      <c r="E1025" s="606">
        <f t="shared" si="57"/>
        <v>-0.0617774566473988</v>
      </c>
      <c r="F1025" s="524" t="str">
        <f t="shared" si="55"/>
        <v>是</v>
      </c>
      <c r="G1025" s="312" t="str">
        <f t="shared" si="56"/>
        <v>款</v>
      </c>
    </row>
    <row r="1026" s="372" customFormat="1" ht="24" hidden="1" customHeight="1" spans="1:7">
      <c r="A1026" s="330">
        <v>2149901</v>
      </c>
      <c r="B1026" s="379" t="s">
        <v>966</v>
      </c>
      <c r="C1026" s="602">
        <f>'02'!E1034</f>
        <v>798</v>
      </c>
      <c r="D1026" s="603">
        <v>812</v>
      </c>
      <c r="E1026" s="606">
        <f t="shared" si="57"/>
        <v>0.0175438596491228</v>
      </c>
      <c r="F1026" s="524" t="str">
        <f t="shared" si="55"/>
        <v>是</v>
      </c>
      <c r="G1026" s="312" t="str">
        <f t="shared" si="56"/>
        <v>项</v>
      </c>
    </row>
    <row r="1027" s="372" customFormat="1" ht="24" hidden="1" customHeight="1" spans="1:7">
      <c r="A1027" s="330">
        <v>2149999</v>
      </c>
      <c r="B1027" s="379" t="s">
        <v>967</v>
      </c>
      <c r="C1027" s="602">
        <f>'02'!E1035</f>
        <v>1970</v>
      </c>
      <c r="D1027" s="603">
        <v>1785</v>
      </c>
      <c r="E1027" s="606">
        <f t="shared" si="57"/>
        <v>-0.0939086294416244</v>
      </c>
      <c r="F1027" s="524" t="str">
        <f t="shared" si="55"/>
        <v>是</v>
      </c>
      <c r="G1027" s="312" t="str">
        <f t="shared" si="56"/>
        <v>项</v>
      </c>
    </row>
    <row r="1028" s="372" customFormat="1" ht="24" customHeight="1" spans="1:7">
      <c r="A1028" s="329">
        <v>215</v>
      </c>
      <c r="B1028" s="377" t="s">
        <v>188</v>
      </c>
      <c r="C1028" s="601">
        <f>C1029+C1039+C1055+C1060+C1071+C1078+C1086</f>
        <v>76311</v>
      </c>
      <c r="D1028" s="601">
        <f>D1029+D1039+D1055+D1060+D1071+D1078+D1086</f>
        <v>73506</v>
      </c>
      <c r="E1028" s="605">
        <f t="shared" si="57"/>
        <v>-0.0367574792624916</v>
      </c>
      <c r="F1028" s="524" t="str">
        <f t="shared" si="55"/>
        <v>是</v>
      </c>
      <c r="G1028" s="312" t="str">
        <f t="shared" si="56"/>
        <v>类</v>
      </c>
    </row>
    <row r="1029" s="372" customFormat="1" ht="24" customHeight="1" spans="1:7">
      <c r="A1029" s="330">
        <v>21501</v>
      </c>
      <c r="B1029" s="379" t="s">
        <v>968</v>
      </c>
      <c r="C1029" s="602">
        <f>SUM(C1030:C1038)</f>
        <v>190</v>
      </c>
      <c r="D1029" s="602">
        <f>SUM(D1030:D1038)</f>
        <v>185</v>
      </c>
      <c r="E1029" s="606">
        <f t="shared" si="57"/>
        <v>-0.0263157894736842</v>
      </c>
      <c r="F1029" s="524" t="str">
        <f t="shared" si="55"/>
        <v>是</v>
      </c>
      <c r="G1029" s="312" t="str">
        <f t="shared" si="56"/>
        <v>款</v>
      </c>
    </row>
    <row r="1030" s="372" customFormat="1" ht="24" hidden="1" customHeight="1" spans="1:7">
      <c r="A1030" s="330">
        <v>2150101</v>
      </c>
      <c r="B1030" s="379" t="s">
        <v>212</v>
      </c>
      <c r="C1030" s="602">
        <f>'02'!E1038</f>
        <v>0</v>
      </c>
      <c r="D1030" s="603">
        <v>0</v>
      </c>
      <c r="E1030" s="606" t="str">
        <f t="shared" si="57"/>
        <v/>
      </c>
      <c r="F1030" s="524" t="str">
        <f t="shared" si="55"/>
        <v>否</v>
      </c>
      <c r="G1030" s="312" t="str">
        <f t="shared" si="56"/>
        <v>项</v>
      </c>
    </row>
    <row r="1031" ht="24" hidden="1" customHeight="1" spans="1:7">
      <c r="A1031" s="330">
        <v>2150102</v>
      </c>
      <c r="B1031" s="379" t="s">
        <v>213</v>
      </c>
      <c r="C1031" s="602">
        <f>'02'!E1039</f>
        <v>0</v>
      </c>
      <c r="D1031" s="603">
        <v>0</v>
      </c>
      <c r="E1031" s="606" t="str">
        <f t="shared" si="57"/>
        <v/>
      </c>
      <c r="F1031" s="524" t="str">
        <f t="shared" si="55"/>
        <v>否</v>
      </c>
      <c r="G1031" s="312" t="str">
        <f t="shared" si="56"/>
        <v>项</v>
      </c>
    </row>
    <row r="1032" s="372" customFormat="1" ht="24" hidden="1" customHeight="1" spans="1:7">
      <c r="A1032" s="330">
        <v>2150103</v>
      </c>
      <c r="B1032" s="379" t="s">
        <v>214</v>
      </c>
      <c r="C1032" s="602">
        <f>'02'!E1040</f>
        <v>0</v>
      </c>
      <c r="D1032" s="603">
        <v>0</v>
      </c>
      <c r="E1032" s="606" t="str">
        <f t="shared" si="57"/>
        <v/>
      </c>
      <c r="F1032" s="524" t="str">
        <f t="shared" si="55"/>
        <v>否</v>
      </c>
      <c r="G1032" s="312" t="str">
        <f t="shared" si="56"/>
        <v>项</v>
      </c>
    </row>
    <row r="1033" s="372" customFormat="1" ht="24" hidden="1" customHeight="1" spans="1:7">
      <c r="A1033" s="330">
        <v>2150104</v>
      </c>
      <c r="B1033" s="379" t="s">
        <v>969</v>
      </c>
      <c r="C1033" s="602">
        <f>'02'!E1041</f>
        <v>0</v>
      </c>
      <c r="D1033" s="603">
        <v>0</v>
      </c>
      <c r="E1033" s="606" t="str">
        <f t="shared" si="57"/>
        <v/>
      </c>
      <c r="F1033" s="524" t="str">
        <f t="shared" si="55"/>
        <v>否</v>
      </c>
      <c r="G1033" s="312" t="str">
        <f t="shared" si="56"/>
        <v>项</v>
      </c>
    </row>
    <row r="1034" s="372" customFormat="1" ht="24" hidden="1" customHeight="1" spans="1:7">
      <c r="A1034" s="330">
        <v>2150105</v>
      </c>
      <c r="B1034" s="379" t="s">
        <v>970</v>
      </c>
      <c r="C1034" s="602">
        <f>'02'!E1042</f>
        <v>0</v>
      </c>
      <c r="D1034" s="603">
        <v>0</v>
      </c>
      <c r="E1034" s="606" t="str">
        <f t="shared" si="57"/>
        <v/>
      </c>
      <c r="F1034" s="524" t="str">
        <f t="shared" si="55"/>
        <v>否</v>
      </c>
      <c r="G1034" s="312" t="str">
        <f t="shared" si="56"/>
        <v>项</v>
      </c>
    </row>
    <row r="1035" s="372" customFormat="1" ht="24" hidden="1" customHeight="1" spans="1:7">
      <c r="A1035" s="330">
        <v>2150106</v>
      </c>
      <c r="B1035" s="379" t="s">
        <v>971</v>
      </c>
      <c r="C1035" s="602">
        <f>'02'!E1043</f>
        <v>0</v>
      </c>
      <c r="D1035" s="603">
        <v>0</v>
      </c>
      <c r="E1035" s="606" t="str">
        <f t="shared" si="57"/>
        <v/>
      </c>
      <c r="F1035" s="524" t="str">
        <f t="shared" si="55"/>
        <v>否</v>
      </c>
      <c r="G1035" s="312" t="str">
        <f t="shared" si="56"/>
        <v>项</v>
      </c>
    </row>
    <row r="1036" s="372" customFormat="1" ht="24" hidden="1" customHeight="1" spans="1:7">
      <c r="A1036" s="330">
        <v>2150107</v>
      </c>
      <c r="B1036" s="379" t="s">
        <v>972</v>
      </c>
      <c r="C1036" s="602">
        <f>'02'!E1044</f>
        <v>0</v>
      </c>
      <c r="D1036" s="603">
        <v>0</v>
      </c>
      <c r="E1036" s="606" t="str">
        <f t="shared" si="57"/>
        <v/>
      </c>
      <c r="F1036" s="524" t="str">
        <f t="shared" si="55"/>
        <v>否</v>
      </c>
      <c r="G1036" s="312" t="str">
        <f t="shared" si="56"/>
        <v>项</v>
      </c>
    </row>
    <row r="1037" s="372" customFormat="1" ht="24" hidden="1" customHeight="1" spans="1:7">
      <c r="A1037" s="330">
        <v>2150108</v>
      </c>
      <c r="B1037" s="379" t="s">
        <v>973</v>
      </c>
      <c r="C1037" s="602">
        <f>'02'!E1045</f>
        <v>0</v>
      </c>
      <c r="D1037" s="603">
        <v>0</v>
      </c>
      <c r="E1037" s="606" t="str">
        <f t="shared" si="57"/>
        <v/>
      </c>
      <c r="F1037" s="524" t="str">
        <f t="shared" si="55"/>
        <v>否</v>
      </c>
      <c r="G1037" s="312" t="str">
        <f t="shared" si="56"/>
        <v>项</v>
      </c>
    </row>
    <row r="1038" s="372" customFormat="1" ht="24" hidden="1" customHeight="1" spans="1:7">
      <c r="A1038" s="330">
        <v>2150199</v>
      </c>
      <c r="B1038" s="379" t="s">
        <v>974</v>
      </c>
      <c r="C1038" s="602">
        <f>'02'!E1046</f>
        <v>190</v>
      </c>
      <c r="D1038" s="603">
        <v>185</v>
      </c>
      <c r="E1038" s="606">
        <f t="shared" si="57"/>
        <v>-0.0263157894736842</v>
      </c>
      <c r="F1038" s="524" t="str">
        <f t="shared" si="55"/>
        <v>是</v>
      </c>
      <c r="G1038" s="312" t="str">
        <f t="shared" si="56"/>
        <v>项</v>
      </c>
    </row>
    <row r="1039" s="372" customFormat="1" ht="24" hidden="1" customHeight="1" spans="1:7">
      <c r="A1039" s="330">
        <v>21502</v>
      </c>
      <c r="B1039" s="379" t="s">
        <v>975</v>
      </c>
      <c r="C1039" s="602">
        <f>SUM(C1040:C1054)</f>
        <v>0</v>
      </c>
      <c r="D1039" s="602">
        <f>SUM(D1040:D1054)</f>
        <v>0</v>
      </c>
      <c r="E1039" s="606" t="str">
        <f t="shared" si="57"/>
        <v/>
      </c>
      <c r="F1039" s="524" t="str">
        <f t="shared" si="55"/>
        <v>否</v>
      </c>
      <c r="G1039" s="312" t="str">
        <f t="shared" si="56"/>
        <v>款</v>
      </c>
    </row>
    <row r="1040" s="372" customFormat="1" ht="24" hidden="1" customHeight="1" spans="1:7">
      <c r="A1040" s="330">
        <v>2150201</v>
      </c>
      <c r="B1040" s="379" t="s">
        <v>212</v>
      </c>
      <c r="C1040" s="602">
        <f>'02'!E1048</f>
        <v>0</v>
      </c>
      <c r="D1040" s="603">
        <v>0</v>
      </c>
      <c r="E1040" s="606" t="str">
        <f t="shared" si="57"/>
        <v/>
      </c>
      <c r="F1040" s="524" t="str">
        <f t="shared" si="55"/>
        <v>否</v>
      </c>
      <c r="G1040" s="312" t="str">
        <f t="shared" si="56"/>
        <v>项</v>
      </c>
    </row>
    <row r="1041" ht="24" hidden="1" customHeight="1" spans="1:7">
      <c r="A1041" s="330">
        <v>2150202</v>
      </c>
      <c r="B1041" s="379" t="s">
        <v>213</v>
      </c>
      <c r="C1041" s="602">
        <f>'02'!E1049</f>
        <v>0</v>
      </c>
      <c r="D1041" s="603">
        <v>0</v>
      </c>
      <c r="E1041" s="606" t="str">
        <f t="shared" si="57"/>
        <v/>
      </c>
      <c r="F1041" s="524" t="str">
        <f t="shared" si="55"/>
        <v>否</v>
      </c>
      <c r="G1041" s="312" t="str">
        <f t="shared" si="56"/>
        <v>项</v>
      </c>
    </row>
    <row r="1042" s="372" customFormat="1" ht="24" hidden="1" customHeight="1" spans="1:7">
      <c r="A1042" s="330">
        <v>2150203</v>
      </c>
      <c r="B1042" s="379" t="s">
        <v>214</v>
      </c>
      <c r="C1042" s="602">
        <f>'02'!E1050</f>
        <v>0</v>
      </c>
      <c r="D1042" s="603">
        <v>0</v>
      </c>
      <c r="E1042" s="606" t="str">
        <f t="shared" si="57"/>
        <v/>
      </c>
      <c r="F1042" s="524" t="str">
        <f t="shared" si="55"/>
        <v>否</v>
      </c>
      <c r="G1042" s="312" t="str">
        <f t="shared" si="56"/>
        <v>项</v>
      </c>
    </row>
    <row r="1043" s="372" customFormat="1" ht="24" hidden="1" customHeight="1" spans="1:7">
      <c r="A1043" s="330">
        <v>2150204</v>
      </c>
      <c r="B1043" s="379" t="s">
        <v>976</v>
      </c>
      <c r="C1043" s="602">
        <f>'02'!E1051</f>
        <v>0</v>
      </c>
      <c r="D1043" s="603">
        <v>0</v>
      </c>
      <c r="E1043" s="606" t="str">
        <f t="shared" si="57"/>
        <v/>
      </c>
      <c r="F1043" s="524" t="str">
        <f t="shared" si="55"/>
        <v>否</v>
      </c>
      <c r="G1043" s="312" t="str">
        <f t="shared" si="56"/>
        <v>项</v>
      </c>
    </row>
    <row r="1044" s="372" customFormat="1" ht="24" hidden="1" customHeight="1" spans="1:7">
      <c r="A1044" s="330">
        <v>2150205</v>
      </c>
      <c r="B1044" s="379" t="s">
        <v>977</v>
      </c>
      <c r="C1044" s="602">
        <f>'02'!E1052</f>
        <v>0</v>
      </c>
      <c r="D1044" s="603">
        <v>0</v>
      </c>
      <c r="E1044" s="606" t="str">
        <f t="shared" si="57"/>
        <v/>
      </c>
      <c r="F1044" s="524" t="str">
        <f t="shared" si="55"/>
        <v>否</v>
      </c>
      <c r="G1044" s="312" t="str">
        <f t="shared" si="56"/>
        <v>项</v>
      </c>
    </row>
    <row r="1045" s="372" customFormat="1" ht="24" hidden="1" customHeight="1" spans="1:7">
      <c r="A1045" s="330">
        <v>2150206</v>
      </c>
      <c r="B1045" s="379" t="s">
        <v>978</v>
      </c>
      <c r="C1045" s="602">
        <f>'02'!E1053</f>
        <v>0</v>
      </c>
      <c r="D1045" s="603">
        <v>0</v>
      </c>
      <c r="E1045" s="606" t="str">
        <f t="shared" si="57"/>
        <v/>
      </c>
      <c r="F1045" s="524" t="str">
        <f t="shared" si="55"/>
        <v>否</v>
      </c>
      <c r="G1045" s="312" t="str">
        <f t="shared" si="56"/>
        <v>项</v>
      </c>
    </row>
    <row r="1046" ht="24" hidden="1" customHeight="1" spans="1:7">
      <c r="A1046" s="330">
        <v>2150207</v>
      </c>
      <c r="B1046" s="379" t="s">
        <v>979</v>
      </c>
      <c r="C1046" s="602">
        <f>'02'!E1054</f>
        <v>0</v>
      </c>
      <c r="D1046" s="603">
        <v>0</v>
      </c>
      <c r="E1046" s="606" t="str">
        <f t="shared" si="57"/>
        <v/>
      </c>
      <c r="F1046" s="524" t="str">
        <f t="shared" si="55"/>
        <v>否</v>
      </c>
      <c r="G1046" s="312" t="str">
        <f t="shared" si="56"/>
        <v>项</v>
      </c>
    </row>
    <row r="1047" s="372" customFormat="1" ht="24" hidden="1" customHeight="1" spans="1:7">
      <c r="A1047" s="330">
        <v>2150208</v>
      </c>
      <c r="B1047" s="379" t="s">
        <v>980</v>
      </c>
      <c r="C1047" s="602">
        <f>'02'!E1055</f>
        <v>0</v>
      </c>
      <c r="D1047" s="603">
        <v>0</v>
      </c>
      <c r="E1047" s="606" t="str">
        <f t="shared" si="57"/>
        <v/>
      </c>
      <c r="F1047" s="524" t="str">
        <f t="shared" si="55"/>
        <v>否</v>
      </c>
      <c r="G1047" s="312" t="str">
        <f t="shared" si="56"/>
        <v>项</v>
      </c>
    </row>
    <row r="1048" s="372" customFormat="1" ht="24" hidden="1" customHeight="1" spans="1:7">
      <c r="A1048" s="330">
        <v>2150209</v>
      </c>
      <c r="B1048" s="379" t="s">
        <v>981</v>
      </c>
      <c r="C1048" s="602">
        <f>'02'!E1056</f>
        <v>0</v>
      </c>
      <c r="D1048" s="603">
        <v>0</v>
      </c>
      <c r="E1048" s="606" t="str">
        <f t="shared" si="57"/>
        <v/>
      </c>
      <c r="F1048" s="524" t="str">
        <f t="shared" si="55"/>
        <v>否</v>
      </c>
      <c r="G1048" s="312" t="str">
        <f t="shared" si="56"/>
        <v>项</v>
      </c>
    </row>
    <row r="1049" s="372" customFormat="1" ht="24" hidden="1" customHeight="1" spans="1:7">
      <c r="A1049" s="330">
        <v>2150210</v>
      </c>
      <c r="B1049" s="379" t="s">
        <v>982</v>
      </c>
      <c r="C1049" s="602">
        <f>'02'!E1057</f>
        <v>0</v>
      </c>
      <c r="D1049" s="603">
        <v>0</v>
      </c>
      <c r="E1049" s="606" t="str">
        <f t="shared" si="57"/>
        <v/>
      </c>
      <c r="F1049" s="524" t="str">
        <f t="shared" si="55"/>
        <v>否</v>
      </c>
      <c r="G1049" s="312" t="str">
        <f t="shared" si="56"/>
        <v>项</v>
      </c>
    </row>
    <row r="1050" s="372" customFormat="1" ht="24" hidden="1" customHeight="1" spans="1:7">
      <c r="A1050" s="330">
        <v>2150212</v>
      </c>
      <c r="B1050" s="379" t="s">
        <v>983</v>
      </c>
      <c r="C1050" s="602">
        <f>'02'!E1058</f>
        <v>0</v>
      </c>
      <c r="D1050" s="603">
        <v>0</v>
      </c>
      <c r="E1050" s="606" t="str">
        <f t="shared" si="57"/>
        <v/>
      </c>
      <c r="F1050" s="524" t="str">
        <f t="shared" si="55"/>
        <v>否</v>
      </c>
      <c r="G1050" s="312" t="str">
        <f t="shared" si="56"/>
        <v>项</v>
      </c>
    </row>
    <row r="1051" s="372" customFormat="1" ht="24" hidden="1" customHeight="1" spans="1:7">
      <c r="A1051" s="330">
        <v>2150213</v>
      </c>
      <c r="B1051" s="379" t="s">
        <v>984</v>
      </c>
      <c r="C1051" s="602">
        <f>'02'!E1059</f>
        <v>0</v>
      </c>
      <c r="D1051" s="603">
        <v>0</v>
      </c>
      <c r="E1051" s="606" t="str">
        <f t="shared" si="57"/>
        <v/>
      </c>
      <c r="F1051" s="524" t="str">
        <f t="shared" si="55"/>
        <v>否</v>
      </c>
      <c r="G1051" s="312" t="str">
        <f t="shared" si="56"/>
        <v>项</v>
      </c>
    </row>
    <row r="1052" s="372" customFormat="1" ht="24" hidden="1" customHeight="1" spans="1:7">
      <c r="A1052" s="330">
        <v>2150214</v>
      </c>
      <c r="B1052" s="379" t="s">
        <v>985</v>
      </c>
      <c r="C1052" s="602">
        <f>'02'!E1060</f>
        <v>0</v>
      </c>
      <c r="D1052" s="603">
        <v>0</v>
      </c>
      <c r="E1052" s="606" t="str">
        <f t="shared" si="57"/>
        <v/>
      </c>
      <c r="F1052" s="524" t="str">
        <f t="shared" si="55"/>
        <v>否</v>
      </c>
      <c r="G1052" s="312" t="str">
        <f t="shared" si="56"/>
        <v>项</v>
      </c>
    </row>
    <row r="1053" ht="24" hidden="1" customHeight="1" spans="1:7">
      <c r="A1053" s="330">
        <v>2150215</v>
      </c>
      <c r="B1053" s="379" t="s">
        <v>986</v>
      </c>
      <c r="C1053" s="602">
        <f>'02'!E1061</f>
        <v>0</v>
      </c>
      <c r="D1053" s="603">
        <v>0</v>
      </c>
      <c r="E1053" s="606" t="str">
        <f t="shared" si="57"/>
        <v/>
      </c>
      <c r="F1053" s="524" t="str">
        <f t="shared" si="55"/>
        <v>否</v>
      </c>
      <c r="G1053" s="312" t="str">
        <f t="shared" si="56"/>
        <v>项</v>
      </c>
    </row>
    <row r="1054" s="372" customFormat="1" ht="24" hidden="1" customHeight="1" spans="1:7">
      <c r="A1054" s="330">
        <v>2150299</v>
      </c>
      <c r="B1054" s="379" t="s">
        <v>987</v>
      </c>
      <c r="C1054" s="602">
        <f>'02'!E1062</f>
        <v>0</v>
      </c>
      <c r="D1054" s="603">
        <v>0</v>
      </c>
      <c r="E1054" s="606" t="str">
        <f t="shared" si="57"/>
        <v/>
      </c>
      <c r="F1054" s="524" t="str">
        <f t="shared" si="55"/>
        <v>否</v>
      </c>
      <c r="G1054" s="312" t="str">
        <f t="shared" si="56"/>
        <v>项</v>
      </c>
    </row>
    <row r="1055" s="372" customFormat="1" ht="24" customHeight="1" spans="1:7">
      <c r="A1055" s="330">
        <v>21503</v>
      </c>
      <c r="B1055" s="379" t="s">
        <v>988</v>
      </c>
      <c r="C1055" s="602">
        <f>SUM(C1056:C1059)</f>
        <v>100</v>
      </c>
      <c r="D1055" s="602">
        <f>SUM(D1056:D1059)</f>
        <v>0</v>
      </c>
      <c r="E1055" s="606">
        <f t="shared" si="57"/>
        <v>-1</v>
      </c>
      <c r="F1055" s="524" t="str">
        <f t="shared" si="55"/>
        <v>是</v>
      </c>
      <c r="G1055" s="312" t="str">
        <f t="shared" si="56"/>
        <v>款</v>
      </c>
    </row>
    <row r="1056" s="372" customFormat="1" ht="24" hidden="1" customHeight="1" spans="1:7">
      <c r="A1056" s="330">
        <v>2150301</v>
      </c>
      <c r="B1056" s="379" t="s">
        <v>212</v>
      </c>
      <c r="C1056" s="602">
        <f>'02'!E1064</f>
        <v>0</v>
      </c>
      <c r="D1056" s="603">
        <v>0</v>
      </c>
      <c r="E1056" s="606" t="str">
        <f t="shared" si="57"/>
        <v/>
      </c>
      <c r="F1056" s="524" t="str">
        <f t="shared" si="55"/>
        <v>否</v>
      </c>
      <c r="G1056" s="312" t="str">
        <f t="shared" si="56"/>
        <v>项</v>
      </c>
    </row>
    <row r="1057" s="372" customFormat="1" ht="24" hidden="1" customHeight="1" spans="1:7">
      <c r="A1057" s="330">
        <v>2150302</v>
      </c>
      <c r="B1057" s="379" t="s">
        <v>213</v>
      </c>
      <c r="C1057" s="602">
        <f>'02'!E1065</f>
        <v>0</v>
      </c>
      <c r="D1057" s="603">
        <v>0</v>
      </c>
      <c r="E1057" s="606" t="str">
        <f t="shared" si="57"/>
        <v/>
      </c>
      <c r="F1057" s="524" t="str">
        <f t="shared" si="55"/>
        <v>否</v>
      </c>
      <c r="G1057" s="312" t="str">
        <f t="shared" si="56"/>
        <v>项</v>
      </c>
    </row>
    <row r="1058" ht="24" hidden="1" customHeight="1" spans="1:7">
      <c r="A1058" s="330">
        <v>2150303</v>
      </c>
      <c r="B1058" s="379" t="s">
        <v>214</v>
      </c>
      <c r="C1058" s="602">
        <f>'02'!E1066</f>
        <v>0</v>
      </c>
      <c r="D1058" s="603">
        <v>0</v>
      </c>
      <c r="E1058" s="606" t="str">
        <f t="shared" si="57"/>
        <v/>
      </c>
      <c r="F1058" s="524" t="str">
        <f t="shared" si="55"/>
        <v>否</v>
      </c>
      <c r="G1058" s="312" t="str">
        <f t="shared" si="56"/>
        <v>项</v>
      </c>
    </row>
    <row r="1059" s="372" customFormat="1" ht="24" hidden="1" customHeight="1" spans="1:7">
      <c r="A1059" s="330">
        <v>2150399</v>
      </c>
      <c r="B1059" s="379" t="s">
        <v>989</v>
      </c>
      <c r="C1059" s="602">
        <f>'02'!E1067</f>
        <v>100</v>
      </c>
      <c r="D1059" s="603">
        <v>0</v>
      </c>
      <c r="E1059" s="606">
        <f t="shared" si="57"/>
        <v>-1</v>
      </c>
      <c r="F1059" s="524" t="str">
        <f t="shared" si="55"/>
        <v>是</v>
      </c>
      <c r="G1059" s="312" t="str">
        <f t="shared" si="56"/>
        <v>项</v>
      </c>
    </row>
    <row r="1060" s="374" customFormat="1" ht="24" customHeight="1" spans="1:7">
      <c r="A1060" s="331">
        <v>21505</v>
      </c>
      <c r="B1060" s="327" t="s">
        <v>990</v>
      </c>
      <c r="C1060" s="608">
        <f>SUM(C1061:C1070)</f>
        <v>7285</v>
      </c>
      <c r="D1060" s="608">
        <f>SUM(D1061:D1070)</f>
        <v>7193</v>
      </c>
      <c r="E1060" s="606">
        <f t="shared" si="57"/>
        <v>-0.0126286890871654</v>
      </c>
      <c r="F1060" s="609" t="str">
        <f t="shared" si="55"/>
        <v>是</v>
      </c>
      <c r="G1060" s="313" t="str">
        <f t="shared" si="56"/>
        <v>款</v>
      </c>
    </row>
    <row r="1061" ht="24" hidden="1" customHeight="1" spans="1:7">
      <c r="A1061" s="330">
        <v>2150501</v>
      </c>
      <c r="B1061" s="379" t="s">
        <v>212</v>
      </c>
      <c r="C1061" s="602">
        <f>'02'!E1069</f>
        <v>1014</v>
      </c>
      <c r="D1061" s="603">
        <v>1052</v>
      </c>
      <c r="E1061" s="606">
        <f t="shared" si="57"/>
        <v>0.0374753451676529</v>
      </c>
      <c r="F1061" s="524" t="str">
        <f t="shared" si="55"/>
        <v>是</v>
      </c>
      <c r="G1061" s="312" t="str">
        <f t="shared" si="56"/>
        <v>项</v>
      </c>
    </row>
    <row r="1062" ht="24" hidden="1" customHeight="1" spans="1:7">
      <c r="A1062" s="330">
        <v>2150502</v>
      </c>
      <c r="B1062" s="379" t="s">
        <v>213</v>
      </c>
      <c r="C1062" s="602">
        <f>'02'!E1070</f>
        <v>31</v>
      </c>
      <c r="D1062" s="603">
        <v>29</v>
      </c>
      <c r="E1062" s="606">
        <f t="shared" si="57"/>
        <v>-0.0645161290322581</v>
      </c>
      <c r="F1062" s="524" t="str">
        <f t="shared" si="55"/>
        <v>是</v>
      </c>
      <c r="G1062" s="312" t="str">
        <f t="shared" si="56"/>
        <v>项</v>
      </c>
    </row>
    <row r="1063" s="372" customFormat="1" ht="24" hidden="1" customHeight="1" spans="1:7">
      <c r="A1063" s="330">
        <v>2150503</v>
      </c>
      <c r="B1063" s="379" t="s">
        <v>214</v>
      </c>
      <c r="C1063" s="602">
        <f>'02'!E1071</f>
        <v>0</v>
      </c>
      <c r="D1063" s="603">
        <v>0</v>
      </c>
      <c r="E1063" s="606" t="str">
        <f t="shared" si="57"/>
        <v/>
      </c>
      <c r="F1063" s="524" t="str">
        <f t="shared" si="55"/>
        <v>否</v>
      </c>
      <c r="G1063" s="312" t="str">
        <f t="shared" si="56"/>
        <v>项</v>
      </c>
    </row>
    <row r="1064" s="372" customFormat="1" ht="24" hidden="1" customHeight="1" spans="1:7">
      <c r="A1064" s="330">
        <v>2150505</v>
      </c>
      <c r="B1064" s="379" t="s">
        <v>991</v>
      </c>
      <c r="C1064" s="602">
        <f>'02'!E1072</f>
        <v>0</v>
      </c>
      <c r="D1064" s="603">
        <v>0</v>
      </c>
      <c r="E1064" s="606" t="str">
        <f t="shared" si="57"/>
        <v/>
      </c>
      <c r="F1064" s="524" t="str">
        <f t="shared" si="55"/>
        <v>否</v>
      </c>
      <c r="G1064" s="312" t="str">
        <f t="shared" si="56"/>
        <v>项</v>
      </c>
    </row>
    <row r="1065" s="372" customFormat="1" ht="24" hidden="1" customHeight="1" spans="1:7">
      <c r="A1065" s="330">
        <v>2150507</v>
      </c>
      <c r="B1065" s="379" t="s">
        <v>992</v>
      </c>
      <c r="C1065" s="602">
        <f>'02'!E1073</f>
        <v>0</v>
      </c>
      <c r="D1065" s="603">
        <v>0</v>
      </c>
      <c r="E1065" s="606" t="str">
        <f t="shared" si="57"/>
        <v/>
      </c>
      <c r="F1065" s="524" t="str">
        <f t="shared" si="55"/>
        <v>否</v>
      </c>
      <c r="G1065" s="312" t="str">
        <f t="shared" si="56"/>
        <v>项</v>
      </c>
    </row>
    <row r="1066" s="372" customFormat="1" ht="24" hidden="1" customHeight="1" spans="1:7">
      <c r="A1066" s="330">
        <v>2150508</v>
      </c>
      <c r="B1066" s="379" t="s">
        <v>993</v>
      </c>
      <c r="C1066" s="602">
        <f>'02'!E1074</f>
        <v>89</v>
      </c>
      <c r="D1066" s="603">
        <v>112</v>
      </c>
      <c r="E1066" s="606">
        <f t="shared" si="57"/>
        <v>0.258426966292135</v>
      </c>
      <c r="F1066" s="524" t="str">
        <f t="shared" si="55"/>
        <v>是</v>
      </c>
      <c r="G1066" s="312" t="str">
        <f t="shared" si="56"/>
        <v>项</v>
      </c>
    </row>
    <row r="1067" s="372" customFormat="1" ht="24" hidden="1" customHeight="1" spans="1:7">
      <c r="A1067" s="527">
        <v>2150516</v>
      </c>
      <c r="B1067" s="543" t="s">
        <v>994</v>
      </c>
      <c r="C1067" s="602">
        <f>'02'!E1075</f>
        <v>585</v>
      </c>
      <c r="D1067" s="603">
        <v>568</v>
      </c>
      <c r="E1067" s="606">
        <f t="shared" si="57"/>
        <v>-0.0290598290598291</v>
      </c>
      <c r="F1067" s="524" t="str">
        <f t="shared" si="55"/>
        <v>是</v>
      </c>
      <c r="G1067" s="312" t="str">
        <f t="shared" si="56"/>
        <v>项</v>
      </c>
    </row>
    <row r="1068" s="372" customFormat="1" ht="24" hidden="1" customHeight="1" spans="1:7">
      <c r="A1068" s="527">
        <v>2150517</v>
      </c>
      <c r="B1068" s="543" t="s">
        <v>995</v>
      </c>
      <c r="C1068" s="602">
        <f>'02'!E1076</f>
        <v>755</v>
      </c>
      <c r="D1068" s="603">
        <v>736</v>
      </c>
      <c r="E1068" s="606">
        <f t="shared" si="57"/>
        <v>-0.0251655629139073</v>
      </c>
      <c r="F1068" s="524" t="str">
        <f t="shared" si="55"/>
        <v>是</v>
      </c>
      <c r="G1068" s="312" t="str">
        <f t="shared" si="56"/>
        <v>项</v>
      </c>
    </row>
    <row r="1069" s="372" customFormat="1" ht="24" hidden="1" customHeight="1" spans="1:7">
      <c r="A1069" s="527">
        <v>2150550</v>
      </c>
      <c r="B1069" s="543" t="s">
        <v>221</v>
      </c>
      <c r="C1069" s="602">
        <f>'02'!E1077</f>
        <v>167</v>
      </c>
      <c r="D1069" s="603">
        <v>175</v>
      </c>
      <c r="E1069" s="606">
        <f t="shared" si="57"/>
        <v>0.0479041916167665</v>
      </c>
      <c r="F1069" s="524" t="str">
        <f t="shared" si="55"/>
        <v>是</v>
      </c>
      <c r="G1069" s="312" t="str">
        <f t="shared" si="56"/>
        <v>项</v>
      </c>
    </row>
    <row r="1070" s="374" customFormat="1" ht="24" hidden="1" customHeight="1" spans="1:7">
      <c r="A1070" s="331">
        <v>2150599</v>
      </c>
      <c r="B1070" s="327" t="s">
        <v>996</v>
      </c>
      <c r="C1070" s="602">
        <f>'02'!E1078</f>
        <v>4644</v>
      </c>
      <c r="D1070" s="603">
        <v>4521</v>
      </c>
      <c r="E1070" s="606">
        <f t="shared" si="57"/>
        <v>-0.0264857881136951</v>
      </c>
      <c r="F1070" s="609" t="str">
        <f t="shared" si="55"/>
        <v>是</v>
      </c>
      <c r="G1070" s="313" t="str">
        <f t="shared" si="56"/>
        <v>项</v>
      </c>
    </row>
    <row r="1071" s="372" customFormat="1" ht="24" customHeight="1" spans="1:7">
      <c r="A1071" s="330">
        <v>21507</v>
      </c>
      <c r="B1071" s="379" t="s">
        <v>997</v>
      </c>
      <c r="C1071" s="602">
        <f>SUM(C1072:C1077)</f>
        <v>52080</v>
      </c>
      <c r="D1071" s="602">
        <f>SUM(D1072:D1077)</f>
        <v>50917</v>
      </c>
      <c r="E1071" s="606">
        <f t="shared" si="57"/>
        <v>-0.0223310291858679</v>
      </c>
      <c r="F1071" s="524" t="str">
        <f t="shared" si="55"/>
        <v>是</v>
      </c>
      <c r="G1071" s="312" t="str">
        <f t="shared" si="56"/>
        <v>款</v>
      </c>
    </row>
    <row r="1072" ht="24" hidden="1" customHeight="1" spans="1:7">
      <c r="A1072" s="330">
        <v>2150701</v>
      </c>
      <c r="B1072" s="379" t="s">
        <v>212</v>
      </c>
      <c r="C1072" s="602">
        <f>'02'!E1080</f>
        <v>325</v>
      </c>
      <c r="D1072" s="603">
        <v>331</v>
      </c>
      <c r="E1072" s="606">
        <f t="shared" si="57"/>
        <v>0.0184615384615385</v>
      </c>
      <c r="F1072" s="524" t="str">
        <f t="shared" si="55"/>
        <v>是</v>
      </c>
      <c r="G1072" s="312" t="str">
        <f t="shared" si="56"/>
        <v>项</v>
      </c>
    </row>
    <row r="1073" s="372" customFormat="1" ht="24" hidden="1" customHeight="1" spans="1:7">
      <c r="A1073" s="330">
        <v>2150702</v>
      </c>
      <c r="B1073" s="379" t="s">
        <v>213</v>
      </c>
      <c r="C1073" s="602">
        <f>'02'!E1081</f>
        <v>0</v>
      </c>
      <c r="D1073" s="603">
        <v>0</v>
      </c>
      <c r="E1073" s="606" t="str">
        <f t="shared" si="57"/>
        <v/>
      </c>
      <c r="F1073" s="524" t="str">
        <f t="shared" si="55"/>
        <v>否</v>
      </c>
      <c r="G1073" s="312" t="str">
        <f t="shared" si="56"/>
        <v>项</v>
      </c>
    </row>
    <row r="1074" s="372" customFormat="1" ht="24" hidden="1" customHeight="1" spans="1:7">
      <c r="A1074" s="330">
        <v>2150703</v>
      </c>
      <c r="B1074" s="379" t="s">
        <v>214</v>
      </c>
      <c r="C1074" s="602">
        <f>'02'!E1082</f>
        <v>0</v>
      </c>
      <c r="D1074" s="603">
        <v>0</v>
      </c>
      <c r="E1074" s="606" t="str">
        <f t="shared" si="57"/>
        <v/>
      </c>
      <c r="F1074" s="524" t="str">
        <f t="shared" si="55"/>
        <v>否</v>
      </c>
      <c r="G1074" s="312" t="str">
        <f t="shared" si="56"/>
        <v>项</v>
      </c>
    </row>
    <row r="1075" s="372" customFormat="1" ht="24" hidden="1" customHeight="1" spans="1:7">
      <c r="A1075" s="330">
        <v>2150704</v>
      </c>
      <c r="B1075" s="379" t="s">
        <v>998</v>
      </c>
      <c r="C1075" s="602">
        <f>'02'!E1083</f>
        <v>0</v>
      </c>
      <c r="D1075" s="603">
        <v>0</v>
      </c>
      <c r="E1075" s="606" t="str">
        <f t="shared" si="57"/>
        <v/>
      </c>
      <c r="F1075" s="524" t="str">
        <f t="shared" si="55"/>
        <v>否</v>
      </c>
      <c r="G1075" s="312" t="str">
        <f t="shared" si="56"/>
        <v>项</v>
      </c>
    </row>
    <row r="1076" s="372" customFormat="1" ht="24" hidden="1" customHeight="1" spans="1:7">
      <c r="A1076" s="330">
        <v>2150705</v>
      </c>
      <c r="B1076" s="379" t="s">
        <v>999</v>
      </c>
      <c r="C1076" s="602">
        <f>'02'!E1084</f>
        <v>0</v>
      </c>
      <c r="D1076" s="603">
        <v>0</v>
      </c>
      <c r="E1076" s="606" t="str">
        <f t="shared" si="57"/>
        <v/>
      </c>
      <c r="F1076" s="524" t="str">
        <f t="shared" si="55"/>
        <v>否</v>
      </c>
      <c r="G1076" s="312" t="str">
        <f t="shared" si="56"/>
        <v>项</v>
      </c>
    </row>
    <row r="1077" s="372" customFormat="1" ht="24" hidden="1" customHeight="1" spans="1:7">
      <c r="A1077" s="330">
        <v>2150799</v>
      </c>
      <c r="B1077" s="379" t="s">
        <v>1000</v>
      </c>
      <c r="C1077" s="602">
        <f>'02'!E1085</f>
        <v>51755</v>
      </c>
      <c r="D1077" s="603">
        <v>50586</v>
      </c>
      <c r="E1077" s="606">
        <f t="shared" si="57"/>
        <v>-0.0225871896435127</v>
      </c>
      <c r="F1077" s="524" t="str">
        <f t="shared" si="55"/>
        <v>是</v>
      </c>
      <c r="G1077" s="312" t="str">
        <f t="shared" si="56"/>
        <v>项</v>
      </c>
    </row>
    <row r="1078" s="372" customFormat="1" ht="24" customHeight="1" spans="1:7">
      <c r="A1078" s="330">
        <v>21508</v>
      </c>
      <c r="B1078" s="379" t="s">
        <v>1001</v>
      </c>
      <c r="C1078" s="602">
        <f>SUM(C1079:C1085)</f>
        <v>15307</v>
      </c>
      <c r="D1078" s="602">
        <f>SUM(D1079:D1085)</f>
        <v>15211</v>
      </c>
      <c r="E1078" s="606">
        <f t="shared" si="57"/>
        <v>-0.00627164042594891</v>
      </c>
      <c r="F1078" s="524" t="str">
        <f t="shared" si="55"/>
        <v>是</v>
      </c>
      <c r="G1078" s="312" t="str">
        <f t="shared" si="56"/>
        <v>款</v>
      </c>
    </row>
    <row r="1079" s="372" customFormat="1" ht="24" hidden="1" customHeight="1" spans="1:7">
      <c r="A1079" s="330">
        <v>2150801</v>
      </c>
      <c r="B1079" s="379" t="s">
        <v>212</v>
      </c>
      <c r="C1079" s="602">
        <f>'02'!E1087</f>
        <v>0</v>
      </c>
      <c r="D1079" s="603">
        <v>0</v>
      </c>
      <c r="E1079" s="606" t="str">
        <f t="shared" si="57"/>
        <v/>
      </c>
      <c r="F1079" s="524" t="str">
        <f t="shared" si="55"/>
        <v>否</v>
      </c>
      <c r="G1079" s="312" t="str">
        <f t="shared" si="56"/>
        <v>项</v>
      </c>
    </row>
    <row r="1080" s="372" customFormat="1" ht="24" hidden="1" customHeight="1" spans="1:7">
      <c r="A1080" s="330">
        <v>2150802</v>
      </c>
      <c r="B1080" s="379" t="s">
        <v>213</v>
      </c>
      <c r="C1080" s="602">
        <f>'02'!E1088</f>
        <v>0</v>
      </c>
      <c r="D1080" s="603">
        <v>0</v>
      </c>
      <c r="E1080" s="606" t="str">
        <f t="shared" si="57"/>
        <v/>
      </c>
      <c r="F1080" s="524" t="str">
        <f t="shared" si="55"/>
        <v>否</v>
      </c>
      <c r="G1080" s="312" t="str">
        <f t="shared" si="56"/>
        <v>项</v>
      </c>
    </row>
    <row r="1081" s="372" customFormat="1" ht="24" hidden="1" customHeight="1" spans="1:7">
      <c r="A1081" s="330">
        <v>2150803</v>
      </c>
      <c r="B1081" s="379" t="s">
        <v>214</v>
      </c>
      <c r="C1081" s="602">
        <f>'02'!E1089</f>
        <v>0</v>
      </c>
      <c r="D1081" s="603">
        <v>0</v>
      </c>
      <c r="E1081" s="606" t="str">
        <f t="shared" si="57"/>
        <v/>
      </c>
      <c r="F1081" s="524" t="str">
        <f t="shared" si="55"/>
        <v>否</v>
      </c>
      <c r="G1081" s="312" t="str">
        <f t="shared" si="56"/>
        <v>项</v>
      </c>
    </row>
    <row r="1082" s="372" customFormat="1" ht="24" hidden="1" customHeight="1" spans="1:7">
      <c r="A1082" s="330">
        <v>2150804</v>
      </c>
      <c r="B1082" s="379" t="s">
        <v>1002</v>
      </c>
      <c r="C1082" s="602">
        <f>'02'!E1090</f>
        <v>0</v>
      </c>
      <c r="D1082" s="603">
        <v>0</v>
      </c>
      <c r="E1082" s="606" t="str">
        <f t="shared" si="57"/>
        <v/>
      </c>
      <c r="F1082" s="524" t="str">
        <f t="shared" si="55"/>
        <v>否</v>
      </c>
      <c r="G1082" s="312" t="str">
        <f t="shared" si="56"/>
        <v>项</v>
      </c>
    </row>
    <row r="1083" s="372" customFormat="1" ht="24" hidden="1" customHeight="1" spans="1:7">
      <c r="A1083" s="330">
        <v>2150805</v>
      </c>
      <c r="B1083" s="379" t="s">
        <v>1003</v>
      </c>
      <c r="C1083" s="602">
        <f>'02'!E1091</f>
        <v>5863</v>
      </c>
      <c r="D1083" s="603">
        <v>5925</v>
      </c>
      <c r="E1083" s="606">
        <f t="shared" si="57"/>
        <v>0.0105747910625959</v>
      </c>
      <c r="F1083" s="524" t="str">
        <f t="shared" si="55"/>
        <v>是</v>
      </c>
      <c r="G1083" s="312" t="str">
        <f t="shared" si="56"/>
        <v>项</v>
      </c>
    </row>
    <row r="1084" s="372" customFormat="1" ht="24" hidden="1" customHeight="1" spans="1:7">
      <c r="A1084" s="527">
        <v>2150806</v>
      </c>
      <c r="B1084" s="534" t="s">
        <v>1004</v>
      </c>
      <c r="C1084" s="602">
        <f>'02'!E1092</f>
        <v>0</v>
      </c>
      <c r="D1084" s="603">
        <v>0</v>
      </c>
      <c r="E1084" s="606" t="str">
        <f t="shared" si="57"/>
        <v/>
      </c>
      <c r="F1084" s="524" t="str">
        <f t="shared" si="55"/>
        <v>否</v>
      </c>
      <c r="G1084" s="312" t="str">
        <f t="shared" si="56"/>
        <v>项</v>
      </c>
    </row>
    <row r="1085" s="372" customFormat="1" ht="24" hidden="1" customHeight="1" spans="1:7">
      <c r="A1085" s="330">
        <v>2150899</v>
      </c>
      <c r="B1085" s="379" t="s">
        <v>1005</v>
      </c>
      <c r="C1085" s="602">
        <f>'02'!E1093</f>
        <v>9444</v>
      </c>
      <c r="D1085" s="603">
        <v>9286</v>
      </c>
      <c r="E1085" s="606">
        <f t="shared" si="57"/>
        <v>-0.0167301990681914</v>
      </c>
      <c r="F1085" s="524" t="str">
        <f t="shared" ref="F1085:F1148" si="58">IF(LEN(A1085)=3,"是",IF(B1085&lt;&gt;"",IF(SUM(C1085:D1085)&lt;&gt;0,"是","否"),"是"))</f>
        <v>是</v>
      </c>
      <c r="G1085" s="312" t="str">
        <f t="shared" ref="G1085:G1148" si="59">IF(LEN(A1085)=3,"类",IF(LEN(A1085)=5,"款","项"))</f>
        <v>项</v>
      </c>
    </row>
    <row r="1086" s="372" customFormat="1" ht="24" customHeight="1" spans="1:7">
      <c r="A1086" s="330">
        <v>21599</v>
      </c>
      <c r="B1086" s="379" t="s">
        <v>1006</v>
      </c>
      <c r="C1086" s="602">
        <f>SUM(C1087:C1091)</f>
        <v>1349</v>
      </c>
      <c r="D1086" s="602">
        <f>SUM(D1087:D1091)</f>
        <v>0</v>
      </c>
      <c r="E1086" s="606">
        <f t="shared" si="57"/>
        <v>-1</v>
      </c>
      <c r="F1086" s="524" t="str">
        <f t="shared" si="58"/>
        <v>是</v>
      </c>
      <c r="G1086" s="312" t="str">
        <f t="shared" si="59"/>
        <v>款</v>
      </c>
    </row>
    <row r="1087" s="372" customFormat="1" ht="24" hidden="1" customHeight="1" spans="1:7">
      <c r="A1087" s="330">
        <v>2159901</v>
      </c>
      <c r="B1087" s="379" t="s">
        <v>1007</v>
      </c>
      <c r="C1087" s="602">
        <f>'02'!E1095</f>
        <v>0</v>
      </c>
      <c r="D1087" s="603">
        <v>0</v>
      </c>
      <c r="E1087" s="606" t="str">
        <f t="shared" ref="E1087:E1150" si="60">IFERROR((D1087-C1087)/C1087,"")</f>
        <v/>
      </c>
      <c r="F1087" s="524" t="str">
        <f t="shared" si="58"/>
        <v>否</v>
      </c>
      <c r="G1087" s="312" t="str">
        <f t="shared" si="59"/>
        <v>项</v>
      </c>
    </row>
    <row r="1088" ht="24" hidden="1" customHeight="1" spans="1:7">
      <c r="A1088" s="330">
        <v>2159904</v>
      </c>
      <c r="B1088" s="379" t="s">
        <v>1008</v>
      </c>
      <c r="C1088" s="602">
        <f>'02'!E1096</f>
        <v>0</v>
      </c>
      <c r="D1088" s="603">
        <v>0</v>
      </c>
      <c r="E1088" s="606" t="str">
        <f t="shared" si="60"/>
        <v/>
      </c>
      <c r="F1088" s="524" t="str">
        <f t="shared" si="58"/>
        <v>否</v>
      </c>
      <c r="G1088" s="312" t="str">
        <f t="shared" si="59"/>
        <v>项</v>
      </c>
    </row>
    <row r="1089" s="372" customFormat="1" ht="24" hidden="1" customHeight="1" spans="1:7">
      <c r="A1089" s="330">
        <v>2159905</v>
      </c>
      <c r="B1089" s="379" t="s">
        <v>1009</v>
      </c>
      <c r="C1089" s="602">
        <f>'02'!E1097</f>
        <v>0</v>
      </c>
      <c r="D1089" s="603">
        <v>0</v>
      </c>
      <c r="E1089" s="606" t="str">
        <f t="shared" si="60"/>
        <v/>
      </c>
      <c r="F1089" s="524" t="str">
        <f t="shared" si="58"/>
        <v>否</v>
      </c>
      <c r="G1089" s="312" t="str">
        <f t="shared" si="59"/>
        <v>项</v>
      </c>
    </row>
    <row r="1090" s="372" customFormat="1" ht="24" hidden="1" customHeight="1" spans="1:7">
      <c r="A1090" s="330">
        <v>2159906</v>
      </c>
      <c r="B1090" s="379" t="s">
        <v>1010</v>
      </c>
      <c r="C1090" s="602">
        <f>'02'!E1098</f>
        <v>0</v>
      </c>
      <c r="D1090" s="603">
        <v>0</v>
      </c>
      <c r="E1090" s="606" t="str">
        <f t="shared" si="60"/>
        <v/>
      </c>
      <c r="F1090" s="524" t="str">
        <f t="shared" si="58"/>
        <v>否</v>
      </c>
      <c r="G1090" s="312" t="str">
        <f t="shared" si="59"/>
        <v>项</v>
      </c>
    </row>
    <row r="1091" s="372" customFormat="1" ht="24" hidden="1" customHeight="1" spans="1:7">
      <c r="A1091" s="330">
        <v>2159999</v>
      </c>
      <c r="B1091" s="379" t="s">
        <v>1011</v>
      </c>
      <c r="C1091" s="602">
        <f>'02'!E1099</f>
        <v>1349</v>
      </c>
      <c r="D1091" s="603">
        <v>0</v>
      </c>
      <c r="E1091" s="606">
        <f t="shared" si="60"/>
        <v>-1</v>
      </c>
      <c r="F1091" s="524" t="str">
        <f t="shared" si="58"/>
        <v>是</v>
      </c>
      <c r="G1091" s="312" t="str">
        <f t="shared" si="59"/>
        <v>项</v>
      </c>
    </row>
    <row r="1092" s="372" customFormat="1" ht="24" customHeight="1" spans="1:7">
      <c r="A1092" s="329">
        <v>216</v>
      </c>
      <c r="B1092" s="377" t="s">
        <v>189</v>
      </c>
      <c r="C1092" s="601">
        <f>C1093+C1103+C1109</f>
        <v>2905</v>
      </c>
      <c r="D1092" s="601">
        <f>D1093+D1103+D1109</f>
        <v>2781</v>
      </c>
      <c r="E1092" s="605">
        <f t="shared" si="60"/>
        <v>-0.0426850258175559</v>
      </c>
      <c r="F1092" s="524" t="str">
        <f t="shared" si="58"/>
        <v>是</v>
      </c>
      <c r="G1092" s="312" t="str">
        <f t="shared" si="59"/>
        <v>类</v>
      </c>
    </row>
    <row r="1093" ht="24" customHeight="1" spans="1:7">
      <c r="A1093" s="330">
        <v>21602</v>
      </c>
      <c r="B1093" s="379" t="s">
        <v>1012</v>
      </c>
      <c r="C1093" s="602">
        <f>SUM(C1094:C1102)</f>
        <v>2360</v>
      </c>
      <c r="D1093" s="602">
        <f>SUM(D1094:D1102)</f>
        <v>2271</v>
      </c>
      <c r="E1093" s="606">
        <f t="shared" si="60"/>
        <v>-0.0377118644067797</v>
      </c>
      <c r="F1093" s="524" t="str">
        <f t="shared" si="58"/>
        <v>是</v>
      </c>
      <c r="G1093" s="312" t="str">
        <f t="shared" si="59"/>
        <v>款</v>
      </c>
    </row>
    <row r="1094" s="372" customFormat="1" ht="24" hidden="1" customHeight="1" spans="1:7">
      <c r="A1094" s="330">
        <v>2160201</v>
      </c>
      <c r="B1094" s="379" t="s">
        <v>212</v>
      </c>
      <c r="C1094" s="602">
        <f>'02'!E1102</f>
        <v>828</v>
      </c>
      <c r="D1094" s="603">
        <v>832</v>
      </c>
      <c r="E1094" s="606">
        <f t="shared" si="60"/>
        <v>0.00483091787439614</v>
      </c>
      <c r="F1094" s="524" t="str">
        <f t="shared" si="58"/>
        <v>是</v>
      </c>
      <c r="G1094" s="312" t="str">
        <f t="shared" si="59"/>
        <v>项</v>
      </c>
    </row>
    <row r="1095" s="372" customFormat="1" ht="24" hidden="1" customHeight="1" spans="1:7">
      <c r="A1095" s="330">
        <v>2160202</v>
      </c>
      <c r="B1095" s="379" t="s">
        <v>213</v>
      </c>
      <c r="C1095" s="602">
        <f>'02'!E1103</f>
        <v>0</v>
      </c>
      <c r="D1095" s="603">
        <v>0</v>
      </c>
      <c r="E1095" s="606" t="str">
        <f t="shared" si="60"/>
        <v/>
      </c>
      <c r="F1095" s="524" t="str">
        <f t="shared" si="58"/>
        <v>否</v>
      </c>
      <c r="G1095" s="312" t="str">
        <f t="shared" si="59"/>
        <v>项</v>
      </c>
    </row>
    <row r="1096" s="372" customFormat="1" ht="24" hidden="1" customHeight="1" spans="1:7">
      <c r="A1096" s="330">
        <v>2160203</v>
      </c>
      <c r="B1096" s="379" t="s">
        <v>214</v>
      </c>
      <c r="C1096" s="602">
        <f>'02'!E1104</f>
        <v>0</v>
      </c>
      <c r="D1096" s="603">
        <v>0</v>
      </c>
      <c r="E1096" s="606" t="str">
        <f t="shared" si="60"/>
        <v/>
      </c>
      <c r="F1096" s="524" t="str">
        <f t="shared" si="58"/>
        <v>否</v>
      </c>
      <c r="G1096" s="312" t="str">
        <f t="shared" si="59"/>
        <v>项</v>
      </c>
    </row>
    <row r="1097" s="372" customFormat="1" ht="24" hidden="1" customHeight="1" spans="1:7">
      <c r="A1097" s="330">
        <v>2160216</v>
      </c>
      <c r="B1097" s="379" t="s">
        <v>1013</v>
      </c>
      <c r="C1097" s="602">
        <f>'02'!E1105</f>
        <v>0</v>
      </c>
      <c r="D1097" s="603">
        <v>0</v>
      </c>
      <c r="E1097" s="606" t="str">
        <f t="shared" si="60"/>
        <v/>
      </c>
      <c r="F1097" s="524" t="str">
        <f t="shared" si="58"/>
        <v>否</v>
      </c>
      <c r="G1097" s="312" t="str">
        <f t="shared" si="59"/>
        <v>项</v>
      </c>
    </row>
    <row r="1098" s="372" customFormat="1" ht="24" hidden="1" customHeight="1" spans="1:7">
      <c r="A1098" s="330">
        <v>2160217</v>
      </c>
      <c r="B1098" s="379" t="s">
        <v>1014</v>
      </c>
      <c r="C1098" s="602">
        <f>'02'!E1106</f>
        <v>0</v>
      </c>
      <c r="D1098" s="603">
        <v>0</v>
      </c>
      <c r="E1098" s="606" t="str">
        <f t="shared" si="60"/>
        <v/>
      </c>
      <c r="F1098" s="524" t="str">
        <f t="shared" si="58"/>
        <v>否</v>
      </c>
      <c r="G1098" s="312" t="str">
        <f t="shared" si="59"/>
        <v>项</v>
      </c>
    </row>
    <row r="1099" s="372" customFormat="1" ht="24" hidden="1" customHeight="1" spans="1:7">
      <c r="A1099" s="330">
        <v>2160218</v>
      </c>
      <c r="B1099" s="379" t="s">
        <v>1015</v>
      </c>
      <c r="C1099" s="602">
        <f>'02'!E1107</f>
        <v>0</v>
      </c>
      <c r="D1099" s="603">
        <v>0</v>
      </c>
      <c r="E1099" s="606" t="str">
        <f t="shared" si="60"/>
        <v/>
      </c>
      <c r="F1099" s="524" t="str">
        <f t="shared" si="58"/>
        <v>否</v>
      </c>
      <c r="G1099" s="312" t="str">
        <f t="shared" si="59"/>
        <v>项</v>
      </c>
    </row>
    <row r="1100" s="372" customFormat="1" ht="24" hidden="1" customHeight="1" spans="1:7">
      <c r="A1100" s="330">
        <v>2160219</v>
      </c>
      <c r="B1100" s="379" t="s">
        <v>1016</v>
      </c>
      <c r="C1100" s="602">
        <f>'02'!E1108</f>
        <v>0</v>
      </c>
      <c r="D1100" s="603">
        <v>0</v>
      </c>
      <c r="E1100" s="606" t="str">
        <f t="shared" si="60"/>
        <v/>
      </c>
      <c r="F1100" s="524" t="str">
        <f t="shared" si="58"/>
        <v>否</v>
      </c>
      <c r="G1100" s="312" t="str">
        <f t="shared" si="59"/>
        <v>项</v>
      </c>
    </row>
    <row r="1101" s="372" customFormat="1" ht="24" hidden="1" customHeight="1" spans="1:7">
      <c r="A1101" s="330">
        <v>2160250</v>
      </c>
      <c r="B1101" s="379" t="s">
        <v>221</v>
      </c>
      <c r="C1101" s="602">
        <f>'02'!E1109</f>
        <v>64</v>
      </c>
      <c r="D1101" s="603">
        <v>71</v>
      </c>
      <c r="E1101" s="606">
        <f t="shared" si="60"/>
        <v>0.109375</v>
      </c>
      <c r="F1101" s="524" t="str">
        <f t="shared" si="58"/>
        <v>是</v>
      </c>
      <c r="G1101" s="312" t="str">
        <f t="shared" si="59"/>
        <v>项</v>
      </c>
    </row>
    <row r="1102" s="372" customFormat="1" ht="24" hidden="1" customHeight="1" spans="1:7">
      <c r="A1102" s="330">
        <v>2160299</v>
      </c>
      <c r="B1102" s="379" t="s">
        <v>1017</v>
      </c>
      <c r="C1102" s="602">
        <f>'02'!E1110</f>
        <v>1468</v>
      </c>
      <c r="D1102" s="603">
        <v>1368</v>
      </c>
      <c r="E1102" s="606">
        <f t="shared" si="60"/>
        <v>-0.0681198910081744</v>
      </c>
      <c r="F1102" s="524" t="str">
        <f t="shared" si="58"/>
        <v>是</v>
      </c>
      <c r="G1102" s="312" t="str">
        <f t="shared" si="59"/>
        <v>项</v>
      </c>
    </row>
    <row r="1103" s="372" customFormat="1" ht="24" customHeight="1" spans="1:7">
      <c r="A1103" s="330">
        <v>21606</v>
      </c>
      <c r="B1103" s="379" t="s">
        <v>1018</v>
      </c>
      <c r="C1103" s="602">
        <f>SUM(C1104:C1108)</f>
        <v>465</v>
      </c>
      <c r="D1103" s="602">
        <f>SUM(D1104:D1108)</f>
        <v>445</v>
      </c>
      <c r="E1103" s="606">
        <f t="shared" si="60"/>
        <v>-0.043010752688172</v>
      </c>
      <c r="F1103" s="524" t="str">
        <f t="shared" si="58"/>
        <v>是</v>
      </c>
      <c r="G1103" s="312" t="str">
        <f t="shared" si="59"/>
        <v>款</v>
      </c>
    </row>
    <row r="1104" s="372" customFormat="1" ht="24" hidden="1" customHeight="1" spans="1:7">
      <c r="A1104" s="330">
        <v>2160601</v>
      </c>
      <c r="B1104" s="379" t="s">
        <v>212</v>
      </c>
      <c r="C1104" s="602">
        <f>'02'!E1112</f>
        <v>0</v>
      </c>
      <c r="D1104" s="603">
        <v>0</v>
      </c>
      <c r="E1104" s="606" t="str">
        <f t="shared" si="60"/>
        <v/>
      </c>
      <c r="F1104" s="524" t="str">
        <f t="shared" si="58"/>
        <v>否</v>
      </c>
      <c r="G1104" s="312" t="str">
        <f t="shared" si="59"/>
        <v>项</v>
      </c>
    </row>
    <row r="1105" s="372" customFormat="1" ht="24" hidden="1" customHeight="1" spans="1:7">
      <c r="A1105" s="330">
        <v>2160602</v>
      </c>
      <c r="B1105" s="379" t="s">
        <v>213</v>
      </c>
      <c r="C1105" s="602">
        <f>'02'!E1113</f>
        <v>0</v>
      </c>
      <c r="D1105" s="603">
        <v>0</v>
      </c>
      <c r="E1105" s="606" t="str">
        <f t="shared" si="60"/>
        <v/>
      </c>
      <c r="F1105" s="524" t="str">
        <f t="shared" si="58"/>
        <v>否</v>
      </c>
      <c r="G1105" s="312" t="str">
        <f t="shared" si="59"/>
        <v>项</v>
      </c>
    </row>
    <row r="1106" s="372" customFormat="1" ht="24" hidden="1" customHeight="1" spans="1:7">
      <c r="A1106" s="330">
        <v>2160603</v>
      </c>
      <c r="B1106" s="379" t="s">
        <v>214</v>
      </c>
      <c r="C1106" s="602">
        <f>'02'!E1114</f>
        <v>0</v>
      </c>
      <c r="D1106" s="603">
        <v>0</v>
      </c>
      <c r="E1106" s="606" t="str">
        <f t="shared" si="60"/>
        <v/>
      </c>
      <c r="F1106" s="524" t="str">
        <f t="shared" si="58"/>
        <v>否</v>
      </c>
      <c r="G1106" s="312" t="str">
        <f t="shared" si="59"/>
        <v>项</v>
      </c>
    </row>
    <row r="1107" s="372" customFormat="1" ht="24" hidden="1" customHeight="1" spans="1:7">
      <c r="A1107" s="330">
        <v>2160607</v>
      </c>
      <c r="B1107" s="379" t="s">
        <v>1019</v>
      </c>
      <c r="C1107" s="602">
        <f>'02'!E1115</f>
        <v>0</v>
      </c>
      <c r="D1107" s="603">
        <v>0</v>
      </c>
      <c r="E1107" s="606" t="str">
        <f t="shared" si="60"/>
        <v/>
      </c>
      <c r="F1107" s="524" t="str">
        <f t="shared" si="58"/>
        <v>否</v>
      </c>
      <c r="G1107" s="312" t="str">
        <f t="shared" si="59"/>
        <v>项</v>
      </c>
    </row>
    <row r="1108" s="372" customFormat="1" ht="24" hidden="1" customHeight="1" spans="1:7">
      <c r="A1108" s="330">
        <v>2160699</v>
      </c>
      <c r="B1108" s="379" t="s">
        <v>1020</v>
      </c>
      <c r="C1108" s="602">
        <f>'02'!E1116</f>
        <v>465</v>
      </c>
      <c r="D1108" s="603">
        <v>445</v>
      </c>
      <c r="E1108" s="606">
        <f t="shared" si="60"/>
        <v>-0.043010752688172</v>
      </c>
      <c r="F1108" s="524" t="str">
        <f t="shared" si="58"/>
        <v>是</v>
      </c>
      <c r="G1108" s="312" t="str">
        <f t="shared" si="59"/>
        <v>项</v>
      </c>
    </row>
    <row r="1109" s="372" customFormat="1" ht="24" customHeight="1" spans="1:7">
      <c r="A1109" s="330">
        <v>21699</v>
      </c>
      <c r="B1109" s="379" t="s">
        <v>1021</v>
      </c>
      <c r="C1109" s="602">
        <f>SUM(C1110:C1111)</f>
        <v>80</v>
      </c>
      <c r="D1109" s="602">
        <f>SUM(D1110:D1111)</f>
        <v>65</v>
      </c>
      <c r="E1109" s="606">
        <f t="shared" si="60"/>
        <v>-0.1875</v>
      </c>
      <c r="F1109" s="524" t="str">
        <f t="shared" si="58"/>
        <v>是</v>
      </c>
      <c r="G1109" s="312" t="str">
        <f t="shared" si="59"/>
        <v>款</v>
      </c>
    </row>
    <row r="1110" ht="24" hidden="1" customHeight="1" spans="1:7">
      <c r="A1110" s="330">
        <v>2169901</v>
      </c>
      <c r="B1110" s="379" t="s">
        <v>1022</v>
      </c>
      <c r="C1110" s="602">
        <f>'02'!E1118</f>
        <v>0</v>
      </c>
      <c r="D1110" s="603">
        <v>0</v>
      </c>
      <c r="E1110" s="606" t="str">
        <f t="shared" si="60"/>
        <v/>
      </c>
      <c r="F1110" s="524" t="str">
        <f t="shared" si="58"/>
        <v>否</v>
      </c>
      <c r="G1110" s="312" t="str">
        <f t="shared" si="59"/>
        <v>项</v>
      </c>
    </row>
    <row r="1111" s="372" customFormat="1" ht="24" hidden="1" customHeight="1" spans="1:7">
      <c r="A1111" s="330">
        <v>2169999</v>
      </c>
      <c r="B1111" s="379" t="s">
        <v>1023</v>
      </c>
      <c r="C1111" s="602">
        <f>'02'!E1119</f>
        <v>80</v>
      </c>
      <c r="D1111" s="603">
        <v>65</v>
      </c>
      <c r="E1111" s="606">
        <f t="shared" si="60"/>
        <v>-0.1875</v>
      </c>
      <c r="F1111" s="524" t="str">
        <f t="shared" si="58"/>
        <v>是</v>
      </c>
      <c r="G1111" s="312" t="str">
        <f t="shared" si="59"/>
        <v>项</v>
      </c>
    </row>
    <row r="1112" s="372" customFormat="1" ht="24" customHeight="1" spans="1:7">
      <c r="A1112" s="329">
        <v>217</v>
      </c>
      <c r="B1112" s="377" t="s">
        <v>190</v>
      </c>
      <c r="C1112" s="601">
        <f>C1113+C1120+C1130+C1136+C1139</f>
        <v>1711</v>
      </c>
      <c r="D1112" s="601">
        <f>D1113+D1120+D1130+D1136+D1139</f>
        <v>1673</v>
      </c>
      <c r="E1112" s="605">
        <f t="shared" si="60"/>
        <v>-0.0222092343658679</v>
      </c>
      <c r="F1112" s="524" t="str">
        <f t="shared" si="58"/>
        <v>是</v>
      </c>
      <c r="G1112" s="312" t="str">
        <f t="shared" si="59"/>
        <v>类</v>
      </c>
    </row>
    <row r="1113" s="372" customFormat="1" ht="24" customHeight="1" spans="1:7">
      <c r="A1113" s="330">
        <v>21701</v>
      </c>
      <c r="B1113" s="379" t="s">
        <v>1024</v>
      </c>
      <c r="C1113" s="602">
        <f>SUM(C1114:C1119)</f>
        <v>605</v>
      </c>
      <c r="D1113" s="602">
        <f>SUM(D1114:D1119)</f>
        <v>609</v>
      </c>
      <c r="E1113" s="606">
        <f t="shared" si="60"/>
        <v>0.00661157024793388</v>
      </c>
      <c r="F1113" s="524" t="str">
        <f t="shared" si="58"/>
        <v>是</v>
      </c>
      <c r="G1113" s="312" t="str">
        <f t="shared" si="59"/>
        <v>款</v>
      </c>
    </row>
    <row r="1114" s="372" customFormat="1" ht="24" hidden="1" customHeight="1" spans="1:7">
      <c r="A1114" s="330">
        <v>2170101</v>
      </c>
      <c r="B1114" s="379" t="s">
        <v>212</v>
      </c>
      <c r="C1114" s="602">
        <f>'02'!E1122</f>
        <v>605</v>
      </c>
      <c r="D1114" s="603">
        <v>609</v>
      </c>
      <c r="E1114" s="606">
        <f t="shared" si="60"/>
        <v>0.00661157024793388</v>
      </c>
      <c r="F1114" s="524" t="str">
        <f t="shared" si="58"/>
        <v>是</v>
      </c>
      <c r="G1114" s="312" t="str">
        <f t="shared" si="59"/>
        <v>项</v>
      </c>
    </row>
    <row r="1115" s="372" customFormat="1" ht="24" hidden="1" customHeight="1" spans="1:7">
      <c r="A1115" s="330">
        <v>2170102</v>
      </c>
      <c r="B1115" s="379" t="s">
        <v>213</v>
      </c>
      <c r="C1115" s="602">
        <f>'02'!E1123</f>
        <v>0</v>
      </c>
      <c r="D1115" s="603">
        <v>0</v>
      </c>
      <c r="E1115" s="606" t="str">
        <f t="shared" si="60"/>
        <v/>
      </c>
      <c r="F1115" s="524" t="str">
        <f t="shared" si="58"/>
        <v>否</v>
      </c>
      <c r="G1115" s="312" t="str">
        <f t="shared" si="59"/>
        <v>项</v>
      </c>
    </row>
    <row r="1116" s="372" customFormat="1" ht="24" hidden="1" customHeight="1" spans="1:7">
      <c r="A1116" s="330">
        <v>2170103</v>
      </c>
      <c r="B1116" s="379" t="s">
        <v>214</v>
      </c>
      <c r="C1116" s="602">
        <f>'02'!E1124</f>
        <v>0</v>
      </c>
      <c r="D1116" s="603">
        <v>0</v>
      </c>
      <c r="E1116" s="606" t="str">
        <f t="shared" si="60"/>
        <v/>
      </c>
      <c r="F1116" s="524" t="str">
        <f t="shared" si="58"/>
        <v>否</v>
      </c>
      <c r="G1116" s="312" t="str">
        <f t="shared" si="59"/>
        <v>项</v>
      </c>
    </row>
    <row r="1117" ht="24" hidden="1" customHeight="1" spans="1:7">
      <c r="A1117" s="330">
        <v>2170104</v>
      </c>
      <c r="B1117" s="379" t="s">
        <v>1025</v>
      </c>
      <c r="C1117" s="602">
        <f>'02'!E1125</f>
        <v>0</v>
      </c>
      <c r="D1117" s="603">
        <v>0</v>
      </c>
      <c r="E1117" s="606" t="str">
        <f t="shared" si="60"/>
        <v/>
      </c>
      <c r="F1117" s="524" t="str">
        <f t="shared" si="58"/>
        <v>否</v>
      </c>
      <c r="G1117" s="312" t="str">
        <f t="shared" si="59"/>
        <v>项</v>
      </c>
    </row>
    <row r="1118" s="372" customFormat="1" ht="24" hidden="1" customHeight="1" spans="1:7">
      <c r="A1118" s="330">
        <v>2170150</v>
      </c>
      <c r="B1118" s="379" t="s">
        <v>221</v>
      </c>
      <c r="C1118" s="602">
        <f>'02'!E1126</f>
        <v>0</v>
      </c>
      <c r="D1118" s="603">
        <v>0</v>
      </c>
      <c r="E1118" s="606" t="str">
        <f t="shared" si="60"/>
        <v/>
      </c>
      <c r="F1118" s="524" t="str">
        <f t="shared" si="58"/>
        <v>否</v>
      </c>
      <c r="G1118" s="312" t="str">
        <f t="shared" si="59"/>
        <v>项</v>
      </c>
    </row>
    <row r="1119" s="372" customFormat="1" ht="24" hidden="1" customHeight="1" spans="1:7">
      <c r="A1119" s="330">
        <v>2170199</v>
      </c>
      <c r="B1119" s="379" t="s">
        <v>1026</v>
      </c>
      <c r="C1119" s="602">
        <f>'02'!E1127</f>
        <v>0</v>
      </c>
      <c r="D1119" s="603">
        <v>0</v>
      </c>
      <c r="E1119" s="606" t="str">
        <f t="shared" si="60"/>
        <v/>
      </c>
      <c r="F1119" s="524" t="str">
        <f t="shared" si="58"/>
        <v>否</v>
      </c>
      <c r="G1119" s="312" t="str">
        <f t="shared" si="59"/>
        <v>项</v>
      </c>
    </row>
    <row r="1120" s="372" customFormat="1" ht="24" customHeight="1" spans="1:7">
      <c r="A1120" s="406">
        <v>21702</v>
      </c>
      <c r="B1120" s="379" t="s">
        <v>1027</v>
      </c>
      <c r="C1120" s="602">
        <f>SUM(C1121:C1129)</f>
        <v>50</v>
      </c>
      <c r="D1120" s="602">
        <f>SUM(D1121:D1129)</f>
        <v>50</v>
      </c>
      <c r="E1120" s="606">
        <f t="shared" si="60"/>
        <v>0</v>
      </c>
      <c r="F1120" s="524" t="str">
        <f t="shared" si="58"/>
        <v>是</v>
      </c>
      <c r="G1120" s="312" t="str">
        <f t="shared" si="59"/>
        <v>款</v>
      </c>
    </row>
    <row r="1121" s="372" customFormat="1" ht="24" hidden="1" customHeight="1" spans="1:7">
      <c r="A1121" s="544">
        <v>2170201</v>
      </c>
      <c r="B1121" s="545" t="s">
        <v>1028</v>
      </c>
      <c r="C1121" s="602">
        <f>'02'!E1129</f>
        <v>0</v>
      </c>
      <c r="D1121" s="603">
        <v>0</v>
      </c>
      <c r="E1121" s="606" t="str">
        <f t="shared" si="60"/>
        <v/>
      </c>
      <c r="F1121" s="524" t="str">
        <f t="shared" si="58"/>
        <v>否</v>
      </c>
      <c r="G1121" s="312" t="str">
        <f t="shared" si="59"/>
        <v>项</v>
      </c>
    </row>
    <row r="1122" s="372" customFormat="1" ht="24" hidden="1" customHeight="1" spans="1:7">
      <c r="A1122" s="544">
        <v>2170202</v>
      </c>
      <c r="B1122" s="545" t="s">
        <v>1029</v>
      </c>
      <c r="C1122" s="602">
        <f>'02'!E1130</f>
        <v>0</v>
      </c>
      <c r="D1122" s="603">
        <v>0</v>
      </c>
      <c r="E1122" s="606" t="str">
        <f t="shared" si="60"/>
        <v/>
      </c>
      <c r="F1122" s="524" t="str">
        <f t="shared" si="58"/>
        <v>否</v>
      </c>
      <c r="G1122" s="312" t="str">
        <f t="shared" si="59"/>
        <v>项</v>
      </c>
    </row>
    <row r="1123" s="372" customFormat="1" ht="24" hidden="1" customHeight="1" spans="1:7">
      <c r="A1123" s="544">
        <v>2170203</v>
      </c>
      <c r="B1123" s="545" t="s">
        <v>1030</v>
      </c>
      <c r="C1123" s="602">
        <f>'02'!E1131</f>
        <v>0</v>
      </c>
      <c r="D1123" s="603">
        <v>0</v>
      </c>
      <c r="E1123" s="606" t="str">
        <f t="shared" si="60"/>
        <v/>
      </c>
      <c r="F1123" s="524" t="str">
        <f t="shared" si="58"/>
        <v>否</v>
      </c>
      <c r="G1123" s="312" t="str">
        <f t="shared" si="59"/>
        <v>项</v>
      </c>
    </row>
    <row r="1124" s="372" customFormat="1" ht="24" hidden="1" customHeight="1" spans="1:7">
      <c r="A1124" s="544">
        <v>2170204</v>
      </c>
      <c r="B1124" s="545" t="s">
        <v>1031</v>
      </c>
      <c r="C1124" s="602">
        <f>'02'!E1132</f>
        <v>0</v>
      </c>
      <c r="D1124" s="603">
        <v>0</v>
      </c>
      <c r="E1124" s="606" t="str">
        <f t="shared" si="60"/>
        <v/>
      </c>
      <c r="F1124" s="524" t="str">
        <f t="shared" si="58"/>
        <v>否</v>
      </c>
      <c r="G1124" s="312" t="str">
        <f t="shared" si="59"/>
        <v>项</v>
      </c>
    </row>
    <row r="1125" ht="24" hidden="1" customHeight="1" spans="1:7">
      <c r="A1125" s="544">
        <v>2170205</v>
      </c>
      <c r="B1125" s="545" t="s">
        <v>1032</v>
      </c>
      <c r="C1125" s="602">
        <f>'02'!E1133</f>
        <v>0</v>
      </c>
      <c r="D1125" s="603">
        <v>0</v>
      </c>
      <c r="E1125" s="606" t="str">
        <f t="shared" si="60"/>
        <v/>
      </c>
      <c r="F1125" s="524" t="str">
        <f t="shared" si="58"/>
        <v>否</v>
      </c>
      <c r="G1125" s="312" t="str">
        <f t="shared" si="59"/>
        <v>项</v>
      </c>
    </row>
    <row r="1126" s="372" customFormat="1" ht="24" hidden="1" customHeight="1" spans="1:7">
      <c r="A1126" s="544">
        <v>2170206</v>
      </c>
      <c r="B1126" s="545" t="s">
        <v>1033</v>
      </c>
      <c r="C1126" s="602">
        <f>'02'!E1134</f>
        <v>0</v>
      </c>
      <c r="D1126" s="603">
        <v>0</v>
      </c>
      <c r="E1126" s="606" t="str">
        <f t="shared" si="60"/>
        <v/>
      </c>
      <c r="F1126" s="524" t="str">
        <f t="shared" si="58"/>
        <v>否</v>
      </c>
      <c r="G1126" s="312" t="str">
        <f t="shared" si="59"/>
        <v>项</v>
      </c>
    </row>
    <row r="1127" s="372" customFormat="1" ht="24" hidden="1" customHeight="1" spans="1:7">
      <c r="A1127" s="544">
        <v>2170207</v>
      </c>
      <c r="B1127" s="545" t="s">
        <v>1034</v>
      </c>
      <c r="C1127" s="602">
        <f>'02'!E1135</f>
        <v>0</v>
      </c>
      <c r="D1127" s="603">
        <v>0</v>
      </c>
      <c r="E1127" s="606" t="str">
        <f t="shared" si="60"/>
        <v/>
      </c>
      <c r="F1127" s="524" t="str">
        <f t="shared" si="58"/>
        <v>否</v>
      </c>
      <c r="G1127" s="312" t="str">
        <f t="shared" si="59"/>
        <v>项</v>
      </c>
    </row>
    <row r="1128" s="372" customFormat="1" ht="24" hidden="1" customHeight="1" spans="1:7">
      <c r="A1128" s="544">
        <v>2170208</v>
      </c>
      <c r="B1128" s="545" t="s">
        <v>1035</v>
      </c>
      <c r="C1128" s="602">
        <f>'02'!E1136</f>
        <v>0</v>
      </c>
      <c r="D1128" s="603">
        <v>0</v>
      </c>
      <c r="E1128" s="606" t="str">
        <f t="shared" si="60"/>
        <v/>
      </c>
      <c r="F1128" s="524" t="str">
        <f t="shared" si="58"/>
        <v>否</v>
      </c>
      <c r="G1128" s="312" t="str">
        <f t="shared" si="59"/>
        <v>项</v>
      </c>
    </row>
    <row r="1129" s="372" customFormat="1" ht="24" hidden="1" customHeight="1" spans="1:7">
      <c r="A1129" s="544">
        <v>2170299</v>
      </c>
      <c r="B1129" s="545" t="s">
        <v>1036</v>
      </c>
      <c r="C1129" s="602">
        <f>'02'!E1137</f>
        <v>50</v>
      </c>
      <c r="D1129" s="603">
        <v>50</v>
      </c>
      <c r="E1129" s="606">
        <f t="shared" si="60"/>
        <v>0</v>
      </c>
      <c r="F1129" s="524" t="str">
        <f t="shared" si="58"/>
        <v>是</v>
      </c>
      <c r="G1129" s="312" t="str">
        <f t="shared" si="59"/>
        <v>项</v>
      </c>
    </row>
    <row r="1130" s="372" customFormat="1" ht="24" customHeight="1" spans="1:7">
      <c r="A1130" s="330">
        <v>21703</v>
      </c>
      <c r="B1130" s="379" t="s">
        <v>1037</v>
      </c>
      <c r="C1130" s="602">
        <f>SUM(C1131:C1135)</f>
        <v>1022</v>
      </c>
      <c r="D1130" s="602">
        <f>SUM(D1131:D1135)</f>
        <v>986</v>
      </c>
      <c r="E1130" s="606">
        <f t="shared" si="60"/>
        <v>-0.0352250489236791</v>
      </c>
      <c r="F1130" s="524" t="str">
        <f t="shared" si="58"/>
        <v>是</v>
      </c>
      <c r="G1130" s="312" t="str">
        <f t="shared" si="59"/>
        <v>款</v>
      </c>
    </row>
    <row r="1131" ht="24" hidden="1" customHeight="1" spans="1:7">
      <c r="A1131" s="330">
        <v>2170301</v>
      </c>
      <c r="B1131" s="379" t="s">
        <v>1038</v>
      </c>
      <c r="C1131" s="602">
        <f>'02'!E1139</f>
        <v>0</v>
      </c>
      <c r="D1131" s="603">
        <v>0</v>
      </c>
      <c r="E1131" s="606" t="str">
        <f t="shared" si="60"/>
        <v/>
      </c>
      <c r="F1131" s="524" t="str">
        <f t="shared" si="58"/>
        <v>否</v>
      </c>
      <c r="G1131" s="312" t="str">
        <f t="shared" si="59"/>
        <v>项</v>
      </c>
    </row>
    <row r="1132" ht="24" hidden="1" customHeight="1" spans="1:7">
      <c r="A1132" s="330">
        <v>2170302</v>
      </c>
      <c r="B1132" s="379" t="s">
        <v>1039</v>
      </c>
      <c r="C1132" s="602">
        <f>'02'!E1140</f>
        <v>22</v>
      </c>
      <c r="D1132" s="603">
        <v>21</v>
      </c>
      <c r="E1132" s="606">
        <f t="shared" si="60"/>
        <v>-0.0454545454545455</v>
      </c>
      <c r="F1132" s="524" t="str">
        <f t="shared" si="58"/>
        <v>是</v>
      </c>
      <c r="G1132" s="312" t="str">
        <f t="shared" si="59"/>
        <v>项</v>
      </c>
    </row>
    <row r="1133" s="372" customFormat="1" ht="24" hidden="1" customHeight="1" spans="1:7">
      <c r="A1133" s="330">
        <v>2170303</v>
      </c>
      <c r="B1133" s="379" t="s">
        <v>1040</v>
      </c>
      <c r="C1133" s="602">
        <f>'02'!E1141</f>
        <v>0</v>
      </c>
      <c r="D1133" s="603">
        <v>0</v>
      </c>
      <c r="E1133" s="606" t="str">
        <f t="shared" si="60"/>
        <v/>
      </c>
      <c r="F1133" s="524" t="str">
        <f t="shared" si="58"/>
        <v>否</v>
      </c>
      <c r="G1133" s="312" t="str">
        <f t="shared" si="59"/>
        <v>项</v>
      </c>
    </row>
    <row r="1134" s="372" customFormat="1" ht="24" hidden="1" customHeight="1" spans="1:7">
      <c r="A1134" s="330">
        <v>2170304</v>
      </c>
      <c r="B1134" s="379" t="s">
        <v>1041</v>
      </c>
      <c r="C1134" s="602">
        <f>'02'!E1142</f>
        <v>0</v>
      </c>
      <c r="D1134" s="603">
        <v>0</v>
      </c>
      <c r="E1134" s="606" t="str">
        <f t="shared" si="60"/>
        <v/>
      </c>
      <c r="F1134" s="524" t="str">
        <f t="shared" si="58"/>
        <v>否</v>
      </c>
      <c r="G1134" s="312" t="str">
        <f t="shared" si="59"/>
        <v>项</v>
      </c>
    </row>
    <row r="1135" s="372" customFormat="1" ht="24" hidden="1" customHeight="1" spans="1:7">
      <c r="A1135" s="330">
        <v>2170399</v>
      </c>
      <c r="B1135" s="379" t="s">
        <v>1042</v>
      </c>
      <c r="C1135" s="602">
        <f>'02'!E1143</f>
        <v>1000</v>
      </c>
      <c r="D1135" s="603">
        <v>965</v>
      </c>
      <c r="E1135" s="606">
        <f t="shared" si="60"/>
        <v>-0.035</v>
      </c>
      <c r="F1135" s="524" t="str">
        <f t="shared" si="58"/>
        <v>是</v>
      </c>
      <c r="G1135" s="312" t="str">
        <f t="shared" si="59"/>
        <v>项</v>
      </c>
    </row>
    <row r="1136" s="372" customFormat="1" ht="24" hidden="1" customHeight="1" spans="1:7">
      <c r="A1136" s="339">
        <v>21704</v>
      </c>
      <c r="B1136" s="379" t="s">
        <v>1043</v>
      </c>
      <c r="C1136" s="602">
        <f>SUM(C1137:C1138)</f>
        <v>0</v>
      </c>
      <c r="D1136" s="602">
        <f>SUM(D1137:D1138)</f>
        <v>0</v>
      </c>
      <c r="E1136" s="606" t="str">
        <f t="shared" si="60"/>
        <v/>
      </c>
      <c r="F1136" s="524" t="str">
        <f t="shared" si="58"/>
        <v>否</v>
      </c>
      <c r="G1136" s="312" t="str">
        <f t="shared" si="59"/>
        <v>款</v>
      </c>
    </row>
    <row r="1137" s="372" customFormat="1" ht="24" hidden="1" customHeight="1" spans="1:7">
      <c r="A1137" s="339">
        <v>2170401</v>
      </c>
      <c r="B1137" s="379" t="s">
        <v>1044</v>
      </c>
      <c r="C1137" s="602">
        <f>'02'!E1145</f>
        <v>0</v>
      </c>
      <c r="D1137" s="603">
        <v>0</v>
      </c>
      <c r="E1137" s="606" t="str">
        <f t="shared" si="60"/>
        <v/>
      </c>
      <c r="F1137" s="524" t="str">
        <f t="shared" si="58"/>
        <v>否</v>
      </c>
      <c r="G1137" s="312" t="str">
        <f t="shared" si="59"/>
        <v>项</v>
      </c>
    </row>
    <row r="1138" s="372" customFormat="1" ht="24" hidden="1" customHeight="1" spans="1:7">
      <c r="A1138" s="339">
        <v>2170499</v>
      </c>
      <c r="B1138" s="379" t="s">
        <v>1045</v>
      </c>
      <c r="C1138" s="602">
        <f>'02'!E1146</f>
        <v>0</v>
      </c>
      <c r="D1138" s="603">
        <v>0</v>
      </c>
      <c r="E1138" s="606" t="str">
        <f t="shared" si="60"/>
        <v/>
      </c>
      <c r="F1138" s="524" t="str">
        <f t="shared" si="58"/>
        <v>否</v>
      </c>
      <c r="G1138" s="312" t="str">
        <f t="shared" si="59"/>
        <v>项</v>
      </c>
    </row>
    <row r="1139" s="372" customFormat="1" ht="24" customHeight="1" spans="1:7">
      <c r="A1139" s="330">
        <v>21799</v>
      </c>
      <c r="B1139" s="379" t="s">
        <v>1046</v>
      </c>
      <c r="C1139" s="602">
        <f>SUM(C1140:C1141)</f>
        <v>34</v>
      </c>
      <c r="D1139" s="602">
        <f>SUM(D1140:D1141)</f>
        <v>28</v>
      </c>
      <c r="E1139" s="606">
        <f t="shared" si="60"/>
        <v>-0.176470588235294</v>
      </c>
      <c r="F1139" s="524" t="str">
        <f t="shared" si="58"/>
        <v>是</v>
      </c>
      <c r="G1139" s="312" t="str">
        <f t="shared" si="59"/>
        <v>款</v>
      </c>
    </row>
    <row r="1140" s="372" customFormat="1" ht="24" hidden="1" customHeight="1" spans="1:7">
      <c r="A1140" s="406">
        <v>2179902</v>
      </c>
      <c r="B1140" s="379" t="s">
        <v>1047</v>
      </c>
      <c r="C1140" s="602">
        <f>'02'!E1148</f>
        <v>29</v>
      </c>
      <c r="D1140" s="603">
        <v>25</v>
      </c>
      <c r="E1140" s="606">
        <f t="shared" si="60"/>
        <v>-0.137931034482759</v>
      </c>
      <c r="F1140" s="524" t="str">
        <f t="shared" si="58"/>
        <v>是</v>
      </c>
      <c r="G1140" s="312" t="str">
        <f t="shared" si="59"/>
        <v>项</v>
      </c>
    </row>
    <row r="1141" s="372" customFormat="1" ht="24" hidden="1" customHeight="1" spans="1:7">
      <c r="A1141" s="615">
        <v>2179999</v>
      </c>
      <c r="B1141" s="379" t="s">
        <v>1042</v>
      </c>
      <c r="C1141" s="602">
        <f>'02'!E1149</f>
        <v>5</v>
      </c>
      <c r="D1141" s="603">
        <v>3</v>
      </c>
      <c r="E1141" s="606">
        <f t="shared" si="60"/>
        <v>-0.4</v>
      </c>
      <c r="F1141" s="524" t="str">
        <f t="shared" si="58"/>
        <v>是</v>
      </c>
      <c r="G1141" s="312" t="str">
        <f t="shared" si="59"/>
        <v>项</v>
      </c>
    </row>
    <row r="1142" ht="24" customHeight="1" spans="1:7">
      <c r="A1142" s="329">
        <v>219</v>
      </c>
      <c r="B1142" s="377" t="s">
        <v>191</v>
      </c>
      <c r="C1142" s="601">
        <f>C1143+C1144+C1145+C1146+C1147+C1148+C1149+C1150+C1151</f>
        <v>0</v>
      </c>
      <c r="D1142" s="601">
        <f>D1143+D1144+D1145+D1146+D1147+D1148+D1149+D1150+D1151</f>
        <v>0</v>
      </c>
      <c r="E1142" s="605" t="str">
        <f t="shared" si="60"/>
        <v/>
      </c>
      <c r="F1142" s="524" t="str">
        <f t="shared" si="58"/>
        <v>是</v>
      </c>
      <c r="G1142" s="312" t="str">
        <f t="shared" si="59"/>
        <v>类</v>
      </c>
    </row>
    <row r="1143" s="372" customFormat="1" ht="24" hidden="1" customHeight="1" spans="1:7">
      <c r="A1143" s="330">
        <v>21901</v>
      </c>
      <c r="B1143" s="379" t="s">
        <v>1048</v>
      </c>
      <c r="C1143" s="601">
        <f>'[2]2'!E1144</f>
        <v>0</v>
      </c>
      <c r="D1143" s="601"/>
      <c r="E1143" s="606" t="str">
        <f t="shared" si="60"/>
        <v/>
      </c>
      <c r="F1143" s="524" t="str">
        <f t="shared" si="58"/>
        <v>否</v>
      </c>
      <c r="G1143" s="312" t="str">
        <f t="shared" si="59"/>
        <v>款</v>
      </c>
    </row>
    <row r="1144" s="372" customFormat="1" ht="24" hidden="1" customHeight="1" spans="1:7">
      <c r="A1144" s="330">
        <v>21902</v>
      </c>
      <c r="B1144" s="379" t="s">
        <v>1049</v>
      </c>
      <c r="C1144" s="601">
        <f>'[2]2'!E1145</f>
        <v>0</v>
      </c>
      <c r="D1144" s="601"/>
      <c r="E1144" s="606" t="str">
        <f t="shared" si="60"/>
        <v/>
      </c>
      <c r="F1144" s="524" t="str">
        <f t="shared" si="58"/>
        <v>否</v>
      </c>
      <c r="G1144" s="312" t="str">
        <f t="shared" si="59"/>
        <v>款</v>
      </c>
    </row>
    <row r="1145" s="372" customFormat="1" ht="24" hidden="1" customHeight="1" spans="1:7">
      <c r="A1145" s="330">
        <v>21903</v>
      </c>
      <c r="B1145" s="405" t="s">
        <v>1050</v>
      </c>
      <c r="C1145" s="601">
        <f>'[2]2'!E1146</f>
        <v>0</v>
      </c>
      <c r="D1145" s="601"/>
      <c r="E1145" s="606" t="str">
        <f t="shared" si="60"/>
        <v/>
      </c>
      <c r="F1145" s="524" t="str">
        <f t="shared" si="58"/>
        <v>否</v>
      </c>
      <c r="G1145" s="312" t="str">
        <f t="shared" si="59"/>
        <v>款</v>
      </c>
    </row>
    <row r="1146" s="372" customFormat="1" ht="24" hidden="1" customHeight="1" spans="1:7">
      <c r="A1146" s="330">
        <v>21904</v>
      </c>
      <c r="B1146" s="405" t="s">
        <v>1051</v>
      </c>
      <c r="C1146" s="601">
        <f>'[2]2'!E1147</f>
        <v>0</v>
      </c>
      <c r="D1146" s="601"/>
      <c r="E1146" s="606" t="str">
        <f t="shared" si="60"/>
        <v/>
      </c>
      <c r="F1146" s="524" t="str">
        <f t="shared" si="58"/>
        <v>否</v>
      </c>
      <c r="G1146" s="312" t="str">
        <f t="shared" si="59"/>
        <v>款</v>
      </c>
    </row>
    <row r="1147" s="372" customFormat="1" ht="24" hidden="1" customHeight="1" spans="1:7">
      <c r="A1147" s="330">
        <v>21905</v>
      </c>
      <c r="B1147" s="379" t="s">
        <v>1052</v>
      </c>
      <c r="C1147" s="601">
        <f>'[2]2'!E1148</f>
        <v>0</v>
      </c>
      <c r="D1147" s="601"/>
      <c r="E1147" s="606" t="str">
        <f t="shared" si="60"/>
        <v/>
      </c>
      <c r="F1147" s="524" t="str">
        <f t="shared" si="58"/>
        <v>否</v>
      </c>
      <c r="G1147" s="312" t="str">
        <f t="shared" si="59"/>
        <v>款</v>
      </c>
    </row>
    <row r="1148" ht="24" hidden="1" customHeight="1" spans="1:7">
      <c r="A1148" s="330">
        <v>21906</v>
      </c>
      <c r="B1148" s="405" t="s">
        <v>840</v>
      </c>
      <c r="C1148" s="601">
        <f>'[2]2'!E1149</f>
        <v>0</v>
      </c>
      <c r="D1148" s="601"/>
      <c r="E1148" s="606" t="str">
        <f t="shared" si="60"/>
        <v/>
      </c>
      <c r="F1148" s="524" t="str">
        <f t="shared" si="58"/>
        <v>否</v>
      </c>
      <c r="G1148" s="312" t="str">
        <f t="shared" si="59"/>
        <v>款</v>
      </c>
    </row>
    <row r="1149" s="372" customFormat="1" ht="24" hidden="1" customHeight="1" spans="1:7">
      <c r="A1149" s="330">
        <v>21907</v>
      </c>
      <c r="B1149" s="379" t="s">
        <v>1053</v>
      </c>
      <c r="C1149" s="601">
        <f>'[2]2'!E1150</f>
        <v>0</v>
      </c>
      <c r="D1149" s="601"/>
      <c r="E1149" s="606" t="str">
        <f t="shared" si="60"/>
        <v/>
      </c>
      <c r="F1149" s="524" t="str">
        <f t="shared" ref="F1149:F1212" si="61">IF(LEN(A1149)=3,"是",IF(B1149&lt;&gt;"",IF(SUM(C1149:D1149)&lt;&gt;0,"是","否"),"是"))</f>
        <v>否</v>
      </c>
      <c r="G1149" s="312" t="str">
        <f t="shared" ref="G1149:G1212" si="62">IF(LEN(A1149)=3,"类",IF(LEN(A1149)=5,"款","项"))</f>
        <v>款</v>
      </c>
    </row>
    <row r="1150" s="372" customFormat="1" ht="24" hidden="1" customHeight="1" spans="1:7">
      <c r="A1150" s="330">
        <v>21908</v>
      </c>
      <c r="B1150" s="379" t="s">
        <v>1054</v>
      </c>
      <c r="C1150" s="601">
        <f>'[2]2'!E1151</f>
        <v>0</v>
      </c>
      <c r="D1150" s="601"/>
      <c r="E1150" s="606" t="str">
        <f t="shared" si="60"/>
        <v/>
      </c>
      <c r="F1150" s="524" t="str">
        <f t="shared" si="61"/>
        <v>否</v>
      </c>
      <c r="G1150" s="312" t="str">
        <f t="shared" si="62"/>
        <v>款</v>
      </c>
    </row>
    <row r="1151" ht="24" hidden="1" customHeight="1" spans="1:7">
      <c r="A1151" s="330">
        <v>21999</v>
      </c>
      <c r="B1151" s="379" t="s">
        <v>1055</v>
      </c>
      <c r="C1151" s="601">
        <f>'[2]2'!E1152</f>
        <v>0</v>
      </c>
      <c r="D1151" s="601"/>
      <c r="E1151" s="606" t="str">
        <f t="shared" ref="E1151:E1206" si="63">IFERROR((D1151-C1151)/C1151,"")</f>
        <v/>
      </c>
      <c r="F1151" s="524" t="str">
        <f t="shared" si="61"/>
        <v>否</v>
      </c>
      <c r="G1151" s="312" t="str">
        <f t="shared" si="62"/>
        <v>款</v>
      </c>
    </row>
    <row r="1152" ht="24" customHeight="1" spans="1:7">
      <c r="A1152" s="329">
        <v>220</v>
      </c>
      <c r="B1152" s="377" t="s">
        <v>192</v>
      </c>
      <c r="C1152" s="601">
        <f>C1153+C1180+C1195</f>
        <v>21460</v>
      </c>
      <c r="D1152" s="601">
        <f>D1153+D1180+D1195</f>
        <v>21841</v>
      </c>
      <c r="E1152" s="605">
        <f t="shared" si="63"/>
        <v>0.0177539608574091</v>
      </c>
      <c r="F1152" s="524" t="str">
        <f t="shared" si="61"/>
        <v>是</v>
      </c>
      <c r="G1152" s="312" t="str">
        <f t="shared" si="62"/>
        <v>类</v>
      </c>
    </row>
    <row r="1153" s="372" customFormat="1" ht="24" customHeight="1" spans="1:7">
      <c r="A1153" s="330">
        <v>22001</v>
      </c>
      <c r="B1153" s="379" t="s">
        <v>1056</v>
      </c>
      <c r="C1153" s="602">
        <f>SUM(C1154:C1179)</f>
        <v>19093</v>
      </c>
      <c r="D1153" s="602">
        <f>SUM(D1154:D1179)</f>
        <v>19567</v>
      </c>
      <c r="E1153" s="606">
        <f t="shared" si="63"/>
        <v>0.0248258524066412</v>
      </c>
      <c r="F1153" s="524" t="str">
        <f t="shared" si="61"/>
        <v>是</v>
      </c>
      <c r="G1153" s="312" t="str">
        <f t="shared" si="62"/>
        <v>款</v>
      </c>
    </row>
    <row r="1154" s="372" customFormat="1" ht="24" hidden="1" customHeight="1" spans="1:7">
      <c r="A1154" s="330">
        <v>2200101</v>
      </c>
      <c r="B1154" s="379" t="s">
        <v>212</v>
      </c>
      <c r="C1154" s="602">
        <f>'02'!E1162</f>
        <v>4360</v>
      </c>
      <c r="D1154" s="603">
        <v>4415</v>
      </c>
      <c r="E1154" s="606">
        <f t="shared" si="63"/>
        <v>0.0126146788990826</v>
      </c>
      <c r="F1154" s="524" t="str">
        <f t="shared" si="61"/>
        <v>是</v>
      </c>
      <c r="G1154" s="312" t="str">
        <f t="shared" si="62"/>
        <v>项</v>
      </c>
    </row>
    <row r="1155" s="372" customFormat="1" ht="24" hidden="1" customHeight="1" spans="1:7">
      <c r="A1155" s="330">
        <v>2200102</v>
      </c>
      <c r="B1155" s="379" t="s">
        <v>213</v>
      </c>
      <c r="C1155" s="602">
        <f>'02'!E1163</f>
        <v>33</v>
      </c>
      <c r="D1155" s="603">
        <v>35</v>
      </c>
      <c r="E1155" s="606">
        <f t="shared" si="63"/>
        <v>0.0606060606060606</v>
      </c>
      <c r="F1155" s="524" t="str">
        <f t="shared" si="61"/>
        <v>是</v>
      </c>
      <c r="G1155" s="312" t="str">
        <f t="shared" si="62"/>
        <v>项</v>
      </c>
    </row>
    <row r="1156" s="372" customFormat="1" ht="24" hidden="1" customHeight="1" spans="1:7">
      <c r="A1156" s="330">
        <v>2200103</v>
      </c>
      <c r="B1156" s="379" t="s">
        <v>214</v>
      </c>
      <c r="C1156" s="602">
        <f>'02'!E1164</f>
        <v>0</v>
      </c>
      <c r="D1156" s="603">
        <v>0</v>
      </c>
      <c r="E1156" s="606" t="str">
        <f t="shared" si="63"/>
        <v/>
      </c>
      <c r="F1156" s="524" t="str">
        <f t="shared" si="61"/>
        <v>否</v>
      </c>
      <c r="G1156" s="312" t="str">
        <f t="shared" si="62"/>
        <v>项</v>
      </c>
    </row>
    <row r="1157" s="372" customFormat="1" ht="24" hidden="1" customHeight="1" spans="1:7">
      <c r="A1157" s="330">
        <v>2200104</v>
      </c>
      <c r="B1157" s="379" t="s">
        <v>1057</v>
      </c>
      <c r="C1157" s="602">
        <f>'02'!E1165</f>
        <v>272</v>
      </c>
      <c r="D1157" s="603">
        <v>275</v>
      </c>
      <c r="E1157" s="606">
        <f t="shared" si="63"/>
        <v>0.0110294117647059</v>
      </c>
      <c r="F1157" s="524" t="str">
        <f t="shared" si="61"/>
        <v>是</v>
      </c>
      <c r="G1157" s="312" t="str">
        <f t="shared" si="62"/>
        <v>项</v>
      </c>
    </row>
    <row r="1158" s="372" customFormat="1" ht="24" hidden="1" customHeight="1" spans="1:7">
      <c r="A1158" s="330">
        <v>2200106</v>
      </c>
      <c r="B1158" s="379" t="s">
        <v>1058</v>
      </c>
      <c r="C1158" s="602">
        <f>'02'!E1166</f>
        <v>8752</v>
      </c>
      <c r="D1158" s="603">
        <v>9325</v>
      </c>
      <c r="E1158" s="606">
        <f t="shared" si="63"/>
        <v>0.0654707495429616</v>
      </c>
      <c r="F1158" s="524" t="str">
        <f t="shared" si="61"/>
        <v>是</v>
      </c>
      <c r="G1158" s="312" t="str">
        <f t="shared" si="62"/>
        <v>项</v>
      </c>
    </row>
    <row r="1159" ht="24" hidden="1" customHeight="1" spans="1:7">
      <c r="A1159" s="330">
        <v>2200107</v>
      </c>
      <c r="B1159" s="379" t="s">
        <v>1059</v>
      </c>
      <c r="C1159" s="602">
        <f>'02'!E1167</f>
        <v>0</v>
      </c>
      <c r="D1159" s="603">
        <v>0</v>
      </c>
      <c r="E1159" s="606" t="str">
        <f t="shared" si="63"/>
        <v/>
      </c>
      <c r="F1159" s="524" t="str">
        <f t="shared" si="61"/>
        <v>否</v>
      </c>
      <c r="G1159" s="312" t="str">
        <f t="shared" si="62"/>
        <v>项</v>
      </c>
    </row>
    <row r="1160" s="372" customFormat="1" ht="24" hidden="1" customHeight="1" spans="1:7">
      <c r="A1160" s="330">
        <v>2200108</v>
      </c>
      <c r="B1160" s="379" t="s">
        <v>1060</v>
      </c>
      <c r="C1160" s="602">
        <f>'02'!E1168</f>
        <v>923</v>
      </c>
      <c r="D1160" s="603">
        <v>857</v>
      </c>
      <c r="E1160" s="606">
        <f t="shared" si="63"/>
        <v>-0.0715059588299025</v>
      </c>
      <c r="F1160" s="524" t="str">
        <f t="shared" si="61"/>
        <v>是</v>
      </c>
      <c r="G1160" s="312" t="str">
        <f t="shared" si="62"/>
        <v>项</v>
      </c>
    </row>
    <row r="1161" s="372" customFormat="1" ht="24" hidden="1" customHeight="1" spans="1:7">
      <c r="A1161" s="330">
        <v>2200109</v>
      </c>
      <c r="B1161" s="379" t="s">
        <v>1061</v>
      </c>
      <c r="C1161" s="602">
        <f>'02'!E1169</f>
        <v>2</v>
      </c>
      <c r="D1161" s="603">
        <v>2</v>
      </c>
      <c r="E1161" s="606">
        <f t="shared" si="63"/>
        <v>0</v>
      </c>
      <c r="F1161" s="524" t="str">
        <f t="shared" si="61"/>
        <v>是</v>
      </c>
      <c r="G1161" s="312" t="str">
        <f t="shared" si="62"/>
        <v>项</v>
      </c>
    </row>
    <row r="1162" s="372" customFormat="1" ht="24" hidden="1" customHeight="1" spans="1:7">
      <c r="A1162" s="330">
        <v>2200112</v>
      </c>
      <c r="B1162" s="379" t="s">
        <v>1062</v>
      </c>
      <c r="C1162" s="602">
        <f>'02'!E1170</f>
        <v>408</v>
      </c>
      <c r="D1162" s="603">
        <v>425</v>
      </c>
      <c r="E1162" s="606">
        <f t="shared" si="63"/>
        <v>0.0416666666666667</v>
      </c>
      <c r="F1162" s="524" t="str">
        <f t="shared" si="61"/>
        <v>是</v>
      </c>
      <c r="G1162" s="312" t="str">
        <f t="shared" si="62"/>
        <v>项</v>
      </c>
    </row>
    <row r="1163" s="372" customFormat="1" ht="24" hidden="1" customHeight="1" spans="1:7">
      <c r="A1163" s="330">
        <v>2200113</v>
      </c>
      <c r="B1163" s="379" t="s">
        <v>1063</v>
      </c>
      <c r="C1163" s="602">
        <f>'02'!E1171</f>
        <v>0</v>
      </c>
      <c r="D1163" s="603">
        <v>0</v>
      </c>
      <c r="E1163" s="606" t="str">
        <f t="shared" si="63"/>
        <v/>
      </c>
      <c r="F1163" s="524" t="str">
        <f t="shared" si="61"/>
        <v>否</v>
      </c>
      <c r="G1163" s="312" t="str">
        <f t="shared" si="62"/>
        <v>项</v>
      </c>
    </row>
    <row r="1164" s="372" customFormat="1" ht="24" hidden="1" customHeight="1" spans="1:7">
      <c r="A1164" s="330">
        <v>2200114</v>
      </c>
      <c r="B1164" s="379" t="s">
        <v>1064</v>
      </c>
      <c r="C1164" s="602">
        <f>'02'!E1172</f>
        <v>8</v>
      </c>
      <c r="D1164" s="603">
        <v>0</v>
      </c>
      <c r="E1164" s="606">
        <f t="shared" si="63"/>
        <v>-1</v>
      </c>
      <c r="F1164" s="524" t="str">
        <f t="shared" si="61"/>
        <v>是</v>
      </c>
      <c r="G1164" s="312" t="str">
        <f t="shared" si="62"/>
        <v>项</v>
      </c>
    </row>
    <row r="1165" s="372" customFormat="1" ht="24" hidden="1" customHeight="1" spans="1:7">
      <c r="A1165" s="330">
        <v>2200115</v>
      </c>
      <c r="B1165" s="379" t="s">
        <v>1065</v>
      </c>
      <c r="C1165" s="602">
        <f>'02'!E1173</f>
        <v>0</v>
      </c>
      <c r="D1165" s="603">
        <v>0</v>
      </c>
      <c r="E1165" s="606" t="str">
        <f t="shared" si="63"/>
        <v/>
      </c>
      <c r="F1165" s="524" t="str">
        <f t="shared" si="61"/>
        <v>否</v>
      </c>
      <c r="G1165" s="312" t="str">
        <f t="shared" si="62"/>
        <v>项</v>
      </c>
    </row>
    <row r="1166" s="372" customFormat="1" ht="24" hidden="1" customHeight="1" spans="1:7">
      <c r="A1166" s="330">
        <v>2200116</v>
      </c>
      <c r="B1166" s="379" t="s">
        <v>1066</v>
      </c>
      <c r="C1166" s="602">
        <f>'02'!E1174</f>
        <v>0</v>
      </c>
      <c r="D1166" s="603">
        <v>0</v>
      </c>
      <c r="E1166" s="606" t="str">
        <f t="shared" si="63"/>
        <v/>
      </c>
      <c r="F1166" s="524" t="str">
        <f t="shared" si="61"/>
        <v>否</v>
      </c>
      <c r="G1166" s="312" t="str">
        <f t="shared" si="62"/>
        <v>项</v>
      </c>
    </row>
    <row r="1167" s="372" customFormat="1" ht="24" hidden="1" customHeight="1" spans="1:7">
      <c r="A1167" s="330">
        <v>2200119</v>
      </c>
      <c r="B1167" s="379" t="s">
        <v>1067</v>
      </c>
      <c r="C1167" s="602">
        <f>'02'!E1175</f>
        <v>0</v>
      </c>
      <c r="D1167" s="603">
        <v>0</v>
      </c>
      <c r="E1167" s="606" t="str">
        <f t="shared" si="63"/>
        <v/>
      </c>
      <c r="F1167" s="524" t="str">
        <f t="shared" si="61"/>
        <v>否</v>
      </c>
      <c r="G1167" s="312" t="str">
        <f t="shared" si="62"/>
        <v>项</v>
      </c>
    </row>
    <row r="1168" s="372" customFormat="1" ht="24" hidden="1" customHeight="1" spans="1:7">
      <c r="A1168" s="330">
        <v>2200120</v>
      </c>
      <c r="B1168" s="379" t="s">
        <v>1068</v>
      </c>
      <c r="C1168" s="602">
        <f>'02'!E1176</f>
        <v>0</v>
      </c>
      <c r="D1168" s="603">
        <v>0</v>
      </c>
      <c r="E1168" s="606" t="str">
        <f t="shared" si="63"/>
        <v/>
      </c>
      <c r="F1168" s="524" t="str">
        <f t="shared" si="61"/>
        <v>否</v>
      </c>
      <c r="G1168" s="312" t="str">
        <f t="shared" si="62"/>
        <v>项</v>
      </c>
    </row>
    <row r="1169" ht="24" hidden="1" customHeight="1" spans="1:7">
      <c r="A1169" s="330">
        <v>2200121</v>
      </c>
      <c r="B1169" s="379" t="s">
        <v>1069</v>
      </c>
      <c r="C1169" s="602">
        <f>'02'!E1177</f>
        <v>0</v>
      </c>
      <c r="D1169" s="603">
        <v>0</v>
      </c>
      <c r="E1169" s="606" t="str">
        <f t="shared" si="63"/>
        <v/>
      </c>
      <c r="F1169" s="524" t="str">
        <f t="shared" si="61"/>
        <v>否</v>
      </c>
      <c r="G1169" s="312" t="str">
        <f t="shared" si="62"/>
        <v>项</v>
      </c>
    </row>
    <row r="1170" s="372" customFormat="1" ht="24" hidden="1" customHeight="1" spans="1:7">
      <c r="A1170" s="330">
        <v>2200122</v>
      </c>
      <c r="B1170" s="379" t="s">
        <v>1070</v>
      </c>
      <c r="C1170" s="602">
        <f>'02'!E1178</f>
        <v>0</v>
      </c>
      <c r="D1170" s="603">
        <v>0</v>
      </c>
      <c r="E1170" s="606" t="str">
        <f t="shared" si="63"/>
        <v/>
      </c>
      <c r="F1170" s="524" t="str">
        <f t="shared" si="61"/>
        <v>否</v>
      </c>
      <c r="G1170" s="312" t="str">
        <f t="shared" si="62"/>
        <v>项</v>
      </c>
    </row>
    <row r="1171" s="372" customFormat="1" ht="24" hidden="1" customHeight="1" spans="1:7">
      <c r="A1171" s="330">
        <v>2200123</v>
      </c>
      <c r="B1171" s="379" t="s">
        <v>1071</v>
      </c>
      <c r="C1171" s="602">
        <f>'02'!E1179</f>
        <v>0</v>
      </c>
      <c r="D1171" s="603">
        <v>0</v>
      </c>
      <c r="E1171" s="606" t="str">
        <f t="shared" si="63"/>
        <v/>
      </c>
      <c r="F1171" s="524" t="str">
        <f t="shared" si="61"/>
        <v>否</v>
      </c>
      <c r="G1171" s="312" t="str">
        <f t="shared" si="62"/>
        <v>项</v>
      </c>
    </row>
    <row r="1172" s="372" customFormat="1" ht="24" hidden="1" customHeight="1" spans="1:7">
      <c r="A1172" s="330">
        <v>2200124</v>
      </c>
      <c r="B1172" s="379" t="s">
        <v>1072</v>
      </c>
      <c r="C1172" s="602">
        <f>'02'!E1180</f>
        <v>0</v>
      </c>
      <c r="D1172" s="603">
        <v>0</v>
      </c>
      <c r="E1172" s="606" t="str">
        <f t="shared" si="63"/>
        <v/>
      </c>
      <c r="F1172" s="524" t="str">
        <f t="shared" si="61"/>
        <v>否</v>
      </c>
      <c r="G1172" s="312" t="str">
        <f t="shared" si="62"/>
        <v>项</v>
      </c>
    </row>
    <row r="1173" s="372" customFormat="1" ht="24" hidden="1" customHeight="1" spans="1:7">
      <c r="A1173" s="330">
        <v>2200125</v>
      </c>
      <c r="B1173" s="379" t="s">
        <v>1073</v>
      </c>
      <c r="C1173" s="602">
        <f>'02'!E1181</f>
        <v>0</v>
      </c>
      <c r="D1173" s="603">
        <v>0</v>
      </c>
      <c r="E1173" s="606" t="str">
        <f t="shared" si="63"/>
        <v/>
      </c>
      <c r="F1173" s="524" t="str">
        <f t="shared" si="61"/>
        <v>否</v>
      </c>
      <c r="G1173" s="312" t="str">
        <f t="shared" si="62"/>
        <v>项</v>
      </c>
    </row>
    <row r="1174" s="372" customFormat="1" ht="24" hidden="1" customHeight="1" spans="1:7">
      <c r="A1174" s="330">
        <v>2200126</v>
      </c>
      <c r="B1174" s="379" t="s">
        <v>1074</v>
      </c>
      <c r="C1174" s="602">
        <f>'02'!E1182</f>
        <v>0</v>
      </c>
      <c r="D1174" s="603">
        <v>0</v>
      </c>
      <c r="E1174" s="606" t="str">
        <f t="shared" si="63"/>
        <v/>
      </c>
      <c r="F1174" s="524" t="str">
        <f t="shared" si="61"/>
        <v>否</v>
      </c>
      <c r="G1174" s="312" t="str">
        <f t="shared" si="62"/>
        <v>项</v>
      </c>
    </row>
    <row r="1175" ht="24" hidden="1" customHeight="1" spans="1:7">
      <c r="A1175" s="330">
        <v>2200127</v>
      </c>
      <c r="B1175" s="379" t="s">
        <v>1075</v>
      </c>
      <c r="C1175" s="602">
        <f>'02'!E1183</f>
        <v>0</v>
      </c>
      <c r="D1175" s="603">
        <v>0</v>
      </c>
      <c r="E1175" s="606" t="str">
        <f t="shared" si="63"/>
        <v/>
      </c>
      <c r="F1175" s="524" t="str">
        <f t="shared" si="61"/>
        <v>否</v>
      </c>
      <c r="G1175" s="312" t="str">
        <f t="shared" si="62"/>
        <v>项</v>
      </c>
    </row>
    <row r="1176" s="372" customFormat="1" ht="24" hidden="1" customHeight="1" spans="1:7">
      <c r="A1176" s="330">
        <v>2200128</v>
      </c>
      <c r="B1176" s="379" t="s">
        <v>1076</v>
      </c>
      <c r="C1176" s="602">
        <f>'02'!E1184</f>
        <v>0</v>
      </c>
      <c r="D1176" s="603">
        <v>0</v>
      </c>
      <c r="E1176" s="606" t="str">
        <f t="shared" si="63"/>
        <v/>
      </c>
      <c r="F1176" s="524" t="str">
        <f t="shared" si="61"/>
        <v>否</v>
      </c>
      <c r="G1176" s="312" t="str">
        <f t="shared" si="62"/>
        <v>项</v>
      </c>
    </row>
    <row r="1177" s="372" customFormat="1" ht="24" hidden="1" customHeight="1" spans="1:7">
      <c r="A1177" s="330">
        <v>2200129</v>
      </c>
      <c r="B1177" s="379" t="s">
        <v>1077</v>
      </c>
      <c r="C1177" s="602">
        <f>'02'!E1185</f>
        <v>0</v>
      </c>
      <c r="D1177" s="603">
        <v>0</v>
      </c>
      <c r="E1177" s="606" t="str">
        <f t="shared" si="63"/>
        <v/>
      </c>
      <c r="F1177" s="524" t="str">
        <f t="shared" si="61"/>
        <v>否</v>
      </c>
      <c r="G1177" s="312" t="str">
        <f t="shared" si="62"/>
        <v>项</v>
      </c>
    </row>
    <row r="1178" ht="24" hidden="1" customHeight="1" spans="1:7">
      <c r="A1178" s="330">
        <v>2200150</v>
      </c>
      <c r="B1178" s="379" t="s">
        <v>221</v>
      </c>
      <c r="C1178" s="602">
        <f>'02'!E1186</f>
        <v>2823</v>
      </c>
      <c r="D1178" s="603">
        <v>2875</v>
      </c>
      <c r="E1178" s="606">
        <f t="shared" si="63"/>
        <v>0.018420120439249</v>
      </c>
      <c r="F1178" s="524" t="str">
        <f t="shared" si="61"/>
        <v>是</v>
      </c>
      <c r="G1178" s="312" t="str">
        <f t="shared" si="62"/>
        <v>项</v>
      </c>
    </row>
    <row r="1179" s="372" customFormat="1" ht="24" hidden="1" customHeight="1" spans="1:7">
      <c r="A1179" s="331">
        <v>2200199</v>
      </c>
      <c r="B1179" s="327" t="s">
        <v>1078</v>
      </c>
      <c r="C1179" s="602">
        <f>'02'!E1187</f>
        <v>1512</v>
      </c>
      <c r="D1179" s="603">
        <v>1358</v>
      </c>
      <c r="E1179" s="606">
        <f t="shared" si="63"/>
        <v>-0.101851851851852</v>
      </c>
      <c r="F1179" s="524" t="str">
        <f t="shared" si="61"/>
        <v>是</v>
      </c>
      <c r="G1179" s="313" t="str">
        <f t="shared" si="62"/>
        <v>项</v>
      </c>
    </row>
    <row r="1180" s="372" customFormat="1" ht="24" customHeight="1" spans="1:7">
      <c r="A1180" s="330">
        <v>22005</v>
      </c>
      <c r="B1180" s="379" t="s">
        <v>1079</v>
      </c>
      <c r="C1180" s="602">
        <f>SUM(C1181:C1194)</f>
        <v>1025</v>
      </c>
      <c r="D1180" s="602">
        <f>SUM(D1181:D1194)</f>
        <v>1059</v>
      </c>
      <c r="E1180" s="606">
        <f t="shared" si="63"/>
        <v>0.0331707317073171</v>
      </c>
      <c r="F1180" s="524" t="str">
        <f t="shared" si="61"/>
        <v>是</v>
      </c>
      <c r="G1180" s="312" t="str">
        <f t="shared" si="62"/>
        <v>款</v>
      </c>
    </row>
    <row r="1181" s="372" customFormat="1" ht="24" hidden="1" customHeight="1" spans="1:7">
      <c r="A1181" s="330">
        <v>2200501</v>
      </c>
      <c r="B1181" s="379" t="s">
        <v>212</v>
      </c>
      <c r="C1181" s="602">
        <f>'02'!E1189</f>
        <v>31</v>
      </c>
      <c r="D1181" s="603">
        <v>28</v>
      </c>
      <c r="E1181" s="606">
        <f t="shared" si="63"/>
        <v>-0.0967741935483871</v>
      </c>
      <c r="F1181" s="524" t="str">
        <f t="shared" si="61"/>
        <v>是</v>
      </c>
      <c r="G1181" s="312" t="str">
        <f t="shared" si="62"/>
        <v>项</v>
      </c>
    </row>
    <row r="1182" s="372" customFormat="1" ht="24" hidden="1" customHeight="1" spans="1:7">
      <c r="A1182" s="330">
        <v>2200502</v>
      </c>
      <c r="B1182" s="379" t="s">
        <v>213</v>
      </c>
      <c r="C1182" s="602">
        <f>'02'!E1190</f>
        <v>0</v>
      </c>
      <c r="D1182" s="603">
        <v>0</v>
      </c>
      <c r="E1182" s="606" t="str">
        <f t="shared" si="63"/>
        <v/>
      </c>
      <c r="F1182" s="524" t="str">
        <f t="shared" si="61"/>
        <v>否</v>
      </c>
      <c r="G1182" s="312" t="str">
        <f t="shared" si="62"/>
        <v>项</v>
      </c>
    </row>
    <row r="1183" s="372" customFormat="1" ht="24" hidden="1" customHeight="1" spans="1:7">
      <c r="A1183" s="330">
        <v>2200503</v>
      </c>
      <c r="B1183" s="379" t="s">
        <v>214</v>
      </c>
      <c r="C1183" s="602">
        <f>'02'!E1191</f>
        <v>0</v>
      </c>
      <c r="D1183" s="603">
        <v>0</v>
      </c>
      <c r="E1183" s="606" t="str">
        <f t="shared" si="63"/>
        <v/>
      </c>
      <c r="F1183" s="524" t="str">
        <f t="shared" si="61"/>
        <v>否</v>
      </c>
      <c r="G1183" s="312" t="str">
        <f t="shared" si="62"/>
        <v>项</v>
      </c>
    </row>
    <row r="1184" s="374" customFormat="1" ht="24" hidden="1" customHeight="1" spans="1:7">
      <c r="A1184" s="330">
        <v>2200504</v>
      </c>
      <c r="B1184" s="379" t="s">
        <v>1080</v>
      </c>
      <c r="C1184" s="602">
        <f>'02'!E1192</f>
        <v>340</v>
      </c>
      <c r="D1184" s="603">
        <v>345</v>
      </c>
      <c r="E1184" s="606">
        <f t="shared" si="63"/>
        <v>0.0147058823529412</v>
      </c>
      <c r="F1184" s="524" t="str">
        <f t="shared" si="61"/>
        <v>是</v>
      </c>
      <c r="G1184" s="312" t="str">
        <f t="shared" si="62"/>
        <v>项</v>
      </c>
    </row>
    <row r="1185" s="372" customFormat="1" ht="24" hidden="1" customHeight="1" spans="1:7">
      <c r="A1185" s="330">
        <v>2200506</v>
      </c>
      <c r="B1185" s="379" t="s">
        <v>1081</v>
      </c>
      <c r="C1185" s="602">
        <f>'02'!E1193</f>
        <v>0</v>
      </c>
      <c r="D1185" s="603">
        <v>0</v>
      </c>
      <c r="E1185" s="606" t="str">
        <f t="shared" si="63"/>
        <v/>
      </c>
      <c r="F1185" s="524" t="str">
        <f t="shared" si="61"/>
        <v>否</v>
      </c>
      <c r="G1185" s="312" t="str">
        <f t="shared" si="62"/>
        <v>项</v>
      </c>
    </row>
    <row r="1186" s="372" customFormat="1" ht="24" hidden="1" customHeight="1" spans="1:7">
      <c r="A1186" s="330">
        <v>2200507</v>
      </c>
      <c r="B1186" s="379" t="s">
        <v>1082</v>
      </c>
      <c r="C1186" s="602">
        <f>'02'!E1194</f>
        <v>0</v>
      </c>
      <c r="D1186" s="603">
        <v>0</v>
      </c>
      <c r="E1186" s="606" t="str">
        <f t="shared" si="63"/>
        <v/>
      </c>
      <c r="F1186" s="524" t="str">
        <f t="shared" si="61"/>
        <v>否</v>
      </c>
      <c r="G1186" s="312" t="str">
        <f t="shared" si="62"/>
        <v>项</v>
      </c>
    </row>
    <row r="1187" ht="24" hidden="1" customHeight="1" spans="1:7">
      <c r="A1187" s="330">
        <v>2200508</v>
      </c>
      <c r="B1187" s="379" t="s">
        <v>1083</v>
      </c>
      <c r="C1187" s="602">
        <f>'02'!E1195</f>
        <v>0</v>
      </c>
      <c r="D1187" s="603">
        <v>0</v>
      </c>
      <c r="E1187" s="606" t="str">
        <f t="shared" si="63"/>
        <v/>
      </c>
      <c r="F1187" s="524" t="str">
        <f t="shared" si="61"/>
        <v>否</v>
      </c>
      <c r="G1187" s="312" t="str">
        <f t="shared" si="62"/>
        <v>项</v>
      </c>
    </row>
    <row r="1188" ht="24" hidden="1" customHeight="1" spans="1:7">
      <c r="A1188" s="330">
        <v>2200509</v>
      </c>
      <c r="B1188" s="379" t="s">
        <v>1084</v>
      </c>
      <c r="C1188" s="602">
        <f>'02'!E1196</f>
        <v>554</v>
      </c>
      <c r="D1188" s="603">
        <v>562</v>
      </c>
      <c r="E1188" s="606">
        <f t="shared" si="63"/>
        <v>0.0144404332129964</v>
      </c>
      <c r="F1188" s="524" t="str">
        <f t="shared" si="61"/>
        <v>是</v>
      </c>
      <c r="G1188" s="312" t="str">
        <f t="shared" si="62"/>
        <v>项</v>
      </c>
    </row>
    <row r="1189" ht="24" hidden="1" customHeight="1" spans="1:7">
      <c r="A1189" s="330">
        <v>2200510</v>
      </c>
      <c r="B1189" s="379" t="s">
        <v>1085</v>
      </c>
      <c r="C1189" s="602">
        <f>'02'!E1197</f>
        <v>0</v>
      </c>
      <c r="D1189" s="603">
        <v>38</v>
      </c>
      <c r="E1189" s="606" t="str">
        <f t="shared" si="63"/>
        <v/>
      </c>
      <c r="F1189" s="524" t="str">
        <f t="shared" si="61"/>
        <v>是</v>
      </c>
      <c r="G1189" s="312" t="str">
        <f t="shared" si="62"/>
        <v>项</v>
      </c>
    </row>
    <row r="1190" s="372" customFormat="1" ht="24" hidden="1" customHeight="1" spans="1:7">
      <c r="A1190" s="330">
        <v>2200511</v>
      </c>
      <c r="B1190" s="379" t="s">
        <v>1086</v>
      </c>
      <c r="C1190" s="602">
        <f>'02'!E1198</f>
        <v>9</v>
      </c>
      <c r="D1190" s="603">
        <v>0</v>
      </c>
      <c r="E1190" s="606">
        <f t="shared" si="63"/>
        <v>-1</v>
      </c>
      <c r="F1190" s="524" t="str">
        <f t="shared" si="61"/>
        <v>是</v>
      </c>
      <c r="G1190" s="312" t="str">
        <f t="shared" si="62"/>
        <v>项</v>
      </c>
    </row>
    <row r="1191" s="372" customFormat="1" ht="24" hidden="1" customHeight="1" spans="1:7">
      <c r="A1191" s="330">
        <v>2200512</v>
      </c>
      <c r="B1191" s="379" t="s">
        <v>1087</v>
      </c>
      <c r="C1191" s="602">
        <f>'02'!E1199</f>
        <v>0</v>
      </c>
      <c r="D1191" s="603">
        <v>0</v>
      </c>
      <c r="E1191" s="606" t="str">
        <f t="shared" si="63"/>
        <v/>
      </c>
      <c r="F1191" s="524" t="str">
        <f t="shared" si="61"/>
        <v>否</v>
      </c>
      <c r="G1191" s="312" t="str">
        <f t="shared" si="62"/>
        <v>项</v>
      </c>
    </row>
    <row r="1192" s="372" customFormat="1" ht="24" hidden="1" customHeight="1" spans="1:7">
      <c r="A1192" s="330">
        <v>2200513</v>
      </c>
      <c r="B1192" s="379" t="s">
        <v>1088</v>
      </c>
      <c r="C1192" s="602">
        <f>'02'!E1200</f>
        <v>0</v>
      </c>
      <c r="D1192" s="603">
        <v>0</v>
      </c>
      <c r="E1192" s="606" t="str">
        <f t="shared" si="63"/>
        <v/>
      </c>
      <c r="F1192" s="524" t="str">
        <f t="shared" si="61"/>
        <v>否</v>
      </c>
      <c r="G1192" s="312" t="str">
        <f t="shared" si="62"/>
        <v>项</v>
      </c>
    </row>
    <row r="1193" s="372" customFormat="1" ht="24" hidden="1" customHeight="1" spans="1:7">
      <c r="A1193" s="330">
        <v>2200514</v>
      </c>
      <c r="B1193" s="379" t="s">
        <v>1089</v>
      </c>
      <c r="C1193" s="602">
        <f>'02'!E1201</f>
        <v>0</v>
      </c>
      <c r="D1193" s="603">
        <v>0</v>
      </c>
      <c r="E1193" s="606" t="str">
        <f t="shared" si="63"/>
        <v/>
      </c>
      <c r="F1193" s="524" t="str">
        <f t="shared" si="61"/>
        <v>否</v>
      </c>
      <c r="G1193" s="312" t="str">
        <f t="shared" si="62"/>
        <v>项</v>
      </c>
    </row>
    <row r="1194" s="372" customFormat="1" ht="24" hidden="1" customHeight="1" spans="1:7">
      <c r="A1194" s="330">
        <v>2200599</v>
      </c>
      <c r="B1194" s="379" t="s">
        <v>1090</v>
      </c>
      <c r="C1194" s="602">
        <f>'02'!E1202</f>
        <v>91</v>
      </c>
      <c r="D1194" s="603">
        <v>86</v>
      </c>
      <c r="E1194" s="606">
        <f t="shared" si="63"/>
        <v>-0.0549450549450549</v>
      </c>
      <c r="F1194" s="524" t="str">
        <f t="shared" si="61"/>
        <v>是</v>
      </c>
      <c r="G1194" s="312" t="str">
        <f t="shared" si="62"/>
        <v>项</v>
      </c>
    </row>
    <row r="1195" s="372" customFormat="1" ht="24" customHeight="1" spans="1:7">
      <c r="A1195" s="330">
        <v>22099</v>
      </c>
      <c r="B1195" s="379" t="s">
        <v>1091</v>
      </c>
      <c r="C1195" s="602">
        <f>C1196</f>
        <v>1342</v>
      </c>
      <c r="D1195" s="602">
        <f>D1196</f>
        <v>1215</v>
      </c>
      <c r="E1195" s="606">
        <f t="shared" si="63"/>
        <v>-0.0946348733233979</v>
      </c>
      <c r="F1195" s="524" t="str">
        <f t="shared" si="61"/>
        <v>是</v>
      </c>
      <c r="G1195" s="312" t="str">
        <f t="shared" si="62"/>
        <v>款</v>
      </c>
    </row>
    <row r="1196" s="372" customFormat="1" ht="24" hidden="1" customHeight="1" spans="1:7">
      <c r="A1196" s="356">
        <v>2209999</v>
      </c>
      <c r="B1196" s="379" t="s">
        <v>1092</v>
      </c>
      <c r="C1196" s="602">
        <f>'02'!E1204</f>
        <v>1342</v>
      </c>
      <c r="D1196" s="603">
        <v>1215</v>
      </c>
      <c r="E1196" s="606">
        <f t="shared" si="63"/>
        <v>-0.0946348733233979</v>
      </c>
      <c r="F1196" s="524" t="str">
        <f t="shared" si="61"/>
        <v>是</v>
      </c>
      <c r="G1196" s="312" t="str">
        <f t="shared" si="62"/>
        <v>项</v>
      </c>
    </row>
    <row r="1197" s="372" customFormat="1" ht="24" customHeight="1" spans="1:7">
      <c r="A1197" s="329">
        <v>221</v>
      </c>
      <c r="B1197" s="377" t="s">
        <v>193</v>
      </c>
      <c r="C1197" s="601">
        <f>C1198+C1208+C1212</f>
        <v>61136</v>
      </c>
      <c r="D1197" s="601">
        <f>D1198+D1208+D1212</f>
        <v>60337</v>
      </c>
      <c r="E1197" s="605">
        <f t="shared" si="63"/>
        <v>-0.0130692227165663</v>
      </c>
      <c r="F1197" s="524" t="str">
        <f t="shared" si="61"/>
        <v>是</v>
      </c>
      <c r="G1197" s="312" t="str">
        <f t="shared" si="62"/>
        <v>类</v>
      </c>
    </row>
    <row r="1198" s="372" customFormat="1" ht="24" customHeight="1" spans="1:7">
      <c r="A1198" s="330">
        <v>22101</v>
      </c>
      <c r="B1198" s="379" t="s">
        <v>1093</v>
      </c>
      <c r="C1198" s="602">
        <f>SUM(C1199:C1207)</f>
        <v>7700</v>
      </c>
      <c r="D1198" s="602">
        <f>SUM(D1199:D1207)</f>
        <v>7114</v>
      </c>
      <c r="E1198" s="606">
        <f t="shared" si="63"/>
        <v>-0.0761038961038961</v>
      </c>
      <c r="F1198" s="524" t="str">
        <f t="shared" si="61"/>
        <v>是</v>
      </c>
      <c r="G1198" s="312" t="str">
        <f t="shared" si="62"/>
        <v>款</v>
      </c>
    </row>
    <row r="1199" s="372" customFormat="1" ht="24" hidden="1" customHeight="1" spans="1:7">
      <c r="A1199" s="330">
        <v>2210102</v>
      </c>
      <c r="B1199" s="379" t="s">
        <v>1094</v>
      </c>
      <c r="C1199" s="602">
        <f>'02'!E1207</f>
        <v>0</v>
      </c>
      <c r="D1199" s="603">
        <v>0</v>
      </c>
      <c r="E1199" s="606" t="str">
        <f t="shared" si="63"/>
        <v/>
      </c>
      <c r="F1199" s="524" t="str">
        <f t="shared" si="61"/>
        <v>否</v>
      </c>
      <c r="G1199" s="312" t="str">
        <f t="shared" si="62"/>
        <v>项</v>
      </c>
    </row>
    <row r="1200" s="372" customFormat="1" ht="24" hidden="1" customHeight="1" spans="1:7">
      <c r="A1200" s="330">
        <v>2210103</v>
      </c>
      <c r="B1200" s="379" t="s">
        <v>1095</v>
      </c>
      <c r="C1200" s="602">
        <f>'02'!E1208</f>
        <v>940</v>
      </c>
      <c r="D1200" s="603">
        <v>925</v>
      </c>
      <c r="E1200" s="606">
        <f t="shared" si="63"/>
        <v>-0.0159574468085106</v>
      </c>
      <c r="F1200" s="524" t="str">
        <f t="shared" si="61"/>
        <v>是</v>
      </c>
      <c r="G1200" s="312" t="str">
        <f t="shared" si="62"/>
        <v>项</v>
      </c>
    </row>
    <row r="1201" s="372" customFormat="1" ht="24" hidden="1" customHeight="1" spans="1:7">
      <c r="A1201" s="330">
        <v>2210104</v>
      </c>
      <c r="B1201" s="379" t="s">
        <v>1096</v>
      </c>
      <c r="C1201" s="602">
        <f>'02'!E1209</f>
        <v>0</v>
      </c>
      <c r="D1201" s="603">
        <v>0</v>
      </c>
      <c r="E1201" s="606" t="str">
        <f t="shared" si="63"/>
        <v/>
      </c>
      <c r="F1201" s="524" t="str">
        <f t="shared" si="61"/>
        <v>否</v>
      </c>
      <c r="G1201" s="312" t="str">
        <f t="shared" si="62"/>
        <v>项</v>
      </c>
    </row>
    <row r="1202" s="372" customFormat="1" ht="24" hidden="1" customHeight="1" spans="1:7">
      <c r="A1202" s="330">
        <v>2210105</v>
      </c>
      <c r="B1202" s="379" t="s">
        <v>1097</v>
      </c>
      <c r="C1202" s="602">
        <f>'02'!E1210</f>
        <v>707</v>
      </c>
      <c r="D1202" s="603">
        <v>678</v>
      </c>
      <c r="E1202" s="606">
        <f t="shared" si="63"/>
        <v>-0.041018387553041</v>
      </c>
      <c r="F1202" s="524" t="str">
        <f t="shared" si="61"/>
        <v>是</v>
      </c>
      <c r="G1202" s="312" t="str">
        <f t="shared" si="62"/>
        <v>项</v>
      </c>
    </row>
    <row r="1203" s="372" customFormat="1" ht="24" hidden="1" customHeight="1" spans="1:7">
      <c r="A1203" s="330">
        <v>2210108</v>
      </c>
      <c r="B1203" s="379" t="s">
        <v>1100</v>
      </c>
      <c r="C1203" s="602">
        <f>'02'!E1213</f>
        <v>1875</v>
      </c>
      <c r="D1203" s="603">
        <v>1758</v>
      </c>
      <c r="E1203" s="606">
        <f t="shared" si="63"/>
        <v>-0.0624</v>
      </c>
      <c r="F1203" s="524" t="str">
        <f t="shared" si="61"/>
        <v>是</v>
      </c>
      <c r="G1203" s="312" t="str">
        <f t="shared" si="62"/>
        <v>项</v>
      </c>
    </row>
    <row r="1204" s="374" customFormat="1" ht="24" hidden="1" customHeight="1" spans="1:7">
      <c r="A1204" s="354">
        <v>2210111</v>
      </c>
      <c r="B1204" s="327" t="s">
        <v>1102</v>
      </c>
      <c r="C1204" s="602">
        <f>'02'!E1215</f>
        <v>3955</v>
      </c>
      <c r="D1204" s="603">
        <v>3555</v>
      </c>
      <c r="E1204" s="606"/>
      <c r="F1204" s="609" t="str">
        <f t="shared" si="61"/>
        <v>是</v>
      </c>
      <c r="G1204" s="313" t="str">
        <f t="shared" si="62"/>
        <v>项</v>
      </c>
    </row>
    <row r="1205" s="374" customFormat="1" ht="24" hidden="1" customHeight="1" spans="1:7">
      <c r="A1205" s="354">
        <v>2210112</v>
      </c>
      <c r="B1205" s="327" t="s">
        <v>1103</v>
      </c>
      <c r="C1205" s="602">
        <f>'02'!E1216</f>
        <v>0</v>
      </c>
      <c r="D1205" s="603">
        <v>0</v>
      </c>
      <c r="E1205" s="606"/>
      <c r="F1205" s="609" t="str">
        <f t="shared" si="61"/>
        <v>否</v>
      </c>
      <c r="G1205" s="313" t="str">
        <f t="shared" si="62"/>
        <v>项</v>
      </c>
    </row>
    <row r="1206" s="374" customFormat="1" ht="24" hidden="1" customHeight="1" spans="1:7">
      <c r="A1206" s="354">
        <v>2210113</v>
      </c>
      <c r="B1206" s="327" t="s">
        <v>1104</v>
      </c>
      <c r="C1206" s="602">
        <f>'02'!E1217</f>
        <v>0</v>
      </c>
      <c r="D1206" s="603">
        <v>0</v>
      </c>
      <c r="E1206" s="606"/>
      <c r="F1206" s="609" t="str">
        <f t="shared" si="61"/>
        <v>否</v>
      </c>
      <c r="G1206" s="313" t="str">
        <f t="shared" si="62"/>
        <v>项</v>
      </c>
    </row>
    <row r="1207" s="372" customFormat="1" ht="24" hidden="1" customHeight="1" spans="1:7">
      <c r="A1207" s="330">
        <v>2210199</v>
      </c>
      <c r="B1207" s="379" t="s">
        <v>1105</v>
      </c>
      <c r="C1207" s="602">
        <f>'02'!E1218</f>
        <v>223</v>
      </c>
      <c r="D1207" s="603">
        <v>198</v>
      </c>
      <c r="E1207" s="606">
        <f t="shared" ref="E1207:E1270" si="64">IFERROR((D1207-C1207)/C1207,"")</f>
        <v>-0.112107623318386</v>
      </c>
      <c r="F1207" s="524" t="str">
        <f t="shared" si="61"/>
        <v>是</v>
      </c>
      <c r="G1207" s="312" t="str">
        <f t="shared" si="62"/>
        <v>项</v>
      </c>
    </row>
    <row r="1208" s="372" customFormat="1" ht="24" customHeight="1" spans="1:7">
      <c r="A1208" s="330">
        <v>22102</v>
      </c>
      <c r="B1208" s="379" t="s">
        <v>1106</v>
      </c>
      <c r="C1208" s="602">
        <f>SUM(C1209:C1211)</f>
        <v>52494</v>
      </c>
      <c r="D1208" s="602">
        <f>SUM(D1209:D1211)</f>
        <v>52271</v>
      </c>
      <c r="E1208" s="606">
        <f t="shared" si="64"/>
        <v>-0.00424810454528137</v>
      </c>
      <c r="F1208" s="524" t="str">
        <f t="shared" si="61"/>
        <v>是</v>
      </c>
      <c r="G1208" s="312" t="str">
        <f t="shared" si="62"/>
        <v>款</v>
      </c>
    </row>
    <row r="1209" s="372" customFormat="1" ht="24" hidden="1" customHeight="1" spans="1:7">
      <c r="A1209" s="330">
        <v>2210201</v>
      </c>
      <c r="B1209" s="379" t="s">
        <v>1107</v>
      </c>
      <c r="C1209" s="602">
        <f>'02'!E1220</f>
        <v>50145</v>
      </c>
      <c r="D1209" s="603">
        <v>49892</v>
      </c>
      <c r="E1209" s="606">
        <f t="shared" si="64"/>
        <v>-0.00504536843154851</v>
      </c>
      <c r="F1209" s="524" t="str">
        <f t="shared" si="61"/>
        <v>是</v>
      </c>
      <c r="G1209" s="312" t="str">
        <f t="shared" si="62"/>
        <v>项</v>
      </c>
    </row>
    <row r="1210" s="372" customFormat="1" ht="24" hidden="1" customHeight="1" spans="1:7">
      <c r="A1210" s="330">
        <v>2210202</v>
      </c>
      <c r="B1210" s="379" t="s">
        <v>1108</v>
      </c>
      <c r="C1210" s="602">
        <f>'02'!E1221</f>
        <v>0</v>
      </c>
      <c r="D1210" s="603">
        <v>0</v>
      </c>
      <c r="E1210" s="606" t="str">
        <f t="shared" si="64"/>
        <v/>
      </c>
      <c r="F1210" s="524" t="str">
        <f t="shared" ref="F1210:F1273" si="65">IF(LEN(A1210)=3,"是",IF(B1210&lt;&gt;"",IF(SUM(C1210:D1210)&lt;&gt;0,"是","否"),"是"))</f>
        <v>否</v>
      </c>
      <c r="G1210" s="312" t="str">
        <f t="shared" ref="G1210:G1273" si="66">IF(LEN(A1210)=3,"类",IF(LEN(A1210)=5,"款","项"))</f>
        <v>项</v>
      </c>
    </row>
    <row r="1211" s="372" customFormat="1" ht="24" hidden="1" customHeight="1" spans="1:7">
      <c r="A1211" s="330">
        <v>2210203</v>
      </c>
      <c r="B1211" s="379" t="s">
        <v>1109</v>
      </c>
      <c r="C1211" s="602">
        <f>'02'!E1222</f>
        <v>2349</v>
      </c>
      <c r="D1211" s="603">
        <v>2379</v>
      </c>
      <c r="E1211" s="606">
        <f t="shared" si="64"/>
        <v>0.0127713920817369</v>
      </c>
      <c r="F1211" s="524" t="str">
        <f t="shared" si="65"/>
        <v>是</v>
      </c>
      <c r="G1211" s="312" t="str">
        <f t="shared" si="66"/>
        <v>项</v>
      </c>
    </row>
    <row r="1212" s="372" customFormat="1" ht="24" customHeight="1" spans="1:7">
      <c r="A1212" s="330">
        <v>22103</v>
      </c>
      <c r="B1212" s="379" t="s">
        <v>1110</v>
      </c>
      <c r="C1212" s="602">
        <f>SUM(C1213:C1215)</f>
        <v>942</v>
      </c>
      <c r="D1212" s="602">
        <f>SUM(D1213:D1215)</f>
        <v>952</v>
      </c>
      <c r="E1212" s="606">
        <f t="shared" si="64"/>
        <v>0.0106157112526539</v>
      </c>
      <c r="F1212" s="524" t="str">
        <f t="shared" si="65"/>
        <v>是</v>
      </c>
      <c r="G1212" s="312" t="str">
        <f t="shared" si="66"/>
        <v>款</v>
      </c>
    </row>
    <row r="1213" s="372" customFormat="1" ht="24" hidden="1" customHeight="1" spans="1:7">
      <c r="A1213" s="330">
        <v>2210301</v>
      </c>
      <c r="B1213" s="379" t="s">
        <v>1111</v>
      </c>
      <c r="C1213" s="602">
        <f>'02'!E1224</f>
        <v>0</v>
      </c>
      <c r="D1213" s="603">
        <v>0</v>
      </c>
      <c r="E1213" s="606" t="str">
        <f t="shared" si="64"/>
        <v/>
      </c>
      <c r="F1213" s="524" t="str">
        <f t="shared" si="65"/>
        <v>否</v>
      </c>
      <c r="G1213" s="312" t="str">
        <f t="shared" si="66"/>
        <v>项</v>
      </c>
    </row>
    <row r="1214" ht="24" hidden="1" customHeight="1" spans="1:7">
      <c r="A1214" s="330">
        <v>2210302</v>
      </c>
      <c r="B1214" s="379" t="s">
        <v>1112</v>
      </c>
      <c r="C1214" s="602">
        <f>'02'!E1225</f>
        <v>942</v>
      </c>
      <c r="D1214" s="603">
        <v>952</v>
      </c>
      <c r="E1214" s="606">
        <f t="shared" si="64"/>
        <v>0.0106157112526539</v>
      </c>
      <c r="F1214" s="524" t="str">
        <f t="shared" si="65"/>
        <v>是</v>
      </c>
      <c r="G1214" s="312" t="str">
        <f t="shared" si="66"/>
        <v>项</v>
      </c>
    </row>
    <row r="1215" s="372" customFormat="1" ht="24" hidden="1" customHeight="1" spans="1:7">
      <c r="A1215" s="330">
        <v>2210399</v>
      </c>
      <c r="B1215" s="379" t="s">
        <v>1113</v>
      </c>
      <c r="C1215" s="602">
        <f>'02'!E1226</f>
        <v>0</v>
      </c>
      <c r="D1215" s="603">
        <v>0</v>
      </c>
      <c r="E1215" s="606" t="str">
        <f t="shared" si="64"/>
        <v/>
      </c>
      <c r="F1215" s="524" t="str">
        <f t="shared" si="65"/>
        <v>否</v>
      </c>
      <c r="G1215" s="312" t="str">
        <f t="shared" si="66"/>
        <v>项</v>
      </c>
    </row>
    <row r="1216" s="372" customFormat="1" ht="24" customHeight="1" spans="1:7">
      <c r="A1216" s="329">
        <v>222</v>
      </c>
      <c r="B1216" s="377" t="s">
        <v>194</v>
      </c>
      <c r="C1216" s="601">
        <f>C1217+C1235+C1242+C1248</f>
        <v>2085</v>
      </c>
      <c r="D1216" s="601">
        <f>D1217+D1235+D1242+D1248</f>
        <v>2063</v>
      </c>
      <c r="E1216" s="605">
        <f t="shared" si="64"/>
        <v>-0.0105515587529976</v>
      </c>
      <c r="F1216" s="524" t="str">
        <f t="shared" si="65"/>
        <v>是</v>
      </c>
      <c r="G1216" s="312" t="str">
        <f t="shared" si="66"/>
        <v>类</v>
      </c>
    </row>
    <row r="1217" s="372" customFormat="1" ht="24" customHeight="1" spans="1:7">
      <c r="A1217" s="330">
        <v>22201</v>
      </c>
      <c r="B1217" s="379" t="s">
        <v>1114</v>
      </c>
      <c r="C1217" s="602">
        <f>SUM(C1218:C1234)</f>
        <v>1878</v>
      </c>
      <c r="D1217" s="602">
        <f>SUM(D1218:D1234)</f>
        <v>1863</v>
      </c>
      <c r="E1217" s="606">
        <f t="shared" si="64"/>
        <v>-0.00798722044728434</v>
      </c>
      <c r="F1217" s="524" t="str">
        <f t="shared" si="65"/>
        <v>是</v>
      </c>
      <c r="G1217" s="312" t="str">
        <f t="shared" si="66"/>
        <v>款</v>
      </c>
    </row>
    <row r="1218" s="372" customFormat="1" ht="24" hidden="1" customHeight="1" spans="1:7">
      <c r="A1218" s="330">
        <v>2220101</v>
      </c>
      <c r="B1218" s="379" t="s">
        <v>212</v>
      </c>
      <c r="C1218" s="602">
        <f>'02'!E1229</f>
        <v>261</v>
      </c>
      <c r="D1218" s="603">
        <v>272</v>
      </c>
      <c r="E1218" s="606">
        <f t="shared" si="64"/>
        <v>0.0421455938697318</v>
      </c>
      <c r="F1218" s="524" t="str">
        <f t="shared" si="65"/>
        <v>是</v>
      </c>
      <c r="G1218" s="312" t="str">
        <f t="shared" si="66"/>
        <v>项</v>
      </c>
    </row>
    <row r="1219" s="372" customFormat="1" ht="24" hidden="1" customHeight="1" spans="1:7">
      <c r="A1219" s="330">
        <v>2220102</v>
      </c>
      <c r="B1219" s="379" t="s">
        <v>213</v>
      </c>
      <c r="C1219" s="602">
        <f>'02'!E1230</f>
        <v>0</v>
      </c>
      <c r="D1219" s="603">
        <v>0</v>
      </c>
      <c r="E1219" s="606" t="str">
        <f t="shared" si="64"/>
        <v/>
      </c>
      <c r="F1219" s="524" t="str">
        <f t="shared" si="65"/>
        <v>否</v>
      </c>
      <c r="G1219" s="312" t="str">
        <f t="shared" si="66"/>
        <v>项</v>
      </c>
    </row>
    <row r="1220" s="372" customFormat="1" ht="24" hidden="1" customHeight="1" spans="1:7">
      <c r="A1220" s="330">
        <v>2220103</v>
      </c>
      <c r="B1220" s="379" t="s">
        <v>214</v>
      </c>
      <c r="C1220" s="602">
        <f>'02'!E1231</f>
        <v>0</v>
      </c>
      <c r="D1220" s="603">
        <v>0</v>
      </c>
      <c r="E1220" s="606" t="str">
        <f t="shared" si="64"/>
        <v/>
      </c>
      <c r="F1220" s="524" t="str">
        <f t="shared" si="65"/>
        <v>否</v>
      </c>
      <c r="G1220" s="312" t="str">
        <f t="shared" si="66"/>
        <v>项</v>
      </c>
    </row>
    <row r="1221" s="372" customFormat="1" ht="24" hidden="1" customHeight="1" spans="1:7">
      <c r="A1221" s="330">
        <v>2220104</v>
      </c>
      <c r="B1221" s="379" t="s">
        <v>1115</v>
      </c>
      <c r="C1221" s="602">
        <f>'02'!E1232</f>
        <v>0</v>
      </c>
      <c r="D1221" s="603">
        <v>0</v>
      </c>
      <c r="E1221" s="606" t="str">
        <f t="shared" si="64"/>
        <v/>
      </c>
      <c r="F1221" s="524" t="str">
        <f t="shared" si="65"/>
        <v>否</v>
      </c>
      <c r="G1221" s="312" t="str">
        <f t="shared" si="66"/>
        <v>项</v>
      </c>
    </row>
    <row r="1222" s="372" customFormat="1" ht="24" hidden="1" customHeight="1" spans="1:7">
      <c r="A1222" s="330">
        <v>2220105</v>
      </c>
      <c r="B1222" s="379" t="s">
        <v>1116</v>
      </c>
      <c r="C1222" s="602">
        <f>'02'!E1233</f>
        <v>0</v>
      </c>
      <c r="D1222" s="603">
        <v>0</v>
      </c>
      <c r="E1222" s="606" t="str">
        <f t="shared" si="64"/>
        <v/>
      </c>
      <c r="F1222" s="524" t="str">
        <f t="shared" si="65"/>
        <v>否</v>
      </c>
      <c r="G1222" s="312" t="str">
        <f t="shared" si="66"/>
        <v>项</v>
      </c>
    </row>
    <row r="1223" s="372" customFormat="1" ht="24" hidden="1" customHeight="1" spans="1:7">
      <c r="A1223" s="330">
        <v>2220106</v>
      </c>
      <c r="B1223" s="379" t="s">
        <v>1117</v>
      </c>
      <c r="C1223" s="602">
        <f>'02'!E1234</f>
        <v>0</v>
      </c>
      <c r="D1223" s="603">
        <v>0</v>
      </c>
      <c r="E1223" s="606" t="str">
        <f t="shared" si="64"/>
        <v/>
      </c>
      <c r="F1223" s="524" t="str">
        <f t="shared" si="65"/>
        <v>否</v>
      </c>
      <c r="G1223" s="312" t="str">
        <f t="shared" si="66"/>
        <v>项</v>
      </c>
    </row>
    <row r="1224" s="372" customFormat="1" ht="24" hidden="1" customHeight="1" spans="1:7">
      <c r="A1224" s="330">
        <v>2220107</v>
      </c>
      <c r="B1224" s="379" t="s">
        <v>1118</v>
      </c>
      <c r="C1224" s="602">
        <f>'02'!E1235</f>
        <v>0</v>
      </c>
      <c r="D1224" s="603">
        <v>0</v>
      </c>
      <c r="E1224" s="606" t="str">
        <f t="shared" si="64"/>
        <v/>
      </c>
      <c r="F1224" s="524" t="str">
        <f t="shared" si="65"/>
        <v>否</v>
      </c>
      <c r="G1224" s="312" t="str">
        <f t="shared" si="66"/>
        <v>项</v>
      </c>
    </row>
    <row r="1225" s="372" customFormat="1" ht="24" hidden="1" customHeight="1" spans="1:7">
      <c r="A1225" s="330">
        <v>2220112</v>
      </c>
      <c r="B1225" s="379" t="s">
        <v>1119</v>
      </c>
      <c r="C1225" s="602">
        <f>'02'!E1236</f>
        <v>52</v>
      </c>
      <c r="D1225" s="603">
        <v>57</v>
      </c>
      <c r="E1225" s="606">
        <f t="shared" si="64"/>
        <v>0.0961538461538462</v>
      </c>
      <c r="F1225" s="524" t="str">
        <f t="shared" si="65"/>
        <v>是</v>
      </c>
      <c r="G1225" s="312" t="str">
        <f t="shared" si="66"/>
        <v>项</v>
      </c>
    </row>
    <row r="1226" s="372" customFormat="1" ht="24" hidden="1" customHeight="1" spans="1:7">
      <c r="A1226" s="330">
        <v>2220113</v>
      </c>
      <c r="B1226" s="379" t="s">
        <v>1120</v>
      </c>
      <c r="C1226" s="602">
        <f>'02'!E1237</f>
        <v>0</v>
      </c>
      <c r="D1226" s="603">
        <v>0</v>
      </c>
      <c r="E1226" s="606" t="str">
        <f t="shared" si="64"/>
        <v/>
      </c>
      <c r="F1226" s="524" t="str">
        <f t="shared" si="65"/>
        <v>否</v>
      </c>
      <c r="G1226" s="312" t="str">
        <f t="shared" si="66"/>
        <v>项</v>
      </c>
    </row>
    <row r="1227" s="372" customFormat="1" ht="24" hidden="1" customHeight="1" spans="1:7">
      <c r="A1227" s="330">
        <v>2220114</v>
      </c>
      <c r="B1227" s="379" t="s">
        <v>1121</v>
      </c>
      <c r="C1227" s="602">
        <f>'02'!E1238</f>
        <v>0</v>
      </c>
      <c r="D1227" s="603">
        <v>0</v>
      </c>
      <c r="E1227" s="606" t="str">
        <f t="shared" si="64"/>
        <v/>
      </c>
      <c r="F1227" s="524" t="str">
        <f t="shared" si="65"/>
        <v>否</v>
      </c>
      <c r="G1227" s="312" t="str">
        <f t="shared" si="66"/>
        <v>项</v>
      </c>
    </row>
    <row r="1228" s="372" customFormat="1" ht="24" hidden="1" customHeight="1" spans="1:7">
      <c r="A1228" s="330">
        <v>2220115</v>
      </c>
      <c r="B1228" s="379" t="s">
        <v>1122</v>
      </c>
      <c r="C1228" s="602">
        <f>'02'!E1239</f>
        <v>850</v>
      </c>
      <c r="D1228" s="603">
        <v>795</v>
      </c>
      <c r="E1228" s="606">
        <f t="shared" si="64"/>
        <v>-0.0647058823529412</v>
      </c>
      <c r="F1228" s="524" t="str">
        <f t="shared" si="65"/>
        <v>是</v>
      </c>
      <c r="G1228" s="312" t="str">
        <f t="shared" si="66"/>
        <v>项</v>
      </c>
    </row>
    <row r="1229" ht="24" hidden="1" customHeight="1" spans="1:7">
      <c r="A1229" s="330">
        <v>2220118</v>
      </c>
      <c r="B1229" s="379" t="s">
        <v>1123</v>
      </c>
      <c r="C1229" s="602">
        <f>'02'!E1240</f>
        <v>0</v>
      </c>
      <c r="D1229" s="603">
        <v>0</v>
      </c>
      <c r="E1229" s="606" t="str">
        <f t="shared" si="64"/>
        <v/>
      </c>
      <c r="F1229" s="524" t="str">
        <f t="shared" si="65"/>
        <v>否</v>
      </c>
      <c r="G1229" s="312" t="str">
        <f t="shared" si="66"/>
        <v>项</v>
      </c>
    </row>
    <row r="1230" s="372" customFormat="1" ht="24" hidden="1" customHeight="1" spans="1:7">
      <c r="A1230" s="527">
        <v>2220119</v>
      </c>
      <c r="B1230" s="543" t="s">
        <v>1124</v>
      </c>
      <c r="C1230" s="602">
        <f>'02'!E1241</f>
        <v>0</v>
      </c>
      <c r="D1230" s="603">
        <v>82</v>
      </c>
      <c r="E1230" s="606" t="str">
        <f t="shared" si="64"/>
        <v/>
      </c>
      <c r="F1230" s="524" t="str">
        <f t="shared" si="65"/>
        <v>是</v>
      </c>
      <c r="G1230" s="312" t="str">
        <f t="shared" si="66"/>
        <v>项</v>
      </c>
    </row>
    <row r="1231" ht="24" hidden="1" customHeight="1" spans="1:7">
      <c r="A1231" s="527">
        <v>2220120</v>
      </c>
      <c r="B1231" s="543" t="s">
        <v>1125</v>
      </c>
      <c r="C1231" s="602">
        <f>'02'!E1242</f>
        <v>0</v>
      </c>
      <c r="D1231" s="603">
        <v>0</v>
      </c>
      <c r="E1231" s="606" t="str">
        <f t="shared" si="64"/>
        <v/>
      </c>
      <c r="F1231" s="524" t="str">
        <f t="shared" si="65"/>
        <v>否</v>
      </c>
      <c r="G1231" s="312" t="str">
        <f t="shared" si="66"/>
        <v>项</v>
      </c>
    </row>
    <row r="1232" ht="24" hidden="1" customHeight="1" spans="1:7">
      <c r="A1232" s="527">
        <v>2220121</v>
      </c>
      <c r="B1232" s="543" t="s">
        <v>1126</v>
      </c>
      <c r="C1232" s="602">
        <f>'02'!E1243</f>
        <v>61</v>
      </c>
      <c r="D1232" s="603">
        <v>61</v>
      </c>
      <c r="E1232" s="606">
        <f t="shared" si="64"/>
        <v>0</v>
      </c>
      <c r="F1232" s="524" t="str">
        <f t="shared" si="65"/>
        <v>是</v>
      </c>
      <c r="G1232" s="312" t="str">
        <f t="shared" si="66"/>
        <v>项</v>
      </c>
    </row>
    <row r="1233" s="372" customFormat="1" ht="24" hidden="1" customHeight="1" spans="1:7">
      <c r="A1233" s="330">
        <v>2220150</v>
      </c>
      <c r="B1233" s="379" t="s">
        <v>221</v>
      </c>
      <c r="C1233" s="602">
        <f>'02'!E1244</f>
        <v>117</v>
      </c>
      <c r="D1233" s="603">
        <v>121</v>
      </c>
      <c r="E1233" s="606">
        <f t="shared" si="64"/>
        <v>0.0341880341880342</v>
      </c>
      <c r="F1233" s="524" t="str">
        <f t="shared" si="65"/>
        <v>是</v>
      </c>
      <c r="G1233" s="312" t="str">
        <f t="shared" si="66"/>
        <v>项</v>
      </c>
    </row>
    <row r="1234" s="372" customFormat="1" ht="24" hidden="1" customHeight="1" spans="1:7">
      <c r="A1234" s="330">
        <v>2220199</v>
      </c>
      <c r="B1234" s="379" t="s">
        <v>1127</v>
      </c>
      <c r="C1234" s="602">
        <f>'02'!E1245</f>
        <v>537</v>
      </c>
      <c r="D1234" s="603">
        <v>475</v>
      </c>
      <c r="E1234" s="606">
        <f t="shared" si="64"/>
        <v>-0.115456238361266</v>
      </c>
      <c r="F1234" s="524" t="str">
        <f t="shared" si="65"/>
        <v>是</v>
      </c>
      <c r="G1234" s="312" t="str">
        <f t="shared" si="66"/>
        <v>项</v>
      </c>
    </row>
    <row r="1235" s="372" customFormat="1" ht="24" hidden="1" customHeight="1" spans="1:7">
      <c r="A1235" s="330">
        <v>22203</v>
      </c>
      <c r="B1235" s="379" t="s">
        <v>1128</v>
      </c>
      <c r="C1235" s="602">
        <f>SUM(C1236:C1241)</f>
        <v>0</v>
      </c>
      <c r="D1235" s="602">
        <f>SUM(D1236:D1241)</f>
        <v>0</v>
      </c>
      <c r="E1235" s="606" t="str">
        <f t="shared" si="64"/>
        <v/>
      </c>
      <c r="F1235" s="524" t="str">
        <f t="shared" si="65"/>
        <v>否</v>
      </c>
      <c r="G1235" s="312" t="str">
        <f t="shared" si="66"/>
        <v>款</v>
      </c>
    </row>
    <row r="1236" s="372" customFormat="1" ht="24" hidden="1" customHeight="1" spans="1:7">
      <c r="A1236" s="330">
        <v>2220301</v>
      </c>
      <c r="B1236" s="379" t="s">
        <v>1129</v>
      </c>
      <c r="C1236" s="602">
        <f>'02'!E1247</f>
        <v>0</v>
      </c>
      <c r="D1236" s="603">
        <v>0</v>
      </c>
      <c r="E1236" s="606" t="str">
        <f t="shared" si="64"/>
        <v/>
      </c>
      <c r="F1236" s="524" t="str">
        <f t="shared" si="65"/>
        <v>否</v>
      </c>
      <c r="G1236" s="312" t="str">
        <f t="shared" si="66"/>
        <v>项</v>
      </c>
    </row>
    <row r="1237" s="372" customFormat="1" ht="24" hidden="1" customHeight="1" spans="1:7">
      <c r="A1237" s="330">
        <v>2220303</v>
      </c>
      <c r="B1237" s="379" t="s">
        <v>1130</v>
      </c>
      <c r="C1237" s="602">
        <f>'02'!E1248</f>
        <v>0</v>
      </c>
      <c r="D1237" s="603">
        <v>0</v>
      </c>
      <c r="E1237" s="606" t="str">
        <f t="shared" si="64"/>
        <v/>
      </c>
      <c r="F1237" s="524" t="str">
        <f t="shared" si="65"/>
        <v>否</v>
      </c>
      <c r="G1237" s="312" t="str">
        <f t="shared" si="66"/>
        <v>项</v>
      </c>
    </row>
    <row r="1238" s="372" customFormat="1" ht="24" hidden="1" customHeight="1" spans="1:7">
      <c r="A1238" s="330">
        <v>2220304</v>
      </c>
      <c r="B1238" s="379" t="s">
        <v>1131</v>
      </c>
      <c r="C1238" s="602">
        <f>'02'!E1249</f>
        <v>0</v>
      </c>
      <c r="D1238" s="603">
        <v>0</v>
      </c>
      <c r="E1238" s="606" t="str">
        <f t="shared" si="64"/>
        <v/>
      </c>
      <c r="F1238" s="524" t="str">
        <f t="shared" si="65"/>
        <v>否</v>
      </c>
      <c r="G1238" s="312" t="str">
        <f t="shared" si="66"/>
        <v>项</v>
      </c>
    </row>
    <row r="1239" s="372" customFormat="1" ht="24" hidden="1" customHeight="1" spans="1:7">
      <c r="A1239" s="527">
        <v>2220305</v>
      </c>
      <c r="B1239" s="543" t="s">
        <v>1132</v>
      </c>
      <c r="C1239" s="602">
        <f>'02'!E1250</f>
        <v>0</v>
      </c>
      <c r="D1239" s="603">
        <v>0</v>
      </c>
      <c r="E1239" s="606" t="str">
        <f t="shared" si="64"/>
        <v/>
      </c>
      <c r="F1239" s="524" t="str">
        <f t="shared" si="65"/>
        <v>否</v>
      </c>
      <c r="G1239" s="312" t="str">
        <f t="shared" si="66"/>
        <v>项</v>
      </c>
    </row>
    <row r="1240" s="372" customFormat="1" ht="24" hidden="1" customHeight="1" spans="1:7">
      <c r="A1240" s="547">
        <v>2220306</v>
      </c>
      <c r="B1240" s="543" t="s">
        <v>1133</v>
      </c>
      <c r="C1240" s="602">
        <f>'02'!E1251</f>
        <v>0</v>
      </c>
      <c r="D1240" s="603">
        <v>0</v>
      </c>
      <c r="E1240" s="606" t="str">
        <f t="shared" si="64"/>
        <v/>
      </c>
      <c r="F1240" s="524" t="str">
        <f t="shared" si="65"/>
        <v>否</v>
      </c>
      <c r="G1240" s="312" t="str">
        <f t="shared" si="66"/>
        <v>项</v>
      </c>
    </row>
    <row r="1241" s="372" customFormat="1" ht="24" hidden="1" customHeight="1" spans="1:7">
      <c r="A1241" s="330">
        <v>2220399</v>
      </c>
      <c r="B1241" s="379" t="s">
        <v>1134</v>
      </c>
      <c r="C1241" s="602">
        <f>'02'!E1252</f>
        <v>0</v>
      </c>
      <c r="D1241" s="603">
        <v>0</v>
      </c>
      <c r="E1241" s="606" t="str">
        <f t="shared" si="64"/>
        <v/>
      </c>
      <c r="F1241" s="524" t="str">
        <f t="shared" si="65"/>
        <v>否</v>
      </c>
      <c r="G1241" s="312" t="str">
        <f t="shared" si="66"/>
        <v>项</v>
      </c>
    </row>
    <row r="1242" s="372" customFormat="1" ht="24" customHeight="1" spans="1:7">
      <c r="A1242" s="330">
        <v>22204</v>
      </c>
      <c r="B1242" s="379" t="s">
        <v>1135</v>
      </c>
      <c r="C1242" s="602">
        <f>SUM(C1243:C1247)</f>
        <v>197</v>
      </c>
      <c r="D1242" s="602">
        <f>SUM(D1243:D1247)</f>
        <v>190</v>
      </c>
      <c r="E1242" s="606">
        <f t="shared" si="64"/>
        <v>-0.0355329949238579</v>
      </c>
      <c r="F1242" s="524" t="str">
        <f t="shared" si="65"/>
        <v>是</v>
      </c>
      <c r="G1242" s="312" t="str">
        <f t="shared" si="66"/>
        <v>款</v>
      </c>
    </row>
    <row r="1243" s="372" customFormat="1" ht="24" hidden="1" customHeight="1" spans="1:7">
      <c r="A1243" s="330">
        <v>2220401</v>
      </c>
      <c r="B1243" s="379" t="s">
        <v>1136</v>
      </c>
      <c r="C1243" s="602">
        <f>'02'!E1254</f>
        <v>98</v>
      </c>
      <c r="D1243" s="603">
        <v>102</v>
      </c>
      <c r="E1243" s="606">
        <f t="shared" si="64"/>
        <v>0.0408163265306122</v>
      </c>
      <c r="F1243" s="524" t="str">
        <f t="shared" si="65"/>
        <v>是</v>
      </c>
      <c r="G1243" s="312" t="str">
        <f t="shared" si="66"/>
        <v>项</v>
      </c>
    </row>
    <row r="1244" ht="24" hidden="1" customHeight="1" spans="1:7">
      <c r="A1244" s="330">
        <v>2220402</v>
      </c>
      <c r="B1244" s="379" t="s">
        <v>1137</v>
      </c>
      <c r="C1244" s="602">
        <f>'02'!E1255</f>
        <v>62</v>
      </c>
      <c r="D1244" s="603">
        <v>50</v>
      </c>
      <c r="E1244" s="606">
        <f t="shared" si="64"/>
        <v>-0.193548387096774</v>
      </c>
      <c r="F1244" s="524" t="str">
        <f t="shared" si="65"/>
        <v>是</v>
      </c>
      <c r="G1244" s="312" t="str">
        <f t="shared" si="66"/>
        <v>项</v>
      </c>
    </row>
    <row r="1245" s="372" customFormat="1" ht="24" hidden="1" customHeight="1" spans="1:7">
      <c r="A1245" s="330">
        <v>2220403</v>
      </c>
      <c r="B1245" s="379" t="s">
        <v>1138</v>
      </c>
      <c r="C1245" s="602">
        <f>'02'!E1256</f>
        <v>12</v>
      </c>
      <c r="D1245" s="603">
        <v>15</v>
      </c>
      <c r="E1245" s="606">
        <f t="shared" si="64"/>
        <v>0.25</v>
      </c>
      <c r="F1245" s="524" t="str">
        <f t="shared" si="65"/>
        <v>是</v>
      </c>
      <c r="G1245" s="312" t="str">
        <f t="shared" si="66"/>
        <v>项</v>
      </c>
    </row>
    <row r="1246" s="372" customFormat="1" ht="24" hidden="1" customHeight="1" spans="1:7">
      <c r="A1246" s="330">
        <v>2220404</v>
      </c>
      <c r="B1246" s="379" t="s">
        <v>1139</v>
      </c>
      <c r="C1246" s="602">
        <f>'02'!E1257</f>
        <v>0</v>
      </c>
      <c r="D1246" s="603">
        <v>0</v>
      </c>
      <c r="E1246" s="606" t="str">
        <f t="shared" si="64"/>
        <v/>
      </c>
      <c r="F1246" s="524" t="str">
        <f t="shared" si="65"/>
        <v>否</v>
      </c>
      <c r="G1246" s="312" t="str">
        <f t="shared" si="66"/>
        <v>项</v>
      </c>
    </row>
    <row r="1247" s="372" customFormat="1" ht="24" hidden="1" customHeight="1" spans="1:7">
      <c r="A1247" s="330">
        <v>2220499</v>
      </c>
      <c r="B1247" s="379" t="s">
        <v>1140</v>
      </c>
      <c r="C1247" s="602">
        <f>'02'!E1258</f>
        <v>25</v>
      </c>
      <c r="D1247" s="603">
        <v>23</v>
      </c>
      <c r="E1247" s="606">
        <f t="shared" si="64"/>
        <v>-0.08</v>
      </c>
      <c r="F1247" s="524" t="str">
        <f t="shared" si="65"/>
        <v>是</v>
      </c>
      <c r="G1247" s="312" t="str">
        <f t="shared" si="66"/>
        <v>项</v>
      </c>
    </row>
    <row r="1248" ht="24" customHeight="1" spans="1:7">
      <c r="A1248" s="330">
        <v>22205</v>
      </c>
      <c r="B1248" s="379" t="s">
        <v>1141</v>
      </c>
      <c r="C1248" s="602">
        <f>SUM(C1249:C1260)</f>
        <v>10</v>
      </c>
      <c r="D1248" s="602">
        <f>SUM(D1249:D1260)</f>
        <v>10</v>
      </c>
      <c r="E1248" s="606">
        <f t="shared" si="64"/>
        <v>0</v>
      </c>
      <c r="F1248" s="524" t="str">
        <f t="shared" si="65"/>
        <v>是</v>
      </c>
      <c r="G1248" s="312" t="str">
        <f t="shared" si="66"/>
        <v>款</v>
      </c>
    </row>
    <row r="1249" s="372" customFormat="1" ht="24" hidden="1" customHeight="1" spans="1:7">
      <c r="A1249" s="330">
        <v>2220501</v>
      </c>
      <c r="B1249" s="379" t="s">
        <v>1142</v>
      </c>
      <c r="C1249" s="602">
        <f>'02'!E1260</f>
        <v>0</v>
      </c>
      <c r="D1249" s="603">
        <v>0</v>
      </c>
      <c r="E1249" s="606" t="str">
        <f t="shared" si="64"/>
        <v/>
      </c>
      <c r="F1249" s="524" t="str">
        <f t="shared" si="65"/>
        <v>否</v>
      </c>
      <c r="G1249" s="312" t="str">
        <f t="shared" si="66"/>
        <v>项</v>
      </c>
    </row>
    <row r="1250" s="372" customFormat="1" ht="24" hidden="1" customHeight="1" spans="1:7">
      <c r="A1250" s="330">
        <v>2220502</v>
      </c>
      <c r="B1250" s="379" t="s">
        <v>1143</v>
      </c>
      <c r="C1250" s="602">
        <f>'02'!E1261</f>
        <v>0</v>
      </c>
      <c r="D1250" s="603">
        <v>0</v>
      </c>
      <c r="E1250" s="606" t="str">
        <f t="shared" si="64"/>
        <v/>
      </c>
      <c r="F1250" s="524" t="str">
        <f t="shared" si="65"/>
        <v>否</v>
      </c>
      <c r="G1250" s="312" t="str">
        <f t="shared" si="66"/>
        <v>项</v>
      </c>
    </row>
    <row r="1251" s="372" customFormat="1" ht="24" hidden="1" customHeight="1" spans="1:7">
      <c r="A1251" s="330">
        <v>2220503</v>
      </c>
      <c r="B1251" s="379" t="s">
        <v>1144</v>
      </c>
      <c r="C1251" s="602">
        <f>'02'!E1262</f>
        <v>0</v>
      </c>
      <c r="D1251" s="603">
        <v>0</v>
      </c>
      <c r="E1251" s="606" t="str">
        <f t="shared" si="64"/>
        <v/>
      </c>
      <c r="F1251" s="524" t="str">
        <f t="shared" si="65"/>
        <v>否</v>
      </c>
      <c r="G1251" s="312" t="str">
        <f t="shared" si="66"/>
        <v>项</v>
      </c>
    </row>
    <row r="1252" ht="24" hidden="1" customHeight="1" spans="1:7">
      <c r="A1252" s="330">
        <v>2220504</v>
      </c>
      <c r="B1252" s="379" t="s">
        <v>1145</v>
      </c>
      <c r="C1252" s="602">
        <f>'02'!E1263</f>
        <v>0</v>
      </c>
      <c r="D1252" s="603">
        <v>0</v>
      </c>
      <c r="E1252" s="606" t="str">
        <f t="shared" si="64"/>
        <v/>
      </c>
      <c r="F1252" s="524" t="str">
        <f t="shared" si="65"/>
        <v>否</v>
      </c>
      <c r="G1252" s="312" t="str">
        <f t="shared" si="66"/>
        <v>项</v>
      </c>
    </row>
    <row r="1253" ht="24" hidden="1" customHeight="1" spans="1:7">
      <c r="A1253" s="330">
        <v>2220505</v>
      </c>
      <c r="B1253" s="379" t="s">
        <v>1146</v>
      </c>
      <c r="C1253" s="602">
        <f>'02'!E1264</f>
        <v>0</v>
      </c>
      <c r="D1253" s="603">
        <v>0</v>
      </c>
      <c r="E1253" s="606" t="str">
        <f t="shared" si="64"/>
        <v/>
      </c>
      <c r="F1253" s="524" t="str">
        <f t="shared" si="65"/>
        <v>否</v>
      </c>
      <c r="G1253" s="312" t="str">
        <f t="shared" si="66"/>
        <v>项</v>
      </c>
    </row>
    <row r="1254" s="372" customFormat="1" ht="24" hidden="1" customHeight="1" spans="1:7">
      <c r="A1254" s="330">
        <v>2220506</v>
      </c>
      <c r="B1254" s="379" t="s">
        <v>1147</v>
      </c>
      <c r="C1254" s="602">
        <f>'02'!E1265</f>
        <v>0</v>
      </c>
      <c r="D1254" s="603">
        <v>0</v>
      </c>
      <c r="E1254" s="606" t="str">
        <f t="shared" si="64"/>
        <v/>
      </c>
      <c r="F1254" s="524" t="str">
        <f t="shared" si="65"/>
        <v>否</v>
      </c>
      <c r="G1254" s="312" t="str">
        <f t="shared" si="66"/>
        <v>项</v>
      </c>
    </row>
    <row r="1255" s="372" customFormat="1" ht="24" hidden="1" customHeight="1" spans="1:7">
      <c r="A1255" s="330">
        <v>2220507</v>
      </c>
      <c r="B1255" s="379" t="s">
        <v>1148</v>
      </c>
      <c r="C1255" s="602">
        <f>'02'!E1266</f>
        <v>0</v>
      </c>
      <c r="D1255" s="603">
        <v>0</v>
      </c>
      <c r="E1255" s="606" t="str">
        <f t="shared" si="64"/>
        <v/>
      </c>
      <c r="F1255" s="524" t="str">
        <f t="shared" si="65"/>
        <v>否</v>
      </c>
      <c r="G1255" s="312" t="str">
        <f t="shared" si="66"/>
        <v>项</v>
      </c>
    </row>
    <row r="1256" s="372" customFormat="1" ht="24" hidden="1" customHeight="1" spans="1:7">
      <c r="A1256" s="330">
        <v>2220508</v>
      </c>
      <c r="B1256" s="379" t="s">
        <v>1149</v>
      </c>
      <c r="C1256" s="602">
        <f>'02'!E1267</f>
        <v>0</v>
      </c>
      <c r="D1256" s="603">
        <v>0</v>
      </c>
      <c r="E1256" s="606" t="str">
        <f t="shared" si="64"/>
        <v/>
      </c>
      <c r="F1256" s="524" t="str">
        <f t="shared" si="65"/>
        <v>否</v>
      </c>
      <c r="G1256" s="312" t="str">
        <f t="shared" si="66"/>
        <v>项</v>
      </c>
    </row>
    <row r="1257" s="372" customFormat="1" ht="24" hidden="1" customHeight="1" spans="1:7">
      <c r="A1257" s="330">
        <v>2220509</v>
      </c>
      <c r="B1257" s="379" t="s">
        <v>1150</v>
      </c>
      <c r="C1257" s="602">
        <f>'02'!E1268</f>
        <v>0</v>
      </c>
      <c r="D1257" s="603">
        <v>0</v>
      </c>
      <c r="E1257" s="606" t="str">
        <f t="shared" si="64"/>
        <v/>
      </c>
      <c r="F1257" s="524" t="str">
        <f t="shared" si="65"/>
        <v>否</v>
      </c>
      <c r="G1257" s="312" t="str">
        <f t="shared" si="66"/>
        <v>项</v>
      </c>
    </row>
    <row r="1258" s="372" customFormat="1" ht="24" hidden="1" customHeight="1" spans="1:7">
      <c r="A1258" s="330">
        <v>2220510</v>
      </c>
      <c r="B1258" s="379" t="s">
        <v>1151</v>
      </c>
      <c r="C1258" s="602">
        <f>'02'!E1269</f>
        <v>0</v>
      </c>
      <c r="D1258" s="603">
        <v>0</v>
      </c>
      <c r="E1258" s="606" t="str">
        <f t="shared" si="64"/>
        <v/>
      </c>
      <c r="F1258" s="524" t="str">
        <f t="shared" si="65"/>
        <v>否</v>
      </c>
      <c r="G1258" s="312" t="str">
        <f t="shared" si="66"/>
        <v>项</v>
      </c>
    </row>
    <row r="1259" s="372" customFormat="1" ht="24" hidden="1" customHeight="1" spans="1:7">
      <c r="A1259" s="406">
        <v>2220511</v>
      </c>
      <c r="B1259" s="379" t="s">
        <v>1152</v>
      </c>
      <c r="C1259" s="602">
        <f>'02'!E1270</f>
        <v>10</v>
      </c>
      <c r="D1259" s="603">
        <v>10</v>
      </c>
      <c r="E1259" s="606">
        <f t="shared" si="64"/>
        <v>0</v>
      </c>
      <c r="F1259" s="524" t="str">
        <f t="shared" si="65"/>
        <v>是</v>
      </c>
      <c r="G1259" s="312" t="str">
        <f t="shared" si="66"/>
        <v>项</v>
      </c>
    </row>
    <row r="1260" s="372" customFormat="1" ht="24" hidden="1" customHeight="1" spans="1:7">
      <c r="A1260" s="330">
        <v>2220599</v>
      </c>
      <c r="B1260" s="379" t="s">
        <v>1153</v>
      </c>
      <c r="C1260" s="602">
        <f>'02'!E1271</f>
        <v>0</v>
      </c>
      <c r="D1260" s="603">
        <v>0</v>
      </c>
      <c r="E1260" s="606" t="str">
        <f t="shared" si="64"/>
        <v/>
      </c>
      <c r="F1260" s="524" t="str">
        <f t="shared" si="65"/>
        <v>否</v>
      </c>
      <c r="G1260" s="312" t="str">
        <f t="shared" si="66"/>
        <v>项</v>
      </c>
    </row>
    <row r="1261" s="372" customFormat="1" ht="24" customHeight="1" spans="1:7">
      <c r="A1261" s="329">
        <v>224</v>
      </c>
      <c r="B1261" s="377" t="s">
        <v>195</v>
      </c>
      <c r="C1261" s="601">
        <f>C1262+C1273+C1280+C1288+C1301+C1305+C1309</f>
        <v>21135</v>
      </c>
      <c r="D1261" s="601">
        <f>D1262+D1273+D1280+D1288+D1301+D1305+D1309</f>
        <v>20403</v>
      </c>
      <c r="E1261" s="605">
        <f t="shared" si="64"/>
        <v>-0.0346344925479063</v>
      </c>
      <c r="F1261" s="524" t="str">
        <f t="shared" si="65"/>
        <v>是</v>
      </c>
      <c r="G1261" s="312" t="str">
        <f t="shared" si="66"/>
        <v>类</v>
      </c>
    </row>
    <row r="1262" s="372" customFormat="1" ht="24" customHeight="1" spans="1:7">
      <c r="A1262" s="330">
        <v>22401</v>
      </c>
      <c r="B1262" s="379" t="s">
        <v>1154</v>
      </c>
      <c r="C1262" s="602">
        <f>SUM(C1263:C1272)</f>
        <v>6439</v>
      </c>
      <c r="D1262" s="602">
        <f>SUM(D1263:D1272)</f>
        <v>6497</v>
      </c>
      <c r="E1262" s="606">
        <f t="shared" si="64"/>
        <v>0.00900760987731014</v>
      </c>
      <c r="F1262" s="524" t="str">
        <f t="shared" si="65"/>
        <v>是</v>
      </c>
      <c r="G1262" s="312" t="str">
        <f t="shared" si="66"/>
        <v>款</v>
      </c>
    </row>
    <row r="1263" s="372" customFormat="1" ht="24" hidden="1" customHeight="1" spans="1:7">
      <c r="A1263" s="330">
        <v>2240101</v>
      </c>
      <c r="B1263" s="379" t="s">
        <v>212</v>
      </c>
      <c r="C1263" s="602">
        <f>'02'!E1274</f>
        <v>1666</v>
      </c>
      <c r="D1263" s="603">
        <v>1695</v>
      </c>
      <c r="E1263" s="606">
        <f t="shared" si="64"/>
        <v>0.017406962785114</v>
      </c>
      <c r="F1263" s="524" t="str">
        <f t="shared" si="65"/>
        <v>是</v>
      </c>
      <c r="G1263" s="312" t="str">
        <f t="shared" si="66"/>
        <v>项</v>
      </c>
    </row>
    <row r="1264" s="372" customFormat="1" ht="24" hidden="1" customHeight="1" spans="1:7">
      <c r="A1264" s="330">
        <v>2240102</v>
      </c>
      <c r="B1264" s="379" t="s">
        <v>213</v>
      </c>
      <c r="C1264" s="602">
        <f>'02'!E1275</f>
        <v>9</v>
      </c>
      <c r="D1264" s="603">
        <v>7</v>
      </c>
      <c r="E1264" s="606">
        <f t="shared" si="64"/>
        <v>-0.222222222222222</v>
      </c>
      <c r="F1264" s="524" t="str">
        <f t="shared" si="65"/>
        <v>是</v>
      </c>
      <c r="G1264" s="312" t="str">
        <f t="shared" si="66"/>
        <v>项</v>
      </c>
    </row>
    <row r="1265" s="372" customFormat="1" ht="24" hidden="1" customHeight="1" spans="1:7">
      <c r="A1265" s="330">
        <v>2240103</v>
      </c>
      <c r="B1265" s="379" t="s">
        <v>214</v>
      </c>
      <c r="C1265" s="602">
        <f>'02'!E1276</f>
        <v>0</v>
      </c>
      <c r="D1265" s="603">
        <v>0</v>
      </c>
      <c r="E1265" s="606" t="str">
        <f t="shared" si="64"/>
        <v/>
      </c>
      <c r="F1265" s="524" t="str">
        <f t="shared" si="65"/>
        <v>否</v>
      </c>
      <c r="G1265" s="312" t="str">
        <f t="shared" si="66"/>
        <v>项</v>
      </c>
    </row>
    <row r="1266" s="372" customFormat="1" ht="24" hidden="1" customHeight="1" spans="1:7">
      <c r="A1266" s="330">
        <v>2240104</v>
      </c>
      <c r="B1266" s="379" t="s">
        <v>1155</v>
      </c>
      <c r="C1266" s="602">
        <f>'02'!E1277</f>
        <v>54</v>
      </c>
      <c r="D1266" s="603">
        <v>55</v>
      </c>
      <c r="E1266" s="606">
        <f t="shared" si="64"/>
        <v>0.0185185185185185</v>
      </c>
      <c r="F1266" s="524" t="str">
        <f t="shared" si="65"/>
        <v>是</v>
      </c>
      <c r="G1266" s="312" t="str">
        <f t="shared" si="66"/>
        <v>项</v>
      </c>
    </row>
    <row r="1267" s="372" customFormat="1" ht="24" hidden="1" customHeight="1" spans="1:7">
      <c r="A1267" s="330">
        <v>2240105</v>
      </c>
      <c r="B1267" s="379" t="s">
        <v>1156</v>
      </c>
      <c r="C1267" s="602">
        <f>'02'!E1278</f>
        <v>0</v>
      </c>
      <c r="D1267" s="603">
        <v>0</v>
      </c>
      <c r="E1267" s="606" t="str">
        <f t="shared" si="64"/>
        <v/>
      </c>
      <c r="F1267" s="524" t="str">
        <f t="shared" si="65"/>
        <v>否</v>
      </c>
      <c r="G1267" s="312" t="str">
        <f t="shared" si="66"/>
        <v>项</v>
      </c>
    </row>
    <row r="1268" s="372" customFormat="1" ht="24" hidden="1" customHeight="1" spans="1:7">
      <c r="A1268" s="330">
        <v>2240106</v>
      </c>
      <c r="B1268" s="379" t="s">
        <v>1157</v>
      </c>
      <c r="C1268" s="602">
        <f>'02'!E1279</f>
        <v>859</v>
      </c>
      <c r="D1268" s="603">
        <v>865</v>
      </c>
      <c r="E1268" s="606">
        <f t="shared" si="64"/>
        <v>0.0069848661233993</v>
      </c>
      <c r="F1268" s="524" t="str">
        <f t="shared" si="65"/>
        <v>是</v>
      </c>
      <c r="G1268" s="312" t="str">
        <f t="shared" si="66"/>
        <v>项</v>
      </c>
    </row>
    <row r="1269" s="372" customFormat="1" ht="24" hidden="1" customHeight="1" spans="1:7">
      <c r="A1269" s="330">
        <v>2240108</v>
      </c>
      <c r="B1269" s="379" t="s">
        <v>1158</v>
      </c>
      <c r="C1269" s="602">
        <f>'02'!E1280</f>
        <v>544</v>
      </c>
      <c r="D1269" s="603">
        <v>552</v>
      </c>
      <c r="E1269" s="606">
        <f t="shared" si="64"/>
        <v>0.0147058823529412</v>
      </c>
      <c r="F1269" s="524" t="str">
        <f t="shared" si="65"/>
        <v>是</v>
      </c>
      <c r="G1269" s="312" t="str">
        <f t="shared" si="66"/>
        <v>项</v>
      </c>
    </row>
    <row r="1270" s="372" customFormat="1" ht="24" hidden="1" customHeight="1" spans="1:7">
      <c r="A1270" s="330">
        <v>2240109</v>
      </c>
      <c r="B1270" s="379" t="s">
        <v>1159</v>
      </c>
      <c r="C1270" s="602">
        <f>'02'!E1281</f>
        <v>194</v>
      </c>
      <c r="D1270" s="603">
        <v>186</v>
      </c>
      <c r="E1270" s="606">
        <f t="shared" si="64"/>
        <v>-0.0412371134020619</v>
      </c>
      <c r="F1270" s="524" t="str">
        <f t="shared" si="65"/>
        <v>是</v>
      </c>
      <c r="G1270" s="312" t="str">
        <f t="shared" si="66"/>
        <v>项</v>
      </c>
    </row>
    <row r="1271" ht="24" hidden="1" customHeight="1" spans="1:7">
      <c r="A1271" s="330">
        <v>2240150</v>
      </c>
      <c r="B1271" s="379" t="s">
        <v>221</v>
      </c>
      <c r="C1271" s="602">
        <f>'02'!E1282</f>
        <v>2970</v>
      </c>
      <c r="D1271" s="603">
        <v>3012</v>
      </c>
      <c r="E1271" s="606">
        <f t="shared" ref="E1271:E1324" si="67">IFERROR((D1271-C1271)/C1271,"")</f>
        <v>0.0141414141414141</v>
      </c>
      <c r="F1271" s="524" t="str">
        <f t="shared" si="65"/>
        <v>是</v>
      </c>
      <c r="G1271" s="312" t="str">
        <f t="shared" si="66"/>
        <v>项</v>
      </c>
    </row>
    <row r="1272" s="372" customFormat="1" ht="24" hidden="1" customHeight="1" spans="1:7">
      <c r="A1272" s="330">
        <v>2240199</v>
      </c>
      <c r="B1272" s="379" t="s">
        <v>1160</v>
      </c>
      <c r="C1272" s="602">
        <f>'02'!E1283</f>
        <v>143</v>
      </c>
      <c r="D1272" s="603">
        <v>125</v>
      </c>
      <c r="E1272" s="606">
        <f t="shared" si="67"/>
        <v>-0.125874125874126</v>
      </c>
      <c r="F1272" s="524" t="str">
        <f t="shared" si="65"/>
        <v>是</v>
      </c>
      <c r="G1272" s="312" t="str">
        <f t="shared" si="66"/>
        <v>项</v>
      </c>
    </row>
    <row r="1273" s="372" customFormat="1" ht="24" customHeight="1" spans="1:7">
      <c r="A1273" s="330">
        <v>22402</v>
      </c>
      <c r="B1273" s="405" t="s">
        <v>1161</v>
      </c>
      <c r="C1273" s="602">
        <f>SUM(C1274:C1279)</f>
        <v>5932</v>
      </c>
      <c r="D1273" s="602">
        <f>SUM(D1274:D1279)</f>
        <v>5919</v>
      </c>
      <c r="E1273" s="606">
        <f t="shared" si="67"/>
        <v>-0.00219150370869858</v>
      </c>
      <c r="F1273" s="524" t="str">
        <f t="shared" si="65"/>
        <v>是</v>
      </c>
      <c r="G1273" s="312" t="str">
        <f t="shared" si="66"/>
        <v>款</v>
      </c>
    </row>
    <row r="1274" s="372" customFormat="1" ht="24" hidden="1" customHeight="1" spans="1:7">
      <c r="A1274" s="330">
        <v>2240201</v>
      </c>
      <c r="B1274" s="379" t="s">
        <v>212</v>
      </c>
      <c r="C1274" s="602">
        <f>'02'!E1285</f>
        <v>3840</v>
      </c>
      <c r="D1274" s="603">
        <v>3889</v>
      </c>
      <c r="E1274" s="606">
        <f t="shared" si="67"/>
        <v>0.0127604166666667</v>
      </c>
      <c r="F1274" s="524" t="str">
        <f t="shared" ref="F1274:F1324" si="68">IF(LEN(A1274)=3,"是",IF(B1274&lt;&gt;"",IF(SUM(C1274:D1274)&lt;&gt;0,"是","否"),"是"))</f>
        <v>是</v>
      </c>
      <c r="G1274" s="312" t="str">
        <f t="shared" ref="G1274:G1320" si="69">IF(LEN(A1274)=3,"类",IF(LEN(A1274)=5,"款","项"))</f>
        <v>项</v>
      </c>
    </row>
    <row r="1275" s="372" customFormat="1" ht="24" hidden="1" customHeight="1" spans="1:7">
      <c r="A1275" s="330">
        <v>2240202</v>
      </c>
      <c r="B1275" s="379" t="s">
        <v>213</v>
      </c>
      <c r="C1275" s="602">
        <f>'02'!E1286</f>
        <v>0</v>
      </c>
      <c r="D1275" s="603">
        <v>0</v>
      </c>
      <c r="E1275" s="606" t="str">
        <f t="shared" si="67"/>
        <v/>
      </c>
      <c r="F1275" s="524" t="str">
        <f t="shared" si="68"/>
        <v>否</v>
      </c>
      <c r="G1275" s="312" t="str">
        <f t="shared" si="69"/>
        <v>项</v>
      </c>
    </row>
    <row r="1276" s="372" customFormat="1" ht="24" hidden="1" customHeight="1" spans="1:7">
      <c r="A1276" s="330">
        <v>2240203</v>
      </c>
      <c r="B1276" s="379" t="s">
        <v>214</v>
      </c>
      <c r="C1276" s="602">
        <f>'02'!E1287</f>
        <v>0</v>
      </c>
      <c r="D1276" s="603">
        <v>0</v>
      </c>
      <c r="E1276" s="606" t="str">
        <f t="shared" si="67"/>
        <v/>
      </c>
      <c r="F1276" s="524" t="str">
        <f t="shared" si="68"/>
        <v>否</v>
      </c>
      <c r="G1276" s="312" t="str">
        <f t="shared" si="69"/>
        <v>项</v>
      </c>
    </row>
    <row r="1277" s="372" customFormat="1" ht="24" hidden="1" customHeight="1" spans="1:7">
      <c r="A1277" s="330">
        <v>2240204</v>
      </c>
      <c r="B1277" s="379" t="s">
        <v>1162</v>
      </c>
      <c r="C1277" s="602">
        <f>'02'!E1288</f>
        <v>1835</v>
      </c>
      <c r="D1277" s="603">
        <v>1795</v>
      </c>
      <c r="E1277" s="606">
        <f t="shared" si="67"/>
        <v>-0.0217983651226158</v>
      </c>
      <c r="F1277" s="524" t="str">
        <f t="shared" si="68"/>
        <v>是</v>
      </c>
      <c r="G1277" s="312" t="str">
        <f t="shared" si="69"/>
        <v>项</v>
      </c>
    </row>
    <row r="1278" s="372" customFormat="1" ht="24" hidden="1" customHeight="1" spans="1:7">
      <c r="A1278" s="339">
        <v>2240250</v>
      </c>
      <c r="B1278" s="379" t="s">
        <v>221</v>
      </c>
      <c r="C1278" s="602">
        <f>'02'!E1289</f>
        <v>0</v>
      </c>
      <c r="D1278" s="603">
        <v>0</v>
      </c>
      <c r="E1278" s="606" t="str">
        <f t="shared" si="67"/>
        <v/>
      </c>
      <c r="F1278" s="524" t="str">
        <f t="shared" si="68"/>
        <v>否</v>
      </c>
      <c r="G1278" s="312" t="str">
        <f t="shared" si="69"/>
        <v>项</v>
      </c>
    </row>
    <row r="1279" s="372" customFormat="1" ht="24" hidden="1" customHeight="1" spans="1:7">
      <c r="A1279" s="330">
        <v>2240299</v>
      </c>
      <c r="B1279" s="405" t="s">
        <v>1163</v>
      </c>
      <c r="C1279" s="602">
        <f>'02'!E1290</f>
        <v>257</v>
      </c>
      <c r="D1279" s="603">
        <v>235</v>
      </c>
      <c r="E1279" s="606">
        <f t="shared" si="67"/>
        <v>-0.0856031128404669</v>
      </c>
      <c r="F1279" s="524" t="str">
        <f t="shared" si="68"/>
        <v>是</v>
      </c>
      <c r="G1279" s="312" t="str">
        <f t="shared" si="69"/>
        <v>项</v>
      </c>
    </row>
    <row r="1280" s="372" customFormat="1" ht="24" customHeight="1" spans="1:7">
      <c r="A1280" s="330">
        <v>22404</v>
      </c>
      <c r="B1280" s="379" t="s">
        <v>1164</v>
      </c>
      <c r="C1280" s="602">
        <f>SUM(C1281:C1287)</f>
        <v>1155</v>
      </c>
      <c r="D1280" s="602">
        <f>SUM(D1281:D1287)</f>
        <v>1135</v>
      </c>
      <c r="E1280" s="606">
        <f t="shared" si="67"/>
        <v>-0.0173160173160173</v>
      </c>
      <c r="F1280" s="524" t="str">
        <f t="shared" si="68"/>
        <v>是</v>
      </c>
      <c r="G1280" s="312" t="str">
        <f t="shared" si="69"/>
        <v>款</v>
      </c>
    </row>
    <row r="1281" s="372" customFormat="1" ht="24" hidden="1" customHeight="1" spans="1:7">
      <c r="A1281" s="330">
        <v>2240401</v>
      </c>
      <c r="B1281" s="379" t="s">
        <v>212</v>
      </c>
      <c r="C1281" s="602">
        <f>'02'!E1292</f>
        <v>325</v>
      </c>
      <c r="D1281" s="603">
        <v>333</v>
      </c>
      <c r="E1281" s="606">
        <f t="shared" si="67"/>
        <v>0.0246153846153846</v>
      </c>
      <c r="F1281" s="524" t="str">
        <f t="shared" si="68"/>
        <v>是</v>
      </c>
      <c r="G1281" s="312" t="str">
        <f t="shared" si="69"/>
        <v>项</v>
      </c>
    </row>
    <row r="1282" s="372" customFormat="1" ht="24" hidden="1" customHeight="1" spans="1:7">
      <c r="A1282" s="330">
        <v>2240402</v>
      </c>
      <c r="B1282" s="379" t="s">
        <v>213</v>
      </c>
      <c r="C1282" s="602">
        <f>'02'!E1293</f>
        <v>0</v>
      </c>
      <c r="D1282" s="603">
        <v>0</v>
      </c>
      <c r="E1282" s="606" t="str">
        <f t="shared" si="67"/>
        <v/>
      </c>
      <c r="F1282" s="524" t="str">
        <f t="shared" si="68"/>
        <v>否</v>
      </c>
      <c r="G1282" s="312" t="str">
        <f t="shared" si="69"/>
        <v>项</v>
      </c>
    </row>
    <row r="1283" s="372" customFormat="1" ht="24" hidden="1" customHeight="1" spans="1:7">
      <c r="A1283" s="330">
        <v>2240403</v>
      </c>
      <c r="B1283" s="379" t="s">
        <v>214</v>
      </c>
      <c r="C1283" s="602">
        <f>'02'!E1294</f>
        <v>0</v>
      </c>
      <c r="D1283" s="603">
        <v>0</v>
      </c>
      <c r="E1283" s="606" t="str">
        <f t="shared" si="67"/>
        <v/>
      </c>
      <c r="F1283" s="524" t="str">
        <f t="shared" si="68"/>
        <v>否</v>
      </c>
      <c r="G1283" s="312" t="str">
        <f t="shared" si="69"/>
        <v>项</v>
      </c>
    </row>
    <row r="1284" s="372" customFormat="1" ht="24" hidden="1" customHeight="1" spans="1:7">
      <c r="A1284" s="330">
        <v>2240404</v>
      </c>
      <c r="B1284" s="405" t="s">
        <v>1165</v>
      </c>
      <c r="C1284" s="602">
        <f>'02'!E1295</f>
        <v>122</v>
      </c>
      <c r="D1284" s="603">
        <v>125</v>
      </c>
      <c r="E1284" s="606">
        <f t="shared" si="67"/>
        <v>0.0245901639344262</v>
      </c>
      <c r="F1284" s="524" t="str">
        <f t="shared" si="68"/>
        <v>是</v>
      </c>
      <c r="G1284" s="312" t="str">
        <f t="shared" si="69"/>
        <v>项</v>
      </c>
    </row>
    <row r="1285" ht="24" hidden="1" customHeight="1" spans="1:7">
      <c r="A1285" s="330">
        <v>2240405</v>
      </c>
      <c r="B1285" s="405" t="s">
        <v>1166</v>
      </c>
      <c r="C1285" s="602">
        <f>'02'!E1296</f>
        <v>196</v>
      </c>
      <c r="D1285" s="603">
        <v>203</v>
      </c>
      <c r="E1285" s="606">
        <f t="shared" si="67"/>
        <v>0.0357142857142857</v>
      </c>
      <c r="F1285" s="524" t="str">
        <f t="shared" si="68"/>
        <v>是</v>
      </c>
      <c r="G1285" s="312" t="str">
        <f t="shared" si="69"/>
        <v>项</v>
      </c>
    </row>
    <row r="1286" s="372" customFormat="1" ht="24" hidden="1" customHeight="1" spans="1:7">
      <c r="A1286" s="330">
        <v>2240450</v>
      </c>
      <c r="B1286" s="379" t="s">
        <v>221</v>
      </c>
      <c r="C1286" s="602">
        <f>'02'!E1297</f>
        <v>77</v>
      </c>
      <c r="D1286" s="603">
        <v>79</v>
      </c>
      <c r="E1286" s="606">
        <f t="shared" si="67"/>
        <v>0.025974025974026</v>
      </c>
      <c r="F1286" s="524" t="str">
        <f t="shared" si="68"/>
        <v>是</v>
      </c>
      <c r="G1286" s="312" t="str">
        <f t="shared" si="69"/>
        <v>项</v>
      </c>
    </row>
    <row r="1287" s="372" customFormat="1" ht="24" hidden="1" customHeight="1" spans="1:7">
      <c r="A1287" s="330">
        <v>2240499</v>
      </c>
      <c r="B1287" s="405" t="s">
        <v>1167</v>
      </c>
      <c r="C1287" s="602">
        <f>'02'!E1298</f>
        <v>435</v>
      </c>
      <c r="D1287" s="603">
        <v>395</v>
      </c>
      <c r="E1287" s="606">
        <f t="shared" si="67"/>
        <v>-0.0919540229885057</v>
      </c>
      <c r="F1287" s="524" t="str">
        <f t="shared" si="68"/>
        <v>是</v>
      </c>
      <c r="G1287" s="312" t="str">
        <f t="shared" si="69"/>
        <v>项</v>
      </c>
    </row>
    <row r="1288" s="372" customFormat="1" ht="24" customHeight="1" spans="1:7">
      <c r="A1288" s="330">
        <v>22405</v>
      </c>
      <c r="B1288" s="379" t="s">
        <v>1168</v>
      </c>
      <c r="C1288" s="602">
        <f>SUM(C1289:C1300)</f>
        <v>1179</v>
      </c>
      <c r="D1288" s="602">
        <f>SUM(D1289:D1300)</f>
        <v>1146</v>
      </c>
      <c r="E1288" s="606">
        <f t="shared" si="67"/>
        <v>-0.0279898218829517</v>
      </c>
      <c r="F1288" s="524" t="str">
        <f t="shared" si="68"/>
        <v>是</v>
      </c>
      <c r="G1288" s="312" t="str">
        <f t="shared" si="69"/>
        <v>款</v>
      </c>
    </row>
    <row r="1289" s="372" customFormat="1" ht="24" hidden="1" customHeight="1" spans="1:7">
      <c r="A1289" s="330">
        <v>2240501</v>
      </c>
      <c r="B1289" s="379" t="s">
        <v>212</v>
      </c>
      <c r="C1289" s="602">
        <f>'02'!E1300</f>
        <v>235</v>
      </c>
      <c r="D1289" s="603">
        <v>244</v>
      </c>
      <c r="E1289" s="606">
        <f t="shared" si="67"/>
        <v>0.0382978723404255</v>
      </c>
      <c r="F1289" s="524" t="str">
        <f t="shared" si="68"/>
        <v>是</v>
      </c>
      <c r="G1289" s="312" t="str">
        <f t="shared" si="69"/>
        <v>项</v>
      </c>
    </row>
    <row r="1290" s="372" customFormat="1" ht="24" hidden="1" customHeight="1" spans="1:7">
      <c r="A1290" s="330">
        <v>2240502</v>
      </c>
      <c r="B1290" s="379" t="s">
        <v>213</v>
      </c>
      <c r="C1290" s="602">
        <f>'02'!E1301</f>
        <v>0</v>
      </c>
      <c r="D1290" s="603">
        <v>0</v>
      </c>
      <c r="E1290" s="606" t="str">
        <f t="shared" si="67"/>
        <v/>
      </c>
      <c r="F1290" s="524" t="str">
        <f t="shared" si="68"/>
        <v>否</v>
      </c>
      <c r="G1290" s="312" t="str">
        <f t="shared" si="69"/>
        <v>项</v>
      </c>
    </row>
    <row r="1291" ht="24" hidden="1" customHeight="1" spans="1:7">
      <c r="A1291" s="330">
        <v>2240503</v>
      </c>
      <c r="B1291" s="379" t="s">
        <v>214</v>
      </c>
      <c r="C1291" s="602">
        <f>'02'!E1302</f>
        <v>0</v>
      </c>
      <c r="D1291" s="603">
        <v>0</v>
      </c>
      <c r="E1291" s="606" t="str">
        <f t="shared" si="67"/>
        <v/>
      </c>
      <c r="F1291" s="524" t="str">
        <f t="shared" si="68"/>
        <v>否</v>
      </c>
      <c r="G1291" s="312" t="str">
        <f t="shared" si="69"/>
        <v>项</v>
      </c>
    </row>
    <row r="1292" s="372" customFormat="1" ht="24" hidden="1" customHeight="1" spans="1:7">
      <c r="A1292" s="330">
        <v>2240504</v>
      </c>
      <c r="B1292" s="379" t="s">
        <v>1169</v>
      </c>
      <c r="C1292" s="602">
        <f>'02'!E1303</f>
        <v>2</v>
      </c>
      <c r="D1292" s="603">
        <v>3</v>
      </c>
      <c r="E1292" s="606">
        <f t="shared" si="67"/>
        <v>0.5</v>
      </c>
      <c r="F1292" s="524" t="str">
        <f t="shared" si="68"/>
        <v>是</v>
      </c>
      <c r="G1292" s="312" t="str">
        <f t="shared" si="69"/>
        <v>项</v>
      </c>
    </row>
    <row r="1293" s="372" customFormat="1" ht="24" hidden="1" customHeight="1" spans="1:7">
      <c r="A1293" s="330">
        <v>2240505</v>
      </c>
      <c r="B1293" s="379" t="s">
        <v>1170</v>
      </c>
      <c r="C1293" s="602">
        <f>'02'!E1304</f>
        <v>18</v>
      </c>
      <c r="D1293" s="603">
        <v>19</v>
      </c>
      <c r="E1293" s="606">
        <f t="shared" si="67"/>
        <v>0.0555555555555556</v>
      </c>
      <c r="F1293" s="524" t="str">
        <f t="shared" si="68"/>
        <v>是</v>
      </c>
      <c r="G1293" s="312" t="str">
        <f t="shared" si="69"/>
        <v>项</v>
      </c>
    </row>
    <row r="1294" s="372" customFormat="1" ht="24" hidden="1" customHeight="1" spans="1:7">
      <c r="A1294" s="330">
        <v>2240506</v>
      </c>
      <c r="B1294" s="379" t="s">
        <v>1171</v>
      </c>
      <c r="C1294" s="602">
        <f>'02'!E1305</f>
        <v>79</v>
      </c>
      <c r="D1294" s="603">
        <v>78</v>
      </c>
      <c r="E1294" s="606">
        <f t="shared" si="67"/>
        <v>-0.0126582278481013</v>
      </c>
      <c r="F1294" s="524" t="str">
        <f t="shared" si="68"/>
        <v>是</v>
      </c>
      <c r="G1294" s="312" t="str">
        <f t="shared" si="69"/>
        <v>项</v>
      </c>
    </row>
    <row r="1295" s="372" customFormat="1" ht="24" hidden="1" customHeight="1" spans="1:7">
      <c r="A1295" s="330">
        <v>2240507</v>
      </c>
      <c r="B1295" s="379" t="s">
        <v>1172</v>
      </c>
      <c r="C1295" s="602">
        <f>'02'!E1306</f>
        <v>123</v>
      </c>
      <c r="D1295" s="603">
        <v>105</v>
      </c>
      <c r="E1295" s="606">
        <f t="shared" si="67"/>
        <v>-0.146341463414634</v>
      </c>
      <c r="F1295" s="524" t="str">
        <f t="shared" si="68"/>
        <v>是</v>
      </c>
      <c r="G1295" s="312" t="str">
        <f t="shared" si="69"/>
        <v>项</v>
      </c>
    </row>
    <row r="1296" s="372" customFormat="1" ht="24" hidden="1" customHeight="1" spans="1:7">
      <c r="A1296" s="330">
        <v>2240508</v>
      </c>
      <c r="B1296" s="379" t="s">
        <v>1173</v>
      </c>
      <c r="C1296" s="602">
        <f>'02'!E1307</f>
        <v>0</v>
      </c>
      <c r="D1296" s="603">
        <v>0</v>
      </c>
      <c r="E1296" s="606" t="str">
        <f t="shared" si="67"/>
        <v/>
      </c>
      <c r="F1296" s="524" t="str">
        <f t="shared" si="68"/>
        <v>否</v>
      </c>
      <c r="G1296" s="312" t="str">
        <f t="shared" si="69"/>
        <v>项</v>
      </c>
    </row>
    <row r="1297" ht="24" hidden="1" customHeight="1" spans="1:7">
      <c r="A1297" s="330">
        <v>2240509</v>
      </c>
      <c r="B1297" s="379" t="s">
        <v>1174</v>
      </c>
      <c r="C1297" s="602">
        <f>'02'!E1308</f>
        <v>0</v>
      </c>
      <c r="D1297" s="603">
        <v>0</v>
      </c>
      <c r="E1297" s="606" t="str">
        <f t="shared" si="67"/>
        <v/>
      </c>
      <c r="F1297" s="524" t="str">
        <f t="shared" si="68"/>
        <v>否</v>
      </c>
      <c r="G1297" s="312" t="str">
        <f t="shared" si="69"/>
        <v>项</v>
      </c>
    </row>
    <row r="1298" s="372" customFormat="1" ht="24" hidden="1" customHeight="1" spans="1:7">
      <c r="A1298" s="330">
        <v>2240510</v>
      </c>
      <c r="B1298" s="379" t="s">
        <v>1175</v>
      </c>
      <c r="C1298" s="602">
        <f>'02'!E1309</f>
        <v>0</v>
      </c>
      <c r="D1298" s="603">
        <v>0</v>
      </c>
      <c r="E1298" s="606" t="str">
        <f t="shared" si="67"/>
        <v/>
      </c>
      <c r="F1298" s="524" t="str">
        <f t="shared" si="68"/>
        <v>否</v>
      </c>
      <c r="G1298" s="312" t="str">
        <f t="shared" si="69"/>
        <v>项</v>
      </c>
    </row>
    <row r="1299" s="372" customFormat="1" ht="24" hidden="1" customHeight="1" spans="1:7">
      <c r="A1299" s="330">
        <v>2240550</v>
      </c>
      <c r="B1299" s="379" t="s">
        <v>1176</v>
      </c>
      <c r="C1299" s="602">
        <f>'02'!E1310</f>
        <v>585</v>
      </c>
      <c r="D1299" s="603">
        <v>563</v>
      </c>
      <c r="E1299" s="606">
        <f t="shared" si="67"/>
        <v>-0.0376068376068376</v>
      </c>
      <c r="F1299" s="524" t="str">
        <f t="shared" si="68"/>
        <v>是</v>
      </c>
      <c r="G1299" s="312" t="str">
        <f t="shared" si="69"/>
        <v>项</v>
      </c>
    </row>
    <row r="1300" s="372" customFormat="1" ht="24" hidden="1" customHeight="1" spans="1:7">
      <c r="A1300" s="330">
        <v>2240599</v>
      </c>
      <c r="B1300" s="379" t="s">
        <v>1177</v>
      </c>
      <c r="C1300" s="602">
        <f>'02'!E1311</f>
        <v>137</v>
      </c>
      <c r="D1300" s="603">
        <v>134</v>
      </c>
      <c r="E1300" s="606">
        <f t="shared" si="67"/>
        <v>-0.0218978102189781</v>
      </c>
      <c r="F1300" s="524" t="str">
        <f t="shared" si="68"/>
        <v>是</v>
      </c>
      <c r="G1300" s="312" t="str">
        <f t="shared" si="69"/>
        <v>项</v>
      </c>
    </row>
    <row r="1301" s="372" customFormat="1" ht="24" customHeight="1" spans="1:7">
      <c r="A1301" s="330">
        <v>22406</v>
      </c>
      <c r="B1301" s="379" t="s">
        <v>1178</v>
      </c>
      <c r="C1301" s="602">
        <f>SUM(C1302:C1304)</f>
        <v>4250</v>
      </c>
      <c r="D1301" s="602">
        <f>SUM(D1302:D1304)</f>
        <v>4302</v>
      </c>
      <c r="E1301" s="606">
        <f t="shared" si="67"/>
        <v>0.0122352941176471</v>
      </c>
      <c r="F1301" s="524" t="str">
        <f t="shared" si="68"/>
        <v>是</v>
      </c>
      <c r="G1301" s="312" t="str">
        <f t="shared" si="69"/>
        <v>款</v>
      </c>
    </row>
    <row r="1302" s="372" customFormat="1" ht="24" hidden="1" customHeight="1" spans="1:7">
      <c r="A1302" s="330">
        <v>2240601</v>
      </c>
      <c r="B1302" s="379" t="s">
        <v>1179</v>
      </c>
      <c r="C1302" s="602">
        <f>'02'!E1313</f>
        <v>3528</v>
      </c>
      <c r="D1302" s="603">
        <v>3568</v>
      </c>
      <c r="E1302" s="606">
        <f t="shared" si="67"/>
        <v>0.0113378684807256</v>
      </c>
      <c r="F1302" s="524" t="str">
        <f t="shared" si="68"/>
        <v>是</v>
      </c>
      <c r="G1302" s="312" t="str">
        <f t="shared" si="69"/>
        <v>项</v>
      </c>
    </row>
    <row r="1303" s="372" customFormat="1" ht="24" hidden="1" customHeight="1" spans="1:7">
      <c r="A1303" s="330">
        <v>2240602</v>
      </c>
      <c r="B1303" s="379" t="s">
        <v>1180</v>
      </c>
      <c r="C1303" s="602">
        <f>'02'!E1314</f>
        <v>675</v>
      </c>
      <c r="D1303" s="603">
        <v>685</v>
      </c>
      <c r="E1303" s="606">
        <f t="shared" si="67"/>
        <v>0.0148148148148148</v>
      </c>
      <c r="F1303" s="524" t="str">
        <f t="shared" si="68"/>
        <v>是</v>
      </c>
      <c r="G1303" s="312" t="str">
        <f t="shared" si="69"/>
        <v>项</v>
      </c>
    </row>
    <row r="1304" s="372" customFormat="1" ht="24" hidden="1" customHeight="1" spans="1:7">
      <c r="A1304" s="330">
        <v>2240699</v>
      </c>
      <c r="B1304" s="379" t="s">
        <v>1181</v>
      </c>
      <c r="C1304" s="602">
        <f>'02'!E1315</f>
        <v>47</v>
      </c>
      <c r="D1304" s="603">
        <v>49</v>
      </c>
      <c r="E1304" s="606">
        <f t="shared" si="67"/>
        <v>0.0425531914893617</v>
      </c>
      <c r="F1304" s="524" t="str">
        <f t="shared" si="68"/>
        <v>是</v>
      </c>
      <c r="G1304" s="312" t="str">
        <f t="shared" si="69"/>
        <v>项</v>
      </c>
    </row>
    <row r="1305" s="372" customFormat="1" ht="24" customHeight="1" spans="1:7">
      <c r="A1305" s="330">
        <v>22407</v>
      </c>
      <c r="B1305" s="379" t="s">
        <v>1182</v>
      </c>
      <c r="C1305" s="602">
        <f>SUM(C1306:C1308)</f>
        <v>1569</v>
      </c>
      <c r="D1305" s="602">
        <f>SUM(D1306:D1308)</f>
        <v>919</v>
      </c>
      <c r="E1305" s="606">
        <f t="shared" si="67"/>
        <v>-0.41427660930529</v>
      </c>
      <c r="F1305" s="524" t="str">
        <f t="shared" si="68"/>
        <v>是</v>
      </c>
      <c r="G1305" s="312" t="str">
        <f t="shared" si="69"/>
        <v>款</v>
      </c>
    </row>
    <row r="1306" s="372" customFormat="1" ht="24" hidden="1" customHeight="1" spans="1:7">
      <c r="A1306" s="330">
        <v>2240703</v>
      </c>
      <c r="B1306" s="379" t="s">
        <v>1183</v>
      </c>
      <c r="C1306" s="602">
        <f>'02'!E1317</f>
        <v>1543</v>
      </c>
      <c r="D1306" s="603">
        <v>884</v>
      </c>
      <c r="E1306" s="606">
        <f t="shared" si="67"/>
        <v>-0.427090084251458</v>
      </c>
      <c r="F1306" s="524" t="str">
        <f t="shared" si="68"/>
        <v>是</v>
      </c>
      <c r="G1306" s="312" t="str">
        <f t="shared" si="69"/>
        <v>项</v>
      </c>
    </row>
    <row r="1307" s="372" customFormat="1" ht="24" hidden="1" customHeight="1" spans="1:7">
      <c r="A1307" s="330">
        <v>2240704</v>
      </c>
      <c r="B1307" s="379" t="s">
        <v>1184</v>
      </c>
      <c r="C1307" s="602">
        <f>'02'!E1318</f>
        <v>0</v>
      </c>
      <c r="D1307" s="603">
        <v>0</v>
      </c>
      <c r="E1307" s="606" t="str">
        <f t="shared" si="67"/>
        <v/>
      </c>
      <c r="F1307" s="524" t="str">
        <f t="shared" si="68"/>
        <v>否</v>
      </c>
      <c r="G1307" s="312" t="str">
        <f t="shared" si="69"/>
        <v>项</v>
      </c>
    </row>
    <row r="1308" s="372" customFormat="1" ht="24" hidden="1" customHeight="1" spans="1:7">
      <c r="A1308" s="330">
        <v>2240799</v>
      </c>
      <c r="B1308" s="379" t="s">
        <v>1185</v>
      </c>
      <c r="C1308" s="602">
        <f>'02'!E1319</f>
        <v>26</v>
      </c>
      <c r="D1308" s="603">
        <v>35</v>
      </c>
      <c r="E1308" s="606">
        <f t="shared" si="67"/>
        <v>0.346153846153846</v>
      </c>
      <c r="F1308" s="524" t="str">
        <f t="shared" si="68"/>
        <v>是</v>
      </c>
      <c r="G1308" s="312" t="str">
        <f t="shared" si="69"/>
        <v>项</v>
      </c>
    </row>
    <row r="1309" s="372" customFormat="1" ht="24" customHeight="1" spans="1:7">
      <c r="A1309" s="330">
        <v>22499</v>
      </c>
      <c r="B1309" s="379" t="s">
        <v>1186</v>
      </c>
      <c r="C1309" s="602">
        <f>C1310</f>
        <v>611</v>
      </c>
      <c r="D1309" s="602">
        <f>D1310</f>
        <v>485</v>
      </c>
      <c r="E1309" s="606">
        <f t="shared" si="67"/>
        <v>-0.206219312602291</v>
      </c>
      <c r="F1309" s="524" t="str">
        <f t="shared" si="68"/>
        <v>是</v>
      </c>
      <c r="G1309" s="312" t="str">
        <f t="shared" si="69"/>
        <v>款</v>
      </c>
    </row>
    <row r="1310" ht="24" hidden="1" customHeight="1" spans="1:7">
      <c r="A1310" s="356">
        <v>2249999</v>
      </c>
      <c r="B1310" s="379" t="s">
        <v>1187</v>
      </c>
      <c r="C1310" s="602">
        <f>'02'!E1321</f>
        <v>611</v>
      </c>
      <c r="D1310" s="603">
        <v>485</v>
      </c>
      <c r="E1310" s="606">
        <f t="shared" si="67"/>
        <v>-0.206219312602291</v>
      </c>
      <c r="F1310" s="524" t="str">
        <f t="shared" si="68"/>
        <v>是</v>
      </c>
      <c r="G1310" s="312" t="str">
        <f t="shared" si="69"/>
        <v>项</v>
      </c>
    </row>
    <row r="1311" ht="24" customHeight="1" spans="1:7">
      <c r="A1311" s="329">
        <v>227</v>
      </c>
      <c r="B1311" s="377" t="s">
        <v>196</v>
      </c>
      <c r="C1311" s="601"/>
      <c r="D1311" s="616">
        <v>17900</v>
      </c>
      <c r="E1311" s="605" t="str">
        <f t="shared" si="67"/>
        <v/>
      </c>
      <c r="F1311" s="524" t="str">
        <f t="shared" si="68"/>
        <v>是</v>
      </c>
      <c r="G1311" s="312" t="str">
        <f t="shared" si="69"/>
        <v>类</v>
      </c>
    </row>
    <row r="1312" s="372" customFormat="1" ht="24" customHeight="1" spans="1:7">
      <c r="A1312" s="329">
        <v>232</v>
      </c>
      <c r="B1312" s="377" t="s">
        <v>197</v>
      </c>
      <c r="C1312" s="601">
        <f>C1313</f>
        <v>46367</v>
      </c>
      <c r="D1312" s="601">
        <f>D1313</f>
        <v>42819</v>
      </c>
      <c r="E1312" s="605">
        <f t="shared" si="67"/>
        <v>-0.0765199387495417</v>
      </c>
      <c r="F1312" s="524" t="str">
        <f t="shared" si="68"/>
        <v>是</v>
      </c>
      <c r="G1312" s="312" t="str">
        <f t="shared" si="69"/>
        <v>类</v>
      </c>
    </row>
    <row r="1313" s="372" customFormat="1" ht="24" customHeight="1" spans="1:7">
      <c r="A1313" s="330">
        <v>23203</v>
      </c>
      <c r="B1313" s="379" t="s">
        <v>1188</v>
      </c>
      <c r="C1313" s="602">
        <f>SUM(C1314:C1317)</f>
        <v>46367</v>
      </c>
      <c r="D1313" s="602">
        <f>SUM(D1314:D1317)</f>
        <v>42819</v>
      </c>
      <c r="E1313" s="606">
        <f t="shared" si="67"/>
        <v>-0.0765199387495417</v>
      </c>
      <c r="F1313" s="524" t="str">
        <f t="shared" si="68"/>
        <v>是</v>
      </c>
      <c r="G1313" s="312" t="str">
        <f t="shared" si="69"/>
        <v>款</v>
      </c>
    </row>
    <row r="1314" s="372" customFormat="1" ht="24" hidden="1" customHeight="1" spans="1:7">
      <c r="A1314" s="330">
        <v>2320301</v>
      </c>
      <c r="B1314" s="379" t="s">
        <v>1189</v>
      </c>
      <c r="C1314" s="602">
        <f>'02'!E1325</f>
        <v>46198</v>
      </c>
      <c r="D1314" s="603">
        <v>42819</v>
      </c>
      <c r="E1314" s="606">
        <f t="shared" si="67"/>
        <v>-0.073141694445647</v>
      </c>
      <c r="F1314" s="524" t="str">
        <f t="shared" si="68"/>
        <v>是</v>
      </c>
      <c r="G1314" s="312" t="str">
        <f t="shared" si="69"/>
        <v>项</v>
      </c>
    </row>
    <row r="1315" s="372" customFormat="1" ht="24" hidden="1" customHeight="1" spans="1:7">
      <c r="A1315" s="330">
        <v>2320302</v>
      </c>
      <c r="B1315" s="379" t="s">
        <v>1190</v>
      </c>
      <c r="C1315" s="602">
        <f>'02'!E1326</f>
        <v>1</v>
      </c>
      <c r="D1315" s="603">
        <v>0</v>
      </c>
      <c r="E1315" s="606">
        <f t="shared" si="67"/>
        <v>-1</v>
      </c>
      <c r="F1315" s="524" t="str">
        <f t="shared" si="68"/>
        <v>是</v>
      </c>
      <c r="G1315" s="312" t="str">
        <f t="shared" si="69"/>
        <v>项</v>
      </c>
    </row>
    <row r="1316" s="372" customFormat="1" ht="24" hidden="1" customHeight="1" spans="1:7">
      <c r="A1316" s="330">
        <v>2320303</v>
      </c>
      <c r="B1316" s="379" t="s">
        <v>1191</v>
      </c>
      <c r="C1316" s="602">
        <f>'02'!E1327</f>
        <v>168</v>
      </c>
      <c r="D1316" s="603">
        <v>0</v>
      </c>
      <c r="E1316" s="606">
        <f t="shared" si="67"/>
        <v>-1</v>
      </c>
      <c r="F1316" s="524" t="str">
        <f t="shared" si="68"/>
        <v>是</v>
      </c>
      <c r="G1316" s="312" t="str">
        <f t="shared" si="69"/>
        <v>项</v>
      </c>
    </row>
    <row r="1317" s="372" customFormat="1" ht="24" hidden="1" customHeight="1" spans="1:7">
      <c r="A1317" s="326">
        <v>2320399</v>
      </c>
      <c r="B1317" s="379" t="s">
        <v>1192</v>
      </c>
      <c r="C1317" s="602">
        <f>'02'!E1328</f>
        <v>0</v>
      </c>
      <c r="D1317" s="603">
        <v>0</v>
      </c>
      <c r="E1317" s="606" t="str">
        <f t="shared" si="67"/>
        <v/>
      </c>
      <c r="F1317" s="524" t="str">
        <f t="shared" si="68"/>
        <v>否</v>
      </c>
      <c r="G1317" s="312" t="str">
        <f t="shared" si="69"/>
        <v>项</v>
      </c>
    </row>
    <row r="1318" s="372" customFormat="1" ht="24" customHeight="1" spans="1:7">
      <c r="A1318" s="329">
        <v>233</v>
      </c>
      <c r="B1318" s="377" t="s">
        <v>198</v>
      </c>
      <c r="C1318" s="601">
        <f>C1319</f>
        <v>238</v>
      </c>
      <c r="D1318" s="601">
        <f>D1319</f>
        <v>800</v>
      </c>
      <c r="E1318" s="605">
        <f t="shared" si="67"/>
        <v>2.36134453781513</v>
      </c>
      <c r="F1318" s="524" t="str">
        <f t="shared" si="68"/>
        <v>是</v>
      </c>
      <c r="G1318" s="312" t="str">
        <f t="shared" si="69"/>
        <v>类</v>
      </c>
    </row>
    <row r="1319" s="372" customFormat="1" ht="24" customHeight="1" spans="1:7">
      <c r="A1319" s="330">
        <v>23303</v>
      </c>
      <c r="B1319" s="379" t="s">
        <v>1193</v>
      </c>
      <c r="C1319" s="602">
        <f>'02'!E1330</f>
        <v>238</v>
      </c>
      <c r="D1319" s="603">
        <v>800</v>
      </c>
      <c r="E1319" s="606">
        <f t="shared" si="67"/>
        <v>2.36134453781513</v>
      </c>
      <c r="F1319" s="524" t="str">
        <f t="shared" si="68"/>
        <v>是</v>
      </c>
      <c r="G1319" s="312" t="str">
        <f t="shared" si="69"/>
        <v>款</v>
      </c>
    </row>
    <row r="1320" s="372" customFormat="1" ht="24" customHeight="1" spans="1:7">
      <c r="A1320" s="329">
        <v>229</v>
      </c>
      <c r="B1320" s="377" t="s">
        <v>199</v>
      </c>
      <c r="C1320" s="601">
        <f>C1321+C1322</f>
        <v>3839</v>
      </c>
      <c r="D1320" s="601">
        <f>D1321+D1322</f>
        <v>0</v>
      </c>
      <c r="E1320" s="605">
        <f t="shared" si="67"/>
        <v>-1</v>
      </c>
      <c r="F1320" s="524" t="str">
        <f t="shared" si="68"/>
        <v>是</v>
      </c>
      <c r="G1320" s="312" t="str">
        <f t="shared" si="69"/>
        <v>类</v>
      </c>
    </row>
    <row r="1321" s="372" customFormat="1" ht="24" hidden="1" customHeight="1" spans="1:7">
      <c r="A1321" s="330">
        <v>22902</v>
      </c>
      <c r="B1321" s="379" t="s">
        <v>1194</v>
      </c>
      <c r="C1321" s="602">
        <f>'02'!E1332</f>
        <v>0</v>
      </c>
      <c r="D1321" s="603"/>
      <c r="E1321" s="606" t="str">
        <f t="shared" si="67"/>
        <v/>
      </c>
      <c r="F1321" s="524" t="str">
        <f t="shared" si="68"/>
        <v>否</v>
      </c>
      <c r="G1321" s="312"/>
    </row>
    <row r="1322" s="372" customFormat="1" ht="24" customHeight="1" spans="1:7">
      <c r="A1322" s="330">
        <v>22999</v>
      </c>
      <c r="B1322" s="379" t="s">
        <v>1055</v>
      </c>
      <c r="C1322" s="602">
        <f>'02'!E1333</f>
        <v>3839</v>
      </c>
      <c r="D1322" s="603">
        <v>0</v>
      </c>
      <c r="E1322" s="606">
        <f t="shared" si="67"/>
        <v>-1</v>
      </c>
      <c r="F1322" s="524" t="str">
        <f t="shared" si="68"/>
        <v>是</v>
      </c>
      <c r="G1322" s="312"/>
    </row>
    <row r="1323" ht="24" customHeight="1" spans="1:6">
      <c r="A1323" s="411"/>
      <c r="B1323" s="377"/>
      <c r="C1323" s="601"/>
      <c r="D1323" s="617"/>
      <c r="E1323" s="605" t="str">
        <f t="shared" si="67"/>
        <v/>
      </c>
      <c r="F1323" s="524" t="str">
        <f t="shared" si="68"/>
        <v>是</v>
      </c>
    </row>
    <row r="1324" s="372" customFormat="1" ht="24" customHeight="1" spans="1:7">
      <c r="A1324" s="548"/>
      <c r="B1324" s="549" t="s">
        <v>1195</v>
      </c>
      <c r="C1324" s="601">
        <f>C4+C252+C292+C311+C401+C453+C509+C565+C694+C778+C850+C873+C976+C1028+C1092+C1112+C1142+C1152+C1197+C1216+C1261+C1311+C1312+C1318+C1320</f>
        <v>1763231</v>
      </c>
      <c r="D1324" s="601">
        <f>D4+D252+D292+D311+D401+D453+D509+D565+D694+D778+D850+D873+D976+D1028+D1092+D1112+D1142+D1152+D1197+D1216+D1261+D1311+D1312+D1318+D1320</f>
        <v>1789680</v>
      </c>
      <c r="E1324" s="605">
        <f t="shared" si="67"/>
        <v>0.0150003034202552</v>
      </c>
      <c r="F1324" s="524" t="str">
        <f t="shared" si="68"/>
        <v>是</v>
      </c>
      <c r="G1324" s="312"/>
    </row>
    <row r="1325" s="372" customFormat="1" ht="24" customHeight="1" spans="1:7">
      <c r="A1325" s="312"/>
      <c r="B1325" s="312"/>
      <c r="C1325" s="417"/>
      <c r="D1325" s="508"/>
      <c r="E1325" s="312"/>
      <c r="F1325" s="312"/>
      <c r="G1325" s="312"/>
    </row>
    <row r="1326" s="372" customFormat="1" ht="24" customHeight="1" spans="1:7">
      <c r="A1326" s="312"/>
      <c r="B1326" s="312"/>
      <c r="C1326" s="417"/>
      <c r="D1326" s="508"/>
      <c r="E1326" s="312"/>
      <c r="F1326" s="312"/>
      <c r="G1326" s="312"/>
    </row>
    <row r="1327" s="372" customFormat="1" ht="24" customHeight="1" spans="1:7">
      <c r="A1327" s="312"/>
      <c r="B1327" s="312"/>
      <c r="C1327" s="417"/>
      <c r="D1327" s="508"/>
      <c r="E1327" s="312"/>
      <c r="F1327" s="312"/>
      <c r="G1327" s="312"/>
    </row>
    <row r="1328" s="372" customFormat="1" ht="24" customHeight="1" spans="1:7">
      <c r="A1328" s="312"/>
      <c r="B1328" s="312"/>
      <c r="C1328" s="417"/>
      <c r="D1328" s="508"/>
      <c r="E1328" s="312"/>
      <c r="F1328" s="312"/>
      <c r="G1328" s="312"/>
    </row>
    <row r="1329" ht="24" customHeight="1"/>
    <row r="1330" s="372" customFormat="1" ht="24" customHeight="1" spans="1:7">
      <c r="A1330" s="312"/>
      <c r="B1330" s="312"/>
      <c r="C1330" s="417"/>
      <c r="D1330" s="508"/>
      <c r="E1330" s="312"/>
      <c r="F1330" s="312"/>
      <c r="G1330" s="312"/>
    </row>
    <row r="1331" s="372" customFormat="1" ht="24" customHeight="1" spans="1:7">
      <c r="A1331" s="312"/>
      <c r="B1331" s="312"/>
      <c r="C1331" s="417"/>
      <c r="D1331" s="508"/>
      <c r="E1331" s="312"/>
      <c r="F1331" s="312"/>
      <c r="G1331" s="312"/>
    </row>
    <row r="1332" s="372" customFormat="1" ht="24" customHeight="1" spans="1:7">
      <c r="A1332" s="312"/>
      <c r="B1332" s="312"/>
      <c r="C1332" s="417"/>
      <c r="D1332" s="508"/>
      <c r="E1332" s="312"/>
      <c r="F1332" s="312"/>
      <c r="G1332" s="312"/>
    </row>
    <row r="1333" s="372" customFormat="1" ht="24" customHeight="1" spans="1:7">
      <c r="A1333" s="312"/>
      <c r="B1333" s="312"/>
      <c r="C1333" s="417"/>
      <c r="D1333" s="508"/>
      <c r="E1333" s="312"/>
      <c r="F1333" s="312"/>
      <c r="G1333" s="312"/>
    </row>
    <row r="1334" s="372" customFormat="1" ht="24" customHeight="1" spans="1:7">
      <c r="A1334" s="312"/>
      <c r="B1334" s="312"/>
      <c r="C1334" s="417"/>
      <c r="D1334" s="508"/>
      <c r="E1334" s="312"/>
      <c r="F1334" s="312"/>
      <c r="G1334" s="312"/>
    </row>
    <row r="1335" ht="24" customHeight="1"/>
    <row r="1336" s="372" customFormat="1" ht="24" customHeight="1" spans="1:7">
      <c r="A1336" s="312"/>
      <c r="B1336" s="312"/>
      <c r="C1336" s="417"/>
      <c r="D1336" s="508"/>
      <c r="E1336" s="312"/>
      <c r="F1336" s="312"/>
      <c r="G1336" s="312"/>
    </row>
    <row r="1337" s="372" customFormat="1" ht="24" customHeight="1" spans="1:7">
      <c r="A1337" s="312"/>
      <c r="B1337" s="312"/>
      <c r="C1337" s="417"/>
      <c r="D1337" s="508"/>
      <c r="E1337" s="312"/>
      <c r="F1337" s="312"/>
      <c r="G1337" s="312"/>
    </row>
    <row r="1338" s="372" customFormat="1" ht="24" customHeight="1" spans="1:7">
      <c r="A1338" s="312"/>
      <c r="B1338" s="312"/>
      <c r="C1338" s="417"/>
      <c r="D1338" s="508"/>
      <c r="E1338" s="312"/>
      <c r="F1338" s="312"/>
      <c r="G1338" s="312"/>
    </row>
    <row r="1339" s="372" customFormat="1" ht="24" customHeight="1" spans="1:7">
      <c r="A1339" s="312"/>
      <c r="B1339" s="312"/>
      <c r="C1339" s="417"/>
      <c r="D1339" s="508"/>
      <c r="E1339" s="312"/>
      <c r="F1339" s="312"/>
      <c r="G1339" s="312"/>
    </row>
    <row r="1340" s="372" customFormat="1" ht="24" customHeight="1" spans="1:7">
      <c r="A1340" s="312"/>
      <c r="B1340" s="312"/>
      <c r="C1340" s="417"/>
      <c r="D1340" s="508"/>
      <c r="E1340" s="312"/>
      <c r="F1340" s="312"/>
      <c r="G1340" s="312"/>
    </row>
    <row r="1341" s="372" customFormat="1" ht="24" customHeight="1" spans="1:7">
      <c r="A1341" s="312"/>
      <c r="B1341" s="312"/>
      <c r="C1341" s="417"/>
      <c r="D1341" s="508"/>
      <c r="E1341" s="312"/>
      <c r="F1341" s="312"/>
      <c r="G1341" s="312"/>
    </row>
    <row r="1342" s="372" customFormat="1" ht="24" customHeight="1" spans="1:7">
      <c r="A1342" s="312"/>
      <c r="B1342" s="312"/>
      <c r="C1342" s="417"/>
      <c r="D1342" s="508"/>
      <c r="E1342" s="312"/>
      <c r="F1342" s="312"/>
      <c r="G1342" s="312"/>
    </row>
    <row r="1343" ht="24" customHeight="1"/>
    <row r="1344" s="372" customFormat="1" ht="24" customHeight="1" spans="1:7">
      <c r="A1344" s="312"/>
      <c r="B1344" s="312"/>
      <c r="C1344" s="417"/>
      <c r="D1344" s="508"/>
      <c r="E1344" s="312"/>
      <c r="F1344" s="312"/>
      <c r="G1344" s="312"/>
    </row>
    <row r="1345" s="372" customFormat="1" ht="24" customHeight="1" spans="1:7">
      <c r="A1345" s="312"/>
      <c r="B1345" s="312"/>
      <c r="C1345" s="417"/>
      <c r="D1345" s="508"/>
      <c r="E1345" s="312"/>
      <c r="F1345" s="312"/>
      <c r="G1345" s="312"/>
    </row>
    <row r="1346" s="372" customFormat="1" ht="24" customHeight="1" spans="1:7">
      <c r="A1346" s="312"/>
      <c r="B1346" s="312"/>
      <c r="C1346" s="417"/>
      <c r="D1346" s="508"/>
      <c r="E1346" s="312"/>
      <c r="F1346" s="312"/>
      <c r="G1346" s="312"/>
    </row>
    <row r="1347" s="372" customFormat="1" ht="24" customHeight="1" spans="1:7">
      <c r="A1347" s="312"/>
      <c r="B1347" s="312"/>
      <c r="C1347" s="417"/>
      <c r="D1347" s="508"/>
      <c r="E1347" s="312"/>
      <c r="F1347" s="312"/>
      <c r="G1347" s="312"/>
    </row>
    <row r="1348" s="372" customFormat="1" ht="24" customHeight="1" spans="1:7">
      <c r="A1348" s="312"/>
      <c r="B1348" s="312"/>
      <c r="C1348" s="417"/>
      <c r="D1348" s="508"/>
      <c r="E1348" s="312"/>
      <c r="F1348" s="312"/>
      <c r="G1348" s="312"/>
    </row>
    <row r="1349" s="372" customFormat="1" ht="24" customHeight="1" spans="1:7">
      <c r="A1349" s="312"/>
      <c r="B1349" s="312"/>
      <c r="C1349" s="417"/>
      <c r="D1349" s="508"/>
      <c r="E1349" s="312"/>
      <c r="F1349" s="312"/>
      <c r="G1349" s="312"/>
    </row>
    <row r="1350" s="372" customFormat="1" ht="24" customHeight="1" spans="1:7">
      <c r="A1350" s="312"/>
      <c r="B1350" s="312"/>
      <c r="C1350" s="417"/>
      <c r="D1350" s="508"/>
      <c r="E1350" s="312"/>
      <c r="F1350" s="312"/>
      <c r="G1350" s="312"/>
    </row>
    <row r="1351" s="372" customFormat="1" ht="24" customHeight="1" spans="1:7">
      <c r="A1351" s="312"/>
      <c r="B1351" s="312"/>
      <c r="C1351" s="417"/>
      <c r="D1351" s="508"/>
      <c r="E1351" s="312"/>
      <c r="F1351" s="312"/>
      <c r="G1351" s="312"/>
    </row>
    <row r="1352" s="372" customFormat="1" ht="24" customHeight="1" spans="1:7">
      <c r="A1352" s="312"/>
      <c r="B1352" s="312"/>
      <c r="C1352" s="417"/>
      <c r="D1352" s="508"/>
      <c r="E1352" s="312"/>
      <c r="F1352" s="312"/>
      <c r="G1352" s="312"/>
    </row>
    <row r="1353" s="372" customFormat="1" ht="24" customHeight="1" spans="1:7">
      <c r="A1353" s="312"/>
      <c r="B1353" s="312"/>
      <c r="C1353" s="417"/>
      <c r="D1353" s="508"/>
      <c r="E1353" s="312"/>
      <c r="F1353" s="312"/>
      <c r="G1353" s="312"/>
    </row>
    <row r="1354" s="372" customFormat="1" ht="24" customHeight="1" spans="1:7">
      <c r="A1354" s="312"/>
      <c r="B1354" s="312"/>
      <c r="C1354" s="417"/>
      <c r="D1354" s="508"/>
      <c r="E1354" s="312"/>
      <c r="F1354" s="312"/>
      <c r="G1354" s="312"/>
    </row>
    <row r="1355" s="372" customFormat="1" ht="24" customHeight="1" spans="1:7">
      <c r="A1355" s="312"/>
      <c r="B1355" s="312"/>
      <c r="C1355" s="417"/>
      <c r="D1355" s="508"/>
      <c r="E1355" s="312"/>
      <c r="F1355" s="312"/>
      <c r="G1355" s="312"/>
    </row>
    <row r="1356" ht="24" customHeight="1"/>
    <row r="1357" s="372" customFormat="1" ht="24" customHeight="1" spans="1:7">
      <c r="A1357" s="312"/>
      <c r="B1357" s="312"/>
      <c r="C1357" s="417"/>
      <c r="D1357" s="508"/>
      <c r="E1357" s="312"/>
      <c r="F1357" s="312"/>
      <c r="G1357" s="312"/>
    </row>
    <row r="1358" s="372" customFormat="1" ht="24" customHeight="1" spans="1:7">
      <c r="A1358" s="312"/>
      <c r="B1358" s="312"/>
      <c r="C1358" s="417"/>
      <c r="D1358" s="508"/>
      <c r="E1358" s="312"/>
      <c r="F1358" s="312"/>
      <c r="G1358" s="312"/>
    </row>
    <row r="1359" s="372" customFormat="1" ht="24" customHeight="1" spans="1:7">
      <c r="A1359" s="312"/>
      <c r="B1359" s="312"/>
      <c r="C1359" s="417"/>
      <c r="D1359" s="508"/>
      <c r="E1359" s="312"/>
      <c r="F1359" s="312"/>
      <c r="G1359" s="312"/>
    </row>
    <row r="1360" ht="24" customHeight="1"/>
    <row r="1361" s="372" customFormat="1" ht="24" customHeight="1" spans="1:7">
      <c r="A1361" s="312"/>
      <c r="B1361" s="312"/>
      <c r="C1361" s="417"/>
      <c r="D1361" s="508"/>
      <c r="E1361" s="312"/>
      <c r="F1361" s="312"/>
      <c r="G1361" s="312"/>
    </row>
    <row r="1362" s="372" customFormat="1" ht="24" customHeight="1" spans="1:7">
      <c r="A1362" s="312"/>
      <c r="B1362" s="312"/>
      <c r="C1362" s="417"/>
      <c r="D1362" s="508"/>
      <c r="E1362" s="312"/>
      <c r="F1362" s="312"/>
      <c r="G1362" s="312"/>
    </row>
    <row r="1363" s="372" customFormat="1" ht="24" customHeight="1" spans="1:7">
      <c r="A1363" s="312"/>
      <c r="B1363" s="312"/>
      <c r="C1363" s="417"/>
      <c r="D1363" s="508"/>
      <c r="E1363" s="312"/>
      <c r="F1363" s="312"/>
      <c r="G1363" s="312"/>
    </row>
    <row r="1364" s="372" customFormat="1" ht="24" customHeight="1" spans="1:7">
      <c r="A1364" s="312"/>
      <c r="B1364" s="312"/>
      <c r="C1364" s="417"/>
      <c r="D1364" s="508"/>
      <c r="E1364" s="312"/>
      <c r="F1364" s="312"/>
      <c r="G1364" s="312"/>
    </row>
    <row r="1365" s="372" customFormat="1" ht="24" customHeight="1" spans="1:7">
      <c r="A1365" s="312"/>
      <c r="B1365" s="312"/>
      <c r="C1365" s="417"/>
      <c r="D1365" s="508"/>
      <c r="E1365" s="312"/>
      <c r="F1365" s="312"/>
      <c r="G1365" s="312"/>
    </row>
    <row r="1366" ht="24" customHeight="1"/>
    <row r="1367" s="372" customFormat="1" ht="24" customHeight="1" spans="1:7">
      <c r="A1367" s="312"/>
      <c r="B1367" s="312"/>
      <c r="C1367" s="417"/>
      <c r="D1367" s="508"/>
      <c r="E1367" s="312"/>
      <c r="F1367" s="312"/>
      <c r="G1367" s="312"/>
    </row>
    <row r="1368" ht="24" customHeight="1"/>
    <row r="1369" ht="24" customHeight="1"/>
    <row r="1370" ht="24" customHeight="1"/>
    <row r="1371" s="372" customFormat="1" ht="24" customHeight="1" spans="1:7">
      <c r="A1371" s="312"/>
      <c r="B1371" s="312"/>
      <c r="C1371" s="417"/>
      <c r="D1371" s="508"/>
      <c r="E1371" s="312"/>
      <c r="F1371" s="312"/>
      <c r="G1371" s="312"/>
    </row>
    <row r="1372" s="372" customFormat="1" ht="24" customHeight="1" spans="1:7">
      <c r="A1372" s="312"/>
      <c r="B1372" s="312"/>
      <c r="C1372" s="417"/>
      <c r="D1372" s="508"/>
      <c r="E1372" s="312"/>
      <c r="F1372" s="312"/>
      <c r="G1372" s="312"/>
    </row>
    <row r="1373" s="372" customFormat="1" ht="24" customHeight="1" spans="1:7">
      <c r="A1373" s="312"/>
      <c r="B1373" s="312"/>
      <c r="C1373" s="417"/>
      <c r="D1373" s="508"/>
      <c r="E1373" s="312"/>
      <c r="F1373" s="312"/>
      <c r="G1373" s="312"/>
    </row>
    <row r="1374" s="372" customFormat="1" ht="24" customHeight="1" spans="1:7">
      <c r="A1374" s="312"/>
      <c r="B1374" s="312"/>
      <c r="C1374" s="417"/>
      <c r="D1374" s="508"/>
      <c r="E1374" s="312"/>
      <c r="F1374" s="312"/>
      <c r="G1374" s="312"/>
    </row>
    <row r="1375" ht="24" customHeight="1"/>
    <row r="1376" ht="24" customHeight="1"/>
    <row r="1377" ht="24" customHeight="1"/>
    <row r="1378" ht="24" customHeight="1"/>
    <row r="1379" ht="24" customHeight="1"/>
    <row r="1380" ht="24" customHeight="1"/>
    <row r="1381" ht="24" customHeight="1"/>
    <row r="1382" ht="24" customHeight="1"/>
    <row r="1383" ht="24" customHeight="1"/>
    <row r="1384" ht="24" customHeight="1"/>
    <row r="1385" ht="24" customHeight="1"/>
    <row r="1386" ht="24" customHeight="1"/>
    <row r="1387" ht="24" customHeight="1"/>
    <row r="1388" ht="24" customHeight="1"/>
  </sheetData>
  <autoFilter ref="B3:G1324">
    <filterColumn colId="4">
      <customFilters>
        <customFilter operator="equal" val="是"/>
      </customFilters>
    </filterColumn>
    <filterColumn colId="5">
      <filters blank="1">
        <filter val="类"/>
        <filter val="款"/>
      </filters>
    </filterColumn>
    <extLst/>
  </autoFilter>
  <mergeCells count="1">
    <mergeCell ref="B1:E1"/>
  </mergeCells>
  <conditionalFormatting sqref="F4">
    <cfRule type="cellIs" dxfId="1" priority="3" stopIfTrue="1" operator="lessThan">
      <formula>0</formula>
    </cfRule>
  </conditionalFormatting>
  <conditionalFormatting sqref="F774">
    <cfRule type="cellIs" dxfId="1" priority="1" stopIfTrue="1" operator="lessThan">
      <formula>0</formula>
    </cfRule>
  </conditionalFormatting>
  <conditionalFormatting sqref="F5:F773 F775:F1324">
    <cfRule type="cellIs" dxfId="1" priority="2" stopIfTrue="1" operator="lessThan">
      <formula>0</formula>
    </cfRule>
  </conditionalFormatting>
  <printOptions horizontalCentered="1"/>
  <pageMargins left="0.472222222222222" right="0.393055555555556" top="0.354166666666667" bottom="0.354166666666667" header="0.118055555555556" footer="0.118055555555556"/>
  <pageSetup paperSize="9" scale="75" orientation="portrait" horizontalDpi="600"/>
  <headerFooter alignWithMargins="0">
    <oddFooter>&amp;C&amp;16- &amp;P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B0F0"/>
    <pageSetUpPr fitToPage="1"/>
  </sheetPr>
  <dimension ref="A1:H46"/>
  <sheetViews>
    <sheetView showGridLines="0" showZeros="0" view="pageBreakPreview" zoomScale="70" zoomScaleNormal="90" workbookViewId="0">
      <pane xSplit="1" ySplit="4" topLeftCell="B5" activePane="bottomRight" state="frozen"/>
      <selection/>
      <selection pane="topRight"/>
      <selection pane="bottomLeft"/>
      <selection pane="bottomRight" activeCell="E44" sqref="E44"/>
    </sheetView>
  </sheetViews>
  <sheetFormatPr defaultColWidth="9" defaultRowHeight="14.25" outlineLevelCol="7"/>
  <cols>
    <col min="1" max="1" width="14.5" style="374" hidden="1" customWidth="1"/>
    <col min="2" max="2" width="50.75" style="374" customWidth="1"/>
    <col min="3" max="5" width="16.025" style="374" customWidth="1"/>
    <col min="6" max="7" width="14.4083333333333" style="374" customWidth="1"/>
    <col min="8" max="16384" width="9" style="202"/>
  </cols>
  <sheetData>
    <row r="1" ht="35.25" spans="1:7">
      <c r="A1" s="554"/>
      <c r="B1" s="375" t="s">
        <v>50</v>
      </c>
      <c r="C1" s="375"/>
      <c r="D1" s="375"/>
      <c r="E1" s="375"/>
      <c r="F1" s="375"/>
      <c r="G1" s="375"/>
    </row>
    <row r="2" ht="18.95" customHeight="1" spans="2:7">
      <c r="B2" s="556" t="s">
        <v>49</v>
      </c>
      <c r="C2" s="557"/>
      <c r="D2" s="557"/>
      <c r="E2" s="557"/>
      <c r="F2" s="557"/>
      <c r="G2" s="579" t="s">
        <v>103</v>
      </c>
    </row>
    <row r="3" s="583" customFormat="1" ht="24" customHeight="1" spans="1:7">
      <c r="A3" s="319" t="s">
        <v>104</v>
      </c>
      <c r="B3" s="320" t="s">
        <v>105</v>
      </c>
      <c r="C3" s="320" t="s">
        <v>107</v>
      </c>
      <c r="D3" s="320"/>
      <c r="E3" s="38" t="s">
        <v>1754</v>
      </c>
      <c r="F3" s="38" t="s">
        <v>1759</v>
      </c>
      <c r="G3" s="38" t="s">
        <v>1760</v>
      </c>
    </row>
    <row r="4" s="583" customFormat="1" ht="40" customHeight="1" spans="1:8">
      <c r="A4" s="322"/>
      <c r="B4" s="320"/>
      <c r="C4" s="38" t="s">
        <v>109</v>
      </c>
      <c r="D4" s="38" t="s">
        <v>110</v>
      </c>
      <c r="E4" s="38"/>
      <c r="F4" s="580"/>
      <c r="G4" s="580"/>
      <c r="H4" s="302" t="s">
        <v>113</v>
      </c>
    </row>
    <row r="5" ht="24" customHeight="1" spans="1:8">
      <c r="A5" s="585" t="s">
        <v>114</v>
      </c>
      <c r="B5" s="586" t="s">
        <v>115</v>
      </c>
      <c r="C5" s="112">
        <f>SUM(C6:C20)</f>
        <v>89559</v>
      </c>
      <c r="D5" s="112">
        <f>SUM(D6:D20)</f>
        <v>85531</v>
      </c>
      <c r="E5" s="112">
        <f>SUM(E6:E20)</f>
        <v>89808</v>
      </c>
      <c r="F5" s="582">
        <f>IFERROR((E5-C5)/C5,"")</f>
        <v>0.00278029008809835</v>
      </c>
      <c r="G5" s="582">
        <f t="shared" ref="G5:G42" si="0">IFERROR((E5-D5)/D5,"")</f>
        <v>0.0500052612503069</v>
      </c>
      <c r="H5" s="303" t="str">
        <f t="shared" ref="H5:H42" si="1">IF(LEN(A5)=3,"是",IF(B5&lt;&gt;"",IF(SUM(C5:E5)&lt;&gt;0,"是","否"),"是"))</f>
        <v>是</v>
      </c>
    </row>
    <row r="6" ht="24" customHeight="1" spans="1:8">
      <c r="A6" s="387" t="s">
        <v>116</v>
      </c>
      <c r="B6" s="587" t="s">
        <v>117</v>
      </c>
      <c r="C6" s="559">
        <v>58634</v>
      </c>
      <c r="D6" s="559">
        <f>'03-1'!F6</f>
        <v>55637</v>
      </c>
      <c r="E6" s="559">
        <v>60093</v>
      </c>
      <c r="F6" s="581">
        <f t="shared" ref="F6:F42" si="2">IFERROR((E6-C6)/C6,"")</f>
        <v>0.0248831735852918</v>
      </c>
      <c r="G6" s="581">
        <f t="shared" si="0"/>
        <v>0.080090587199166</v>
      </c>
      <c r="H6" s="303" t="str">
        <f t="shared" si="1"/>
        <v>是</v>
      </c>
    </row>
    <row r="7" ht="24" customHeight="1" spans="1:8">
      <c r="A7" s="387" t="s">
        <v>118</v>
      </c>
      <c r="B7" s="587" t="s">
        <v>119</v>
      </c>
      <c r="C7" s="559">
        <v>9614</v>
      </c>
      <c r="D7" s="559">
        <f>'03-1'!F7</f>
        <v>6961</v>
      </c>
      <c r="E7" s="559">
        <v>7100</v>
      </c>
      <c r="F7" s="581">
        <f t="shared" si="2"/>
        <v>-0.261493655086332</v>
      </c>
      <c r="G7" s="581">
        <f t="shared" si="0"/>
        <v>0.0199683953454963</v>
      </c>
      <c r="H7" s="303" t="str">
        <f t="shared" si="1"/>
        <v>是</v>
      </c>
    </row>
    <row r="8" ht="24" customHeight="1" spans="1:8">
      <c r="A8" s="387" t="s">
        <v>120</v>
      </c>
      <c r="B8" s="587" t="s">
        <v>121</v>
      </c>
      <c r="C8" s="559">
        <v>1447</v>
      </c>
      <c r="D8" s="559">
        <f>'03-1'!F8</f>
        <v>1378</v>
      </c>
      <c r="E8" s="559">
        <v>1400</v>
      </c>
      <c r="F8" s="581">
        <f t="shared" si="2"/>
        <v>-0.032480995162405</v>
      </c>
      <c r="G8" s="581">
        <f t="shared" si="0"/>
        <v>0.0159651669085631</v>
      </c>
      <c r="H8" s="303" t="str">
        <f t="shared" si="1"/>
        <v>是</v>
      </c>
    </row>
    <row r="9" s="202" customFormat="1" ht="24" customHeight="1" spans="1:8">
      <c r="A9" s="588" t="s">
        <v>122</v>
      </c>
      <c r="B9" s="589" t="s">
        <v>123</v>
      </c>
      <c r="C9" s="559">
        <v>8572</v>
      </c>
      <c r="D9" s="559">
        <f>'03-1'!F9</f>
        <v>7217</v>
      </c>
      <c r="E9" s="559">
        <v>7700</v>
      </c>
      <c r="F9" s="581">
        <f t="shared" si="2"/>
        <v>-0.101726551563229</v>
      </c>
      <c r="G9" s="581">
        <f t="shared" si="0"/>
        <v>0.066925315227934</v>
      </c>
      <c r="H9" s="303" t="str">
        <f t="shared" si="1"/>
        <v>是</v>
      </c>
    </row>
    <row r="10" ht="24" customHeight="1" spans="1:8">
      <c r="A10" s="387" t="s">
        <v>124</v>
      </c>
      <c r="B10" s="587" t="s">
        <v>125</v>
      </c>
      <c r="C10" s="559">
        <v>3839</v>
      </c>
      <c r="D10" s="559">
        <f>'03-1'!F10</f>
        <v>3203</v>
      </c>
      <c r="E10" s="559">
        <v>3400</v>
      </c>
      <c r="F10" s="581">
        <f t="shared" si="2"/>
        <v>-0.114352696014587</v>
      </c>
      <c r="G10" s="581">
        <f t="shared" si="0"/>
        <v>0.0615048392132376</v>
      </c>
      <c r="H10" s="303" t="str">
        <f t="shared" si="1"/>
        <v>是</v>
      </c>
    </row>
    <row r="11" s="202" customFormat="1" ht="24" customHeight="1" spans="1:8">
      <c r="A11" s="588" t="s">
        <v>126</v>
      </c>
      <c r="B11" s="589" t="s">
        <v>127</v>
      </c>
      <c r="C11" s="559">
        <v>53</v>
      </c>
      <c r="D11" s="559">
        <f>'03-1'!F11</f>
        <v>53</v>
      </c>
      <c r="E11" s="559">
        <v>50</v>
      </c>
      <c r="F11" s="581">
        <f t="shared" si="2"/>
        <v>-0.0566037735849057</v>
      </c>
      <c r="G11" s="581">
        <f t="shared" si="0"/>
        <v>-0.0566037735849057</v>
      </c>
      <c r="H11" s="303" t="str">
        <f t="shared" si="1"/>
        <v>是</v>
      </c>
    </row>
    <row r="12" s="202" customFormat="1" ht="24" customHeight="1" spans="1:8">
      <c r="A12" s="588" t="s">
        <v>128</v>
      </c>
      <c r="B12" s="589" t="s">
        <v>129</v>
      </c>
      <c r="C12" s="559">
        <v>90</v>
      </c>
      <c r="D12" s="559">
        <f>'03-1'!F12</f>
        <v>53</v>
      </c>
      <c r="E12" s="559">
        <v>60</v>
      </c>
      <c r="F12" s="581">
        <f t="shared" si="2"/>
        <v>-0.333333333333333</v>
      </c>
      <c r="G12" s="581">
        <f t="shared" si="0"/>
        <v>0.132075471698113</v>
      </c>
      <c r="H12" s="303" t="str">
        <f t="shared" si="1"/>
        <v>是</v>
      </c>
    </row>
    <row r="13" s="202" customFormat="1" ht="24" customHeight="1" spans="1:8">
      <c r="A13" s="588" t="s">
        <v>130</v>
      </c>
      <c r="B13" s="589" t="s">
        <v>131</v>
      </c>
      <c r="C13" s="559">
        <v>20</v>
      </c>
      <c r="D13" s="559">
        <f>'03-1'!F13</f>
        <v>16</v>
      </c>
      <c r="E13" s="559">
        <v>20</v>
      </c>
      <c r="F13" s="581">
        <f t="shared" si="2"/>
        <v>0</v>
      </c>
      <c r="G13" s="581">
        <f t="shared" si="0"/>
        <v>0.25</v>
      </c>
      <c r="H13" s="303" t="str">
        <f t="shared" si="1"/>
        <v>是</v>
      </c>
    </row>
    <row r="14" s="202" customFormat="1" ht="24" customHeight="1" spans="1:8">
      <c r="A14" s="588" t="s">
        <v>132</v>
      </c>
      <c r="B14" s="589" t="s">
        <v>133</v>
      </c>
      <c r="C14" s="559"/>
      <c r="D14" s="559">
        <f>'03-1'!F14</f>
        <v>0</v>
      </c>
      <c r="E14" s="559"/>
      <c r="F14" s="581" t="str">
        <f t="shared" si="2"/>
        <v/>
      </c>
      <c r="G14" s="581" t="str">
        <f t="shared" si="0"/>
        <v/>
      </c>
      <c r="H14" s="303" t="str">
        <f t="shared" si="1"/>
        <v>否</v>
      </c>
    </row>
    <row r="15" s="202" customFormat="1" ht="24" customHeight="1" spans="1:8">
      <c r="A15" s="588" t="s">
        <v>134</v>
      </c>
      <c r="B15" s="589" t="s">
        <v>135</v>
      </c>
      <c r="C15" s="559"/>
      <c r="D15" s="559">
        <f>'03-1'!F15</f>
        <v>0</v>
      </c>
      <c r="E15" s="559"/>
      <c r="F15" s="581" t="str">
        <f t="shared" si="2"/>
        <v/>
      </c>
      <c r="G15" s="581" t="str">
        <f t="shared" si="0"/>
        <v/>
      </c>
      <c r="H15" s="303" t="str">
        <f t="shared" si="1"/>
        <v>否</v>
      </c>
    </row>
    <row r="16" ht="24" customHeight="1" spans="1:8">
      <c r="A16" s="387" t="s">
        <v>136</v>
      </c>
      <c r="B16" s="587" t="s">
        <v>137</v>
      </c>
      <c r="C16" s="559">
        <v>7290</v>
      </c>
      <c r="D16" s="559">
        <f>'03-1'!F16</f>
        <v>10962</v>
      </c>
      <c r="E16" s="559">
        <v>9985</v>
      </c>
      <c r="F16" s="581">
        <f t="shared" si="2"/>
        <v>0.369684499314129</v>
      </c>
      <c r="G16" s="581">
        <f t="shared" si="0"/>
        <v>-0.0891260718846926</v>
      </c>
      <c r="H16" s="303" t="str">
        <f t="shared" si="1"/>
        <v>是</v>
      </c>
    </row>
    <row r="17" s="202" customFormat="1" ht="24" customHeight="1" spans="1:8">
      <c r="A17" s="588" t="s">
        <v>138</v>
      </c>
      <c r="B17" s="589" t="s">
        <v>139</v>
      </c>
      <c r="C17" s="559"/>
      <c r="D17" s="559">
        <f>'03-1'!F17</f>
        <v>0</v>
      </c>
      <c r="E17" s="559"/>
      <c r="F17" s="581" t="str">
        <f t="shared" si="2"/>
        <v/>
      </c>
      <c r="G17" s="581" t="str">
        <f t="shared" si="0"/>
        <v/>
      </c>
      <c r="H17" s="303" t="str">
        <f t="shared" si="1"/>
        <v>否</v>
      </c>
    </row>
    <row r="18" s="202" customFormat="1" ht="24" customHeight="1" spans="1:8">
      <c r="A18" s="588" t="s">
        <v>140</v>
      </c>
      <c r="B18" s="589" t="s">
        <v>141</v>
      </c>
      <c r="C18" s="559"/>
      <c r="D18" s="559">
        <f>'03-1'!F18</f>
        <v>0</v>
      </c>
      <c r="E18" s="559"/>
      <c r="F18" s="581" t="str">
        <f t="shared" si="2"/>
        <v/>
      </c>
      <c r="G18" s="581" t="str">
        <f t="shared" si="0"/>
        <v/>
      </c>
      <c r="H18" s="303" t="str">
        <f t="shared" si="1"/>
        <v>否</v>
      </c>
    </row>
    <row r="19" s="202" customFormat="1" ht="24" customHeight="1" spans="1:8">
      <c r="A19" s="588" t="s">
        <v>142</v>
      </c>
      <c r="B19" s="589" t="s">
        <v>143</v>
      </c>
      <c r="C19" s="559"/>
      <c r="D19" s="559">
        <f>'03-1'!F19</f>
        <v>0</v>
      </c>
      <c r="E19" s="559"/>
      <c r="F19" s="581" t="str">
        <f t="shared" si="2"/>
        <v/>
      </c>
      <c r="G19" s="581" t="str">
        <f t="shared" si="0"/>
        <v/>
      </c>
      <c r="H19" s="303" t="str">
        <f t="shared" si="1"/>
        <v>否</v>
      </c>
    </row>
    <row r="20" s="202" customFormat="1" ht="24" customHeight="1" spans="1:8">
      <c r="A20" s="758" t="s">
        <v>1197</v>
      </c>
      <c r="B20" s="589" t="s">
        <v>145</v>
      </c>
      <c r="C20" s="559"/>
      <c r="D20" s="559">
        <f>'03-1'!F20</f>
        <v>51</v>
      </c>
      <c r="E20" s="559"/>
      <c r="F20" s="581" t="str">
        <f t="shared" si="2"/>
        <v/>
      </c>
      <c r="G20" s="581">
        <f t="shared" si="0"/>
        <v>-1</v>
      </c>
      <c r="H20" s="303" t="str">
        <f t="shared" si="1"/>
        <v>是</v>
      </c>
    </row>
    <row r="21" ht="24" customHeight="1" spans="1:8">
      <c r="A21" s="384" t="s">
        <v>146</v>
      </c>
      <c r="B21" s="586" t="s">
        <v>147</v>
      </c>
      <c r="C21" s="112">
        <f>SUM(C22:C29)</f>
        <v>194299</v>
      </c>
      <c r="D21" s="563">
        <f>SUM(D22:D29)</f>
        <v>151528</v>
      </c>
      <c r="E21" s="563">
        <f>SUM(E22:E29)</f>
        <v>159104</v>
      </c>
      <c r="F21" s="582">
        <f t="shared" si="2"/>
        <v>-0.181138348627631</v>
      </c>
      <c r="G21" s="582">
        <f t="shared" si="0"/>
        <v>0.049997360223853</v>
      </c>
      <c r="H21" s="303" t="str">
        <f t="shared" si="1"/>
        <v>是</v>
      </c>
    </row>
    <row r="22" ht="24" customHeight="1" spans="1:8">
      <c r="A22" s="590" t="s">
        <v>148</v>
      </c>
      <c r="B22" s="587" t="s">
        <v>149</v>
      </c>
      <c r="C22" s="559">
        <v>5322</v>
      </c>
      <c r="D22" s="559">
        <f>'03-1'!F22</f>
        <v>4127</v>
      </c>
      <c r="E22" s="559">
        <v>4500</v>
      </c>
      <c r="F22" s="581">
        <f t="shared" si="2"/>
        <v>-0.15445321307779</v>
      </c>
      <c r="G22" s="581">
        <f t="shared" si="0"/>
        <v>0.090380421613763</v>
      </c>
      <c r="H22" s="303" t="str">
        <f t="shared" si="1"/>
        <v>是</v>
      </c>
    </row>
    <row r="23" ht="24" customHeight="1" spans="1:8">
      <c r="A23" s="387" t="s">
        <v>150</v>
      </c>
      <c r="B23" s="591" t="s">
        <v>151</v>
      </c>
      <c r="C23" s="559">
        <v>42479</v>
      </c>
      <c r="D23" s="559">
        <f>'03-1'!F23</f>
        <v>15810</v>
      </c>
      <c r="E23" s="559">
        <v>15863</v>
      </c>
      <c r="F23" s="581">
        <f t="shared" si="2"/>
        <v>-0.626568422043833</v>
      </c>
      <c r="G23" s="581">
        <f t="shared" si="0"/>
        <v>0.00335230866540164</v>
      </c>
      <c r="H23" s="303" t="str">
        <f t="shared" si="1"/>
        <v>是</v>
      </c>
    </row>
    <row r="24" ht="24" customHeight="1" spans="1:8">
      <c r="A24" s="387" t="s">
        <v>152</v>
      </c>
      <c r="B24" s="587" t="s">
        <v>153</v>
      </c>
      <c r="C24" s="559">
        <v>7820</v>
      </c>
      <c r="D24" s="559">
        <f>'03-1'!F24</f>
        <v>6119</v>
      </c>
      <c r="E24" s="559">
        <v>6507</v>
      </c>
      <c r="F24" s="581">
        <f t="shared" si="2"/>
        <v>-0.167902813299233</v>
      </c>
      <c r="G24" s="581">
        <f t="shared" si="0"/>
        <v>0.0634090537669554</v>
      </c>
      <c r="H24" s="303" t="str">
        <f t="shared" si="1"/>
        <v>是</v>
      </c>
    </row>
    <row r="25" ht="24" customHeight="1" spans="1:8">
      <c r="A25" s="387" t="s">
        <v>154</v>
      </c>
      <c r="B25" s="587" t="s">
        <v>155</v>
      </c>
      <c r="C25" s="559"/>
      <c r="D25" s="559">
        <f>'03-1'!F25</f>
        <v>0</v>
      </c>
      <c r="E25" s="559"/>
      <c r="F25" s="581" t="str">
        <f t="shared" si="2"/>
        <v/>
      </c>
      <c r="G25" s="581" t="str">
        <f t="shared" si="0"/>
        <v/>
      </c>
      <c r="H25" s="303" t="str">
        <f t="shared" si="1"/>
        <v>否</v>
      </c>
    </row>
    <row r="26" ht="24" customHeight="1" spans="1:8">
      <c r="A26" s="387" t="s">
        <v>156</v>
      </c>
      <c r="B26" s="587" t="s">
        <v>157</v>
      </c>
      <c r="C26" s="559">
        <v>131528</v>
      </c>
      <c r="D26" s="559">
        <f>'03-1'!F26</f>
        <v>117392</v>
      </c>
      <c r="E26" s="559">
        <v>124083</v>
      </c>
      <c r="F26" s="581">
        <f t="shared" si="2"/>
        <v>-0.0566039170366766</v>
      </c>
      <c r="G26" s="581">
        <f t="shared" si="0"/>
        <v>0.0569970696469947</v>
      </c>
      <c r="H26" s="303" t="str">
        <f t="shared" si="1"/>
        <v>是</v>
      </c>
    </row>
    <row r="27" s="202" customFormat="1" ht="24" customHeight="1" spans="1:8">
      <c r="A27" s="588" t="s">
        <v>158</v>
      </c>
      <c r="B27" s="589" t="s">
        <v>159</v>
      </c>
      <c r="C27" s="559"/>
      <c r="D27" s="559">
        <f>'03-1'!F27</f>
        <v>0</v>
      </c>
      <c r="E27" s="559"/>
      <c r="F27" s="581" t="str">
        <f t="shared" si="2"/>
        <v/>
      </c>
      <c r="G27" s="581" t="str">
        <f t="shared" si="0"/>
        <v/>
      </c>
      <c r="H27" s="303" t="str">
        <f t="shared" si="1"/>
        <v>否</v>
      </c>
    </row>
    <row r="28" ht="24" customHeight="1" spans="1:8">
      <c r="A28" s="387" t="s">
        <v>160</v>
      </c>
      <c r="B28" s="587" t="s">
        <v>161</v>
      </c>
      <c r="C28" s="559">
        <v>7150</v>
      </c>
      <c r="D28" s="559">
        <f>'03-1'!F28</f>
        <v>8071</v>
      </c>
      <c r="E28" s="559">
        <v>8151</v>
      </c>
      <c r="F28" s="581">
        <f t="shared" si="2"/>
        <v>0.14</v>
      </c>
      <c r="G28" s="581">
        <f t="shared" si="0"/>
        <v>0.00991203072729525</v>
      </c>
      <c r="H28" s="303" t="str">
        <f t="shared" si="1"/>
        <v>是</v>
      </c>
    </row>
    <row r="29" ht="24" customHeight="1" spans="1:8">
      <c r="A29" s="387" t="s">
        <v>162</v>
      </c>
      <c r="B29" s="587" t="s">
        <v>163</v>
      </c>
      <c r="C29" s="559"/>
      <c r="D29" s="559">
        <f>'03-1'!F29</f>
        <v>9</v>
      </c>
      <c r="E29" s="559"/>
      <c r="F29" s="581" t="str">
        <f t="shared" si="2"/>
        <v/>
      </c>
      <c r="G29" s="581">
        <f t="shared" si="0"/>
        <v>-1</v>
      </c>
      <c r="H29" s="303" t="str">
        <f t="shared" si="1"/>
        <v>是</v>
      </c>
    </row>
    <row r="30" ht="24" customHeight="1" spans="1:8">
      <c r="A30" s="387"/>
      <c r="B30" s="587"/>
      <c r="C30" s="559"/>
      <c r="D30" s="559"/>
      <c r="E30" s="559"/>
      <c r="F30" s="582" t="str">
        <f t="shared" si="2"/>
        <v/>
      </c>
      <c r="G30" s="581" t="str">
        <f t="shared" si="0"/>
        <v/>
      </c>
      <c r="H30" s="303" t="str">
        <f t="shared" si="1"/>
        <v>是</v>
      </c>
    </row>
    <row r="31" s="95" customFormat="1" ht="24" customHeight="1" spans="1:8">
      <c r="A31" s="561"/>
      <c r="B31" s="562" t="s">
        <v>1198</v>
      </c>
      <c r="C31" s="112">
        <f>SUM(C5,C21)</f>
        <v>283858</v>
      </c>
      <c r="D31" s="112">
        <f>SUM(D5,D21)</f>
        <v>237059</v>
      </c>
      <c r="E31" s="112">
        <f>SUM(E5,E21)</f>
        <v>248912</v>
      </c>
      <c r="F31" s="582">
        <f t="shared" si="2"/>
        <v>-0.123110851200248</v>
      </c>
      <c r="G31" s="582">
        <f t="shared" si="0"/>
        <v>0.0500002109179571</v>
      </c>
      <c r="H31" s="303" t="str">
        <f t="shared" si="1"/>
        <v>是</v>
      </c>
    </row>
    <row r="32" ht="24" customHeight="1" spans="1:8">
      <c r="A32" s="384">
        <v>105</v>
      </c>
      <c r="B32" s="573" t="s">
        <v>165</v>
      </c>
      <c r="C32" s="563">
        <v>192645</v>
      </c>
      <c r="D32" s="559">
        <f>'03-1'!F32</f>
        <v>237945</v>
      </c>
      <c r="E32" s="563">
        <v>215000</v>
      </c>
      <c r="F32" s="582">
        <f t="shared" si="2"/>
        <v>0.11604246152249</v>
      </c>
      <c r="G32" s="582">
        <f t="shared" si="0"/>
        <v>-0.0964298472336044</v>
      </c>
      <c r="H32" s="303" t="str">
        <f t="shared" si="1"/>
        <v>是</v>
      </c>
    </row>
    <row r="33" ht="24" customHeight="1" spans="1:8">
      <c r="A33" s="592">
        <v>110</v>
      </c>
      <c r="B33" s="593" t="s">
        <v>166</v>
      </c>
      <c r="C33" s="112">
        <f>SUM(C34:C41)</f>
        <v>1311102</v>
      </c>
      <c r="D33" s="112">
        <f>SUM(D34:D41)</f>
        <v>1247877</v>
      </c>
      <c r="E33" s="112">
        <f>SUM(E34:E41)</f>
        <v>1300491</v>
      </c>
      <c r="F33" s="582">
        <f t="shared" si="2"/>
        <v>-0.00809319183404495</v>
      </c>
      <c r="G33" s="582">
        <f t="shared" si="0"/>
        <v>0.0421628093153412</v>
      </c>
      <c r="H33" s="303" t="str">
        <f t="shared" si="1"/>
        <v>是</v>
      </c>
    </row>
    <row r="34" ht="24" customHeight="1" spans="1:8">
      <c r="A34" s="594">
        <v>11001</v>
      </c>
      <c r="B34" s="362" t="s">
        <v>167</v>
      </c>
      <c r="C34" s="595">
        <v>40300</v>
      </c>
      <c r="D34" s="559">
        <f>'03-1'!F34</f>
        <v>44029</v>
      </c>
      <c r="E34" s="595">
        <v>42859</v>
      </c>
      <c r="F34" s="581">
        <f t="shared" si="2"/>
        <v>0.0634987593052109</v>
      </c>
      <c r="G34" s="581">
        <f t="shared" si="0"/>
        <v>-0.0265733948079675</v>
      </c>
      <c r="H34" s="303" t="str">
        <f t="shared" si="1"/>
        <v>是</v>
      </c>
    </row>
    <row r="35" ht="24" customHeight="1" spans="1:8">
      <c r="A35" s="594"/>
      <c r="B35" s="362" t="s">
        <v>168</v>
      </c>
      <c r="C35" s="595">
        <v>912417</v>
      </c>
      <c r="D35" s="559">
        <f>'03-1'!F35</f>
        <v>997380</v>
      </c>
      <c r="E35" s="595">
        <v>1011510</v>
      </c>
      <c r="F35" s="581">
        <f t="shared" si="2"/>
        <v>0.108604947080118</v>
      </c>
      <c r="G35" s="581">
        <f t="shared" si="0"/>
        <v>0.0141671178487638</v>
      </c>
      <c r="H35" s="303" t="str">
        <f t="shared" si="1"/>
        <v>是</v>
      </c>
    </row>
    <row r="36" ht="24" customHeight="1" spans="1:8">
      <c r="A36" s="594"/>
      <c r="B36" s="362" t="s">
        <v>169</v>
      </c>
      <c r="C36" s="595">
        <v>264427</v>
      </c>
      <c r="D36" s="559">
        <f>'03-1'!F36</f>
        <v>144850</v>
      </c>
      <c r="E36" s="595">
        <v>154497</v>
      </c>
      <c r="F36" s="581">
        <f t="shared" si="2"/>
        <v>-0.415729104819099</v>
      </c>
      <c r="G36" s="581">
        <f t="shared" si="0"/>
        <v>0.0665999309630652</v>
      </c>
      <c r="H36" s="303" t="str">
        <f t="shared" si="1"/>
        <v>是</v>
      </c>
    </row>
    <row r="37" ht="24" customHeight="1" spans="1:8">
      <c r="A37" s="594">
        <v>11006</v>
      </c>
      <c r="B37" s="362" t="s">
        <v>1199</v>
      </c>
      <c r="C37" s="559">
        <v>34056</v>
      </c>
      <c r="D37" s="559">
        <f>'03-1'!F37</f>
        <v>34316</v>
      </c>
      <c r="E37" s="559">
        <v>35650</v>
      </c>
      <c r="F37" s="581">
        <f t="shared" si="2"/>
        <v>0.046805261921541</v>
      </c>
      <c r="G37" s="581">
        <f t="shared" si="0"/>
        <v>0.0388739946380697</v>
      </c>
      <c r="H37" s="303" t="str">
        <f t="shared" si="1"/>
        <v>是</v>
      </c>
    </row>
    <row r="38" ht="24" customHeight="1" spans="1:8">
      <c r="A38" s="594">
        <v>11008</v>
      </c>
      <c r="B38" s="362" t="s">
        <v>170</v>
      </c>
      <c r="C38" s="559">
        <v>14902</v>
      </c>
      <c r="D38" s="559">
        <f>'03-1'!F38</f>
        <v>15483</v>
      </c>
      <c r="E38" s="559">
        <v>10975</v>
      </c>
      <c r="F38" s="581">
        <f t="shared" si="2"/>
        <v>-0.263521674942961</v>
      </c>
      <c r="G38" s="581">
        <f t="shared" si="0"/>
        <v>-0.291158044306659</v>
      </c>
      <c r="H38" s="303" t="str">
        <f t="shared" si="1"/>
        <v>是</v>
      </c>
    </row>
    <row r="39" ht="24" customHeight="1" spans="1:8">
      <c r="A39" s="594">
        <v>11009</v>
      </c>
      <c r="B39" s="362" t="s">
        <v>171</v>
      </c>
      <c r="C39" s="559">
        <v>45000</v>
      </c>
      <c r="D39" s="559">
        <f>'03-1'!F39</f>
        <v>11819</v>
      </c>
      <c r="E39" s="559">
        <v>45000</v>
      </c>
      <c r="F39" s="581">
        <f t="shared" si="2"/>
        <v>0</v>
      </c>
      <c r="G39" s="581">
        <f t="shared" si="0"/>
        <v>2.80742871647347</v>
      </c>
      <c r="H39" s="303" t="str">
        <f t="shared" si="1"/>
        <v>是</v>
      </c>
    </row>
    <row r="40" s="552" customFormat="1" ht="24" customHeight="1" spans="1:8">
      <c r="A40" s="596">
        <v>11015</v>
      </c>
      <c r="B40" s="365" t="s">
        <v>172</v>
      </c>
      <c r="C40" s="570"/>
      <c r="D40" s="559">
        <f>'03-1'!F40</f>
        <v>0</v>
      </c>
      <c r="E40" s="570"/>
      <c r="F40" s="581" t="str">
        <f t="shared" si="2"/>
        <v/>
      </c>
      <c r="G40" s="582" t="str">
        <f t="shared" si="0"/>
        <v/>
      </c>
      <c r="H40" s="303" t="str">
        <f t="shared" si="1"/>
        <v>否</v>
      </c>
    </row>
    <row r="41" s="584" customFormat="1" ht="24" customHeight="1" spans="1:8">
      <c r="A41" s="596">
        <v>11021</v>
      </c>
      <c r="B41" s="365" t="s">
        <v>173</v>
      </c>
      <c r="C41" s="559"/>
      <c r="D41" s="559">
        <f>'03-1'!F41</f>
        <v>0</v>
      </c>
      <c r="E41" s="559"/>
      <c r="F41" s="581" t="str">
        <f t="shared" si="2"/>
        <v/>
      </c>
      <c r="G41" s="582" t="str">
        <f t="shared" si="0"/>
        <v/>
      </c>
      <c r="H41" s="303" t="str">
        <f t="shared" si="1"/>
        <v>否</v>
      </c>
    </row>
    <row r="42" ht="24" customHeight="1" spans="1:8">
      <c r="A42" s="597"/>
      <c r="B42" s="577" t="s">
        <v>174</v>
      </c>
      <c r="C42" s="112">
        <f>SUM(C31:C33)</f>
        <v>1787605</v>
      </c>
      <c r="D42" s="112">
        <f>SUM(D31:D33)</f>
        <v>1722881</v>
      </c>
      <c r="E42" s="112">
        <f>SUM(E31:E33)</f>
        <v>1764403</v>
      </c>
      <c r="F42" s="582">
        <f t="shared" si="2"/>
        <v>-0.0129793774351716</v>
      </c>
      <c r="G42" s="582">
        <f t="shared" si="0"/>
        <v>0.0241003296223012</v>
      </c>
      <c r="H42" s="303" t="str">
        <f t="shared" si="1"/>
        <v>是</v>
      </c>
    </row>
    <row r="43" ht="21" customHeight="1" spans="3:8">
      <c r="C43" s="598"/>
      <c r="D43" s="598"/>
      <c r="E43" s="598"/>
      <c r="F43" s="598"/>
      <c r="H43" s="303"/>
    </row>
    <row r="44" spans="3:6">
      <c r="C44" s="598"/>
      <c r="D44" s="598"/>
      <c r="E44" s="598"/>
      <c r="F44" s="598"/>
    </row>
    <row r="45" spans="3:6">
      <c r="C45" s="598"/>
      <c r="D45" s="598"/>
      <c r="E45" s="598"/>
      <c r="F45" s="598"/>
    </row>
    <row r="46" spans="3:6">
      <c r="C46" s="598"/>
      <c r="D46" s="598"/>
      <c r="E46" s="598"/>
      <c r="F46" s="598"/>
    </row>
  </sheetData>
  <autoFilter ref="A4:H43">
    <extLst/>
  </autoFilter>
  <mergeCells count="7">
    <mergeCell ref="B1:G1"/>
    <mergeCell ref="C3:D3"/>
    <mergeCell ref="A3:A4"/>
    <mergeCell ref="B3:B4"/>
    <mergeCell ref="E3:E4"/>
    <mergeCell ref="F3:F4"/>
    <mergeCell ref="G3:G4"/>
  </mergeCells>
  <conditionalFormatting sqref="G2">
    <cfRule type="cellIs" dxfId="2" priority="33" stopIfTrue="1" operator="lessThanOrEqual">
      <formula>-1</formula>
    </cfRule>
  </conditionalFormatting>
  <conditionalFormatting sqref="C21">
    <cfRule type="expression" dxfId="0" priority="21" stopIfTrue="1">
      <formula>"len($A:$A)=3"</formula>
    </cfRule>
  </conditionalFormatting>
  <conditionalFormatting sqref="A32:B32">
    <cfRule type="expression" dxfId="0" priority="35" stopIfTrue="1">
      <formula>"len($A:$A)=3"</formula>
    </cfRule>
  </conditionalFormatting>
  <conditionalFormatting sqref="C33:E33">
    <cfRule type="expression" dxfId="0" priority="34" stopIfTrue="1">
      <formula>"len($A:$A)=3"</formula>
    </cfRule>
  </conditionalFormatting>
  <conditionalFormatting sqref="C36">
    <cfRule type="expression" dxfId="0" priority="8" stopIfTrue="1">
      <formula>"len($A:$A)=3"</formula>
    </cfRule>
    <cfRule type="expression" dxfId="0" priority="7" stopIfTrue="1">
      <formula>"len($A:$A)=3"</formula>
    </cfRule>
    <cfRule type="expression" dxfId="0" priority="6" stopIfTrue="1">
      <formula>"len($A:$A)=3"</formula>
    </cfRule>
    <cfRule type="expression" dxfId="0" priority="5" stopIfTrue="1">
      <formula>"len($A:$A)=3"</formula>
    </cfRule>
  </conditionalFormatting>
  <conditionalFormatting sqref="E36">
    <cfRule type="expression" dxfId="0" priority="16" stopIfTrue="1">
      <formula>"len($A:$A)=3"</formula>
    </cfRule>
    <cfRule type="expression" dxfId="0" priority="15" stopIfTrue="1">
      <formula>"len($A:$A)=3"</formula>
    </cfRule>
    <cfRule type="expression" dxfId="0" priority="14" stopIfTrue="1">
      <formula>"len($A:$A)=3"</formula>
    </cfRule>
    <cfRule type="expression" dxfId="0" priority="13" stopIfTrue="1">
      <formula>"len($A:$A)=3"</formula>
    </cfRule>
  </conditionalFormatting>
  <conditionalFormatting sqref="B40">
    <cfRule type="expression" dxfId="0" priority="1" stopIfTrue="1">
      <formula>"len($A:$A)=3"</formula>
    </cfRule>
  </conditionalFormatting>
  <conditionalFormatting sqref="B41">
    <cfRule type="expression" dxfId="0" priority="4" stopIfTrue="1">
      <formula>"len($A:$A)=3"</formula>
    </cfRule>
  </conditionalFormatting>
  <conditionalFormatting sqref="B8:B9">
    <cfRule type="expression" dxfId="0" priority="31" stopIfTrue="1">
      <formula>"len($A:$A)=3"</formula>
    </cfRule>
  </conditionalFormatting>
  <conditionalFormatting sqref="B33:B36">
    <cfRule type="expression" dxfId="0" priority="28" stopIfTrue="1">
      <formula>"len($A:$A)=3"</formula>
    </cfRule>
  </conditionalFormatting>
  <conditionalFormatting sqref="B40:B41">
    <cfRule type="expression" dxfId="0" priority="3" stopIfTrue="1">
      <formula>"len($A:$A)=3"</formula>
    </cfRule>
    <cfRule type="expression" dxfId="0" priority="2" stopIfTrue="1">
      <formula>"len($A:$A)=3"</formula>
    </cfRule>
  </conditionalFormatting>
  <conditionalFormatting sqref="C34:C35">
    <cfRule type="expression" dxfId="0" priority="12" stopIfTrue="1">
      <formula>"len($A:$A)=3"</formula>
    </cfRule>
    <cfRule type="expression" dxfId="0" priority="11" stopIfTrue="1">
      <formula>"len($A:$A)=3"</formula>
    </cfRule>
    <cfRule type="expression" dxfId="0" priority="10" stopIfTrue="1">
      <formula>"len($A:$A)=3"</formula>
    </cfRule>
    <cfRule type="expression" dxfId="0" priority="9" stopIfTrue="1">
      <formula>"len($A:$A)=3"</formula>
    </cfRule>
  </conditionalFormatting>
  <conditionalFormatting sqref="E34:E35">
    <cfRule type="expression" dxfId="0" priority="20" stopIfTrue="1">
      <formula>"len($A:$A)=3"</formula>
    </cfRule>
    <cfRule type="expression" dxfId="0" priority="19" stopIfTrue="1">
      <formula>"len($A:$A)=3"</formula>
    </cfRule>
    <cfRule type="expression" dxfId="0" priority="18" stopIfTrue="1">
      <formula>"len($A:$A)=3"</formula>
    </cfRule>
    <cfRule type="expression" dxfId="0" priority="17" stopIfTrue="1">
      <formula>"len($A:$A)=3"</formula>
    </cfRule>
  </conditionalFormatting>
  <conditionalFormatting sqref="H5:H60">
    <cfRule type="cellIs" dxfId="1" priority="29" stopIfTrue="1" operator="lessThan">
      <formula>0</formula>
    </cfRule>
  </conditionalFormatting>
  <conditionalFormatting sqref="A5:B29 C21 C5:E5">
    <cfRule type="expression" dxfId="0" priority="30" stopIfTrue="1">
      <formula>"len($A:$A)=3"</formula>
    </cfRule>
  </conditionalFormatting>
  <conditionalFormatting sqref="B5:B7 C5:E5">
    <cfRule type="expression" dxfId="0" priority="32" stopIfTrue="1">
      <formula>"len($A:$A)=3"</formula>
    </cfRule>
  </conditionalFormatting>
  <conditionalFormatting sqref="A30:B30 B42:B60 C42:D46 E43:F46 E42">
    <cfRule type="expression" dxfId="0" priority="36" stopIfTrue="1">
      <formula>"len($A:$A)=3"</formula>
    </cfRule>
  </conditionalFormatting>
  <conditionalFormatting sqref="B30 B32 C33:E33">
    <cfRule type="expression" dxfId="0" priority="37" stopIfTrue="1">
      <formula>"len($A:$A)=3"</formula>
    </cfRule>
  </conditionalFormatting>
  <conditionalFormatting sqref="A33:B33 A37:B37">
    <cfRule type="expression" dxfId="0" priority="27" stopIfTrue="1">
      <formula>"len($A:$A)=3"</formula>
    </cfRule>
  </conditionalFormatting>
  <conditionalFormatting sqref="A34:B36">
    <cfRule type="expression" dxfId="0" priority="26" stopIfTrue="1">
      <formula>"len($A:$A)=3"</formula>
    </cfRule>
  </conditionalFormatting>
  <conditionalFormatting sqref="A38:B39 A42:B46">
    <cfRule type="expression" dxfId="0" priority="25" stopIfTrue="1">
      <formula>"len($A:$A)=3"</formula>
    </cfRule>
  </conditionalFormatting>
  <printOptions horizontalCentered="1"/>
  <pageMargins left="0.472222222222222" right="0.393055555555556" top="0.550694444444444" bottom="0.550694444444444" header="0.314583333333333" footer="0.314583333333333"/>
  <pageSetup paperSize="9" scale="64" orientation="portrait" horizontalDpi="600"/>
  <headerFooter alignWithMargins="0">
    <oddFooter>&amp;C&amp;16- &amp;P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00B0F0"/>
    <pageSetUpPr fitToPage="1"/>
  </sheetPr>
  <dimension ref="A1:H1310"/>
  <sheetViews>
    <sheetView showGridLines="0" showZeros="0" view="pageBreakPreview" zoomScale="70" zoomScaleNormal="90" workbookViewId="0">
      <pane ySplit="4" topLeftCell="A5" activePane="bottomLeft" state="frozen"/>
      <selection/>
      <selection pane="bottomLeft" activeCell="E31" sqref="E31"/>
    </sheetView>
  </sheetViews>
  <sheetFormatPr defaultColWidth="9" defaultRowHeight="14.25" outlineLevelCol="7"/>
  <cols>
    <col min="1" max="1" width="15.5" style="553" hidden="1" customWidth="1"/>
    <col min="2" max="2" width="40.3833333333333" style="553" customWidth="1"/>
    <col min="3" max="5" width="14.8416666666667" style="553" customWidth="1"/>
    <col min="6" max="7" width="13.6666666666667" style="553" customWidth="1"/>
    <col min="8" max="8" width="9" style="202" customWidth="1"/>
    <col min="9" max="16384" width="9" style="202"/>
  </cols>
  <sheetData>
    <row r="1" ht="35.25" spans="1:7">
      <c r="A1" s="554"/>
      <c r="B1" s="375" t="s">
        <v>50</v>
      </c>
      <c r="C1" s="375"/>
      <c r="D1" s="375"/>
      <c r="E1" s="375"/>
      <c r="F1" s="375"/>
      <c r="G1" s="375"/>
    </row>
    <row r="2" ht="18.95" customHeight="1" spans="1:7">
      <c r="A2" s="555"/>
      <c r="B2" s="556" t="s">
        <v>49</v>
      </c>
      <c r="C2" s="557"/>
      <c r="D2" s="557"/>
      <c r="E2" s="557"/>
      <c r="F2" s="557"/>
      <c r="G2" s="579" t="s">
        <v>103</v>
      </c>
    </row>
    <row r="3" s="550" customFormat="1" ht="24" customHeight="1" spans="1:7">
      <c r="A3" s="319" t="s">
        <v>104</v>
      </c>
      <c r="B3" s="320" t="s">
        <v>105</v>
      </c>
      <c r="C3" s="320" t="s">
        <v>107</v>
      </c>
      <c r="D3" s="320"/>
      <c r="E3" s="38" t="s">
        <v>1754</v>
      </c>
      <c r="F3" s="38" t="s">
        <v>1759</v>
      </c>
      <c r="G3" s="38" t="s">
        <v>1760</v>
      </c>
    </row>
    <row r="4" s="550" customFormat="1" ht="41" customHeight="1" spans="1:8">
      <c r="A4" s="322"/>
      <c r="B4" s="320"/>
      <c r="C4" s="38" t="s">
        <v>109</v>
      </c>
      <c r="D4" s="38" t="s">
        <v>110</v>
      </c>
      <c r="E4" s="38"/>
      <c r="F4" s="580"/>
      <c r="G4" s="580"/>
      <c r="H4" s="302" t="s">
        <v>113</v>
      </c>
    </row>
    <row r="5" ht="24" customHeight="1" spans="1:8">
      <c r="A5" s="387" t="s">
        <v>1200</v>
      </c>
      <c r="B5" s="558" t="s">
        <v>1201</v>
      </c>
      <c r="C5" s="559">
        <v>44036</v>
      </c>
      <c r="D5" s="559">
        <f>'03-2'!F5</f>
        <v>38632</v>
      </c>
      <c r="E5" s="559">
        <f>'23'!E5</f>
        <v>41802</v>
      </c>
      <c r="F5" s="581">
        <f t="shared" ref="F5:F44" si="0">IFERROR((E5-C5)/C5,"")</f>
        <v>-0.0507312199109819</v>
      </c>
      <c r="G5" s="581">
        <f t="shared" ref="G5:G44" si="1">IFERROR((E5-D5)/D5,"")</f>
        <v>0.0820563263615655</v>
      </c>
      <c r="H5" s="303" t="str">
        <f t="shared" ref="H5:H44" si="2">IF(LEN(A5)=3,"是",IF(B5&lt;&gt;"",IF(SUM(C5:E5)&lt;&gt;0,"是","否"),"是"))</f>
        <v>是</v>
      </c>
    </row>
    <row r="6" ht="24" customHeight="1" spans="1:8">
      <c r="A6" s="387" t="s">
        <v>1202</v>
      </c>
      <c r="B6" s="560" t="s">
        <v>176</v>
      </c>
      <c r="C6" s="559"/>
      <c r="D6" s="559">
        <f>'03-2'!F6</f>
        <v>0</v>
      </c>
      <c r="E6" s="559">
        <f>'23'!E253</f>
        <v>0</v>
      </c>
      <c r="F6" s="581" t="str">
        <f t="shared" si="0"/>
        <v/>
      </c>
      <c r="G6" s="581" t="str">
        <f t="shared" si="1"/>
        <v/>
      </c>
      <c r="H6" s="303" t="str">
        <f t="shared" si="2"/>
        <v>是</v>
      </c>
    </row>
    <row r="7" ht="24" customHeight="1" spans="1:8">
      <c r="A7" s="387" t="s">
        <v>1203</v>
      </c>
      <c r="B7" s="560" t="s">
        <v>177</v>
      </c>
      <c r="C7" s="559">
        <v>781</v>
      </c>
      <c r="D7" s="559">
        <f>'03-2'!F7</f>
        <v>1279</v>
      </c>
      <c r="E7" s="559">
        <f>'23'!E293</f>
        <v>1366</v>
      </c>
      <c r="F7" s="581">
        <f t="shared" si="0"/>
        <v>0.749039692701664</v>
      </c>
      <c r="G7" s="581">
        <f t="shared" si="1"/>
        <v>0.0680218921032056</v>
      </c>
      <c r="H7" s="303" t="str">
        <f t="shared" si="2"/>
        <v>是</v>
      </c>
    </row>
    <row r="8" ht="24" customHeight="1" spans="1:8">
      <c r="A8" s="387" t="s">
        <v>1204</v>
      </c>
      <c r="B8" s="560" t="s">
        <v>178</v>
      </c>
      <c r="C8" s="559">
        <v>18644</v>
      </c>
      <c r="D8" s="559">
        <f>'03-2'!F8</f>
        <v>22295</v>
      </c>
      <c r="E8" s="559">
        <f>'23'!E312</f>
        <v>23874</v>
      </c>
      <c r="F8" s="581">
        <f t="shared" si="0"/>
        <v>0.280519201888007</v>
      </c>
      <c r="G8" s="581">
        <f t="shared" si="1"/>
        <v>0.0708230544965239</v>
      </c>
      <c r="H8" s="303" t="str">
        <f t="shared" si="2"/>
        <v>是</v>
      </c>
    </row>
    <row r="9" ht="24" customHeight="1" spans="1:8">
      <c r="A9" s="387" t="s">
        <v>1205</v>
      </c>
      <c r="B9" s="560" t="s">
        <v>179</v>
      </c>
      <c r="C9" s="559">
        <v>29431</v>
      </c>
      <c r="D9" s="559">
        <f>'03-2'!F9</f>
        <v>38236</v>
      </c>
      <c r="E9" s="559">
        <f>'23'!E402</f>
        <v>40974</v>
      </c>
      <c r="F9" s="581">
        <f t="shared" si="0"/>
        <v>0.392205497604567</v>
      </c>
      <c r="G9" s="581">
        <f t="shared" si="1"/>
        <v>0.0716079087770687</v>
      </c>
      <c r="H9" s="303" t="str">
        <f t="shared" si="2"/>
        <v>是</v>
      </c>
    </row>
    <row r="10" ht="24" customHeight="1" spans="1:8">
      <c r="A10" s="387" t="s">
        <v>1206</v>
      </c>
      <c r="B10" s="560" t="s">
        <v>180</v>
      </c>
      <c r="C10" s="559">
        <v>2553</v>
      </c>
      <c r="D10" s="559">
        <f>'03-2'!F10</f>
        <v>3289</v>
      </c>
      <c r="E10" s="559">
        <f>'23'!E454</f>
        <v>3409</v>
      </c>
      <c r="F10" s="581">
        <f t="shared" si="0"/>
        <v>0.335291813552683</v>
      </c>
      <c r="G10" s="581">
        <f t="shared" si="1"/>
        <v>0.0364852538765582</v>
      </c>
      <c r="H10" s="303" t="str">
        <f t="shared" si="2"/>
        <v>是</v>
      </c>
    </row>
    <row r="11" ht="24" customHeight="1" spans="1:8">
      <c r="A11" s="387" t="s">
        <v>1207</v>
      </c>
      <c r="B11" s="560" t="s">
        <v>181</v>
      </c>
      <c r="C11" s="559">
        <v>12540</v>
      </c>
      <c r="D11" s="559">
        <f>'03-2'!F11</f>
        <v>11167</v>
      </c>
      <c r="E11" s="559">
        <f>'23'!E510</f>
        <v>12001</v>
      </c>
      <c r="F11" s="581">
        <f t="shared" si="0"/>
        <v>-0.0429824561403509</v>
      </c>
      <c r="G11" s="581">
        <f t="shared" si="1"/>
        <v>0.0746843377809618</v>
      </c>
      <c r="H11" s="303" t="str">
        <f t="shared" si="2"/>
        <v>是</v>
      </c>
    </row>
    <row r="12" ht="24" customHeight="1" spans="1:8">
      <c r="A12" s="387" t="s">
        <v>1208</v>
      </c>
      <c r="B12" s="560" t="s">
        <v>182</v>
      </c>
      <c r="C12" s="559">
        <v>61422</v>
      </c>
      <c r="D12" s="559">
        <f>'03-2'!F12</f>
        <v>66109</v>
      </c>
      <c r="E12" s="559">
        <f>'23'!E566</f>
        <v>71261</v>
      </c>
      <c r="F12" s="581">
        <f t="shared" si="0"/>
        <v>0.160186903715281</v>
      </c>
      <c r="G12" s="581">
        <f t="shared" si="1"/>
        <v>0.0779319003463976</v>
      </c>
      <c r="H12" s="303" t="str">
        <f t="shared" si="2"/>
        <v>是</v>
      </c>
    </row>
    <row r="13" ht="24" customHeight="1" spans="1:8">
      <c r="A13" s="387" t="s">
        <v>1209</v>
      </c>
      <c r="B13" s="560" t="s">
        <v>183</v>
      </c>
      <c r="C13" s="559">
        <v>102400</v>
      </c>
      <c r="D13" s="559">
        <f>'03-2'!F13</f>
        <v>102305</v>
      </c>
      <c r="E13" s="559">
        <f>'23'!E695</f>
        <v>109897</v>
      </c>
      <c r="F13" s="581">
        <f t="shared" si="0"/>
        <v>0.073212890625</v>
      </c>
      <c r="G13" s="581">
        <f t="shared" si="1"/>
        <v>0.0742094716778261</v>
      </c>
      <c r="H13" s="303" t="str">
        <f t="shared" si="2"/>
        <v>是</v>
      </c>
    </row>
    <row r="14" ht="24" customHeight="1" spans="1:8">
      <c r="A14" s="387" t="s">
        <v>1210</v>
      </c>
      <c r="B14" s="560" t="s">
        <v>184</v>
      </c>
      <c r="C14" s="559">
        <v>60711</v>
      </c>
      <c r="D14" s="559">
        <f>'03-2'!F14</f>
        <v>63120</v>
      </c>
      <c r="E14" s="559">
        <f>'23'!E779</f>
        <v>67794</v>
      </c>
      <c r="F14" s="581">
        <f t="shared" si="0"/>
        <v>0.116667490240648</v>
      </c>
      <c r="G14" s="581">
        <f t="shared" si="1"/>
        <v>0.0740494296577947</v>
      </c>
      <c r="H14" s="303" t="str">
        <f t="shared" si="2"/>
        <v>是</v>
      </c>
    </row>
    <row r="15" ht="24" customHeight="1" spans="1:8">
      <c r="A15" s="387" t="s">
        <v>1211</v>
      </c>
      <c r="B15" s="560" t="s">
        <v>185</v>
      </c>
      <c r="C15" s="559">
        <v>13722</v>
      </c>
      <c r="D15" s="559">
        <f>'03-2'!F15</f>
        <v>17917</v>
      </c>
      <c r="E15" s="559">
        <f>'23'!E851</f>
        <v>19364</v>
      </c>
      <c r="F15" s="581">
        <f t="shared" si="0"/>
        <v>0.411164553272118</v>
      </c>
      <c r="G15" s="581">
        <f t="shared" si="1"/>
        <v>0.0807612881620807</v>
      </c>
      <c r="H15" s="303" t="str">
        <f t="shared" si="2"/>
        <v>是</v>
      </c>
    </row>
    <row r="16" ht="24" customHeight="1" spans="1:8">
      <c r="A16" s="387" t="s">
        <v>1212</v>
      </c>
      <c r="B16" s="560" t="s">
        <v>186</v>
      </c>
      <c r="C16" s="559">
        <v>82615</v>
      </c>
      <c r="D16" s="559">
        <f>'03-2'!F16</f>
        <v>17832</v>
      </c>
      <c r="E16" s="559">
        <f>'23'!E874</f>
        <v>18908</v>
      </c>
      <c r="F16" s="581">
        <f t="shared" si="0"/>
        <v>-0.771131150517461</v>
      </c>
      <c r="G16" s="581">
        <f t="shared" si="1"/>
        <v>0.0603409600717811</v>
      </c>
      <c r="H16" s="303" t="str">
        <f t="shared" si="2"/>
        <v>是</v>
      </c>
    </row>
    <row r="17" ht="24" customHeight="1" spans="1:8">
      <c r="A17" s="387" t="s">
        <v>1213</v>
      </c>
      <c r="B17" s="560" t="s">
        <v>187</v>
      </c>
      <c r="C17" s="559">
        <v>22433</v>
      </c>
      <c r="D17" s="559">
        <f>'03-2'!F17</f>
        <v>28594</v>
      </c>
      <c r="E17" s="559">
        <f>'23'!E977</f>
        <v>30432</v>
      </c>
      <c r="F17" s="581">
        <f t="shared" si="0"/>
        <v>0.356572905986716</v>
      </c>
      <c r="G17" s="581">
        <f t="shared" si="1"/>
        <v>0.0642792194166608</v>
      </c>
      <c r="H17" s="303" t="str">
        <f t="shared" si="2"/>
        <v>是</v>
      </c>
    </row>
    <row r="18" ht="24" customHeight="1" spans="1:8">
      <c r="A18" s="387" t="s">
        <v>1214</v>
      </c>
      <c r="B18" s="560" t="s">
        <v>188</v>
      </c>
      <c r="C18" s="559">
        <v>68152</v>
      </c>
      <c r="D18" s="559">
        <f>'03-2'!F18</f>
        <v>44782</v>
      </c>
      <c r="E18" s="559">
        <f>'23'!E1029</f>
        <v>44394</v>
      </c>
      <c r="F18" s="581">
        <f t="shared" si="0"/>
        <v>-0.34860312243221</v>
      </c>
      <c r="G18" s="581">
        <f t="shared" si="1"/>
        <v>-0.00866419543566612</v>
      </c>
      <c r="H18" s="303" t="str">
        <f t="shared" si="2"/>
        <v>是</v>
      </c>
    </row>
    <row r="19" ht="24" customHeight="1" spans="1:8">
      <c r="A19" s="387" t="s">
        <v>1215</v>
      </c>
      <c r="B19" s="560" t="s">
        <v>189</v>
      </c>
      <c r="C19" s="559">
        <v>292</v>
      </c>
      <c r="D19" s="559">
        <f>'03-2'!F19</f>
        <v>1649</v>
      </c>
      <c r="E19" s="559">
        <f>'23'!E1093</f>
        <v>1611</v>
      </c>
      <c r="F19" s="581">
        <f t="shared" si="0"/>
        <v>4.51712328767123</v>
      </c>
      <c r="G19" s="581">
        <f t="shared" si="1"/>
        <v>-0.0230442692540934</v>
      </c>
      <c r="H19" s="303" t="str">
        <f t="shared" si="2"/>
        <v>是</v>
      </c>
    </row>
    <row r="20" ht="24" customHeight="1" spans="1:8">
      <c r="A20" s="387" t="s">
        <v>1216</v>
      </c>
      <c r="B20" s="560" t="s">
        <v>190</v>
      </c>
      <c r="C20" s="559">
        <v>321</v>
      </c>
      <c r="D20" s="559">
        <f>'03-2'!F20</f>
        <v>439</v>
      </c>
      <c r="E20" s="559">
        <f>'23'!E1113</f>
        <v>468</v>
      </c>
      <c r="F20" s="581">
        <f t="shared" si="0"/>
        <v>0.457943925233645</v>
      </c>
      <c r="G20" s="581">
        <f t="shared" si="1"/>
        <v>0.0660592255125285</v>
      </c>
      <c r="H20" s="303" t="str">
        <f t="shared" si="2"/>
        <v>是</v>
      </c>
    </row>
    <row r="21" ht="24" customHeight="1" spans="1:8">
      <c r="A21" s="387" t="s">
        <v>1217</v>
      </c>
      <c r="B21" s="560" t="s">
        <v>191</v>
      </c>
      <c r="C21" s="559"/>
      <c r="D21" s="559">
        <f>'03-2'!F21</f>
        <v>0</v>
      </c>
      <c r="E21" s="559">
        <f>'23'!E1143</f>
        <v>0</v>
      </c>
      <c r="F21" s="581" t="str">
        <f t="shared" si="0"/>
        <v/>
      </c>
      <c r="G21" s="581" t="str">
        <f t="shared" si="1"/>
        <v/>
      </c>
      <c r="H21" s="303" t="str">
        <f t="shared" si="2"/>
        <v>是</v>
      </c>
    </row>
    <row r="22" ht="24" customHeight="1" spans="1:8">
      <c r="A22" s="387" t="s">
        <v>1218</v>
      </c>
      <c r="B22" s="560" t="s">
        <v>192</v>
      </c>
      <c r="C22" s="559">
        <v>4043</v>
      </c>
      <c r="D22" s="559">
        <f>'03-2'!F22</f>
        <v>6051</v>
      </c>
      <c r="E22" s="559">
        <f>'23'!E1153</f>
        <v>6318</v>
      </c>
      <c r="F22" s="581">
        <f t="shared" si="0"/>
        <v>0.562700964630225</v>
      </c>
      <c r="G22" s="581">
        <f t="shared" si="1"/>
        <v>0.0441249380267724</v>
      </c>
      <c r="H22" s="303" t="str">
        <f t="shared" si="2"/>
        <v>是</v>
      </c>
    </row>
    <row r="23" ht="24" customHeight="1" spans="1:8">
      <c r="A23" s="387" t="s">
        <v>1219</v>
      </c>
      <c r="B23" s="560" t="s">
        <v>193</v>
      </c>
      <c r="C23" s="559">
        <v>10285</v>
      </c>
      <c r="D23" s="559">
        <f>'03-2'!F23</f>
        <v>10227</v>
      </c>
      <c r="E23" s="559">
        <f>'23'!E1198</f>
        <v>10811</v>
      </c>
      <c r="F23" s="581">
        <f t="shared" si="0"/>
        <v>0.0511424404472533</v>
      </c>
      <c r="G23" s="581">
        <f t="shared" si="1"/>
        <v>0.0571037449887553</v>
      </c>
      <c r="H23" s="303" t="str">
        <f t="shared" si="2"/>
        <v>是</v>
      </c>
    </row>
    <row r="24" ht="24" customHeight="1" spans="1:8">
      <c r="A24" s="387" t="s">
        <v>1220</v>
      </c>
      <c r="B24" s="560" t="s">
        <v>194</v>
      </c>
      <c r="C24" s="559">
        <v>1417</v>
      </c>
      <c r="D24" s="559">
        <f>'03-2'!F24</f>
        <v>1326</v>
      </c>
      <c r="E24" s="559">
        <f>'23'!E1217</f>
        <v>1314</v>
      </c>
      <c r="F24" s="581">
        <f t="shared" si="0"/>
        <v>-0.0726887791107975</v>
      </c>
      <c r="G24" s="581">
        <f t="shared" si="1"/>
        <v>-0.00904977375565611</v>
      </c>
      <c r="H24" s="303" t="str">
        <f t="shared" si="2"/>
        <v>是</v>
      </c>
    </row>
    <row r="25" ht="24" customHeight="1" spans="1:8">
      <c r="A25" s="387" t="s">
        <v>1221</v>
      </c>
      <c r="B25" s="560" t="s">
        <v>195</v>
      </c>
      <c r="C25" s="559">
        <v>11410</v>
      </c>
      <c r="D25" s="559">
        <f>'03-2'!F25</f>
        <v>4915</v>
      </c>
      <c r="E25" s="559">
        <f>'23'!E1262</f>
        <v>4970</v>
      </c>
      <c r="F25" s="581">
        <f t="shared" si="0"/>
        <v>-0.56441717791411</v>
      </c>
      <c r="G25" s="581">
        <f t="shared" si="1"/>
        <v>0.0111902339776195</v>
      </c>
      <c r="H25" s="303" t="str">
        <f t="shared" si="2"/>
        <v>是</v>
      </c>
    </row>
    <row r="26" ht="24" customHeight="1" spans="1:8">
      <c r="A26" s="387" t="s">
        <v>1222</v>
      </c>
      <c r="B26" s="560" t="s">
        <v>196</v>
      </c>
      <c r="C26" s="559">
        <v>5800</v>
      </c>
      <c r="D26" s="559">
        <f>'03-2'!F26</f>
        <v>0</v>
      </c>
      <c r="E26" s="559">
        <f>'23'!E1312</f>
        <v>5400</v>
      </c>
      <c r="F26" s="581">
        <f t="shared" si="0"/>
        <v>-0.0689655172413793</v>
      </c>
      <c r="G26" s="581" t="str">
        <f t="shared" si="1"/>
        <v/>
      </c>
      <c r="H26" s="303" t="str">
        <f t="shared" si="2"/>
        <v>是</v>
      </c>
    </row>
    <row r="27" ht="24" customHeight="1" spans="1:8">
      <c r="A27" s="387" t="s">
        <v>1223</v>
      </c>
      <c r="B27" s="560" t="s">
        <v>197</v>
      </c>
      <c r="C27" s="559">
        <v>19358</v>
      </c>
      <c r="D27" s="559">
        <f>'03-2'!F27</f>
        <v>19596</v>
      </c>
      <c r="E27" s="559">
        <f>'23'!E1313</f>
        <v>17836</v>
      </c>
      <c r="F27" s="581">
        <f t="shared" si="0"/>
        <v>-0.0786238247752867</v>
      </c>
      <c r="G27" s="581">
        <f t="shared" si="1"/>
        <v>-0.0898142478056746</v>
      </c>
      <c r="H27" s="303" t="str">
        <f t="shared" si="2"/>
        <v>是</v>
      </c>
    </row>
    <row r="28" ht="24" customHeight="1" spans="1:8">
      <c r="A28" s="387" t="s">
        <v>1224</v>
      </c>
      <c r="B28" s="560" t="s">
        <v>198</v>
      </c>
      <c r="C28" s="559">
        <v>100</v>
      </c>
      <c r="D28" s="559">
        <f>'03-2'!F28</f>
        <v>138</v>
      </c>
      <c r="E28" s="559">
        <f>'23'!E1319</f>
        <v>700</v>
      </c>
      <c r="F28" s="581">
        <f t="shared" si="0"/>
        <v>6</v>
      </c>
      <c r="G28" s="581">
        <f t="shared" si="1"/>
        <v>4.07246376811594</v>
      </c>
      <c r="H28" s="303" t="str">
        <f t="shared" si="2"/>
        <v>是</v>
      </c>
    </row>
    <row r="29" ht="24" customHeight="1" spans="1:8">
      <c r="A29" s="387" t="s">
        <v>1225</v>
      </c>
      <c r="B29" s="560" t="s">
        <v>199</v>
      </c>
      <c r="C29" s="559"/>
      <c r="D29" s="559">
        <f>'03-2'!F29</f>
        <v>12</v>
      </c>
      <c r="E29" s="559">
        <f>'23'!E1321</f>
        <v>0</v>
      </c>
      <c r="F29" s="581" t="str">
        <f t="shared" si="0"/>
        <v/>
      </c>
      <c r="G29" s="581">
        <f t="shared" si="1"/>
        <v>-1</v>
      </c>
      <c r="H29" s="303" t="str">
        <f t="shared" si="2"/>
        <v>是</v>
      </c>
    </row>
    <row r="30" ht="24" customHeight="1" spans="1:8">
      <c r="A30" s="387"/>
      <c r="B30" s="560"/>
      <c r="C30" s="559"/>
      <c r="D30" s="559"/>
      <c r="E30" s="559"/>
      <c r="F30" s="581"/>
      <c r="G30" s="581"/>
      <c r="H30" s="303" t="str">
        <f t="shared" si="2"/>
        <v>是</v>
      </c>
    </row>
    <row r="31" s="551" customFormat="1" ht="24" customHeight="1" spans="1:8">
      <c r="A31" s="561"/>
      <c r="B31" s="562" t="s">
        <v>1226</v>
      </c>
      <c r="C31" s="563">
        <f>SUM(C5:C29)</f>
        <v>572466</v>
      </c>
      <c r="D31" s="563">
        <f>SUM(D5:D29)</f>
        <v>499910</v>
      </c>
      <c r="E31" s="563">
        <f>SUM(E5:E29)</f>
        <v>534904</v>
      </c>
      <c r="F31" s="582">
        <f t="shared" si="0"/>
        <v>-0.0656143770983779</v>
      </c>
      <c r="G31" s="582">
        <f t="shared" si="1"/>
        <v>0.0700006001080194</v>
      </c>
      <c r="H31" s="303" t="str">
        <f t="shared" si="2"/>
        <v>是</v>
      </c>
    </row>
    <row r="32" ht="24" customHeight="1" spans="1:8">
      <c r="A32" s="384">
        <v>230</v>
      </c>
      <c r="B32" s="564" t="s">
        <v>201</v>
      </c>
      <c r="C32" s="563">
        <f>SUM(C33:C40)</f>
        <v>1093289</v>
      </c>
      <c r="D32" s="563">
        <f>SUM(D33:D40)</f>
        <v>1085140</v>
      </c>
      <c r="E32" s="563">
        <f>SUM(E33:E40)</f>
        <v>1130749</v>
      </c>
      <c r="F32" s="582">
        <f t="shared" si="0"/>
        <v>0.0342635844685166</v>
      </c>
      <c r="G32" s="582">
        <f t="shared" si="1"/>
        <v>0.042030521407376</v>
      </c>
      <c r="H32" s="303" t="str">
        <f t="shared" si="2"/>
        <v>是</v>
      </c>
    </row>
    <row r="33" ht="24" customHeight="1" spans="1:8">
      <c r="A33" s="387">
        <v>23001</v>
      </c>
      <c r="B33" s="565" t="s">
        <v>1227</v>
      </c>
      <c r="C33" s="559">
        <v>23784</v>
      </c>
      <c r="D33" s="559">
        <f>'03-2'!F33</f>
        <v>25249</v>
      </c>
      <c r="E33" s="559">
        <v>24849</v>
      </c>
      <c r="F33" s="581">
        <f t="shared" si="0"/>
        <v>0.0447780020181635</v>
      </c>
      <c r="G33" s="581">
        <f t="shared" si="1"/>
        <v>-0.0158422115727356</v>
      </c>
      <c r="H33" s="303" t="str">
        <f t="shared" si="2"/>
        <v>是</v>
      </c>
    </row>
    <row r="34" ht="24" customHeight="1" spans="1:8">
      <c r="A34" s="387"/>
      <c r="B34" s="565" t="s">
        <v>1228</v>
      </c>
      <c r="C34" s="559">
        <v>770227</v>
      </c>
      <c r="D34" s="559">
        <f>'03-2'!F34</f>
        <v>785932</v>
      </c>
      <c r="E34" s="559">
        <v>785818</v>
      </c>
      <c r="F34" s="581">
        <f t="shared" si="0"/>
        <v>0.0202420844763946</v>
      </c>
      <c r="G34" s="581">
        <f t="shared" si="1"/>
        <v>-0.000145050716855911</v>
      </c>
      <c r="H34" s="303" t="str">
        <f t="shared" si="2"/>
        <v>是</v>
      </c>
    </row>
    <row r="35" ht="24" customHeight="1" spans="1:8">
      <c r="A35" s="387"/>
      <c r="B35" s="565" t="s">
        <v>1229</v>
      </c>
      <c r="C35" s="559">
        <v>182414</v>
      </c>
      <c r="D35" s="559">
        <f>'03-2'!F35</f>
        <v>136446</v>
      </c>
      <c r="E35" s="559">
        <v>158958</v>
      </c>
      <c r="F35" s="581">
        <f t="shared" si="0"/>
        <v>-0.128586621640883</v>
      </c>
      <c r="G35" s="581">
        <f t="shared" si="1"/>
        <v>0.164988347038389</v>
      </c>
      <c r="H35" s="303" t="str">
        <f t="shared" si="2"/>
        <v>是</v>
      </c>
    </row>
    <row r="36" ht="24" customHeight="1" spans="1:8">
      <c r="A36" s="566">
        <v>23006</v>
      </c>
      <c r="B36" s="567" t="s">
        <v>1230</v>
      </c>
      <c r="C36" s="559">
        <v>33869</v>
      </c>
      <c r="D36" s="559">
        <f>'03-2'!F36</f>
        <v>35218</v>
      </c>
      <c r="E36" s="559">
        <v>35440</v>
      </c>
      <c r="F36" s="581">
        <f t="shared" si="0"/>
        <v>0.0463845994862559</v>
      </c>
      <c r="G36" s="581">
        <f t="shared" si="1"/>
        <v>0.00630359475268329</v>
      </c>
      <c r="H36" s="303" t="str">
        <f t="shared" si="2"/>
        <v>是</v>
      </c>
    </row>
    <row r="37" ht="24" customHeight="1" spans="1:8">
      <c r="A37" s="568">
        <v>23008</v>
      </c>
      <c r="B37" s="569" t="s">
        <v>1231</v>
      </c>
      <c r="C37" s="570"/>
      <c r="D37" s="559">
        <f>'03-2'!F37</f>
        <v>0</v>
      </c>
      <c r="E37" s="570"/>
      <c r="F37" s="581" t="str">
        <f t="shared" si="0"/>
        <v/>
      </c>
      <c r="G37" s="581" t="str">
        <f t="shared" si="1"/>
        <v/>
      </c>
      <c r="H37" s="303" t="str">
        <f t="shared" si="2"/>
        <v>否</v>
      </c>
    </row>
    <row r="38" s="552" customFormat="1" ht="24" customHeight="1" spans="1:8">
      <c r="A38" s="387">
        <v>2301101</v>
      </c>
      <c r="B38" s="566" t="s">
        <v>1232</v>
      </c>
      <c r="C38" s="559">
        <v>82995</v>
      </c>
      <c r="D38" s="559">
        <f>'03-2'!F38</f>
        <v>102295</v>
      </c>
      <c r="E38" s="559">
        <v>125684</v>
      </c>
      <c r="F38" s="581">
        <f t="shared" si="0"/>
        <v>0.514356286523285</v>
      </c>
      <c r="G38" s="581">
        <f t="shared" si="1"/>
        <v>0.22864265115597</v>
      </c>
      <c r="H38" s="303" t="str">
        <f t="shared" si="2"/>
        <v>是</v>
      </c>
    </row>
    <row r="39" s="552" customFormat="1" ht="24" customHeight="1" spans="1:8">
      <c r="A39" s="571">
        <v>23015</v>
      </c>
      <c r="B39" s="572" t="s">
        <v>1233</v>
      </c>
      <c r="C39" s="570"/>
      <c r="D39" s="559">
        <f>'03-2'!F39</f>
        <v>0</v>
      </c>
      <c r="E39" s="570"/>
      <c r="F39" s="581" t="str">
        <f t="shared" si="0"/>
        <v/>
      </c>
      <c r="G39" s="581" t="str">
        <f t="shared" si="1"/>
        <v/>
      </c>
      <c r="H39" s="303" t="str">
        <f t="shared" si="2"/>
        <v>否</v>
      </c>
    </row>
    <row r="40" s="552" customFormat="1" ht="24" customHeight="1" spans="1:8">
      <c r="A40" s="571">
        <v>23016</v>
      </c>
      <c r="B40" s="572" t="s">
        <v>1234</v>
      </c>
      <c r="C40" s="570"/>
      <c r="D40" s="559">
        <f>'03-2'!F40</f>
        <v>0</v>
      </c>
      <c r="E40" s="570"/>
      <c r="F40" s="581" t="str">
        <f t="shared" si="0"/>
        <v/>
      </c>
      <c r="G40" s="581" t="str">
        <f t="shared" si="1"/>
        <v/>
      </c>
      <c r="H40" s="303" t="str">
        <f t="shared" si="2"/>
        <v>否</v>
      </c>
    </row>
    <row r="41" s="552" customFormat="1" ht="24" customHeight="1" spans="1:8">
      <c r="A41" s="387">
        <v>231</v>
      </c>
      <c r="B41" s="573" t="s">
        <v>206</v>
      </c>
      <c r="C41" s="563">
        <v>121850</v>
      </c>
      <c r="D41" s="563">
        <f>'03-2'!F41</f>
        <v>126856</v>
      </c>
      <c r="E41" s="563">
        <v>98750</v>
      </c>
      <c r="F41" s="582">
        <f t="shared" si="0"/>
        <v>-0.189577349199836</v>
      </c>
      <c r="G41" s="582">
        <f t="shared" si="1"/>
        <v>-0.221558302327048</v>
      </c>
      <c r="H41" s="303" t="str">
        <f t="shared" si="2"/>
        <v>是</v>
      </c>
    </row>
    <row r="42" s="552" customFormat="1" ht="24" customHeight="1" spans="1:8">
      <c r="A42" s="574">
        <v>23021</v>
      </c>
      <c r="B42" s="236" t="s">
        <v>207</v>
      </c>
      <c r="C42" s="563"/>
      <c r="D42" s="563">
        <f>'03-2'!F42</f>
        <v>0</v>
      </c>
      <c r="E42" s="563"/>
      <c r="F42" s="582"/>
      <c r="G42" s="582"/>
      <c r="H42" s="303"/>
    </row>
    <row r="43" s="552" customFormat="1" ht="24" customHeight="1" spans="1:8">
      <c r="A43" s="391">
        <v>23009</v>
      </c>
      <c r="B43" s="575" t="s">
        <v>208</v>
      </c>
      <c r="C43" s="576"/>
      <c r="D43" s="563">
        <f>'03-2'!F43</f>
        <v>10975</v>
      </c>
      <c r="E43" s="576"/>
      <c r="F43" s="582" t="str">
        <f>IFERROR((E43-C43)/C43,"")</f>
        <v/>
      </c>
      <c r="G43" s="582">
        <f>IFERROR((E43-D43)/D43,"")</f>
        <v>-1</v>
      </c>
      <c r="H43" s="303" t="str">
        <f>IF(LEN(A43)=3,"是",IF(B43&lt;&gt;"",IF(SUM(C43:E43)&lt;&gt;0,"是","否"),"是"))</f>
        <v>是</v>
      </c>
    </row>
    <row r="44" ht="24" customHeight="1" spans="1:8">
      <c r="A44" s="561"/>
      <c r="B44" s="577" t="s">
        <v>209</v>
      </c>
      <c r="C44" s="563">
        <f>SUM(C31:C32,C41:C43)</f>
        <v>1787605</v>
      </c>
      <c r="D44" s="563">
        <f>SUM(D31:D32,D41:D43)</f>
        <v>1722881</v>
      </c>
      <c r="E44" s="563">
        <f>SUM(E31:E32,E41:E43)</f>
        <v>1764403</v>
      </c>
      <c r="F44" s="582">
        <f>IFERROR((E44-C44)/C44,"")</f>
        <v>-0.0129793774351716</v>
      </c>
      <c r="G44" s="582">
        <f>IFERROR((E44-D44)/D44,"")</f>
        <v>0.0241003296223012</v>
      </c>
      <c r="H44" s="303" t="str">
        <f>IF(LEN(A44)=3,"是",IF(B44&lt;&gt;"",IF(SUM(C44:E44)&lt;&gt;0,"是","否"),"是"))</f>
        <v>是</v>
      </c>
    </row>
    <row r="45" spans="3:6">
      <c r="C45" s="578"/>
      <c r="D45" s="578"/>
      <c r="E45" s="578"/>
      <c r="F45" s="578"/>
    </row>
    <row r="46" spans="3:6">
      <c r="C46" s="578"/>
      <c r="D46" s="578"/>
      <c r="E46" s="578"/>
      <c r="F46" s="578"/>
    </row>
    <row r="47" spans="3:6">
      <c r="C47" s="578"/>
      <c r="D47" s="578"/>
      <c r="E47" s="578"/>
      <c r="F47" s="578"/>
    </row>
    <row r="311" spans="5:5">
      <c r="E311" s="506"/>
    </row>
    <row r="312" spans="5:5">
      <c r="E312" s="506"/>
    </row>
    <row r="313" spans="5:5">
      <c r="E313" s="506"/>
    </row>
    <row r="314" spans="5:5">
      <c r="E314" s="506"/>
    </row>
    <row r="315" spans="5:5">
      <c r="E315" s="506"/>
    </row>
    <row r="691" spans="5:5">
      <c r="E691" s="506"/>
    </row>
    <row r="777" spans="5:5">
      <c r="E777" s="506"/>
    </row>
    <row r="849" spans="5:5">
      <c r="E849" s="506"/>
    </row>
    <row r="853" spans="5:5">
      <c r="E853" s="506"/>
    </row>
    <row r="854" spans="5:5">
      <c r="E854" s="506"/>
    </row>
    <row r="855" spans="5:5">
      <c r="E855" s="506"/>
    </row>
    <row r="856" spans="5:5">
      <c r="E856" s="506"/>
    </row>
    <row r="857" spans="5:5">
      <c r="E857" s="506"/>
    </row>
    <row r="858" spans="5:5">
      <c r="E858" s="506"/>
    </row>
    <row r="859" spans="5:5">
      <c r="E859" s="506"/>
    </row>
    <row r="860" spans="5:5">
      <c r="E860" s="506"/>
    </row>
    <row r="861" spans="5:5">
      <c r="E861" s="506"/>
    </row>
    <row r="876" spans="5:5">
      <c r="E876" s="506"/>
    </row>
    <row r="877" spans="5:5">
      <c r="E877" s="506"/>
    </row>
    <row r="878" spans="5:5">
      <c r="E878" s="506"/>
    </row>
    <row r="879" spans="5:5">
      <c r="E879" s="506"/>
    </row>
    <row r="880" spans="5:5">
      <c r="E880" s="506"/>
    </row>
    <row r="881" spans="5:5">
      <c r="E881" s="506"/>
    </row>
    <row r="882" spans="5:5">
      <c r="E882" s="506"/>
    </row>
    <row r="883" spans="5:5">
      <c r="E883" s="506"/>
    </row>
    <row r="884" spans="5:5">
      <c r="E884" s="506"/>
    </row>
    <row r="885" spans="5:5">
      <c r="E885" s="506"/>
    </row>
    <row r="886" spans="5:5">
      <c r="E886" s="506"/>
    </row>
    <row r="887" spans="5:5">
      <c r="E887" s="506"/>
    </row>
    <row r="888" spans="5:5">
      <c r="E888" s="506"/>
    </row>
    <row r="889" spans="5:5">
      <c r="E889" s="506"/>
    </row>
    <row r="890" spans="5:5">
      <c r="E890" s="506"/>
    </row>
    <row r="891" spans="5:5">
      <c r="E891" s="506"/>
    </row>
    <row r="892" spans="5:5">
      <c r="E892" s="506"/>
    </row>
    <row r="893" spans="5:5">
      <c r="E893" s="506"/>
    </row>
    <row r="895" spans="5:5">
      <c r="E895" s="506"/>
    </row>
    <row r="896" spans="5:5">
      <c r="E896" s="506"/>
    </row>
    <row r="897" spans="5:5">
      <c r="E897" s="506"/>
    </row>
    <row r="898" spans="5:5">
      <c r="E898" s="506"/>
    </row>
    <row r="899" spans="5:5">
      <c r="E899" s="506"/>
    </row>
    <row r="925" spans="5:5">
      <c r="E925" s="506"/>
    </row>
    <row r="926" spans="5:5">
      <c r="E926" s="506"/>
    </row>
    <row r="927" spans="5:5">
      <c r="E927" s="506"/>
    </row>
    <row r="928" spans="5:5">
      <c r="E928" s="506"/>
    </row>
    <row r="929" spans="5:5">
      <c r="E929" s="506"/>
    </row>
    <row r="930" spans="5:5">
      <c r="E930" s="506"/>
    </row>
    <row r="932" spans="5:5">
      <c r="E932" s="506"/>
    </row>
    <row r="934" spans="5:5">
      <c r="E934" s="506"/>
    </row>
    <row r="935" spans="5:5">
      <c r="E935" s="506"/>
    </row>
    <row r="936" spans="5:5">
      <c r="E936" s="506"/>
    </row>
    <row r="939" spans="5:5">
      <c r="E939" s="506"/>
    </row>
    <row r="940" spans="5:5">
      <c r="E940" s="506"/>
    </row>
    <row r="941" spans="5:5">
      <c r="E941" s="506"/>
    </row>
    <row r="942" spans="5:5">
      <c r="E942" s="506"/>
    </row>
    <row r="943" spans="5:5">
      <c r="E943" s="506"/>
    </row>
    <row r="944" spans="5:5">
      <c r="E944" s="506"/>
    </row>
    <row r="945" spans="5:5">
      <c r="E945" s="506"/>
    </row>
    <row r="946" spans="5:5">
      <c r="E946" s="506"/>
    </row>
    <row r="947" spans="5:5">
      <c r="E947" s="506"/>
    </row>
    <row r="948" spans="5:5">
      <c r="E948" s="506"/>
    </row>
    <row r="949" spans="5:5">
      <c r="E949" s="506"/>
    </row>
    <row r="1019" spans="5:5">
      <c r="E1019" s="506"/>
    </row>
    <row r="1072" spans="5:5">
      <c r="E1072" s="506"/>
    </row>
    <row r="1097" spans="5:5">
      <c r="E1097" s="506"/>
    </row>
    <row r="1098" spans="5:5">
      <c r="E1098" s="506"/>
    </row>
    <row r="1099" spans="5:5">
      <c r="E1099" s="506"/>
    </row>
    <row r="1100" spans="5:5">
      <c r="E1100" s="506"/>
    </row>
    <row r="1101" spans="5:5">
      <c r="E1101" s="506"/>
    </row>
    <row r="1102" spans="5:5">
      <c r="E1102" s="506"/>
    </row>
    <row r="1113" spans="5:5">
      <c r="E1113" s="506"/>
    </row>
    <row r="1133" spans="5:5">
      <c r="E1133" s="506"/>
    </row>
    <row r="1135" spans="5:5">
      <c r="E1135" s="506"/>
    </row>
    <row r="1136" spans="5:5">
      <c r="E1136" s="506"/>
    </row>
    <row r="1212" spans="5:5">
      <c r="E1212" s="506"/>
    </row>
    <row r="1213" spans="5:5">
      <c r="E1213" s="506"/>
    </row>
    <row r="1265" spans="5:5">
      <c r="E1265" s="506"/>
    </row>
    <row r="1266" spans="5:5">
      <c r="E1266" s="506"/>
    </row>
    <row r="1267" spans="5:5">
      <c r="E1267" s="506"/>
    </row>
    <row r="1268" spans="5:5">
      <c r="E1268" s="506"/>
    </row>
    <row r="1269" spans="5:5">
      <c r="E1269" s="506"/>
    </row>
    <row r="1270" spans="5:5">
      <c r="E1270" s="506"/>
    </row>
    <row r="1271" spans="5:5">
      <c r="E1271" s="506"/>
    </row>
    <row r="1273" spans="5:5">
      <c r="E1273" s="506"/>
    </row>
    <row r="1274" spans="5:5">
      <c r="E1274" s="506"/>
    </row>
    <row r="1304" spans="5:5">
      <c r="E1304" s="506"/>
    </row>
    <row r="1306" spans="5:5">
      <c r="E1306" s="506"/>
    </row>
    <row r="1307" spans="5:5">
      <c r="E1307" s="506"/>
    </row>
    <row r="1308" spans="5:5">
      <c r="E1308" s="506"/>
    </row>
    <row r="1309" spans="5:5">
      <c r="E1309" s="506"/>
    </row>
    <row r="1310" spans="5:5">
      <c r="E1310" s="506"/>
    </row>
  </sheetData>
  <mergeCells count="7">
    <mergeCell ref="B1:G1"/>
    <mergeCell ref="C3:D3"/>
    <mergeCell ref="A3:A4"/>
    <mergeCell ref="B3:B4"/>
    <mergeCell ref="E3:E4"/>
    <mergeCell ref="F3:F4"/>
    <mergeCell ref="G3:G4"/>
  </mergeCells>
  <conditionalFormatting sqref="G2">
    <cfRule type="cellIs" dxfId="2" priority="5" stopIfTrue="1" operator="lessThanOrEqual">
      <formula>-1</formula>
    </cfRule>
  </conditionalFormatting>
  <conditionalFormatting sqref="A43:B43">
    <cfRule type="expression" dxfId="0" priority="1" stopIfTrue="1">
      <formula>"len($A:$A)=3"</formula>
    </cfRule>
  </conditionalFormatting>
  <conditionalFormatting sqref="H5:H44">
    <cfRule type="cellIs" dxfId="1" priority="3" stopIfTrue="1" operator="lessThan">
      <formula>0</formula>
    </cfRule>
  </conditionalFormatting>
  <conditionalFormatting sqref="A36:B37">
    <cfRule type="expression" dxfId="0" priority="4" stopIfTrue="1">
      <formula>"len($A:$A)=3"</formula>
    </cfRule>
  </conditionalFormatting>
  <conditionalFormatting sqref="A39:B40">
    <cfRule type="expression" dxfId="0" priority="2" stopIfTrue="1">
      <formula>"len($A:$A)=3"</formula>
    </cfRule>
  </conditionalFormatting>
  <printOptions horizontalCentered="1"/>
  <pageMargins left="0.472222222222222" right="0.393055555555556" top="0.393055555555556" bottom="0.393055555555556" header="0.196527777777778" footer="0.196527777777778"/>
  <pageSetup paperSize="9" scale="63" orientation="portrait" horizontalDpi="600"/>
  <headerFooter alignWithMargins="0">
    <oddFooter>&amp;C&amp;16- &amp;P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9">
    <tabColor rgb="FF00B0F0"/>
    <pageSetUpPr fitToPage="1"/>
  </sheetPr>
  <dimension ref="A1:J1389"/>
  <sheetViews>
    <sheetView showZeros="0" view="pageBreakPreview" zoomScale="70" zoomScaleNormal="100" workbookViewId="0">
      <pane xSplit="1" ySplit="4" topLeftCell="B478" activePane="bottomRight" state="frozen"/>
      <selection/>
      <selection pane="topRight"/>
      <selection pane="bottomLeft"/>
      <selection pane="bottomRight" activeCell="E204" sqref="E204"/>
    </sheetView>
  </sheetViews>
  <sheetFormatPr defaultColWidth="9" defaultRowHeight="14.25"/>
  <cols>
    <col min="1" max="1" width="14.1" style="312" hidden="1" customWidth="1"/>
    <col min="2" max="2" width="52.25" style="312" customWidth="1"/>
    <col min="3" max="5" width="18.925" style="369" customWidth="1"/>
    <col min="6" max="6" width="13.925" style="508" customWidth="1"/>
    <col min="7" max="7" width="13.925" style="312" customWidth="1"/>
    <col min="8" max="8" width="4.38333333333333" style="312" customWidth="1"/>
    <col min="9" max="9" width="9" style="312" customWidth="1"/>
    <col min="10" max="16383" width="9" style="312"/>
  </cols>
  <sheetData>
    <row r="1" s="504" customFormat="1" ht="45" customHeight="1" spans="2:7">
      <c r="B1" s="509" t="s">
        <v>52</v>
      </c>
      <c r="C1" s="510"/>
      <c r="D1" s="510"/>
      <c r="E1" s="510"/>
      <c r="F1" s="518"/>
      <c r="G1" s="509"/>
    </row>
    <row r="2" s="504" customFormat="1" ht="20.1" customHeight="1" spans="1:7">
      <c r="A2" s="511"/>
      <c r="B2" s="512" t="s">
        <v>51</v>
      </c>
      <c r="C2" s="513"/>
      <c r="D2" s="513"/>
      <c r="E2" s="513"/>
      <c r="F2" s="519"/>
      <c r="G2" s="520" t="s">
        <v>103</v>
      </c>
    </row>
    <row r="3" s="504" customFormat="1" ht="25" customHeight="1" spans="1:7">
      <c r="A3" s="514" t="s">
        <v>104</v>
      </c>
      <c r="B3" s="398" t="s">
        <v>105</v>
      </c>
      <c r="C3" s="321" t="s">
        <v>107</v>
      </c>
      <c r="D3" s="321"/>
      <c r="E3" s="341" t="s">
        <v>1754</v>
      </c>
      <c r="F3" s="521" t="s">
        <v>108</v>
      </c>
      <c r="G3" s="521"/>
    </row>
    <row r="4" s="505" customFormat="1" ht="39" customHeight="1" spans="1:9">
      <c r="A4" s="514"/>
      <c r="B4" s="398"/>
      <c r="C4" s="321" t="s">
        <v>109</v>
      </c>
      <c r="D4" s="321" t="s">
        <v>110</v>
      </c>
      <c r="E4" s="342"/>
      <c r="F4" s="321" t="s">
        <v>1759</v>
      </c>
      <c r="G4" s="321" t="s">
        <v>1760</v>
      </c>
      <c r="H4" s="522" t="s">
        <v>113</v>
      </c>
      <c r="I4" s="505" t="s">
        <v>210</v>
      </c>
    </row>
    <row r="5" ht="24" customHeight="1" spans="1:9">
      <c r="A5" s="329">
        <v>201</v>
      </c>
      <c r="B5" s="377" t="s">
        <v>175</v>
      </c>
      <c r="C5" s="515">
        <f>C6+C18+C27+C37+C48+C59+C70+C78+C87+C100+C109+C120+C132+C139+C147+C153+C160+C167+C174+C181+C188+C196+C202+C208+C215+C230+C237+C250</f>
        <v>44036</v>
      </c>
      <c r="D5" s="515">
        <f>D6+D18+D27+D37+D48+D59+D70+D78+D87+D100+D109+D120+D132+D139+D147+D153+D160+D167+D174+D181+D188+D196+D202+D208+D215+D230+D237+D250</f>
        <v>38632</v>
      </c>
      <c r="E5" s="515">
        <f>E6+E18+E27+E37+E48+E59+E70+E78+E87+E100+E109+E120+E132+E139+E147+E153+E160+E167+E174+E181+E188+E196+E202+E208+E215+E230+E237+E250</f>
        <v>41802</v>
      </c>
      <c r="F5" s="523">
        <f>IFERROR((E5-C5)/C5,"")</f>
        <v>-0.0507312199109819</v>
      </c>
      <c r="G5" s="467">
        <f>IFERROR((E5-D5)/D5,"")</f>
        <v>0.0820563263615655</v>
      </c>
      <c r="H5" s="524" t="str">
        <f>IF(LEN(A5)=3,"是",IF(B5&lt;&gt;"",IF(SUM(C5:E5)&lt;&gt;0,"是","否"),"是"))</f>
        <v>是</v>
      </c>
      <c r="I5" s="312" t="str">
        <f t="shared" ref="I5:I68" si="0">IF(LEN(A5)=3,"类",IF(LEN(A5)=5,"款","项"))</f>
        <v>类</v>
      </c>
    </row>
    <row r="6" ht="24" customHeight="1" spans="1:9">
      <c r="A6" s="330">
        <v>20101</v>
      </c>
      <c r="B6" s="379" t="s">
        <v>211</v>
      </c>
      <c r="C6" s="515">
        <f>SUM(C7:C17)</f>
        <v>1847</v>
      </c>
      <c r="D6" s="515">
        <f>SUM(D7:D17)</f>
        <v>1558</v>
      </c>
      <c r="E6" s="515">
        <f>SUM(E7:E17)</f>
        <v>1593</v>
      </c>
      <c r="F6" s="523">
        <f t="shared" ref="F6:F69" si="1">IFERROR((E6-C6)/C6,"")</f>
        <v>-0.137520303194369</v>
      </c>
      <c r="G6" s="467">
        <f t="shared" ref="G6:G69" si="2">IFERROR((E6-D6)/D6,"")</f>
        <v>0.0224646983311938</v>
      </c>
      <c r="H6" s="524" t="str">
        <f t="shared" ref="H6:H69" si="3">IF(LEN(A6)=3,"是",IF(B6&lt;&gt;"",IF(SUM(C6:E6)&lt;&gt;0,"是","否"),"是"))</f>
        <v>是</v>
      </c>
      <c r="I6" s="312" t="str">
        <f t="shared" si="0"/>
        <v>款</v>
      </c>
    </row>
    <row r="7" s="372" customFormat="1" ht="24" customHeight="1" spans="1:9">
      <c r="A7" s="330">
        <v>2010101</v>
      </c>
      <c r="B7" s="379" t="s">
        <v>212</v>
      </c>
      <c r="C7" s="516">
        <v>1512</v>
      </c>
      <c r="D7" s="516">
        <f>'04'!F7</f>
        <v>1243</v>
      </c>
      <c r="E7" s="525">
        <v>1256</v>
      </c>
      <c r="F7" s="526">
        <f t="shared" si="1"/>
        <v>-0.169312169312169</v>
      </c>
      <c r="G7" s="470">
        <f t="shared" si="2"/>
        <v>0.0104585679806919</v>
      </c>
      <c r="H7" s="524" t="str">
        <f t="shared" si="3"/>
        <v>是</v>
      </c>
      <c r="I7" s="312" t="str">
        <f t="shared" si="0"/>
        <v>项</v>
      </c>
    </row>
    <row r="8" s="372" customFormat="1" ht="24" customHeight="1" spans="1:9">
      <c r="A8" s="330">
        <v>2010102</v>
      </c>
      <c r="B8" s="379" t="s">
        <v>213</v>
      </c>
      <c r="C8" s="516">
        <v>86</v>
      </c>
      <c r="D8" s="516">
        <f>'04'!F8</f>
        <v>42</v>
      </c>
      <c r="E8" s="525">
        <v>48</v>
      </c>
      <c r="F8" s="526">
        <f t="shared" si="1"/>
        <v>-0.441860465116279</v>
      </c>
      <c r="G8" s="470">
        <f t="shared" si="2"/>
        <v>0.142857142857143</v>
      </c>
      <c r="H8" s="524" t="str">
        <f t="shared" si="3"/>
        <v>是</v>
      </c>
      <c r="I8" s="312" t="str">
        <f t="shared" si="0"/>
        <v>项</v>
      </c>
    </row>
    <row r="9" s="372" customFormat="1" ht="24" customHeight="1" spans="1:9">
      <c r="A9" s="330">
        <v>2010103</v>
      </c>
      <c r="B9" s="379" t="s">
        <v>214</v>
      </c>
      <c r="C9" s="516">
        <v>60</v>
      </c>
      <c r="D9" s="516">
        <f>'04'!F9</f>
        <v>54</v>
      </c>
      <c r="E9" s="525">
        <v>50</v>
      </c>
      <c r="F9" s="526">
        <f t="shared" si="1"/>
        <v>-0.166666666666667</v>
      </c>
      <c r="G9" s="470">
        <f t="shared" si="2"/>
        <v>-0.0740740740740741</v>
      </c>
      <c r="H9" s="524" t="str">
        <f t="shared" si="3"/>
        <v>是</v>
      </c>
      <c r="I9" s="312" t="str">
        <f t="shared" si="0"/>
        <v>项</v>
      </c>
    </row>
    <row r="10" s="372" customFormat="1" ht="24" customHeight="1" spans="1:9">
      <c r="A10" s="330">
        <v>2010104</v>
      </c>
      <c r="B10" s="379" t="s">
        <v>215</v>
      </c>
      <c r="C10" s="516">
        <v>120</v>
      </c>
      <c r="D10" s="516">
        <f>'04'!F10</f>
        <v>99</v>
      </c>
      <c r="E10" s="525">
        <v>101</v>
      </c>
      <c r="F10" s="526">
        <f t="shared" si="1"/>
        <v>-0.158333333333333</v>
      </c>
      <c r="G10" s="470">
        <f t="shared" si="2"/>
        <v>0.0202020202020202</v>
      </c>
      <c r="H10" s="524" t="str">
        <f t="shared" si="3"/>
        <v>是</v>
      </c>
      <c r="I10" s="312" t="str">
        <f t="shared" si="0"/>
        <v>项</v>
      </c>
    </row>
    <row r="11" s="372" customFormat="1" ht="24" hidden="1" customHeight="1" spans="1:9">
      <c r="A11" s="330">
        <v>2010105</v>
      </c>
      <c r="B11" s="379" t="s">
        <v>216</v>
      </c>
      <c r="C11" s="516">
        <v>0</v>
      </c>
      <c r="D11" s="516">
        <f>'04'!F11</f>
        <v>0</v>
      </c>
      <c r="E11" s="525">
        <v>0</v>
      </c>
      <c r="F11" s="526" t="str">
        <f t="shared" si="1"/>
        <v/>
      </c>
      <c r="G11" s="470" t="str">
        <f t="shared" si="2"/>
        <v/>
      </c>
      <c r="H11" s="524" t="str">
        <f t="shared" si="3"/>
        <v>否</v>
      </c>
      <c r="I11" s="312" t="str">
        <f t="shared" si="0"/>
        <v>项</v>
      </c>
    </row>
    <row r="12" s="372" customFormat="1" ht="24" hidden="1" customHeight="1" spans="1:9">
      <c r="A12" s="330">
        <v>2010106</v>
      </c>
      <c r="B12" s="379" t="s">
        <v>217</v>
      </c>
      <c r="C12" s="516">
        <v>0</v>
      </c>
      <c r="D12" s="516">
        <f>'04'!F12</f>
        <v>0</v>
      </c>
      <c r="E12" s="525">
        <v>0</v>
      </c>
      <c r="F12" s="526" t="str">
        <f t="shared" si="1"/>
        <v/>
      </c>
      <c r="G12" s="470" t="str">
        <f t="shared" si="2"/>
        <v/>
      </c>
      <c r="H12" s="524" t="str">
        <f t="shared" si="3"/>
        <v>否</v>
      </c>
      <c r="I12" s="312" t="str">
        <f t="shared" si="0"/>
        <v>项</v>
      </c>
    </row>
    <row r="13" s="372" customFormat="1" ht="24" customHeight="1" spans="1:9">
      <c r="A13" s="330">
        <v>2010107</v>
      </c>
      <c r="B13" s="379" t="s">
        <v>218</v>
      </c>
      <c r="C13" s="516">
        <v>28</v>
      </c>
      <c r="D13" s="516">
        <f>'04'!F13</f>
        <v>26</v>
      </c>
      <c r="E13" s="525">
        <v>28</v>
      </c>
      <c r="F13" s="526">
        <f t="shared" si="1"/>
        <v>0</v>
      </c>
      <c r="G13" s="470">
        <f t="shared" si="2"/>
        <v>0.0769230769230769</v>
      </c>
      <c r="H13" s="524" t="str">
        <f t="shared" si="3"/>
        <v>是</v>
      </c>
      <c r="I13" s="312" t="str">
        <f t="shared" si="0"/>
        <v>项</v>
      </c>
    </row>
    <row r="14" s="372" customFormat="1" ht="24" customHeight="1" spans="1:9">
      <c r="A14" s="330">
        <v>2010108</v>
      </c>
      <c r="B14" s="379" t="s">
        <v>219</v>
      </c>
      <c r="C14" s="516">
        <v>0</v>
      </c>
      <c r="D14" s="516">
        <f>'04'!F14</f>
        <v>9</v>
      </c>
      <c r="E14" s="525">
        <v>12</v>
      </c>
      <c r="F14" s="526" t="str">
        <f t="shared" si="1"/>
        <v/>
      </c>
      <c r="G14" s="470">
        <f t="shared" si="2"/>
        <v>0.333333333333333</v>
      </c>
      <c r="H14" s="524" t="str">
        <f t="shared" si="3"/>
        <v>是</v>
      </c>
      <c r="I14" s="312" t="str">
        <f t="shared" si="0"/>
        <v>项</v>
      </c>
    </row>
    <row r="15" s="372" customFormat="1" ht="24" hidden="1" customHeight="1" spans="1:9">
      <c r="A15" s="330">
        <v>2010109</v>
      </c>
      <c r="B15" s="379" t="s">
        <v>220</v>
      </c>
      <c r="C15" s="516">
        <v>0</v>
      </c>
      <c r="D15" s="516">
        <f>'04'!F15</f>
        <v>0</v>
      </c>
      <c r="E15" s="525">
        <v>0</v>
      </c>
      <c r="F15" s="526" t="str">
        <f t="shared" si="1"/>
        <v/>
      </c>
      <c r="G15" s="470" t="str">
        <f t="shared" si="2"/>
        <v/>
      </c>
      <c r="H15" s="524" t="str">
        <f t="shared" si="3"/>
        <v>否</v>
      </c>
      <c r="I15" s="312" t="str">
        <f t="shared" si="0"/>
        <v>项</v>
      </c>
    </row>
    <row r="16" s="372" customFormat="1" ht="24" hidden="1" customHeight="1" spans="1:9">
      <c r="A16" s="330">
        <v>2010150</v>
      </c>
      <c r="B16" s="379" t="s">
        <v>221</v>
      </c>
      <c r="C16" s="516">
        <v>0</v>
      </c>
      <c r="D16" s="516">
        <f>'04'!F16</f>
        <v>0</v>
      </c>
      <c r="E16" s="525">
        <v>0</v>
      </c>
      <c r="F16" s="526" t="str">
        <f t="shared" si="1"/>
        <v/>
      </c>
      <c r="G16" s="470" t="str">
        <f t="shared" si="2"/>
        <v/>
      </c>
      <c r="H16" s="524" t="str">
        <f t="shared" si="3"/>
        <v>否</v>
      </c>
      <c r="I16" s="312" t="str">
        <f t="shared" si="0"/>
        <v>项</v>
      </c>
    </row>
    <row r="17" s="372" customFormat="1" ht="24" customHeight="1" spans="1:9">
      <c r="A17" s="330">
        <v>2010199</v>
      </c>
      <c r="B17" s="379" t="s">
        <v>222</v>
      </c>
      <c r="C17" s="516">
        <v>41</v>
      </c>
      <c r="D17" s="516">
        <f>'04'!F17</f>
        <v>85</v>
      </c>
      <c r="E17" s="525">
        <v>98</v>
      </c>
      <c r="F17" s="526">
        <f t="shared" si="1"/>
        <v>1.39024390243902</v>
      </c>
      <c r="G17" s="470">
        <f t="shared" si="2"/>
        <v>0.152941176470588</v>
      </c>
      <c r="H17" s="524" t="str">
        <f t="shared" si="3"/>
        <v>是</v>
      </c>
      <c r="I17" s="312" t="str">
        <f t="shared" si="0"/>
        <v>项</v>
      </c>
    </row>
    <row r="18" ht="24" customHeight="1" spans="1:9">
      <c r="A18" s="330">
        <v>20102</v>
      </c>
      <c r="B18" s="379" t="s">
        <v>223</v>
      </c>
      <c r="C18" s="515">
        <f>SUM(C19:C26)</f>
        <v>1598</v>
      </c>
      <c r="D18" s="515">
        <f>SUM(D19:D26)</f>
        <v>1613</v>
      </c>
      <c r="E18" s="515">
        <f>SUM(E19:E26)</f>
        <v>1650</v>
      </c>
      <c r="F18" s="523">
        <f t="shared" si="1"/>
        <v>0.032540675844806</v>
      </c>
      <c r="G18" s="467">
        <f t="shared" si="2"/>
        <v>0.022938623682579</v>
      </c>
      <c r="H18" s="524" t="str">
        <f t="shared" si="3"/>
        <v>是</v>
      </c>
      <c r="I18" s="312" t="str">
        <f t="shared" si="0"/>
        <v>款</v>
      </c>
    </row>
    <row r="19" s="372" customFormat="1" ht="24" customHeight="1" spans="1:9">
      <c r="A19" s="330">
        <v>2010201</v>
      </c>
      <c r="B19" s="379" t="s">
        <v>212</v>
      </c>
      <c r="C19" s="516">
        <v>1403</v>
      </c>
      <c r="D19" s="516">
        <f>'04'!F19</f>
        <v>1529</v>
      </c>
      <c r="E19" s="525">
        <v>1548</v>
      </c>
      <c r="F19" s="526">
        <f t="shared" si="1"/>
        <v>0.103349964362081</v>
      </c>
      <c r="G19" s="470">
        <f t="shared" si="2"/>
        <v>0.0124264224983649</v>
      </c>
      <c r="H19" s="524" t="str">
        <f t="shared" si="3"/>
        <v>是</v>
      </c>
      <c r="I19" s="312" t="str">
        <f t="shared" si="0"/>
        <v>项</v>
      </c>
    </row>
    <row r="20" s="372" customFormat="1" ht="24" customHeight="1" spans="1:9">
      <c r="A20" s="330">
        <v>2010202</v>
      </c>
      <c r="B20" s="379" t="s">
        <v>213</v>
      </c>
      <c r="C20" s="516">
        <v>51</v>
      </c>
      <c r="D20" s="516">
        <f>'04'!F20</f>
        <v>21</v>
      </c>
      <c r="E20" s="525">
        <v>25</v>
      </c>
      <c r="F20" s="526">
        <f t="shared" si="1"/>
        <v>-0.509803921568627</v>
      </c>
      <c r="G20" s="470">
        <f t="shared" si="2"/>
        <v>0.19047619047619</v>
      </c>
      <c r="H20" s="524" t="str">
        <f t="shared" si="3"/>
        <v>是</v>
      </c>
      <c r="I20" s="312" t="str">
        <f t="shared" si="0"/>
        <v>项</v>
      </c>
    </row>
    <row r="21" s="372" customFormat="1" ht="24" hidden="1" customHeight="1" spans="1:9">
      <c r="A21" s="330">
        <v>2010203</v>
      </c>
      <c r="B21" s="379" t="s">
        <v>214</v>
      </c>
      <c r="C21" s="516">
        <v>0</v>
      </c>
      <c r="D21" s="516">
        <f>'04'!F21</f>
        <v>0</v>
      </c>
      <c r="E21" s="525">
        <v>0</v>
      </c>
      <c r="F21" s="526" t="str">
        <f t="shared" si="1"/>
        <v/>
      </c>
      <c r="G21" s="470" t="str">
        <f t="shared" si="2"/>
        <v/>
      </c>
      <c r="H21" s="524" t="str">
        <f t="shared" si="3"/>
        <v>否</v>
      </c>
      <c r="I21" s="312" t="str">
        <f t="shared" si="0"/>
        <v>项</v>
      </c>
    </row>
    <row r="22" s="372" customFormat="1" ht="24" customHeight="1" spans="1:9">
      <c r="A22" s="330">
        <v>2010204</v>
      </c>
      <c r="B22" s="379" t="s">
        <v>224</v>
      </c>
      <c r="C22" s="516">
        <v>81</v>
      </c>
      <c r="D22" s="516">
        <f>'04'!F22</f>
        <v>0</v>
      </c>
      <c r="E22" s="525">
        <v>0</v>
      </c>
      <c r="F22" s="526">
        <f t="shared" si="1"/>
        <v>-1</v>
      </c>
      <c r="G22" s="470" t="str">
        <f t="shared" si="2"/>
        <v/>
      </c>
      <c r="H22" s="524" t="str">
        <f t="shared" si="3"/>
        <v>是</v>
      </c>
      <c r="I22" s="312" t="str">
        <f t="shared" si="0"/>
        <v>项</v>
      </c>
    </row>
    <row r="23" s="372" customFormat="1" ht="24" hidden="1" customHeight="1" spans="1:9">
      <c r="A23" s="330">
        <v>2010205</v>
      </c>
      <c r="B23" s="379" t="s">
        <v>225</v>
      </c>
      <c r="C23" s="516">
        <v>0</v>
      </c>
      <c r="D23" s="516">
        <f>'04'!F23</f>
        <v>0</v>
      </c>
      <c r="E23" s="525">
        <v>0</v>
      </c>
      <c r="F23" s="526" t="str">
        <f t="shared" si="1"/>
        <v/>
      </c>
      <c r="G23" s="470" t="str">
        <f t="shared" si="2"/>
        <v/>
      </c>
      <c r="H23" s="524" t="str">
        <f t="shared" si="3"/>
        <v>否</v>
      </c>
      <c r="I23" s="312" t="str">
        <f t="shared" si="0"/>
        <v>项</v>
      </c>
    </row>
    <row r="24" s="372" customFormat="1" ht="24" customHeight="1" spans="1:9">
      <c r="A24" s="330">
        <v>2010206</v>
      </c>
      <c r="B24" s="379" t="s">
        <v>226</v>
      </c>
      <c r="C24" s="516">
        <v>18</v>
      </c>
      <c r="D24" s="516">
        <f>'04'!F24</f>
        <v>11</v>
      </c>
      <c r="E24" s="525">
        <v>9</v>
      </c>
      <c r="F24" s="526">
        <f t="shared" si="1"/>
        <v>-0.5</v>
      </c>
      <c r="G24" s="470">
        <f t="shared" si="2"/>
        <v>-0.181818181818182</v>
      </c>
      <c r="H24" s="524" t="str">
        <f t="shared" si="3"/>
        <v>是</v>
      </c>
      <c r="I24" s="312" t="str">
        <f t="shared" si="0"/>
        <v>项</v>
      </c>
    </row>
    <row r="25" s="372" customFormat="1" ht="24" hidden="1" customHeight="1" spans="1:9">
      <c r="A25" s="330">
        <v>2010250</v>
      </c>
      <c r="B25" s="379" t="s">
        <v>221</v>
      </c>
      <c r="C25" s="516">
        <v>0</v>
      </c>
      <c r="D25" s="516">
        <f>'04'!F25</f>
        <v>0</v>
      </c>
      <c r="E25" s="525">
        <v>0</v>
      </c>
      <c r="F25" s="526" t="str">
        <f t="shared" si="1"/>
        <v/>
      </c>
      <c r="G25" s="470" t="str">
        <f t="shared" si="2"/>
        <v/>
      </c>
      <c r="H25" s="524" t="str">
        <f t="shared" si="3"/>
        <v>否</v>
      </c>
      <c r="I25" s="312" t="str">
        <f t="shared" si="0"/>
        <v>项</v>
      </c>
    </row>
    <row r="26" s="372" customFormat="1" ht="24" customHeight="1" spans="1:9">
      <c r="A26" s="330">
        <v>2010299</v>
      </c>
      <c r="B26" s="379" t="s">
        <v>227</v>
      </c>
      <c r="C26" s="516">
        <v>45</v>
      </c>
      <c r="D26" s="516">
        <f>'04'!F26</f>
        <v>52</v>
      </c>
      <c r="E26" s="525">
        <v>68</v>
      </c>
      <c r="F26" s="526">
        <f t="shared" si="1"/>
        <v>0.511111111111111</v>
      </c>
      <c r="G26" s="470">
        <f t="shared" si="2"/>
        <v>0.307692307692308</v>
      </c>
      <c r="H26" s="524" t="str">
        <f t="shared" si="3"/>
        <v>是</v>
      </c>
      <c r="I26" s="312" t="str">
        <f t="shared" si="0"/>
        <v>项</v>
      </c>
    </row>
    <row r="27" ht="24" customHeight="1" spans="1:9">
      <c r="A27" s="330">
        <v>20103</v>
      </c>
      <c r="B27" s="379" t="s">
        <v>228</v>
      </c>
      <c r="C27" s="515">
        <f>SUM(C28:C36)</f>
        <v>8020</v>
      </c>
      <c r="D27" s="515">
        <f>SUM(D28:D36)</f>
        <v>7190</v>
      </c>
      <c r="E27" s="515">
        <f>SUM(E28:E36)</f>
        <v>7292</v>
      </c>
      <c r="F27" s="523">
        <f t="shared" si="1"/>
        <v>-0.0907730673316708</v>
      </c>
      <c r="G27" s="467">
        <f t="shared" si="2"/>
        <v>0.0141863699582754</v>
      </c>
      <c r="H27" s="524" t="str">
        <f t="shared" si="3"/>
        <v>是</v>
      </c>
      <c r="I27" s="312" t="str">
        <f t="shared" si="0"/>
        <v>款</v>
      </c>
    </row>
    <row r="28" s="372" customFormat="1" ht="24" customHeight="1" spans="1:9">
      <c r="A28" s="330">
        <v>2010301</v>
      </c>
      <c r="B28" s="379" t="s">
        <v>212</v>
      </c>
      <c r="C28" s="516">
        <v>3568</v>
      </c>
      <c r="D28" s="516">
        <f>'04'!F28</f>
        <v>3412</v>
      </c>
      <c r="E28" s="525">
        <v>3465</v>
      </c>
      <c r="F28" s="526">
        <f t="shared" si="1"/>
        <v>-0.0288677130044843</v>
      </c>
      <c r="G28" s="470">
        <f t="shared" si="2"/>
        <v>0.0155334114888628</v>
      </c>
      <c r="H28" s="524" t="str">
        <f t="shared" si="3"/>
        <v>是</v>
      </c>
      <c r="I28" s="312" t="str">
        <f t="shared" si="0"/>
        <v>项</v>
      </c>
    </row>
    <row r="29" s="372" customFormat="1" ht="24" customHeight="1" spans="1:9">
      <c r="A29" s="330">
        <v>2010302</v>
      </c>
      <c r="B29" s="379" t="s">
        <v>213</v>
      </c>
      <c r="C29" s="516">
        <v>383</v>
      </c>
      <c r="D29" s="516">
        <f>'04'!F29</f>
        <v>406</v>
      </c>
      <c r="E29" s="525">
        <v>372</v>
      </c>
      <c r="F29" s="526">
        <f t="shared" si="1"/>
        <v>-0.0287206266318538</v>
      </c>
      <c r="G29" s="470">
        <f t="shared" si="2"/>
        <v>-0.083743842364532</v>
      </c>
      <c r="H29" s="524" t="str">
        <f t="shared" si="3"/>
        <v>是</v>
      </c>
      <c r="I29" s="312" t="str">
        <f t="shared" si="0"/>
        <v>项</v>
      </c>
    </row>
    <row r="30" s="372" customFormat="1" ht="24" hidden="1" customHeight="1" spans="1:9">
      <c r="A30" s="330">
        <v>2010303</v>
      </c>
      <c r="B30" s="379" t="s">
        <v>214</v>
      </c>
      <c r="C30" s="516">
        <v>0</v>
      </c>
      <c r="D30" s="516">
        <f>'04'!F30</f>
        <v>0</v>
      </c>
      <c r="E30" s="525">
        <v>0</v>
      </c>
      <c r="F30" s="526" t="str">
        <f t="shared" si="1"/>
        <v/>
      </c>
      <c r="G30" s="470" t="str">
        <f t="shared" si="2"/>
        <v/>
      </c>
      <c r="H30" s="524" t="str">
        <f t="shared" si="3"/>
        <v>否</v>
      </c>
      <c r="I30" s="312" t="str">
        <f t="shared" si="0"/>
        <v>项</v>
      </c>
    </row>
    <row r="31" s="372" customFormat="1" ht="24" hidden="1" customHeight="1" spans="1:9">
      <c r="A31" s="330">
        <v>2010304</v>
      </c>
      <c r="B31" s="379" t="s">
        <v>229</v>
      </c>
      <c r="C31" s="516">
        <v>0</v>
      </c>
      <c r="D31" s="516">
        <f>'04'!F31</f>
        <v>0</v>
      </c>
      <c r="E31" s="525">
        <v>0</v>
      </c>
      <c r="F31" s="526" t="str">
        <f t="shared" si="1"/>
        <v/>
      </c>
      <c r="G31" s="470" t="str">
        <f t="shared" si="2"/>
        <v/>
      </c>
      <c r="H31" s="524" t="str">
        <f t="shared" si="3"/>
        <v>否</v>
      </c>
      <c r="I31" s="312" t="str">
        <f t="shared" si="0"/>
        <v>项</v>
      </c>
    </row>
    <row r="32" s="372" customFormat="1" ht="24" hidden="1" customHeight="1" spans="1:9">
      <c r="A32" s="330">
        <v>2010305</v>
      </c>
      <c r="B32" s="379" t="s">
        <v>230</v>
      </c>
      <c r="C32" s="516">
        <v>0</v>
      </c>
      <c r="D32" s="516">
        <f>'04'!F32</f>
        <v>0</v>
      </c>
      <c r="E32" s="525">
        <v>0</v>
      </c>
      <c r="F32" s="526" t="str">
        <f t="shared" si="1"/>
        <v/>
      </c>
      <c r="G32" s="470" t="str">
        <f t="shared" si="2"/>
        <v/>
      </c>
      <c r="H32" s="524" t="str">
        <f t="shared" si="3"/>
        <v>否</v>
      </c>
      <c r="I32" s="312" t="str">
        <f t="shared" si="0"/>
        <v>项</v>
      </c>
    </row>
    <row r="33" s="372" customFormat="1" ht="24" hidden="1" customHeight="1" spans="1:9">
      <c r="A33" s="330">
        <v>2010306</v>
      </c>
      <c r="B33" s="379" t="s">
        <v>231</v>
      </c>
      <c r="C33" s="516">
        <v>0</v>
      </c>
      <c r="D33" s="516">
        <f>'04'!F33</f>
        <v>0</v>
      </c>
      <c r="E33" s="525">
        <v>0</v>
      </c>
      <c r="F33" s="526" t="str">
        <f t="shared" si="1"/>
        <v/>
      </c>
      <c r="G33" s="470" t="str">
        <f t="shared" si="2"/>
        <v/>
      </c>
      <c r="H33" s="524" t="str">
        <f t="shared" si="3"/>
        <v>否</v>
      </c>
      <c r="I33" s="312" t="str">
        <f t="shared" si="0"/>
        <v>项</v>
      </c>
    </row>
    <row r="34" s="372" customFormat="1" ht="24" customHeight="1" spans="1:9">
      <c r="A34" s="330">
        <v>2010309</v>
      </c>
      <c r="B34" s="379" t="s">
        <v>232</v>
      </c>
      <c r="C34" s="516">
        <v>15</v>
      </c>
      <c r="D34" s="516">
        <f>'04'!F34</f>
        <v>9</v>
      </c>
      <c r="E34" s="525">
        <v>12</v>
      </c>
      <c r="F34" s="526">
        <f t="shared" si="1"/>
        <v>-0.2</v>
      </c>
      <c r="G34" s="470">
        <f t="shared" si="2"/>
        <v>0.333333333333333</v>
      </c>
      <c r="H34" s="524" t="str">
        <f t="shared" si="3"/>
        <v>是</v>
      </c>
      <c r="I34" s="312" t="str">
        <f t="shared" si="0"/>
        <v>项</v>
      </c>
    </row>
    <row r="35" s="372" customFormat="1" ht="24" customHeight="1" spans="1:9">
      <c r="A35" s="330">
        <v>2010350</v>
      </c>
      <c r="B35" s="379" t="s">
        <v>221</v>
      </c>
      <c r="C35" s="516">
        <v>1842</v>
      </c>
      <c r="D35" s="516">
        <f>'04'!F35</f>
        <v>1632</v>
      </c>
      <c r="E35" s="525">
        <v>1658</v>
      </c>
      <c r="F35" s="526">
        <f t="shared" si="1"/>
        <v>-0.0998914223669924</v>
      </c>
      <c r="G35" s="470">
        <f t="shared" si="2"/>
        <v>0.0159313725490196</v>
      </c>
      <c r="H35" s="524" t="str">
        <f t="shared" si="3"/>
        <v>是</v>
      </c>
      <c r="I35" s="312" t="str">
        <f t="shared" si="0"/>
        <v>项</v>
      </c>
    </row>
    <row r="36" s="372" customFormat="1" ht="24" customHeight="1" spans="1:9">
      <c r="A36" s="517">
        <v>2010399</v>
      </c>
      <c r="B36" s="379" t="s">
        <v>233</v>
      </c>
      <c r="C36" s="516">
        <v>2212</v>
      </c>
      <c r="D36" s="516">
        <f>'04'!F36</f>
        <v>1731</v>
      </c>
      <c r="E36" s="525">
        <v>1785</v>
      </c>
      <c r="F36" s="526">
        <f t="shared" si="1"/>
        <v>-0.193037974683544</v>
      </c>
      <c r="G36" s="470">
        <f t="shared" si="2"/>
        <v>0.0311958405545927</v>
      </c>
      <c r="H36" s="524" t="str">
        <f t="shared" si="3"/>
        <v>是</v>
      </c>
      <c r="I36" s="312" t="str">
        <f t="shared" si="0"/>
        <v>项</v>
      </c>
    </row>
    <row r="37" ht="24" customHeight="1" spans="1:9">
      <c r="A37" s="330">
        <v>20104</v>
      </c>
      <c r="B37" s="379" t="s">
        <v>234</v>
      </c>
      <c r="C37" s="515">
        <f>SUM(C38:C47)</f>
        <v>1769</v>
      </c>
      <c r="D37" s="515">
        <f>SUM(D38:D47)</f>
        <v>2161</v>
      </c>
      <c r="E37" s="515">
        <f>SUM(E38:E47)</f>
        <v>2216</v>
      </c>
      <c r="F37" s="523">
        <f t="shared" si="1"/>
        <v>0.252685132843414</v>
      </c>
      <c r="G37" s="467">
        <f t="shared" si="2"/>
        <v>0.025451180009255</v>
      </c>
      <c r="H37" s="524" t="str">
        <f t="shared" si="3"/>
        <v>是</v>
      </c>
      <c r="I37" s="312" t="str">
        <f t="shared" si="0"/>
        <v>款</v>
      </c>
    </row>
    <row r="38" s="372" customFormat="1" ht="24" customHeight="1" spans="1:9">
      <c r="A38" s="330">
        <v>2010401</v>
      </c>
      <c r="B38" s="379" t="s">
        <v>212</v>
      </c>
      <c r="C38" s="516">
        <v>1243</v>
      </c>
      <c r="D38" s="516">
        <f>'04'!F38</f>
        <v>1092</v>
      </c>
      <c r="E38" s="525">
        <v>1105</v>
      </c>
      <c r="F38" s="526">
        <f t="shared" si="1"/>
        <v>-0.111021721641191</v>
      </c>
      <c r="G38" s="470">
        <f t="shared" si="2"/>
        <v>0.0119047619047619</v>
      </c>
      <c r="H38" s="524" t="str">
        <f t="shared" si="3"/>
        <v>是</v>
      </c>
      <c r="I38" s="312" t="str">
        <f t="shared" si="0"/>
        <v>项</v>
      </c>
    </row>
    <row r="39" s="372" customFormat="1" ht="24" hidden="1" customHeight="1" spans="1:9">
      <c r="A39" s="330">
        <v>2010402</v>
      </c>
      <c r="B39" s="379" t="s">
        <v>213</v>
      </c>
      <c r="C39" s="516">
        <v>0</v>
      </c>
      <c r="D39" s="516">
        <f>'04'!F39</f>
        <v>0</v>
      </c>
      <c r="E39" s="525">
        <v>0</v>
      </c>
      <c r="F39" s="526" t="str">
        <f t="shared" si="1"/>
        <v/>
      </c>
      <c r="G39" s="470" t="str">
        <f t="shared" si="2"/>
        <v/>
      </c>
      <c r="H39" s="524" t="str">
        <f t="shared" si="3"/>
        <v>否</v>
      </c>
      <c r="I39" s="312" t="str">
        <f t="shared" si="0"/>
        <v>项</v>
      </c>
    </row>
    <row r="40" s="372" customFormat="1" ht="24" hidden="1" customHeight="1" spans="1:9">
      <c r="A40" s="330">
        <v>2010403</v>
      </c>
      <c r="B40" s="379" t="s">
        <v>214</v>
      </c>
      <c r="C40" s="516">
        <v>0</v>
      </c>
      <c r="D40" s="516">
        <f>'04'!F40</f>
        <v>0</v>
      </c>
      <c r="E40" s="525">
        <v>0</v>
      </c>
      <c r="F40" s="526" t="str">
        <f t="shared" si="1"/>
        <v/>
      </c>
      <c r="G40" s="470" t="str">
        <f t="shared" si="2"/>
        <v/>
      </c>
      <c r="H40" s="524" t="str">
        <f t="shared" si="3"/>
        <v>否</v>
      </c>
      <c r="I40" s="312" t="str">
        <f t="shared" si="0"/>
        <v>项</v>
      </c>
    </row>
    <row r="41" s="372" customFormat="1" ht="24" hidden="1" customHeight="1" spans="1:9">
      <c r="A41" s="330">
        <v>2010404</v>
      </c>
      <c r="B41" s="379" t="s">
        <v>235</v>
      </c>
      <c r="C41" s="516">
        <v>0</v>
      </c>
      <c r="D41" s="516">
        <f>'04'!F41</f>
        <v>0</v>
      </c>
      <c r="E41" s="525">
        <v>0</v>
      </c>
      <c r="F41" s="526" t="str">
        <f t="shared" si="1"/>
        <v/>
      </c>
      <c r="G41" s="470" t="str">
        <f t="shared" si="2"/>
        <v/>
      </c>
      <c r="H41" s="524" t="str">
        <f t="shared" si="3"/>
        <v>否</v>
      </c>
      <c r="I41" s="312" t="str">
        <f t="shared" si="0"/>
        <v>项</v>
      </c>
    </row>
    <row r="42" s="372" customFormat="1" ht="24" hidden="1" customHeight="1" spans="1:9">
      <c r="A42" s="330">
        <v>2010405</v>
      </c>
      <c r="B42" s="379" t="s">
        <v>236</v>
      </c>
      <c r="C42" s="516">
        <v>0</v>
      </c>
      <c r="D42" s="516">
        <f>'04'!F42</f>
        <v>0</v>
      </c>
      <c r="E42" s="525">
        <v>0</v>
      </c>
      <c r="F42" s="526" t="str">
        <f t="shared" si="1"/>
        <v/>
      </c>
      <c r="G42" s="470" t="str">
        <f t="shared" si="2"/>
        <v/>
      </c>
      <c r="H42" s="524" t="str">
        <f t="shared" si="3"/>
        <v>否</v>
      </c>
      <c r="I42" s="312" t="str">
        <f t="shared" si="0"/>
        <v>项</v>
      </c>
    </row>
    <row r="43" s="372" customFormat="1" ht="24" customHeight="1" spans="1:9">
      <c r="A43" s="330">
        <v>2010406</v>
      </c>
      <c r="B43" s="379" t="s">
        <v>237</v>
      </c>
      <c r="C43" s="516">
        <v>195</v>
      </c>
      <c r="D43" s="516">
        <f>'04'!F43</f>
        <v>0</v>
      </c>
      <c r="E43" s="525">
        <v>0</v>
      </c>
      <c r="F43" s="526">
        <f t="shared" si="1"/>
        <v>-1</v>
      </c>
      <c r="G43" s="470" t="str">
        <f t="shared" si="2"/>
        <v/>
      </c>
      <c r="H43" s="524" t="str">
        <f t="shared" si="3"/>
        <v>是</v>
      </c>
      <c r="I43" s="312" t="str">
        <f t="shared" si="0"/>
        <v>项</v>
      </c>
    </row>
    <row r="44" s="372" customFormat="1" ht="24" hidden="1" customHeight="1" spans="1:9">
      <c r="A44" s="330">
        <v>2010407</v>
      </c>
      <c r="B44" s="379" t="s">
        <v>238</v>
      </c>
      <c r="C44" s="516">
        <v>0</v>
      </c>
      <c r="D44" s="516">
        <f>'04'!F44</f>
        <v>0</v>
      </c>
      <c r="E44" s="525">
        <v>0</v>
      </c>
      <c r="F44" s="526" t="str">
        <f t="shared" si="1"/>
        <v/>
      </c>
      <c r="G44" s="470" t="str">
        <f t="shared" si="2"/>
        <v/>
      </c>
      <c r="H44" s="524" t="str">
        <f t="shared" si="3"/>
        <v>否</v>
      </c>
      <c r="I44" s="312" t="str">
        <f t="shared" si="0"/>
        <v>项</v>
      </c>
    </row>
    <row r="45" s="372" customFormat="1" ht="24" hidden="1" customHeight="1" spans="1:9">
      <c r="A45" s="330">
        <v>2010408</v>
      </c>
      <c r="B45" s="379" t="s">
        <v>239</v>
      </c>
      <c r="C45" s="516">
        <v>0</v>
      </c>
      <c r="D45" s="516">
        <f>'04'!F45</f>
        <v>0</v>
      </c>
      <c r="E45" s="525">
        <v>0</v>
      </c>
      <c r="F45" s="526" t="str">
        <f t="shared" si="1"/>
        <v/>
      </c>
      <c r="G45" s="470" t="str">
        <f t="shared" si="2"/>
        <v/>
      </c>
      <c r="H45" s="524" t="str">
        <f t="shared" si="3"/>
        <v>否</v>
      </c>
      <c r="I45" s="312" t="str">
        <f t="shared" si="0"/>
        <v>项</v>
      </c>
    </row>
    <row r="46" s="372" customFormat="1" ht="24" customHeight="1" spans="1:9">
      <c r="A46" s="330">
        <v>2010450</v>
      </c>
      <c r="B46" s="379" t="s">
        <v>221</v>
      </c>
      <c r="C46" s="516">
        <v>138</v>
      </c>
      <c r="D46" s="516">
        <f>'04'!F46</f>
        <v>148</v>
      </c>
      <c r="E46" s="525">
        <v>155</v>
      </c>
      <c r="F46" s="526">
        <f t="shared" si="1"/>
        <v>0.123188405797101</v>
      </c>
      <c r="G46" s="470">
        <f t="shared" si="2"/>
        <v>0.0472972972972973</v>
      </c>
      <c r="H46" s="524" t="str">
        <f t="shared" si="3"/>
        <v>是</v>
      </c>
      <c r="I46" s="312" t="str">
        <f t="shared" si="0"/>
        <v>项</v>
      </c>
    </row>
    <row r="47" s="372" customFormat="1" ht="24" customHeight="1" spans="1:9">
      <c r="A47" s="330">
        <v>2010499</v>
      </c>
      <c r="B47" s="379" t="s">
        <v>240</v>
      </c>
      <c r="C47" s="516">
        <v>193</v>
      </c>
      <c r="D47" s="516">
        <f>'04'!F47</f>
        <v>921</v>
      </c>
      <c r="E47" s="525">
        <v>956</v>
      </c>
      <c r="F47" s="526">
        <f t="shared" si="1"/>
        <v>3.95336787564767</v>
      </c>
      <c r="G47" s="470">
        <f t="shared" si="2"/>
        <v>0.0380021715526602</v>
      </c>
      <c r="H47" s="524" t="str">
        <f t="shared" si="3"/>
        <v>是</v>
      </c>
      <c r="I47" s="312" t="str">
        <f t="shared" si="0"/>
        <v>项</v>
      </c>
    </row>
    <row r="48" ht="24" customHeight="1" spans="1:9">
      <c r="A48" s="330">
        <v>20105</v>
      </c>
      <c r="B48" s="379" t="s">
        <v>241</v>
      </c>
      <c r="C48" s="515">
        <f>SUM(C49:C58)</f>
        <v>823</v>
      </c>
      <c r="D48" s="515">
        <f>SUM(D49:D58)</f>
        <v>791</v>
      </c>
      <c r="E48" s="515">
        <f>SUM(E49:E58)</f>
        <v>793</v>
      </c>
      <c r="F48" s="523">
        <f t="shared" si="1"/>
        <v>-0.0364520048602673</v>
      </c>
      <c r="G48" s="467">
        <f t="shared" si="2"/>
        <v>0.00252844500632111</v>
      </c>
      <c r="H48" s="524" t="str">
        <f t="shared" si="3"/>
        <v>是</v>
      </c>
      <c r="I48" s="312" t="str">
        <f t="shared" si="0"/>
        <v>款</v>
      </c>
    </row>
    <row r="49" s="372" customFormat="1" ht="24" customHeight="1" spans="1:9">
      <c r="A49" s="330">
        <v>2010501</v>
      </c>
      <c r="B49" s="379" t="s">
        <v>212</v>
      </c>
      <c r="C49" s="516">
        <v>375</v>
      </c>
      <c r="D49" s="516">
        <f>'04'!F49</f>
        <v>475</v>
      </c>
      <c r="E49" s="525">
        <v>487</v>
      </c>
      <c r="F49" s="526">
        <f t="shared" si="1"/>
        <v>0.298666666666667</v>
      </c>
      <c r="G49" s="470">
        <f t="shared" si="2"/>
        <v>0.0252631578947368</v>
      </c>
      <c r="H49" s="524" t="str">
        <f t="shared" si="3"/>
        <v>是</v>
      </c>
      <c r="I49" s="312" t="str">
        <f t="shared" si="0"/>
        <v>项</v>
      </c>
    </row>
    <row r="50" s="372" customFormat="1" ht="24" customHeight="1" spans="1:9">
      <c r="A50" s="330">
        <v>2010502</v>
      </c>
      <c r="B50" s="379" t="s">
        <v>213</v>
      </c>
      <c r="C50" s="516">
        <v>33</v>
      </c>
      <c r="D50" s="516">
        <f>'04'!F50</f>
        <v>40</v>
      </c>
      <c r="E50" s="525">
        <v>35</v>
      </c>
      <c r="F50" s="526">
        <f t="shared" si="1"/>
        <v>0.0606060606060606</v>
      </c>
      <c r="G50" s="470">
        <f t="shared" si="2"/>
        <v>-0.125</v>
      </c>
      <c r="H50" s="524" t="str">
        <f t="shared" si="3"/>
        <v>是</v>
      </c>
      <c r="I50" s="312" t="str">
        <f t="shared" si="0"/>
        <v>项</v>
      </c>
    </row>
    <row r="51" s="372" customFormat="1" ht="24" hidden="1" customHeight="1" spans="1:9">
      <c r="A51" s="330">
        <v>2010503</v>
      </c>
      <c r="B51" s="379" t="s">
        <v>214</v>
      </c>
      <c r="C51" s="516">
        <v>0</v>
      </c>
      <c r="D51" s="516">
        <f>'04'!F51</f>
        <v>0</v>
      </c>
      <c r="E51" s="525">
        <v>0</v>
      </c>
      <c r="F51" s="526" t="str">
        <f t="shared" si="1"/>
        <v/>
      </c>
      <c r="G51" s="470" t="str">
        <f t="shared" si="2"/>
        <v/>
      </c>
      <c r="H51" s="524" t="str">
        <f t="shared" si="3"/>
        <v>否</v>
      </c>
      <c r="I51" s="312" t="str">
        <f t="shared" si="0"/>
        <v>项</v>
      </c>
    </row>
    <row r="52" s="372" customFormat="1" ht="24" hidden="1" customHeight="1" spans="1:9">
      <c r="A52" s="330">
        <v>2010504</v>
      </c>
      <c r="B52" s="379" t="s">
        <v>242</v>
      </c>
      <c r="C52" s="516">
        <v>0</v>
      </c>
      <c r="D52" s="516">
        <f>'04'!F52</f>
        <v>0</v>
      </c>
      <c r="E52" s="525">
        <v>0</v>
      </c>
      <c r="F52" s="526" t="str">
        <f t="shared" si="1"/>
        <v/>
      </c>
      <c r="G52" s="470" t="str">
        <f t="shared" si="2"/>
        <v/>
      </c>
      <c r="H52" s="524" t="str">
        <f t="shared" si="3"/>
        <v>否</v>
      </c>
      <c r="I52" s="312" t="str">
        <f t="shared" si="0"/>
        <v>项</v>
      </c>
    </row>
    <row r="53" s="372" customFormat="1" ht="24" customHeight="1" spans="1:9">
      <c r="A53" s="330">
        <v>2010505</v>
      </c>
      <c r="B53" s="379" t="s">
        <v>243</v>
      </c>
      <c r="C53" s="516">
        <v>0</v>
      </c>
      <c r="D53" s="516">
        <f>'04'!F53</f>
        <v>1</v>
      </c>
      <c r="E53" s="525">
        <v>1</v>
      </c>
      <c r="F53" s="526" t="str">
        <f t="shared" si="1"/>
        <v/>
      </c>
      <c r="G53" s="470">
        <f t="shared" si="2"/>
        <v>0</v>
      </c>
      <c r="H53" s="524" t="str">
        <f t="shared" si="3"/>
        <v>是</v>
      </c>
      <c r="I53" s="312" t="str">
        <f t="shared" si="0"/>
        <v>项</v>
      </c>
    </row>
    <row r="54" s="372" customFormat="1" ht="24" customHeight="1" spans="1:9">
      <c r="A54" s="330">
        <v>2010506</v>
      </c>
      <c r="B54" s="379" t="s">
        <v>244</v>
      </c>
      <c r="C54" s="516">
        <v>5</v>
      </c>
      <c r="D54" s="516">
        <f>'04'!F54</f>
        <v>8</v>
      </c>
      <c r="E54" s="525">
        <v>10</v>
      </c>
      <c r="F54" s="526">
        <f t="shared" si="1"/>
        <v>1</v>
      </c>
      <c r="G54" s="470">
        <f t="shared" si="2"/>
        <v>0.25</v>
      </c>
      <c r="H54" s="524" t="str">
        <f t="shared" si="3"/>
        <v>是</v>
      </c>
      <c r="I54" s="312" t="str">
        <f t="shared" si="0"/>
        <v>项</v>
      </c>
    </row>
    <row r="55" s="372" customFormat="1" ht="24" customHeight="1" spans="1:9">
      <c r="A55" s="330">
        <v>2010507</v>
      </c>
      <c r="B55" s="379" t="s">
        <v>245</v>
      </c>
      <c r="C55" s="516">
        <v>65</v>
      </c>
      <c r="D55" s="516">
        <f>'04'!F55</f>
        <v>65</v>
      </c>
      <c r="E55" s="525">
        <v>55</v>
      </c>
      <c r="F55" s="526">
        <f t="shared" si="1"/>
        <v>-0.153846153846154</v>
      </c>
      <c r="G55" s="470">
        <f t="shared" si="2"/>
        <v>-0.153846153846154</v>
      </c>
      <c r="H55" s="524" t="str">
        <f t="shared" si="3"/>
        <v>是</v>
      </c>
      <c r="I55" s="312" t="str">
        <f t="shared" si="0"/>
        <v>项</v>
      </c>
    </row>
    <row r="56" s="372" customFormat="1" ht="24" customHeight="1" spans="1:9">
      <c r="A56" s="330">
        <v>2010508</v>
      </c>
      <c r="B56" s="379" t="s">
        <v>246</v>
      </c>
      <c r="C56" s="516">
        <v>165</v>
      </c>
      <c r="D56" s="516">
        <f>'04'!F56</f>
        <v>41</v>
      </c>
      <c r="E56" s="525">
        <v>37</v>
      </c>
      <c r="F56" s="526">
        <f t="shared" si="1"/>
        <v>-0.775757575757576</v>
      </c>
      <c r="G56" s="470">
        <f t="shared" si="2"/>
        <v>-0.0975609756097561</v>
      </c>
      <c r="H56" s="524" t="str">
        <f t="shared" si="3"/>
        <v>是</v>
      </c>
      <c r="I56" s="312" t="str">
        <f t="shared" si="0"/>
        <v>项</v>
      </c>
    </row>
    <row r="57" s="372" customFormat="1" ht="24" customHeight="1" spans="1:9">
      <c r="A57" s="330">
        <v>2010550</v>
      </c>
      <c r="B57" s="379" t="s">
        <v>221</v>
      </c>
      <c r="C57" s="516">
        <v>160</v>
      </c>
      <c r="D57" s="516">
        <f>'04'!F57</f>
        <v>161</v>
      </c>
      <c r="E57" s="525">
        <v>168</v>
      </c>
      <c r="F57" s="526">
        <f t="shared" si="1"/>
        <v>0.05</v>
      </c>
      <c r="G57" s="470">
        <f t="shared" si="2"/>
        <v>0.0434782608695652</v>
      </c>
      <c r="H57" s="524" t="str">
        <f t="shared" si="3"/>
        <v>是</v>
      </c>
      <c r="I57" s="312" t="str">
        <f t="shared" si="0"/>
        <v>项</v>
      </c>
    </row>
    <row r="58" s="372" customFormat="1" ht="24" customHeight="1" spans="1:9">
      <c r="A58" s="330">
        <v>2010599</v>
      </c>
      <c r="B58" s="379" t="s">
        <v>247</v>
      </c>
      <c r="C58" s="516">
        <v>20</v>
      </c>
      <c r="D58" s="516">
        <f>'04'!F58</f>
        <v>0</v>
      </c>
      <c r="E58" s="525">
        <v>0</v>
      </c>
      <c r="F58" s="526">
        <f t="shared" si="1"/>
        <v>-1</v>
      </c>
      <c r="G58" s="470" t="str">
        <f t="shared" si="2"/>
        <v/>
      </c>
      <c r="H58" s="524" t="str">
        <f t="shared" si="3"/>
        <v>是</v>
      </c>
      <c r="I58" s="312" t="str">
        <f t="shared" si="0"/>
        <v>项</v>
      </c>
    </row>
    <row r="59" ht="24" customHeight="1" spans="1:9">
      <c r="A59" s="330">
        <v>20106</v>
      </c>
      <c r="B59" s="379" t="s">
        <v>248</v>
      </c>
      <c r="C59" s="515">
        <f>SUM(C60:C69)</f>
        <v>2878</v>
      </c>
      <c r="D59" s="515">
        <f>SUM(D60:D69)</f>
        <v>2577</v>
      </c>
      <c r="E59" s="515">
        <f>SUM(E60:E69)</f>
        <v>2590</v>
      </c>
      <c r="F59" s="523">
        <f t="shared" si="1"/>
        <v>-0.100069492703266</v>
      </c>
      <c r="G59" s="467">
        <f t="shared" si="2"/>
        <v>0.00504462553356616</v>
      </c>
      <c r="H59" s="524" t="str">
        <f t="shared" si="3"/>
        <v>是</v>
      </c>
      <c r="I59" s="312" t="str">
        <f t="shared" si="0"/>
        <v>款</v>
      </c>
    </row>
    <row r="60" s="372" customFormat="1" ht="24" customHeight="1" spans="1:9">
      <c r="A60" s="330">
        <v>2010601</v>
      </c>
      <c r="B60" s="379" t="s">
        <v>212</v>
      </c>
      <c r="C60" s="516">
        <v>1632</v>
      </c>
      <c r="D60" s="516">
        <f>'04'!F60</f>
        <v>1436</v>
      </c>
      <c r="E60" s="525">
        <v>1448</v>
      </c>
      <c r="F60" s="526">
        <f t="shared" si="1"/>
        <v>-0.112745098039216</v>
      </c>
      <c r="G60" s="470">
        <f t="shared" si="2"/>
        <v>0.00835654596100279</v>
      </c>
      <c r="H60" s="524" t="str">
        <f t="shared" si="3"/>
        <v>是</v>
      </c>
      <c r="I60" s="312" t="str">
        <f t="shared" si="0"/>
        <v>项</v>
      </c>
    </row>
    <row r="61" s="372" customFormat="1" ht="24" customHeight="1" spans="1:9">
      <c r="A61" s="330">
        <v>2010602</v>
      </c>
      <c r="B61" s="379" t="s">
        <v>213</v>
      </c>
      <c r="C61" s="516">
        <v>248</v>
      </c>
      <c r="D61" s="516">
        <f>'04'!F61</f>
        <v>0</v>
      </c>
      <c r="E61" s="525">
        <v>0</v>
      </c>
      <c r="F61" s="526">
        <f t="shared" si="1"/>
        <v>-1</v>
      </c>
      <c r="G61" s="470" t="str">
        <f t="shared" si="2"/>
        <v/>
      </c>
      <c r="H61" s="524" t="str">
        <f t="shared" si="3"/>
        <v>是</v>
      </c>
      <c r="I61" s="312" t="str">
        <f t="shared" si="0"/>
        <v>项</v>
      </c>
    </row>
    <row r="62" s="372" customFormat="1" ht="24" hidden="1" customHeight="1" spans="1:9">
      <c r="A62" s="330">
        <v>2010603</v>
      </c>
      <c r="B62" s="379" t="s">
        <v>214</v>
      </c>
      <c r="C62" s="516">
        <v>0</v>
      </c>
      <c r="D62" s="516">
        <f>'04'!F62</f>
        <v>0</v>
      </c>
      <c r="E62" s="525">
        <v>0</v>
      </c>
      <c r="F62" s="526" t="str">
        <f t="shared" si="1"/>
        <v/>
      </c>
      <c r="G62" s="470" t="str">
        <f t="shared" si="2"/>
        <v/>
      </c>
      <c r="H62" s="524" t="str">
        <f t="shared" si="3"/>
        <v>否</v>
      </c>
      <c r="I62" s="312" t="str">
        <f t="shared" si="0"/>
        <v>项</v>
      </c>
    </row>
    <row r="63" s="372" customFormat="1" ht="24" hidden="1" customHeight="1" spans="1:9">
      <c r="A63" s="330">
        <v>2010604</v>
      </c>
      <c r="B63" s="379" t="s">
        <v>249</v>
      </c>
      <c r="C63" s="516">
        <v>0</v>
      </c>
      <c r="D63" s="516">
        <f>'04'!F63</f>
        <v>0</v>
      </c>
      <c r="E63" s="525">
        <v>0</v>
      </c>
      <c r="F63" s="526" t="str">
        <f t="shared" si="1"/>
        <v/>
      </c>
      <c r="G63" s="470" t="str">
        <f t="shared" si="2"/>
        <v/>
      </c>
      <c r="H63" s="524" t="str">
        <f t="shared" si="3"/>
        <v>否</v>
      </c>
      <c r="I63" s="312" t="str">
        <f t="shared" si="0"/>
        <v>项</v>
      </c>
    </row>
    <row r="64" s="372" customFormat="1" ht="24" hidden="1" customHeight="1" spans="1:9">
      <c r="A64" s="330">
        <v>2010605</v>
      </c>
      <c r="B64" s="379" t="s">
        <v>250</v>
      </c>
      <c r="C64" s="516">
        <v>0</v>
      </c>
      <c r="D64" s="516">
        <f>'04'!F64</f>
        <v>0</v>
      </c>
      <c r="E64" s="525">
        <v>0</v>
      </c>
      <c r="F64" s="526" t="str">
        <f t="shared" si="1"/>
        <v/>
      </c>
      <c r="G64" s="470" t="str">
        <f t="shared" si="2"/>
        <v/>
      </c>
      <c r="H64" s="524" t="str">
        <f t="shared" si="3"/>
        <v>否</v>
      </c>
      <c r="I64" s="312" t="str">
        <f t="shared" si="0"/>
        <v>项</v>
      </c>
    </row>
    <row r="65" s="372" customFormat="1" ht="24" hidden="1" customHeight="1" spans="1:9">
      <c r="A65" s="330">
        <v>2010606</v>
      </c>
      <c r="B65" s="379" t="s">
        <v>251</v>
      </c>
      <c r="C65" s="516">
        <v>0</v>
      </c>
      <c r="D65" s="516">
        <f>'04'!F65</f>
        <v>0</v>
      </c>
      <c r="E65" s="525">
        <v>0</v>
      </c>
      <c r="F65" s="526" t="str">
        <f t="shared" si="1"/>
        <v/>
      </c>
      <c r="G65" s="470" t="str">
        <f t="shared" si="2"/>
        <v/>
      </c>
      <c r="H65" s="524" t="str">
        <f t="shared" si="3"/>
        <v>否</v>
      </c>
      <c r="I65" s="312" t="str">
        <f t="shared" si="0"/>
        <v>项</v>
      </c>
    </row>
    <row r="66" s="372" customFormat="1" ht="24" customHeight="1" spans="1:9">
      <c r="A66" s="330">
        <v>2010607</v>
      </c>
      <c r="B66" s="379" t="s">
        <v>252</v>
      </c>
      <c r="C66" s="516">
        <v>0</v>
      </c>
      <c r="D66" s="516">
        <f>'04'!F66</f>
        <v>223</v>
      </c>
      <c r="E66" s="525">
        <v>189</v>
      </c>
      <c r="F66" s="526" t="str">
        <f t="shared" si="1"/>
        <v/>
      </c>
      <c r="G66" s="470">
        <f t="shared" si="2"/>
        <v>-0.152466367713004</v>
      </c>
      <c r="H66" s="524" t="str">
        <f t="shared" si="3"/>
        <v>是</v>
      </c>
      <c r="I66" s="312" t="str">
        <f t="shared" si="0"/>
        <v>项</v>
      </c>
    </row>
    <row r="67" s="372" customFormat="1" ht="24" customHeight="1" spans="1:9">
      <c r="A67" s="330">
        <v>2010608</v>
      </c>
      <c r="B67" s="379" t="s">
        <v>253</v>
      </c>
      <c r="C67" s="516">
        <v>305</v>
      </c>
      <c r="D67" s="516">
        <f>'04'!F67</f>
        <v>143</v>
      </c>
      <c r="E67" s="525">
        <v>168</v>
      </c>
      <c r="F67" s="526">
        <f t="shared" si="1"/>
        <v>-0.449180327868852</v>
      </c>
      <c r="G67" s="470">
        <f t="shared" si="2"/>
        <v>0.174825174825175</v>
      </c>
      <c r="H67" s="524" t="str">
        <f t="shared" si="3"/>
        <v>是</v>
      </c>
      <c r="I67" s="312" t="str">
        <f t="shared" si="0"/>
        <v>项</v>
      </c>
    </row>
    <row r="68" s="372" customFormat="1" ht="24" customHeight="1" spans="1:9">
      <c r="A68" s="330">
        <v>2010650</v>
      </c>
      <c r="B68" s="379" t="s">
        <v>221</v>
      </c>
      <c r="C68" s="516">
        <v>630</v>
      </c>
      <c r="D68" s="516">
        <f>'04'!F68</f>
        <v>652</v>
      </c>
      <c r="E68" s="525">
        <v>665</v>
      </c>
      <c r="F68" s="526">
        <f t="shared" si="1"/>
        <v>0.0555555555555556</v>
      </c>
      <c r="G68" s="470">
        <f t="shared" si="2"/>
        <v>0.0199386503067485</v>
      </c>
      <c r="H68" s="524" t="str">
        <f t="shared" si="3"/>
        <v>是</v>
      </c>
      <c r="I68" s="312" t="str">
        <f t="shared" si="0"/>
        <v>项</v>
      </c>
    </row>
    <row r="69" s="372" customFormat="1" ht="24" customHeight="1" spans="1:9">
      <c r="A69" s="330">
        <v>2010699</v>
      </c>
      <c r="B69" s="379" t="s">
        <v>254</v>
      </c>
      <c r="C69" s="516">
        <v>63</v>
      </c>
      <c r="D69" s="516">
        <f>'04'!F69</f>
        <v>123</v>
      </c>
      <c r="E69" s="525">
        <v>120</v>
      </c>
      <c r="F69" s="526">
        <f t="shared" si="1"/>
        <v>0.904761904761905</v>
      </c>
      <c r="G69" s="470">
        <f t="shared" si="2"/>
        <v>-0.024390243902439</v>
      </c>
      <c r="H69" s="524" t="str">
        <f t="shared" si="3"/>
        <v>是</v>
      </c>
      <c r="I69" s="312" t="str">
        <f t="shared" ref="I69:I132" si="4">IF(LEN(A69)=3,"类",IF(LEN(A69)=5,"款","项"))</f>
        <v>项</v>
      </c>
    </row>
    <row r="70" ht="24" customHeight="1" spans="1:9">
      <c r="A70" s="330">
        <v>20107</v>
      </c>
      <c r="B70" s="379" t="s">
        <v>255</v>
      </c>
      <c r="C70" s="515">
        <f>SUM(C71:C77)</f>
        <v>350</v>
      </c>
      <c r="D70" s="515">
        <f>SUM(D71:D77)</f>
        <v>271</v>
      </c>
      <c r="E70" s="515">
        <f>SUM(E71:E77)</f>
        <v>303</v>
      </c>
      <c r="F70" s="523">
        <f t="shared" ref="F70:F133" si="5">IFERROR((E70-C70)/C70,"")</f>
        <v>-0.134285714285714</v>
      </c>
      <c r="G70" s="467">
        <f t="shared" ref="G70:G133" si="6">IFERROR((E70-D70)/D70,"")</f>
        <v>0.118081180811808</v>
      </c>
      <c r="H70" s="524" t="str">
        <f t="shared" ref="H70:H133" si="7">IF(LEN(A70)=3,"是",IF(B70&lt;&gt;"",IF(SUM(C70:E70)&lt;&gt;0,"是","否"),"是"))</f>
        <v>是</v>
      </c>
      <c r="I70" s="312" t="str">
        <f t="shared" si="4"/>
        <v>款</v>
      </c>
    </row>
    <row r="71" s="372" customFormat="1" ht="24" customHeight="1" spans="1:9">
      <c r="A71" s="330">
        <v>2010701</v>
      </c>
      <c r="B71" s="379" t="s">
        <v>212</v>
      </c>
      <c r="C71" s="516">
        <v>270</v>
      </c>
      <c r="D71" s="516">
        <f>'04'!F71</f>
        <v>223</v>
      </c>
      <c r="E71" s="525">
        <v>253</v>
      </c>
      <c r="F71" s="526">
        <f t="shared" si="5"/>
        <v>-0.062962962962963</v>
      </c>
      <c r="G71" s="470">
        <f t="shared" si="6"/>
        <v>0.134529147982063</v>
      </c>
      <c r="H71" s="524" t="str">
        <f t="shared" si="7"/>
        <v>是</v>
      </c>
      <c r="I71" s="312" t="str">
        <f t="shared" si="4"/>
        <v>项</v>
      </c>
    </row>
    <row r="72" s="372" customFormat="1" ht="24" customHeight="1" spans="1:9">
      <c r="A72" s="330">
        <v>2010702</v>
      </c>
      <c r="B72" s="379" t="s">
        <v>213</v>
      </c>
      <c r="C72" s="516">
        <v>80</v>
      </c>
      <c r="D72" s="516">
        <f>'04'!F72</f>
        <v>48</v>
      </c>
      <c r="E72" s="525">
        <v>50</v>
      </c>
      <c r="F72" s="526">
        <f t="shared" si="5"/>
        <v>-0.375</v>
      </c>
      <c r="G72" s="470">
        <f t="shared" si="6"/>
        <v>0.0416666666666667</v>
      </c>
      <c r="H72" s="524" t="str">
        <f t="shared" si="7"/>
        <v>是</v>
      </c>
      <c r="I72" s="312" t="str">
        <f t="shared" si="4"/>
        <v>项</v>
      </c>
    </row>
    <row r="73" s="372" customFormat="1" ht="24" hidden="1" customHeight="1" spans="1:9">
      <c r="A73" s="330">
        <v>2010703</v>
      </c>
      <c r="B73" s="379" t="s">
        <v>214</v>
      </c>
      <c r="C73" s="516">
        <v>0</v>
      </c>
      <c r="D73" s="516">
        <f>'04'!F73</f>
        <v>0</v>
      </c>
      <c r="E73" s="525">
        <v>0</v>
      </c>
      <c r="F73" s="526" t="str">
        <f t="shared" si="5"/>
        <v/>
      </c>
      <c r="G73" s="470" t="str">
        <f t="shared" si="6"/>
        <v/>
      </c>
      <c r="H73" s="524" t="str">
        <f t="shared" si="7"/>
        <v>否</v>
      </c>
      <c r="I73" s="312" t="str">
        <f t="shared" si="4"/>
        <v>项</v>
      </c>
    </row>
    <row r="74" s="372" customFormat="1" ht="24" hidden="1" customHeight="1" spans="1:9">
      <c r="A74" s="330">
        <v>2010709</v>
      </c>
      <c r="B74" s="379" t="s">
        <v>252</v>
      </c>
      <c r="C74" s="516">
        <v>0</v>
      </c>
      <c r="D74" s="516">
        <f>'04'!F74</f>
        <v>0</v>
      </c>
      <c r="E74" s="525">
        <v>0</v>
      </c>
      <c r="F74" s="526" t="str">
        <f t="shared" si="5"/>
        <v/>
      </c>
      <c r="G74" s="470" t="str">
        <f t="shared" si="6"/>
        <v/>
      </c>
      <c r="H74" s="524" t="str">
        <f t="shared" si="7"/>
        <v>否</v>
      </c>
      <c r="I74" s="312" t="str">
        <f t="shared" si="4"/>
        <v>项</v>
      </c>
    </row>
    <row r="75" s="372" customFormat="1" ht="24" hidden="1" customHeight="1" spans="1:9">
      <c r="A75" s="527">
        <v>2010710</v>
      </c>
      <c r="B75" s="379" t="s">
        <v>256</v>
      </c>
      <c r="C75" s="516">
        <v>0</v>
      </c>
      <c r="D75" s="516">
        <f>'04'!F75</f>
        <v>0</v>
      </c>
      <c r="E75" s="525">
        <v>0</v>
      </c>
      <c r="F75" s="526" t="str">
        <f t="shared" si="5"/>
        <v/>
      </c>
      <c r="G75" s="470" t="str">
        <f t="shared" si="6"/>
        <v/>
      </c>
      <c r="H75" s="524" t="str">
        <f t="shared" si="7"/>
        <v>否</v>
      </c>
      <c r="I75" s="312" t="str">
        <f t="shared" si="4"/>
        <v>项</v>
      </c>
    </row>
    <row r="76" s="372" customFormat="1" ht="24" hidden="1" customHeight="1" spans="1:9">
      <c r="A76" s="330">
        <v>2010750</v>
      </c>
      <c r="B76" s="379" t="s">
        <v>221</v>
      </c>
      <c r="C76" s="516">
        <v>0</v>
      </c>
      <c r="D76" s="516">
        <f>'04'!F76</f>
        <v>0</v>
      </c>
      <c r="E76" s="525">
        <v>0</v>
      </c>
      <c r="F76" s="526" t="str">
        <f t="shared" si="5"/>
        <v/>
      </c>
      <c r="G76" s="470" t="str">
        <f t="shared" si="6"/>
        <v/>
      </c>
      <c r="H76" s="524" t="str">
        <f t="shared" si="7"/>
        <v>否</v>
      </c>
      <c r="I76" s="312" t="str">
        <f t="shared" si="4"/>
        <v>项</v>
      </c>
    </row>
    <row r="77" s="372" customFormat="1" ht="24" hidden="1" customHeight="1" spans="1:9">
      <c r="A77" s="330">
        <v>2010799</v>
      </c>
      <c r="B77" s="379" t="s">
        <v>257</v>
      </c>
      <c r="C77" s="516">
        <v>0</v>
      </c>
      <c r="D77" s="516">
        <f>'04'!F77</f>
        <v>0</v>
      </c>
      <c r="E77" s="525">
        <v>0</v>
      </c>
      <c r="F77" s="526" t="str">
        <f t="shared" si="5"/>
        <v/>
      </c>
      <c r="G77" s="470" t="str">
        <f t="shared" si="6"/>
        <v/>
      </c>
      <c r="H77" s="524" t="str">
        <f t="shared" si="7"/>
        <v>否</v>
      </c>
      <c r="I77" s="312" t="str">
        <f t="shared" si="4"/>
        <v>项</v>
      </c>
    </row>
    <row r="78" s="372" customFormat="1" ht="24" customHeight="1" spans="1:9">
      <c r="A78" s="330">
        <v>20108</v>
      </c>
      <c r="B78" s="379" t="s">
        <v>258</v>
      </c>
      <c r="C78" s="515">
        <f>SUM(C79:C86)</f>
        <v>340</v>
      </c>
      <c r="D78" s="515">
        <f>SUM(D79:D86)</f>
        <v>166</v>
      </c>
      <c r="E78" s="515">
        <f>SUM(E79:E86)</f>
        <v>320</v>
      </c>
      <c r="F78" s="523">
        <f t="shared" si="5"/>
        <v>-0.0588235294117647</v>
      </c>
      <c r="G78" s="467">
        <f t="shared" si="6"/>
        <v>0.927710843373494</v>
      </c>
      <c r="H78" s="524" t="str">
        <f t="shared" si="7"/>
        <v>是</v>
      </c>
      <c r="I78" s="312" t="str">
        <f t="shared" si="4"/>
        <v>款</v>
      </c>
    </row>
    <row r="79" s="372" customFormat="1" ht="24" hidden="1" customHeight="1" spans="1:9">
      <c r="A79" s="330">
        <v>2010801</v>
      </c>
      <c r="B79" s="379" t="s">
        <v>212</v>
      </c>
      <c r="C79" s="516">
        <v>0</v>
      </c>
      <c r="D79" s="516">
        <f>'04'!F79</f>
        <v>0</v>
      </c>
      <c r="E79" s="525">
        <v>0</v>
      </c>
      <c r="F79" s="526" t="str">
        <f t="shared" si="5"/>
        <v/>
      </c>
      <c r="G79" s="470" t="str">
        <f t="shared" si="6"/>
        <v/>
      </c>
      <c r="H79" s="524" t="str">
        <f t="shared" si="7"/>
        <v>否</v>
      </c>
      <c r="I79" s="312" t="str">
        <f t="shared" si="4"/>
        <v>项</v>
      </c>
    </row>
    <row r="80" s="372" customFormat="1" ht="24" hidden="1" customHeight="1" spans="1:9">
      <c r="A80" s="330">
        <v>2010802</v>
      </c>
      <c r="B80" s="379" t="s">
        <v>213</v>
      </c>
      <c r="C80" s="516">
        <v>0</v>
      </c>
      <c r="D80" s="516">
        <f>'04'!F80</f>
        <v>0</v>
      </c>
      <c r="E80" s="525">
        <v>0</v>
      </c>
      <c r="F80" s="526" t="str">
        <f t="shared" si="5"/>
        <v/>
      </c>
      <c r="G80" s="470" t="str">
        <f t="shared" si="6"/>
        <v/>
      </c>
      <c r="H80" s="524" t="str">
        <f t="shared" si="7"/>
        <v>否</v>
      </c>
      <c r="I80" s="312" t="str">
        <f t="shared" si="4"/>
        <v>项</v>
      </c>
    </row>
    <row r="81" s="372" customFormat="1" ht="24" hidden="1" customHeight="1" spans="1:9">
      <c r="A81" s="330">
        <v>2010803</v>
      </c>
      <c r="B81" s="379" t="s">
        <v>214</v>
      </c>
      <c r="C81" s="516">
        <v>0</v>
      </c>
      <c r="D81" s="516">
        <f>'04'!F81</f>
        <v>0</v>
      </c>
      <c r="E81" s="525">
        <v>0</v>
      </c>
      <c r="F81" s="526" t="str">
        <f t="shared" si="5"/>
        <v/>
      </c>
      <c r="G81" s="470" t="str">
        <f t="shared" si="6"/>
        <v/>
      </c>
      <c r="H81" s="524" t="str">
        <f t="shared" si="7"/>
        <v>否</v>
      </c>
      <c r="I81" s="312" t="str">
        <f t="shared" si="4"/>
        <v>项</v>
      </c>
    </row>
    <row r="82" s="372" customFormat="1" ht="24" customHeight="1" spans="1:9">
      <c r="A82" s="330">
        <v>2010804</v>
      </c>
      <c r="B82" s="379" t="s">
        <v>259</v>
      </c>
      <c r="C82" s="516">
        <v>320</v>
      </c>
      <c r="D82" s="516">
        <f>'04'!F82</f>
        <v>151</v>
      </c>
      <c r="E82" s="525">
        <v>320</v>
      </c>
      <c r="F82" s="526">
        <f t="shared" si="5"/>
        <v>0</v>
      </c>
      <c r="G82" s="470">
        <f t="shared" si="6"/>
        <v>1.11920529801324</v>
      </c>
      <c r="H82" s="524" t="str">
        <f t="shared" si="7"/>
        <v>是</v>
      </c>
      <c r="I82" s="312" t="str">
        <f t="shared" si="4"/>
        <v>项</v>
      </c>
    </row>
    <row r="83" ht="24" hidden="1" customHeight="1" spans="1:9">
      <c r="A83" s="330">
        <v>2010805</v>
      </c>
      <c r="B83" s="379" t="s">
        <v>260</v>
      </c>
      <c r="C83" s="516">
        <v>0</v>
      </c>
      <c r="D83" s="516">
        <f>'04'!F83</f>
        <v>0</v>
      </c>
      <c r="E83" s="525">
        <v>0</v>
      </c>
      <c r="F83" s="526" t="str">
        <f t="shared" si="5"/>
        <v/>
      </c>
      <c r="G83" s="470" t="str">
        <f t="shared" si="6"/>
        <v/>
      </c>
      <c r="H83" s="524" t="str">
        <f t="shared" si="7"/>
        <v>否</v>
      </c>
      <c r="I83" s="312" t="str">
        <f t="shared" si="4"/>
        <v>项</v>
      </c>
    </row>
    <row r="84" s="372" customFormat="1" ht="24" hidden="1" customHeight="1" spans="1:9">
      <c r="A84" s="330">
        <v>2010806</v>
      </c>
      <c r="B84" s="379" t="s">
        <v>252</v>
      </c>
      <c r="C84" s="516">
        <v>0</v>
      </c>
      <c r="D84" s="516">
        <f>'04'!F84</f>
        <v>0</v>
      </c>
      <c r="E84" s="525">
        <v>0</v>
      </c>
      <c r="F84" s="526" t="str">
        <f t="shared" si="5"/>
        <v/>
      </c>
      <c r="G84" s="470" t="str">
        <f t="shared" si="6"/>
        <v/>
      </c>
      <c r="H84" s="524" t="str">
        <f t="shared" si="7"/>
        <v>否</v>
      </c>
      <c r="I84" s="312" t="str">
        <f t="shared" si="4"/>
        <v>项</v>
      </c>
    </row>
    <row r="85" s="372" customFormat="1" ht="24" customHeight="1" spans="1:9">
      <c r="A85" s="330">
        <v>2010850</v>
      </c>
      <c r="B85" s="379" t="s">
        <v>221</v>
      </c>
      <c r="C85" s="516">
        <v>20</v>
      </c>
      <c r="D85" s="516">
        <f>'04'!F85</f>
        <v>15</v>
      </c>
      <c r="E85" s="525">
        <v>0</v>
      </c>
      <c r="F85" s="526">
        <f t="shared" si="5"/>
        <v>-1</v>
      </c>
      <c r="G85" s="470">
        <f t="shared" si="6"/>
        <v>-1</v>
      </c>
      <c r="H85" s="524" t="str">
        <f t="shared" si="7"/>
        <v>是</v>
      </c>
      <c r="I85" s="312" t="str">
        <f t="shared" si="4"/>
        <v>项</v>
      </c>
    </row>
    <row r="86" s="372" customFormat="1" ht="24" hidden="1" customHeight="1" spans="1:9">
      <c r="A86" s="330">
        <v>2010899</v>
      </c>
      <c r="B86" s="379" t="s">
        <v>261</v>
      </c>
      <c r="C86" s="516">
        <v>0</v>
      </c>
      <c r="D86" s="516">
        <f>'04'!F86</f>
        <v>0</v>
      </c>
      <c r="E86" s="525">
        <v>0</v>
      </c>
      <c r="F86" s="526" t="str">
        <f t="shared" si="5"/>
        <v/>
      </c>
      <c r="G86" s="470" t="str">
        <f t="shared" si="6"/>
        <v/>
      </c>
      <c r="H86" s="524" t="str">
        <f t="shared" si="7"/>
        <v>否</v>
      </c>
      <c r="I86" s="312" t="str">
        <f t="shared" si="4"/>
        <v>项</v>
      </c>
    </row>
    <row r="87" s="372" customFormat="1" ht="24" customHeight="1" spans="1:9">
      <c r="A87" s="330">
        <v>20109</v>
      </c>
      <c r="B87" s="379" t="s">
        <v>262</v>
      </c>
      <c r="C87" s="515">
        <f>SUM(C88:C99)</f>
        <v>95</v>
      </c>
      <c r="D87" s="515">
        <f>SUM(D88:D99)</f>
        <v>97</v>
      </c>
      <c r="E87" s="515">
        <f>SUM(E88:E99)</f>
        <v>102</v>
      </c>
      <c r="F87" s="523">
        <f t="shared" si="5"/>
        <v>0.0736842105263158</v>
      </c>
      <c r="G87" s="467">
        <f t="shared" si="6"/>
        <v>0.0515463917525773</v>
      </c>
      <c r="H87" s="524" t="str">
        <f t="shared" si="7"/>
        <v>是</v>
      </c>
      <c r="I87" s="312" t="str">
        <f t="shared" si="4"/>
        <v>款</v>
      </c>
    </row>
    <row r="88" s="372" customFormat="1" ht="24" customHeight="1" spans="1:9">
      <c r="A88" s="330">
        <v>2010901</v>
      </c>
      <c r="B88" s="379" t="s">
        <v>212</v>
      </c>
      <c r="C88" s="516">
        <v>0</v>
      </c>
      <c r="D88" s="516">
        <f>'04'!F88</f>
        <v>2</v>
      </c>
      <c r="E88" s="525">
        <v>0</v>
      </c>
      <c r="F88" s="526" t="str">
        <f t="shared" si="5"/>
        <v/>
      </c>
      <c r="G88" s="470">
        <f t="shared" si="6"/>
        <v>-1</v>
      </c>
      <c r="H88" s="524" t="str">
        <f t="shared" si="7"/>
        <v>是</v>
      </c>
      <c r="I88" s="312" t="str">
        <f t="shared" si="4"/>
        <v>项</v>
      </c>
    </row>
    <row r="89" s="372" customFormat="1" ht="24" customHeight="1" spans="1:9">
      <c r="A89" s="330">
        <v>2010902</v>
      </c>
      <c r="B89" s="379" t="s">
        <v>213</v>
      </c>
      <c r="C89" s="516">
        <v>95</v>
      </c>
      <c r="D89" s="516">
        <f>'04'!F89</f>
        <v>95</v>
      </c>
      <c r="E89" s="525">
        <v>102</v>
      </c>
      <c r="F89" s="526">
        <f t="shared" si="5"/>
        <v>0.0736842105263158</v>
      </c>
      <c r="G89" s="470">
        <f t="shared" si="6"/>
        <v>0.0736842105263158</v>
      </c>
      <c r="H89" s="524" t="str">
        <f t="shared" si="7"/>
        <v>是</v>
      </c>
      <c r="I89" s="312" t="str">
        <f t="shared" si="4"/>
        <v>项</v>
      </c>
    </row>
    <row r="90" s="372" customFormat="1" ht="24" hidden="1" customHeight="1" spans="1:9">
      <c r="A90" s="330">
        <v>2010903</v>
      </c>
      <c r="B90" s="379" t="s">
        <v>214</v>
      </c>
      <c r="C90" s="516">
        <v>0</v>
      </c>
      <c r="D90" s="516">
        <f>'04'!F90</f>
        <v>0</v>
      </c>
      <c r="E90" s="525">
        <v>0</v>
      </c>
      <c r="F90" s="526" t="str">
        <f t="shared" si="5"/>
        <v/>
      </c>
      <c r="G90" s="470" t="str">
        <f t="shared" si="6"/>
        <v/>
      </c>
      <c r="H90" s="524" t="str">
        <f t="shared" si="7"/>
        <v>否</v>
      </c>
      <c r="I90" s="312" t="str">
        <f t="shared" si="4"/>
        <v>项</v>
      </c>
    </row>
    <row r="91" s="372" customFormat="1" ht="24" hidden="1" customHeight="1" spans="1:9">
      <c r="A91" s="330">
        <v>2010905</v>
      </c>
      <c r="B91" s="379" t="s">
        <v>263</v>
      </c>
      <c r="C91" s="516">
        <v>0</v>
      </c>
      <c r="D91" s="516">
        <f>'04'!F91</f>
        <v>0</v>
      </c>
      <c r="E91" s="525">
        <v>0</v>
      </c>
      <c r="F91" s="526" t="str">
        <f t="shared" si="5"/>
        <v/>
      </c>
      <c r="G91" s="470" t="str">
        <f t="shared" si="6"/>
        <v/>
      </c>
      <c r="H91" s="524" t="str">
        <f t="shared" si="7"/>
        <v>否</v>
      </c>
      <c r="I91" s="312" t="str">
        <f t="shared" si="4"/>
        <v>项</v>
      </c>
    </row>
    <row r="92" ht="24" hidden="1" customHeight="1" spans="1:9">
      <c r="A92" s="330">
        <v>2010907</v>
      </c>
      <c r="B92" s="379" t="s">
        <v>264</v>
      </c>
      <c r="C92" s="516">
        <v>0</v>
      </c>
      <c r="D92" s="516">
        <f>'04'!F92</f>
        <v>0</v>
      </c>
      <c r="E92" s="525">
        <v>0</v>
      </c>
      <c r="F92" s="526" t="str">
        <f t="shared" si="5"/>
        <v/>
      </c>
      <c r="G92" s="470" t="str">
        <f t="shared" si="6"/>
        <v/>
      </c>
      <c r="H92" s="524" t="str">
        <f t="shared" si="7"/>
        <v>否</v>
      </c>
      <c r="I92" s="312" t="str">
        <f t="shared" si="4"/>
        <v>项</v>
      </c>
    </row>
    <row r="93" s="372" customFormat="1" ht="24" hidden="1" customHeight="1" spans="1:9">
      <c r="A93" s="330">
        <v>2010908</v>
      </c>
      <c r="B93" s="379" t="s">
        <v>252</v>
      </c>
      <c r="C93" s="516">
        <v>0</v>
      </c>
      <c r="D93" s="516">
        <f>'04'!F93</f>
        <v>0</v>
      </c>
      <c r="E93" s="525">
        <v>0</v>
      </c>
      <c r="F93" s="526" t="str">
        <f t="shared" si="5"/>
        <v/>
      </c>
      <c r="G93" s="470" t="str">
        <f t="shared" si="6"/>
        <v/>
      </c>
      <c r="H93" s="524" t="str">
        <f t="shared" si="7"/>
        <v>否</v>
      </c>
      <c r="I93" s="312" t="str">
        <f t="shared" si="4"/>
        <v>项</v>
      </c>
    </row>
    <row r="94" s="372" customFormat="1" ht="24" hidden="1" customHeight="1" spans="1:9">
      <c r="A94" s="330">
        <v>2010909</v>
      </c>
      <c r="B94" s="379" t="s">
        <v>265</v>
      </c>
      <c r="C94" s="516">
        <v>0</v>
      </c>
      <c r="D94" s="516">
        <f>'04'!F94</f>
        <v>0</v>
      </c>
      <c r="E94" s="525">
        <v>0</v>
      </c>
      <c r="F94" s="526" t="str">
        <f t="shared" si="5"/>
        <v/>
      </c>
      <c r="G94" s="470" t="str">
        <f t="shared" si="6"/>
        <v/>
      </c>
      <c r="H94" s="524" t="str">
        <f t="shared" si="7"/>
        <v>否</v>
      </c>
      <c r="I94" s="312" t="str">
        <f t="shared" si="4"/>
        <v>项</v>
      </c>
    </row>
    <row r="95" s="372" customFormat="1" ht="24" hidden="1" customHeight="1" spans="1:9">
      <c r="A95" s="330">
        <v>2010910</v>
      </c>
      <c r="B95" s="379" t="s">
        <v>266</v>
      </c>
      <c r="C95" s="516">
        <v>0</v>
      </c>
      <c r="D95" s="516">
        <f>'04'!F95</f>
        <v>0</v>
      </c>
      <c r="E95" s="525">
        <v>0</v>
      </c>
      <c r="F95" s="526" t="str">
        <f t="shared" si="5"/>
        <v/>
      </c>
      <c r="G95" s="470" t="str">
        <f t="shared" si="6"/>
        <v/>
      </c>
      <c r="H95" s="524" t="str">
        <f t="shared" si="7"/>
        <v>否</v>
      </c>
      <c r="I95" s="312" t="str">
        <f t="shared" si="4"/>
        <v>项</v>
      </c>
    </row>
    <row r="96" s="372" customFormat="1" ht="24" hidden="1" customHeight="1" spans="1:9">
      <c r="A96" s="330">
        <v>2010911</v>
      </c>
      <c r="B96" s="379" t="s">
        <v>267</v>
      </c>
      <c r="C96" s="516">
        <v>0</v>
      </c>
      <c r="D96" s="516">
        <f>'04'!F96</f>
        <v>0</v>
      </c>
      <c r="E96" s="525">
        <v>0</v>
      </c>
      <c r="F96" s="526" t="str">
        <f t="shared" si="5"/>
        <v/>
      </c>
      <c r="G96" s="470" t="str">
        <f t="shared" si="6"/>
        <v/>
      </c>
      <c r="H96" s="524" t="str">
        <f t="shared" si="7"/>
        <v>否</v>
      </c>
      <c r="I96" s="312" t="str">
        <f t="shared" si="4"/>
        <v>项</v>
      </c>
    </row>
    <row r="97" s="372" customFormat="1" ht="24" hidden="1" customHeight="1" spans="1:9">
      <c r="A97" s="330">
        <v>2010912</v>
      </c>
      <c r="B97" s="379" t="s">
        <v>268</v>
      </c>
      <c r="C97" s="516">
        <v>0</v>
      </c>
      <c r="D97" s="516">
        <f>'04'!F97</f>
        <v>0</v>
      </c>
      <c r="E97" s="525">
        <v>0</v>
      </c>
      <c r="F97" s="526" t="str">
        <f t="shared" si="5"/>
        <v/>
      </c>
      <c r="G97" s="470" t="str">
        <f t="shared" si="6"/>
        <v/>
      </c>
      <c r="H97" s="524" t="str">
        <f t="shared" si="7"/>
        <v>否</v>
      </c>
      <c r="I97" s="312" t="str">
        <f t="shared" si="4"/>
        <v>项</v>
      </c>
    </row>
    <row r="98" s="372" customFormat="1" ht="24" hidden="1" customHeight="1" spans="1:9">
      <c r="A98" s="330">
        <v>2010950</v>
      </c>
      <c r="B98" s="379" t="s">
        <v>221</v>
      </c>
      <c r="C98" s="516">
        <v>0</v>
      </c>
      <c r="D98" s="516">
        <f>'04'!F98</f>
        <v>0</v>
      </c>
      <c r="E98" s="525">
        <v>0</v>
      </c>
      <c r="F98" s="526" t="str">
        <f t="shared" si="5"/>
        <v/>
      </c>
      <c r="G98" s="470" t="str">
        <f t="shared" si="6"/>
        <v/>
      </c>
      <c r="H98" s="524" t="str">
        <f t="shared" si="7"/>
        <v>否</v>
      </c>
      <c r="I98" s="312" t="str">
        <f t="shared" si="4"/>
        <v>项</v>
      </c>
    </row>
    <row r="99" s="372" customFormat="1" ht="24" hidden="1" customHeight="1" spans="1:9">
      <c r="A99" s="330">
        <v>2010999</v>
      </c>
      <c r="B99" s="379" t="s">
        <v>269</v>
      </c>
      <c r="C99" s="516">
        <v>0</v>
      </c>
      <c r="D99" s="516">
        <f>'04'!F99</f>
        <v>0</v>
      </c>
      <c r="E99" s="525">
        <v>0</v>
      </c>
      <c r="F99" s="526" t="str">
        <f t="shared" si="5"/>
        <v/>
      </c>
      <c r="G99" s="470" t="str">
        <f t="shared" si="6"/>
        <v/>
      </c>
      <c r="H99" s="524" t="str">
        <f t="shared" si="7"/>
        <v>否</v>
      </c>
      <c r="I99" s="312" t="str">
        <f t="shared" si="4"/>
        <v>项</v>
      </c>
    </row>
    <row r="100" s="372" customFormat="1" ht="24" customHeight="1" spans="1:9">
      <c r="A100" s="330">
        <v>20111</v>
      </c>
      <c r="B100" s="379" t="s">
        <v>270</v>
      </c>
      <c r="C100" s="515">
        <f>SUM(C101:C108)</f>
        <v>8225</v>
      </c>
      <c r="D100" s="515">
        <f>SUM(D101:D108)</f>
        <v>5216</v>
      </c>
      <c r="E100" s="515">
        <f>SUM(E101:E108)</f>
        <v>7407</v>
      </c>
      <c r="F100" s="523">
        <f t="shared" si="5"/>
        <v>-0.0994528875379939</v>
      </c>
      <c r="G100" s="467">
        <f t="shared" si="6"/>
        <v>0.420053680981595</v>
      </c>
      <c r="H100" s="524" t="str">
        <f t="shared" si="7"/>
        <v>是</v>
      </c>
      <c r="I100" s="312" t="str">
        <f t="shared" si="4"/>
        <v>款</v>
      </c>
    </row>
    <row r="101" s="372" customFormat="1" ht="24" customHeight="1" spans="1:9">
      <c r="A101" s="330">
        <v>2011101</v>
      </c>
      <c r="B101" s="379" t="s">
        <v>212</v>
      </c>
      <c r="C101" s="516">
        <v>3685</v>
      </c>
      <c r="D101" s="516">
        <f>'04'!F101</f>
        <v>3455</v>
      </c>
      <c r="E101" s="525">
        <v>3505</v>
      </c>
      <c r="F101" s="526">
        <f t="shared" si="5"/>
        <v>-0.0488466757123474</v>
      </c>
      <c r="G101" s="470">
        <f t="shared" si="6"/>
        <v>0.0144717800289436</v>
      </c>
      <c r="H101" s="524" t="str">
        <f t="shared" si="7"/>
        <v>是</v>
      </c>
      <c r="I101" s="312" t="str">
        <f t="shared" si="4"/>
        <v>项</v>
      </c>
    </row>
    <row r="102" s="372" customFormat="1" ht="24" customHeight="1" spans="1:9">
      <c r="A102" s="330">
        <v>2011102</v>
      </c>
      <c r="B102" s="379" t="s">
        <v>213</v>
      </c>
      <c r="C102" s="516">
        <v>1052</v>
      </c>
      <c r="D102" s="516">
        <f>'04'!F102</f>
        <v>1555</v>
      </c>
      <c r="E102" s="525">
        <v>1358</v>
      </c>
      <c r="F102" s="526">
        <f t="shared" si="5"/>
        <v>0.290874524714829</v>
      </c>
      <c r="G102" s="470">
        <f t="shared" si="6"/>
        <v>-0.126688102893891</v>
      </c>
      <c r="H102" s="524" t="str">
        <f t="shared" si="7"/>
        <v>是</v>
      </c>
      <c r="I102" s="312" t="str">
        <f t="shared" si="4"/>
        <v>项</v>
      </c>
    </row>
    <row r="103" s="372" customFormat="1" ht="24" hidden="1" customHeight="1" spans="1:9">
      <c r="A103" s="330">
        <v>2011103</v>
      </c>
      <c r="B103" s="379" t="s">
        <v>214</v>
      </c>
      <c r="C103" s="516">
        <v>0</v>
      </c>
      <c r="D103" s="516">
        <f>'04'!F103</f>
        <v>0</v>
      </c>
      <c r="E103" s="525">
        <v>0</v>
      </c>
      <c r="F103" s="526" t="str">
        <f t="shared" si="5"/>
        <v/>
      </c>
      <c r="G103" s="470" t="str">
        <f t="shared" si="6"/>
        <v/>
      </c>
      <c r="H103" s="524" t="str">
        <f t="shared" si="7"/>
        <v>否</v>
      </c>
      <c r="I103" s="312" t="str">
        <f t="shared" si="4"/>
        <v>项</v>
      </c>
    </row>
    <row r="104" s="372" customFormat="1" ht="24" customHeight="1" spans="1:9">
      <c r="A104" s="330">
        <v>2011104</v>
      </c>
      <c r="B104" s="379" t="s">
        <v>271</v>
      </c>
      <c r="C104" s="516">
        <v>567</v>
      </c>
      <c r="D104" s="516">
        <f>'04'!F104</f>
        <v>930</v>
      </c>
      <c r="E104" s="525">
        <v>812</v>
      </c>
      <c r="F104" s="526">
        <f t="shared" si="5"/>
        <v>0.432098765432099</v>
      </c>
      <c r="G104" s="470">
        <f t="shared" si="6"/>
        <v>-0.126881720430108</v>
      </c>
      <c r="H104" s="524" t="str">
        <f t="shared" si="7"/>
        <v>是</v>
      </c>
      <c r="I104" s="312" t="str">
        <f t="shared" si="4"/>
        <v>项</v>
      </c>
    </row>
    <row r="105" s="372" customFormat="1" ht="24" hidden="1" customHeight="1" spans="1:9">
      <c r="A105" s="330">
        <v>2011105</v>
      </c>
      <c r="B105" s="379" t="s">
        <v>272</v>
      </c>
      <c r="C105" s="516">
        <v>0</v>
      </c>
      <c r="D105" s="516">
        <f>'04'!F105</f>
        <v>0</v>
      </c>
      <c r="E105" s="525">
        <v>0</v>
      </c>
      <c r="F105" s="526" t="str">
        <f t="shared" si="5"/>
        <v/>
      </c>
      <c r="G105" s="470" t="str">
        <f t="shared" si="6"/>
        <v/>
      </c>
      <c r="H105" s="524" t="str">
        <f t="shared" si="7"/>
        <v>否</v>
      </c>
      <c r="I105" s="312" t="str">
        <f t="shared" si="4"/>
        <v>项</v>
      </c>
    </row>
    <row r="106" s="372" customFormat="1" ht="24" hidden="1" customHeight="1" spans="1:9">
      <c r="A106" s="330">
        <v>2011106</v>
      </c>
      <c r="B106" s="379" t="s">
        <v>273</v>
      </c>
      <c r="C106" s="516">
        <v>0</v>
      </c>
      <c r="D106" s="516">
        <f>'04'!F106</f>
        <v>0</v>
      </c>
      <c r="E106" s="525">
        <v>0</v>
      </c>
      <c r="F106" s="526" t="str">
        <f t="shared" si="5"/>
        <v/>
      </c>
      <c r="G106" s="470" t="str">
        <f t="shared" si="6"/>
        <v/>
      </c>
      <c r="H106" s="524" t="str">
        <f t="shared" si="7"/>
        <v>否</v>
      </c>
      <c r="I106" s="312" t="str">
        <f t="shared" si="4"/>
        <v>项</v>
      </c>
    </row>
    <row r="107" s="372" customFormat="1" ht="24" customHeight="1" spans="1:9">
      <c r="A107" s="330">
        <v>2011150</v>
      </c>
      <c r="B107" s="379" t="s">
        <v>221</v>
      </c>
      <c r="C107" s="516">
        <v>165</v>
      </c>
      <c r="D107" s="516">
        <f>'04'!F107</f>
        <v>189</v>
      </c>
      <c r="E107" s="525">
        <v>205</v>
      </c>
      <c r="F107" s="526">
        <f t="shared" si="5"/>
        <v>0.242424242424242</v>
      </c>
      <c r="G107" s="470">
        <f t="shared" si="6"/>
        <v>0.0846560846560847</v>
      </c>
      <c r="H107" s="524" t="str">
        <f t="shared" si="7"/>
        <v>是</v>
      </c>
      <c r="I107" s="312" t="str">
        <f t="shared" si="4"/>
        <v>项</v>
      </c>
    </row>
    <row r="108" s="372" customFormat="1" ht="24" customHeight="1" spans="1:9">
      <c r="A108" s="330">
        <v>2011199</v>
      </c>
      <c r="B108" s="379" t="s">
        <v>274</v>
      </c>
      <c r="C108" s="516">
        <v>2756</v>
      </c>
      <c r="D108" s="516">
        <f>'04'!F108</f>
        <v>-913</v>
      </c>
      <c r="E108" s="525">
        <v>1527</v>
      </c>
      <c r="F108" s="526">
        <f t="shared" si="5"/>
        <v>-0.445936139332366</v>
      </c>
      <c r="G108" s="470">
        <f>-IFERROR((E108-D108)/D108,"")</f>
        <v>2.67250821467689</v>
      </c>
      <c r="H108" s="524" t="str">
        <f t="shared" si="7"/>
        <v>是</v>
      </c>
      <c r="I108" s="312" t="str">
        <f t="shared" si="4"/>
        <v>项</v>
      </c>
    </row>
    <row r="109" s="372" customFormat="1" ht="24" customHeight="1" spans="1:9">
      <c r="A109" s="330">
        <v>20113</v>
      </c>
      <c r="B109" s="379" t="s">
        <v>275</v>
      </c>
      <c r="C109" s="515">
        <f>SUM(C110:C119)</f>
        <v>1114</v>
      </c>
      <c r="D109" s="515">
        <f>SUM(D110:D119)</f>
        <v>996</v>
      </c>
      <c r="E109" s="515">
        <f>SUM(E110:E119)</f>
        <v>1093</v>
      </c>
      <c r="F109" s="523">
        <f t="shared" si="5"/>
        <v>-0.018850987432675</v>
      </c>
      <c r="G109" s="467">
        <f t="shared" si="6"/>
        <v>0.0973895582329317</v>
      </c>
      <c r="H109" s="524" t="str">
        <f t="shared" si="7"/>
        <v>是</v>
      </c>
      <c r="I109" s="312" t="str">
        <f t="shared" si="4"/>
        <v>款</v>
      </c>
    </row>
    <row r="110" s="372" customFormat="1" ht="24" customHeight="1" spans="1:9">
      <c r="A110" s="330">
        <v>2011301</v>
      </c>
      <c r="B110" s="379" t="s">
        <v>212</v>
      </c>
      <c r="C110" s="516">
        <v>765</v>
      </c>
      <c r="D110" s="516">
        <f>'04'!F110</f>
        <v>732</v>
      </c>
      <c r="E110" s="525">
        <v>742</v>
      </c>
      <c r="F110" s="526">
        <f t="shared" si="5"/>
        <v>-0.0300653594771242</v>
      </c>
      <c r="G110" s="470">
        <f t="shared" si="6"/>
        <v>0.0136612021857923</v>
      </c>
      <c r="H110" s="524" t="str">
        <f t="shared" si="7"/>
        <v>是</v>
      </c>
      <c r="I110" s="312" t="str">
        <f t="shared" si="4"/>
        <v>项</v>
      </c>
    </row>
    <row r="111" s="372" customFormat="1" ht="24" customHeight="1" spans="1:9">
      <c r="A111" s="330">
        <v>2011302</v>
      </c>
      <c r="B111" s="379" t="s">
        <v>213</v>
      </c>
      <c r="C111" s="516">
        <v>65</v>
      </c>
      <c r="D111" s="516">
        <f>'04'!F111</f>
        <v>106</v>
      </c>
      <c r="E111" s="525">
        <v>95</v>
      </c>
      <c r="F111" s="526">
        <f t="shared" si="5"/>
        <v>0.461538461538462</v>
      </c>
      <c r="G111" s="470">
        <f t="shared" si="6"/>
        <v>-0.10377358490566</v>
      </c>
      <c r="H111" s="524" t="str">
        <f t="shared" si="7"/>
        <v>是</v>
      </c>
      <c r="I111" s="312" t="str">
        <f t="shared" si="4"/>
        <v>项</v>
      </c>
    </row>
    <row r="112" s="372" customFormat="1" ht="24" hidden="1" customHeight="1" spans="1:9">
      <c r="A112" s="330">
        <v>2011303</v>
      </c>
      <c r="B112" s="379" t="s">
        <v>214</v>
      </c>
      <c r="C112" s="516">
        <v>0</v>
      </c>
      <c r="D112" s="516">
        <f>'04'!F112</f>
        <v>0</v>
      </c>
      <c r="E112" s="525">
        <v>0</v>
      </c>
      <c r="F112" s="526" t="str">
        <f t="shared" si="5"/>
        <v/>
      </c>
      <c r="G112" s="470" t="str">
        <f t="shared" si="6"/>
        <v/>
      </c>
      <c r="H112" s="524" t="str">
        <f t="shared" si="7"/>
        <v>否</v>
      </c>
      <c r="I112" s="312" t="str">
        <f t="shared" si="4"/>
        <v>项</v>
      </c>
    </row>
    <row r="113" s="372" customFormat="1" ht="24" hidden="1" customHeight="1" spans="1:9">
      <c r="A113" s="330">
        <v>2011304</v>
      </c>
      <c r="B113" s="379" t="s">
        <v>276</v>
      </c>
      <c r="C113" s="516">
        <v>0</v>
      </c>
      <c r="D113" s="516">
        <f>'04'!F113</f>
        <v>0</v>
      </c>
      <c r="E113" s="525">
        <v>0</v>
      </c>
      <c r="F113" s="526" t="str">
        <f t="shared" si="5"/>
        <v/>
      </c>
      <c r="G113" s="470" t="str">
        <f t="shared" si="6"/>
        <v/>
      </c>
      <c r="H113" s="524" t="str">
        <f t="shared" si="7"/>
        <v>否</v>
      </c>
      <c r="I113" s="312" t="str">
        <f t="shared" si="4"/>
        <v>项</v>
      </c>
    </row>
    <row r="114" s="372" customFormat="1" ht="24" hidden="1" customHeight="1" spans="1:9">
      <c r="A114" s="330">
        <v>2011305</v>
      </c>
      <c r="B114" s="379" t="s">
        <v>277</v>
      </c>
      <c r="C114" s="516">
        <v>0</v>
      </c>
      <c r="D114" s="516">
        <f>'04'!F114</f>
        <v>0</v>
      </c>
      <c r="E114" s="525">
        <v>0</v>
      </c>
      <c r="F114" s="526" t="str">
        <f t="shared" si="5"/>
        <v/>
      </c>
      <c r="G114" s="470" t="str">
        <f t="shared" si="6"/>
        <v/>
      </c>
      <c r="H114" s="524" t="str">
        <f t="shared" si="7"/>
        <v>否</v>
      </c>
      <c r="I114" s="312" t="str">
        <f t="shared" si="4"/>
        <v>项</v>
      </c>
    </row>
    <row r="115" ht="24" hidden="1" customHeight="1" spans="1:9">
      <c r="A115" s="330">
        <v>2011306</v>
      </c>
      <c r="B115" s="379" t="s">
        <v>278</v>
      </c>
      <c r="C115" s="516">
        <v>0</v>
      </c>
      <c r="D115" s="516">
        <f>'04'!F115</f>
        <v>0</v>
      </c>
      <c r="E115" s="525">
        <v>0</v>
      </c>
      <c r="F115" s="526" t="str">
        <f t="shared" si="5"/>
        <v/>
      </c>
      <c r="G115" s="470" t="str">
        <f t="shared" si="6"/>
        <v/>
      </c>
      <c r="H115" s="524" t="str">
        <f t="shared" si="7"/>
        <v>否</v>
      </c>
      <c r="I115" s="312" t="str">
        <f t="shared" si="4"/>
        <v>项</v>
      </c>
    </row>
    <row r="116" s="372" customFormat="1" ht="24" hidden="1" customHeight="1" spans="1:9">
      <c r="A116" s="330">
        <v>2011307</v>
      </c>
      <c r="B116" s="379" t="s">
        <v>279</v>
      </c>
      <c r="C116" s="516">
        <v>0</v>
      </c>
      <c r="D116" s="516">
        <f>'04'!F116</f>
        <v>0</v>
      </c>
      <c r="E116" s="525">
        <v>0</v>
      </c>
      <c r="F116" s="526" t="str">
        <f t="shared" si="5"/>
        <v/>
      </c>
      <c r="G116" s="470" t="str">
        <f t="shared" si="6"/>
        <v/>
      </c>
      <c r="H116" s="524" t="str">
        <f t="shared" si="7"/>
        <v>否</v>
      </c>
      <c r="I116" s="312" t="str">
        <f t="shared" si="4"/>
        <v>项</v>
      </c>
    </row>
    <row r="117" s="372" customFormat="1" ht="24" customHeight="1" spans="1:9">
      <c r="A117" s="330">
        <v>2011308</v>
      </c>
      <c r="B117" s="379" t="s">
        <v>280</v>
      </c>
      <c r="C117" s="516">
        <v>200</v>
      </c>
      <c r="D117" s="516">
        <f>'04'!F117</f>
        <v>86</v>
      </c>
      <c r="E117" s="525">
        <v>156</v>
      </c>
      <c r="F117" s="526">
        <f t="shared" si="5"/>
        <v>-0.22</v>
      </c>
      <c r="G117" s="470">
        <f t="shared" si="6"/>
        <v>0.813953488372093</v>
      </c>
      <c r="H117" s="524" t="str">
        <f t="shared" si="7"/>
        <v>是</v>
      </c>
      <c r="I117" s="312" t="str">
        <f t="shared" si="4"/>
        <v>项</v>
      </c>
    </row>
    <row r="118" s="372" customFormat="1" ht="24" customHeight="1" spans="1:9">
      <c r="A118" s="330">
        <v>2011350</v>
      </c>
      <c r="B118" s="379" t="s">
        <v>221</v>
      </c>
      <c r="C118" s="516">
        <v>64</v>
      </c>
      <c r="D118" s="516">
        <f>'04'!F118</f>
        <v>58</v>
      </c>
      <c r="E118" s="525">
        <v>62</v>
      </c>
      <c r="F118" s="526">
        <f t="shared" si="5"/>
        <v>-0.03125</v>
      </c>
      <c r="G118" s="470">
        <f t="shared" si="6"/>
        <v>0.0689655172413793</v>
      </c>
      <c r="H118" s="524" t="str">
        <f t="shared" si="7"/>
        <v>是</v>
      </c>
      <c r="I118" s="312" t="str">
        <f t="shared" si="4"/>
        <v>项</v>
      </c>
    </row>
    <row r="119" s="372" customFormat="1" ht="24" customHeight="1" spans="1:9">
      <c r="A119" s="330">
        <v>2011399</v>
      </c>
      <c r="B119" s="379" t="s">
        <v>281</v>
      </c>
      <c r="C119" s="516">
        <v>20</v>
      </c>
      <c r="D119" s="516">
        <f>'04'!F119</f>
        <v>14</v>
      </c>
      <c r="E119" s="525">
        <v>38</v>
      </c>
      <c r="F119" s="526">
        <f t="shared" si="5"/>
        <v>0.9</v>
      </c>
      <c r="G119" s="470">
        <f t="shared" si="6"/>
        <v>1.71428571428571</v>
      </c>
      <c r="H119" s="524" t="str">
        <f t="shared" si="7"/>
        <v>是</v>
      </c>
      <c r="I119" s="312" t="str">
        <f t="shared" si="4"/>
        <v>项</v>
      </c>
    </row>
    <row r="120" s="372" customFormat="1" ht="24" customHeight="1" spans="1:9">
      <c r="A120" s="330">
        <v>20114</v>
      </c>
      <c r="B120" s="379" t="s">
        <v>282</v>
      </c>
      <c r="C120" s="515">
        <f>SUM(C121:C131)</f>
        <v>53</v>
      </c>
      <c r="D120" s="515">
        <f>SUM(D121:D131)</f>
        <v>2</v>
      </c>
      <c r="E120" s="515">
        <f>SUM(E121:E131)</f>
        <v>2</v>
      </c>
      <c r="F120" s="523">
        <f t="shared" si="5"/>
        <v>-0.962264150943396</v>
      </c>
      <c r="G120" s="467">
        <f t="shared" si="6"/>
        <v>0</v>
      </c>
      <c r="H120" s="524" t="str">
        <f t="shared" si="7"/>
        <v>是</v>
      </c>
      <c r="I120" s="312" t="str">
        <f t="shared" si="4"/>
        <v>款</v>
      </c>
    </row>
    <row r="121" s="372" customFormat="1" ht="24" hidden="1" customHeight="1" spans="1:9">
      <c r="A121" s="330">
        <v>2011401</v>
      </c>
      <c r="B121" s="379" t="s">
        <v>212</v>
      </c>
      <c r="C121" s="516">
        <v>0</v>
      </c>
      <c r="D121" s="516">
        <f>'04'!F121</f>
        <v>0</v>
      </c>
      <c r="E121" s="525">
        <v>0</v>
      </c>
      <c r="F121" s="526" t="str">
        <f t="shared" si="5"/>
        <v/>
      </c>
      <c r="G121" s="470" t="str">
        <f t="shared" si="6"/>
        <v/>
      </c>
      <c r="H121" s="524" t="str">
        <f t="shared" si="7"/>
        <v>否</v>
      </c>
      <c r="I121" s="312" t="str">
        <f t="shared" si="4"/>
        <v>项</v>
      </c>
    </row>
    <row r="122" s="372" customFormat="1" ht="24" hidden="1" customHeight="1" spans="1:9">
      <c r="A122" s="330">
        <v>2011402</v>
      </c>
      <c r="B122" s="379" t="s">
        <v>213</v>
      </c>
      <c r="C122" s="516">
        <v>0</v>
      </c>
      <c r="D122" s="516">
        <f>'04'!F122</f>
        <v>0</v>
      </c>
      <c r="E122" s="525">
        <v>0</v>
      </c>
      <c r="F122" s="526" t="str">
        <f t="shared" si="5"/>
        <v/>
      </c>
      <c r="G122" s="470" t="str">
        <f t="shared" si="6"/>
        <v/>
      </c>
      <c r="H122" s="524" t="str">
        <f t="shared" si="7"/>
        <v>否</v>
      </c>
      <c r="I122" s="312" t="str">
        <f t="shared" si="4"/>
        <v>项</v>
      </c>
    </row>
    <row r="123" s="372" customFormat="1" ht="24" hidden="1" customHeight="1" spans="1:9">
      <c r="A123" s="330">
        <v>2011403</v>
      </c>
      <c r="B123" s="379" t="s">
        <v>214</v>
      </c>
      <c r="C123" s="516">
        <v>0</v>
      </c>
      <c r="D123" s="516">
        <f>'04'!F123</f>
        <v>0</v>
      </c>
      <c r="E123" s="525">
        <v>0</v>
      </c>
      <c r="F123" s="526" t="str">
        <f t="shared" si="5"/>
        <v/>
      </c>
      <c r="G123" s="470" t="str">
        <f t="shared" si="6"/>
        <v/>
      </c>
      <c r="H123" s="524" t="str">
        <f t="shared" si="7"/>
        <v>否</v>
      </c>
      <c r="I123" s="312" t="str">
        <f t="shared" si="4"/>
        <v>项</v>
      </c>
    </row>
    <row r="124" ht="24" hidden="1" customHeight="1" spans="1:9">
      <c r="A124" s="330">
        <v>2011404</v>
      </c>
      <c r="B124" s="379" t="s">
        <v>283</v>
      </c>
      <c r="C124" s="516">
        <v>0</v>
      </c>
      <c r="D124" s="516">
        <f>'04'!F124</f>
        <v>0</v>
      </c>
      <c r="E124" s="525">
        <v>0</v>
      </c>
      <c r="F124" s="526" t="str">
        <f t="shared" si="5"/>
        <v/>
      </c>
      <c r="G124" s="470" t="str">
        <f t="shared" si="6"/>
        <v/>
      </c>
      <c r="H124" s="524" t="str">
        <f t="shared" si="7"/>
        <v>否</v>
      </c>
      <c r="I124" s="312" t="str">
        <f t="shared" si="4"/>
        <v>项</v>
      </c>
    </row>
    <row r="125" s="372" customFormat="1" ht="24" hidden="1" customHeight="1" spans="1:9">
      <c r="A125" s="330">
        <v>2011405</v>
      </c>
      <c r="B125" s="379" t="s">
        <v>284</v>
      </c>
      <c r="C125" s="516">
        <v>0</v>
      </c>
      <c r="D125" s="516">
        <f>'04'!F125</f>
        <v>0</v>
      </c>
      <c r="E125" s="525">
        <v>0</v>
      </c>
      <c r="F125" s="526" t="str">
        <f t="shared" si="5"/>
        <v/>
      </c>
      <c r="G125" s="470" t="str">
        <f t="shared" si="6"/>
        <v/>
      </c>
      <c r="H125" s="524" t="str">
        <f t="shared" si="7"/>
        <v>否</v>
      </c>
      <c r="I125" s="312" t="str">
        <f t="shared" si="4"/>
        <v>项</v>
      </c>
    </row>
    <row r="126" s="372" customFormat="1" ht="24" hidden="1" customHeight="1" spans="1:9">
      <c r="A126" s="330">
        <v>2011408</v>
      </c>
      <c r="B126" s="379" t="s">
        <v>285</v>
      </c>
      <c r="C126" s="516">
        <v>0</v>
      </c>
      <c r="D126" s="516">
        <f>'04'!F126</f>
        <v>0</v>
      </c>
      <c r="E126" s="525">
        <v>0</v>
      </c>
      <c r="F126" s="526" t="str">
        <f t="shared" si="5"/>
        <v/>
      </c>
      <c r="G126" s="470" t="str">
        <f t="shared" si="6"/>
        <v/>
      </c>
      <c r="H126" s="524" t="str">
        <f t="shared" si="7"/>
        <v>否</v>
      </c>
      <c r="I126" s="312" t="str">
        <f t="shared" si="4"/>
        <v>项</v>
      </c>
    </row>
    <row r="127" s="372" customFormat="1" ht="24" customHeight="1" spans="1:9">
      <c r="A127" s="330">
        <v>2011409</v>
      </c>
      <c r="B127" s="379" t="s">
        <v>286</v>
      </c>
      <c r="C127" s="516">
        <v>50</v>
      </c>
      <c r="D127" s="516">
        <f>'04'!F127</f>
        <v>0</v>
      </c>
      <c r="E127" s="525">
        <v>0</v>
      </c>
      <c r="F127" s="526">
        <f t="shared" si="5"/>
        <v>-1</v>
      </c>
      <c r="G127" s="470" t="str">
        <f t="shared" si="6"/>
        <v/>
      </c>
      <c r="H127" s="524" t="str">
        <f t="shared" si="7"/>
        <v>是</v>
      </c>
      <c r="I127" s="312" t="str">
        <f t="shared" si="4"/>
        <v>项</v>
      </c>
    </row>
    <row r="128" s="372" customFormat="1" ht="24" hidden="1" customHeight="1" spans="1:9">
      <c r="A128" s="330">
        <v>2011410</v>
      </c>
      <c r="B128" s="379" t="s">
        <v>287</v>
      </c>
      <c r="C128" s="516">
        <v>0</v>
      </c>
      <c r="D128" s="516">
        <f>'04'!F128</f>
        <v>0</v>
      </c>
      <c r="E128" s="525">
        <v>0</v>
      </c>
      <c r="F128" s="526" t="str">
        <f t="shared" si="5"/>
        <v/>
      </c>
      <c r="G128" s="470" t="str">
        <f t="shared" si="6"/>
        <v/>
      </c>
      <c r="H128" s="524" t="str">
        <f t="shared" si="7"/>
        <v>否</v>
      </c>
      <c r="I128" s="312" t="str">
        <f t="shared" si="4"/>
        <v>项</v>
      </c>
    </row>
    <row r="129" s="372" customFormat="1" ht="24" hidden="1" customHeight="1" spans="1:9">
      <c r="A129" s="330">
        <v>2011411</v>
      </c>
      <c r="B129" s="379" t="s">
        <v>288</v>
      </c>
      <c r="C129" s="516">
        <v>0</v>
      </c>
      <c r="D129" s="516">
        <f>'04'!F129</f>
        <v>0</v>
      </c>
      <c r="E129" s="525">
        <v>0</v>
      </c>
      <c r="F129" s="526" t="str">
        <f t="shared" si="5"/>
        <v/>
      </c>
      <c r="G129" s="470" t="str">
        <f t="shared" si="6"/>
        <v/>
      </c>
      <c r="H129" s="524" t="str">
        <f t="shared" si="7"/>
        <v>否</v>
      </c>
      <c r="I129" s="312" t="str">
        <f t="shared" si="4"/>
        <v>项</v>
      </c>
    </row>
    <row r="130" s="372" customFormat="1" ht="24" hidden="1" customHeight="1" spans="1:9">
      <c r="A130" s="330">
        <v>2011450</v>
      </c>
      <c r="B130" s="379" t="s">
        <v>221</v>
      </c>
      <c r="C130" s="516">
        <v>0</v>
      </c>
      <c r="D130" s="516">
        <f>'04'!F130</f>
        <v>0</v>
      </c>
      <c r="E130" s="525">
        <v>0</v>
      </c>
      <c r="F130" s="526" t="str">
        <f t="shared" si="5"/>
        <v/>
      </c>
      <c r="G130" s="470" t="str">
        <f t="shared" si="6"/>
        <v/>
      </c>
      <c r="H130" s="524" t="str">
        <f t="shared" si="7"/>
        <v>否</v>
      </c>
      <c r="I130" s="312" t="str">
        <f t="shared" si="4"/>
        <v>项</v>
      </c>
    </row>
    <row r="131" s="372" customFormat="1" ht="24" customHeight="1" spans="1:9">
      <c r="A131" s="330">
        <v>2011499</v>
      </c>
      <c r="B131" s="379" t="s">
        <v>289</v>
      </c>
      <c r="C131" s="516">
        <v>3</v>
      </c>
      <c r="D131" s="516">
        <f>'04'!F131</f>
        <v>2</v>
      </c>
      <c r="E131" s="525">
        <v>2</v>
      </c>
      <c r="F131" s="526">
        <f t="shared" si="5"/>
        <v>-0.333333333333333</v>
      </c>
      <c r="G131" s="470">
        <f t="shared" si="6"/>
        <v>0</v>
      </c>
      <c r="H131" s="524" t="str">
        <f t="shared" si="7"/>
        <v>是</v>
      </c>
      <c r="I131" s="312" t="str">
        <f t="shared" si="4"/>
        <v>项</v>
      </c>
    </row>
    <row r="132" s="372" customFormat="1" ht="24" customHeight="1" spans="1:9">
      <c r="A132" s="330">
        <v>20123</v>
      </c>
      <c r="B132" s="379" t="s">
        <v>290</v>
      </c>
      <c r="C132" s="515">
        <f>SUM(C133:C138)</f>
        <v>425</v>
      </c>
      <c r="D132" s="515">
        <f>SUM(D133:D138)</f>
        <v>377</v>
      </c>
      <c r="E132" s="515">
        <f>SUM(E133:E138)</f>
        <v>380</v>
      </c>
      <c r="F132" s="523">
        <f t="shared" si="5"/>
        <v>-0.105882352941176</v>
      </c>
      <c r="G132" s="467">
        <f t="shared" si="6"/>
        <v>0.00795755968169761</v>
      </c>
      <c r="H132" s="524" t="str">
        <f t="shared" si="7"/>
        <v>是</v>
      </c>
      <c r="I132" s="312" t="str">
        <f t="shared" si="4"/>
        <v>款</v>
      </c>
    </row>
    <row r="133" s="372" customFormat="1" ht="24" customHeight="1" spans="1:9">
      <c r="A133" s="330">
        <v>2012301</v>
      </c>
      <c r="B133" s="379" t="s">
        <v>212</v>
      </c>
      <c r="C133" s="516">
        <v>385</v>
      </c>
      <c r="D133" s="516">
        <f>'04'!F133</f>
        <v>335</v>
      </c>
      <c r="E133" s="525">
        <v>342</v>
      </c>
      <c r="F133" s="526">
        <f t="shared" si="5"/>
        <v>-0.111688311688312</v>
      </c>
      <c r="G133" s="470">
        <f t="shared" si="6"/>
        <v>0.0208955223880597</v>
      </c>
      <c r="H133" s="524" t="str">
        <f t="shared" si="7"/>
        <v>是</v>
      </c>
      <c r="I133" s="312" t="str">
        <f t="shared" ref="I133:I196" si="8">IF(LEN(A133)=3,"类",IF(LEN(A133)=5,"款","项"))</f>
        <v>项</v>
      </c>
    </row>
    <row r="134" s="372" customFormat="1" ht="24" customHeight="1" spans="1:9">
      <c r="A134" s="330">
        <v>2012302</v>
      </c>
      <c r="B134" s="379" t="s">
        <v>213</v>
      </c>
      <c r="C134" s="516">
        <v>5</v>
      </c>
      <c r="D134" s="516">
        <f>'04'!F134</f>
        <v>0</v>
      </c>
      <c r="E134" s="525">
        <v>0</v>
      </c>
      <c r="F134" s="526">
        <f t="shared" ref="F134:F197" si="9">IFERROR((E134-C134)/C134,"")</f>
        <v>-1</v>
      </c>
      <c r="G134" s="470" t="str">
        <f t="shared" ref="G134:G197" si="10">IFERROR((E134-D134)/D134,"")</f>
        <v/>
      </c>
      <c r="H134" s="524" t="str">
        <f t="shared" ref="H134:H197" si="11">IF(LEN(A134)=3,"是",IF(B134&lt;&gt;"",IF(SUM(C134:E134)&lt;&gt;0,"是","否"),"是"))</f>
        <v>是</v>
      </c>
      <c r="I134" s="312" t="str">
        <f t="shared" si="8"/>
        <v>项</v>
      </c>
    </row>
    <row r="135" ht="24" hidden="1" customHeight="1" spans="1:9">
      <c r="A135" s="330">
        <v>2012303</v>
      </c>
      <c r="B135" s="379" t="s">
        <v>214</v>
      </c>
      <c r="C135" s="516">
        <v>0</v>
      </c>
      <c r="D135" s="516">
        <f>'04'!F135</f>
        <v>0</v>
      </c>
      <c r="E135" s="525">
        <v>0</v>
      </c>
      <c r="F135" s="526" t="str">
        <f t="shared" si="9"/>
        <v/>
      </c>
      <c r="G135" s="470" t="str">
        <f t="shared" si="10"/>
        <v/>
      </c>
      <c r="H135" s="524" t="str">
        <f t="shared" si="11"/>
        <v>否</v>
      </c>
      <c r="I135" s="312" t="str">
        <f t="shared" si="8"/>
        <v>项</v>
      </c>
    </row>
    <row r="136" s="372" customFormat="1" ht="24" hidden="1" customHeight="1" spans="1:9">
      <c r="A136" s="330">
        <v>2012304</v>
      </c>
      <c r="B136" s="379" t="s">
        <v>291</v>
      </c>
      <c r="C136" s="516">
        <v>0</v>
      </c>
      <c r="D136" s="516">
        <f>'04'!F136</f>
        <v>0</v>
      </c>
      <c r="E136" s="525">
        <v>0</v>
      </c>
      <c r="F136" s="526" t="str">
        <f t="shared" si="9"/>
        <v/>
      </c>
      <c r="G136" s="470" t="str">
        <f t="shared" si="10"/>
        <v/>
      </c>
      <c r="H136" s="524" t="str">
        <f t="shared" si="11"/>
        <v>否</v>
      </c>
      <c r="I136" s="312" t="str">
        <f t="shared" si="8"/>
        <v>项</v>
      </c>
    </row>
    <row r="137" s="372" customFormat="1" ht="24" hidden="1" customHeight="1" spans="1:9">
      <c r="A137" s="330">
        <v>2012350</v>
      </c>
      <c r="B137" s="379" t="s">
        <v>221</v>
      </c>
      <c r="C137" s="516">
        <v>0</v>
      </c>
      <c r="D137" s="516">
        <f>'04'!F137</f>
        <v>0</v>
      </c>
      <c r="E137" s="525">
        <v>0</v>
      </c>
      <c r="F137" s="526" t="str">
        <f t="shared" si="9"/>
        <v/>
      </c>
      <c r="G137" s="470" t="str">
        <f t="shared" si="10"/>
        <v/>
      </c>
      <c r="H137" s="524" t="str">
        <f t="shared" si="11"/>
        <v>否</v>
      </c>
      <c r="I137" s="312" t="str">
        <f t="shared" si="8"/>
        <v>项</v>
      </c>
    </row>
    <row r="138" s="372" customFormat="1" ht="24" customHeight="1" spans="1:9">
      <c r="A138" s="330">
        <v>2012399</v>
      </c>
      <c r="B138" s="379" t="s">
        <v>292</v>
      </c>
      <c r="C138" s="516">
        <v>35</v>
      </c>
      <c r="D138" s="516">
        <f>'04'!F138</f>
        <v>42</v>
      </c>
      <c r="E138" s="525">
        <v>38</v>
      </c>
      <c r="F138" s="526">
        <f t="shared" si="9"/>
        <v>0.0857142857142857</v>
      </c>
      <c r="G138" s="470">
        <f t="shared" si="10"/>
        <v>-0.0952380952380952</v>
      </c>
      <c r="H138" s="524" t="str">
        <f t="shared" si="11"/>
        <v>是</v>
      </c>
      <c r="I138" s="312" t="str">
        <f t="shared" si="8"/>
        <v>项</v>
      </c>
    </row>
    <row r="139" s="372" customFormat="1" ht="24" hidden="1" customHeight="1" spans="1:9">
      <c r="A139" s="330">
        <v>20125</v>
      </c>
      <c r="B139" s="379" t="s">
        <v>293</v>
      </c>
      <c r="C139" s="515">
        <f>SUM(C140:C146)</f>
        <v>0</v>
      </c>
      <c r="D139" s="515">
        <f>SUM(D140:D146)</f>
        <v>0</v>
      </c>
      <c r="E139" s="515">
        <f>SUM(E140:E146)</f>
        <v>0</v>
      </c>
      <c r="F139" s="523" t="str">
        <f t="shared" si="9"/>
        <v/>
      </c>
      <c r="G139" s="467" t="str">
        <f t="shared" si="10"/>
        <v/>
      </c>
      <c r="H139" s="524" t="str">
        <f t="shared" si="11"/>
        <v>否</v>
      </c>
      <c r="I139" s="312" t="str">
        <f t="shared" si="8"/>
        <v>款</v>
      </c>
    </row>
    <row r="140" s="372" customFormat="1" ht="24" hidden="1" customHeight="1" spans="1:9">
      <c r="A140" s="330">
        <v>2012501</v>
      </c>
      <c r="B140" s="379" t="s">
        <v>212</v>
      </c>
      <c r="C140" s="516"/>
      <c r="D140" s="516">
        <f>'04'!F140</f>
        <v>0</v>
      </c>
      <c r="E140" s="525">
        <v>0</v>
      </c>
      <c r="F140" s="526" t="str">
        <f t="shared" si="9"/>
        <v/>
      </c>
      <c r="G140" s="470" t="str">
        <f t="shared" si="10"/>
        <v/>
      </c>
      <c r="H140" s="524" t="str">
        <f t="shared" si="11"/>
        <v>否</v>
      </c>
      <c r="I140" s="312" t="str">
        <f t="shared" si="8"/>
        <v>项</v>
      </c>
    </row>
    <row r="141" s="372" customFormat="1" ht="24" hidden="1" customHeight="1" spans="1:9">
      <c r="A141" s="330">
        <v>2012502</v>
      </c>
      <c r="B141" s="379" t="s">
        <v>213</v>
      </c>
      <c r="C141" s="516"/>
      <c r="D141" s="516">
        <f>'04'!F141</f>
        <v>0</v>
      </c>
      <c r="E141" s="525">
        <v>0</v>
      </c>
      <c r="F141" s="526" t="str">
        <f t="shared" si="9"/>
        <v/>
      </c>
      <c r="G141" s="470" t="str">
        <f t="shared" si="10"/>
        <v/>
      </c>
      <c r="H141" s="524" t="str">
        <f t="shared" si="11"/>
        <v>否</v>
      </c>
      <c r="I141" s="312" t="str">
        <f t="shared" si="8"/>
        <v>项</v>
      </c>
    </row>
    <row r="142" s="372" customFormat="1" ht="24" hidden="1" customHeight="1" spans="1:9">
      <c r="A142" s="330">
        <v>2012503</v>
      </c>
      <c r="B142" s="379" t="s">
        <v>214</v>
      </c>
      <c r="C142" s="516"/>
      <c r="D142" s="516">
        <f>'04'!F142</f>
        <v>0</v>
      </c>
      <c r="E142" s="525">
        <v>0</v>
      </c>
      <c r="F142" s="526" t="str">
        <f t="shared" si="9"/>
        <v/>
      </c>
      <c r="G142" s="470" t="str">
        <f t="shared" si="10"/>
        <v/>
      </c>
      <c r="H142" s="524" t="str">
        <f t="shared" si="11"/>
        <v>否</v>
      </c>
      <c r="I142" s="312" t="str">
        <f t="shared" si="8"/>
        <v>项</v>
      </c>
    </row>
    <row r="143" s="372" customFormat="1" ht="24" hidden="1" customHeight="1" spans="1:9">
      <c r="A143" s="330">
        <v>2012504</v>
      </c>
      <c r="B143" s="379" t="s">
        <v>294</v>
      </c>
      <c r="C143" s="516"/>
      <c r="D143" s="516">
        <f>'04'!F143</f>
        <v>0</v>
      </c>
      <c r="E143" s="525">
        <v>0</v>
      </c>
      <c r="F143" s="526" t="str">
        <f t="shared" si="9"/>
        <v/>
      </c>
      <c r="G143" s="470" t="str">
        <f t="shared" si="10"/>
        <v/>
      </c>
      <c r="H143" s="524" t="str">
        <f t="shared" si="11"/>
        <v>否</v>
      </c>
      <c r="I143" s="312" t="str">
        <f t="shared" si="8"/>
        <v>项</v>
      </c>
    </row>
    <row r="144" s="372" customFormat="1" ht="24" hidden="1" customHeight="1" spans="1:9">
      <c r="A144" s="330">
        <v>2012505</v>
      </c>
      <c r="B144" s="379" t="s">
        <v>295</v>
      </c>
      <c r="C144" s="516"/>
      <c r="D144" s="516">
        <f>'04'!F144</f>
        <v>0</v>
      </c>
      <c r="E144" s="525">
        <v>0</v>
      </c>
      <c r="F144" s="526" t="str">
        <f t="shared" si="9"/>
        <v/>
      </c>
      <c r="G144" s="470" t="str">
        <f t="shared" si="10"/>
        <v/>
      </c>
      <c r="H144" s="524" t="str">
        <f t="shared" si="11"/>
        <v>否</v>
      </c>
      <c r="I144" s="312" t="str">
        <f t="shared" si="8"/>
        <v>项</v>
      </c>
    </row>
    <row r="145" s="372" customFormat="1" ht="24" hidden="1" customHeight="1" spans="1:9">
      <c r="A145" s="330">
        <v>2012550</v>
      </c>
      <c r="B145" s="379" t="s">
        <v>221</v>
      </c>
      <c r="C145" s="516"/>
      <c r="D145" s="516">
        <f>'04'!F145</f>
        <v>0</v>
      </c>
      <c r="E145" s="525">
        <v>0</v>
      </c>
      <c r="F145" s="526" t="str">
        <f t="shared" si="9"/>
        <v/>
      </c>
      <c r="G145" s="470" t="str">
        <f t="shared" si="10"/>
        <v/>
      </c>
      <c r="H145" s="524" t="str">
        <f t="shared" si="11"/>
        <v>否</v>
      </c>
      <c r="I145" s="312" t="str">
        <f t="shared" si="8"/>
        <v>项</v>
      </c>
    </row>
    <row r="146" s="372" customFormat="1" ht="24" hidden="1" customHeight="1" spans="1:9">
      <c r="A146" s="330">
        <v>2012599</v>
      </c>
      <c r="B146" s="379" t="s">
        <v>296</v>
      </c>
      <c r="C146" s="516"/>
      <c r="D146" s="516">
        <f>'04'!F146</f>
        <v>0</v>
      </c>
      <c r="E146" s="525">
        <v>0</v>
      </c>
      <c r="F146" s="526" t="str">
        <f t="shared" si="9"/>
        <v/>
      </c>
      <c r="G146" s="470" t="str">
        <f t="shared" si="10"/>
        <v/>
      </c>
      <c r="H146" s="524" t="str">
        <f t="shared" si="11"/>
        <v>否</v>
      </c>
      <c r="I146" s="312" t="str">
        <f t="shared" si="8"/>
        <v>项</v>
      </c>
    </row>
    <row r="147" s="372" customFormat="1" ht="24" customHeight="1" spans="1:9">
      <c r="A147" s="330">
        <v>20126</v>
      </c>
      <c r="B147" s="379" t="s">
        <v>297</v>
      </c>
      <c r="C147" s="515">
        <f>SUM(C148:C152)</f>
        <v>167</v>
      </c>
      <c r="D147" s="515">
        <f>SUM(D148:D152)</f>
        <v>264</v>
      </c>
      <c r="E147" s="515">
        <f>SUM(E148:E152)</f>
        <v>253</v>
      </c>
      <c r="F147" s="523">
        <f t="shared" si="9"/>
        <v>0.514970059880239</v>
      </c>
      <c r="G147" s="467">
        <f t="shared" si="10"/>
        <v>-0.0416666666666667</v>
      </c>
      <c r="H147" s="524" t="str">
        <f t="shared" si="11"/>
        <v>是</v>
      </c>
      <c r="I147" s="312" t="str">
        <f t="shared" si="8"/>
        <v>款</v>
      </c>
    </row>
    <row r="148" ht="24" customHeight="1" spans="1:9">
      <c r="A148" s="330">
        <v>2012601</v>
      </c>
      <c r="B148" s="379" t="s">
        <v>212</v>
      </c>
      <c r="C148" s="516">
        <v>20</v>
      </c>
      <c r="D148" s="516">
        <f>'04'!F148</f>
        <v>20</v>
      </c>
      <c r="E148" s="525">
        <v>28</v>
      </c>
      <c r="F148" s="526">
        <f t="shared" si="9"/>
        <v>0.4</v>
      </c>
      <c r="G148" s="470">
        <f t="shared" si="10"/>
        <v>0.4</v>
      </c>
      <c r="H148" s="524" t="str">
        <f t="shared" si="11"/>
        <v>是</v>
      </c>
      <c r="I148" s="312" t="str">
        <f t="shared" si="8"/>
        <v>项</v>
      </c>
    </row>
    <row r="149" s="372" customFormat="1" ht="24" hidden="1" customHeight="1" spans="1:9">
      <c r="A149" s="330">
        <v>2012602</v>
      </c>
      <c r="B149" s="379" t="s">
        <v>213</v>
      </c>
      <c r="C149" s="516">
        <v>0</v>
      </c>
      <c r="D149" s="516">
        <f>'04'!F149</f>
        <v>0</v>
      </c>
      <c r="E149" s="525">
        <v>0</v>
      </c>
      <c r="F149" s="526" t="str">
        <f t="shared" si="9"/>
        <v/>
      </c>
      <c r="G149" s="470" t="str">
        <f t="shared" si="10"/>
        <v/>
      </c>
      <c r="H149" s="524" t="str">
        <f t="shared" si="11"/>
        <v>否</v>
      </c>
      <c r="I149" s="312" t="str">
        <f t="shared" si="8"/>
        <v>项</v>
      </c>
    </row>
    <row r="150" s="372" customFormat="1" ht="24" hidden="1" customHeight="1" spans="1:9">
      <c r="A150" s="330">
        <v>2012603</v>
      </c>
      <c r="B150" s="379" t="s">
        <v>214</v>
      </c>
      <c r="C150" s="516">
        <v>0</v>
      </c>
      <c r="D150" s="516">
        <f>'04'!F150</f>
        <v>0</v>
      </c>
      <c r="E150" s="525">
        <v>0</v>
      </c>
      <c r="F150" s="526" t="str">
        <f t="shared" si="9"/>
        <v/>
      </c>
      <c r="G150" s="470" t="str">
        <f t="shared" si="10"/>
        <v/>
      </c>
      <c r="H150" s="524" t="str">
        <f t="shared" si="11"/>
        <v>否</v>
      </c>
      <c r="I150" s="312" t="str">
        <f t="shared" si="8"/>
        <v>项</v>
      </c>
    </row>
    <row r="151" s="372" customFormat="1" ht="24" customHeight="1" spans="1:9">
      <c r="A151" s="330">
        <v>2012604</v>
      </c>
      <c r="B151" s="379" t="s">
        <v>298</v>
      </c>
      <c r="C151" s="516">
        <v>147</v>
      </c>
      <c r="D151" s="516">
        <f>'04'!F151</f>
        <v>244</v>
      </c>
      <c r="E151" s="525">
        <v>225</v>
      </c>
      <c r="F151" s="526">
        <f t="shared" si="9"/>
        <v>0.530612244897959</v>
      </c>
      <c r="G151" s="470">
        <f t="shared" si="10"/>
        <v>-0.0778688524590164</v>
      </c>
      <c r="H151" s="524" t="str">
        <f t="shared" si="11"/>
        <v>是</v>
      </c>
      <c r="I151" s="312" t="str">
        <f t="shared" si="8"/>
        <v>项</v>
      </c>
    </row>
    <row r="152" s="372" customFormat="1" ht="24" hidden="1" customHeight="1" spans="1:9">
      <c r="A152" s="330">
        <v>2012699</v>
      </c>
      <c r="B152" s="379" t="s">
        <v>299</v>
      </c>
      <c r="C152" s="516">
        <v>0</v>
      </c>
      <c r="D152" s="516">
        <f>'04'!F152</f>
        <v>0</v>
      </c>
      <c r="E152" s="525">
        <v>0</v>
      </c>
      <c r="F152" s="526" t="str">
        <f t="shared" si="9"/>
        <v/>
      </c>
      <c r="G152" s="470" t="str">
        <f t="shared" si="10"/>
        <v/>
      </c>
      <c r="H152" s="524" t="str">
        <f t="shared" si="11"/>
        <v>否</v>
      </c>
      <c r="I152" s="312" t="str">
        <f t="shared" si="8"/>
        <v>项</v>
      </c>
    </row>
    <row r="153" s="372" customFormat="1" ht="24" customHeight="1" spans="1:9">
      <c r="A153" s="330">
        <v>20128</v>
      </c>
      <c r="B153" s="379" t="s">
        <v>300</v>
      </c>
      <c r="C153" s="515">
        <f>SUM(C154:C159)</f>
        <v>482</v>
      </c>
      <c r="D153" s="515">
        <f>SUM(D154:D159)</f>
        <v>414</v>
      </c>
      <c r="E153" s="515">
        <f>SUM(E154:E159)</f>
        <v>420</v>
      </c>
      <c r="F153" s="523">
        <f t="shared" si="9"/>
        <v>-0.128630705394191</v>
      </c>
      <c r="G153" s="467">
        <f t="shared" si="10"/>
        <v>0.0144927536231884</v>
      </c>
      <c r="H153" s="524" t="str">
        <f t="shared" si="11"/>
        <v>是</v>
      </c>
      <c r="I153" s="312" t="str">
        <f t="shared" si="8"/>
        <v>款</v>
      </c>
    </row>
    <row r="154" s="372" customFormat="1" ht="24" customHeight="1" spans="1:9">
      <c r="A154" s="330">
        <v>2012801</v>
      </c>
      <c r="B154" s="379" t="s">
        <v>212</v>
      </c>
      <c r="C154" s="516">
        <v>412</v>
      </c>
      <c r="D154" s="516">
        <f>'04'!F154</f>
        <v>368</v>
      </c>
      <c r="E154" s="525">
        <v>378</v>
      </c>
      <c r="F154" s="526">
        <f t="shared" si="9"/>
        <v>-0.0825242718446602</v>
      </c>
      <c r="G154" s="470">
        <f t="shared" si="10"/>
        <v>0.0271739130434783</v>
      </c>
      <c r="H154" s="524" t="str">
        <f t="shared" si="11"/>
        <v>是</v>
      </c>
      <c r="I154" s="312" t="str">
        <f t="shared" si="8"/>
        <v>项</v>
      </c>
    </row>
    <row r="155" ht="24" customHeight="1" spans="1:9">
      <c r="A155" s="330">
        <v>2012802</v>
      </c>
      <c r="B155" s="379" t="s">
        <v>213</v>
      </c>
      <c r="C155" s="516">
        <v>48</v>
      </c>
      <c r="D155" s="516">
        <f>'04'!F155</f>
        <v>34</v>
      </c>
      <c r="E155" s="525">
        <v>27</v>
      </c>
      <c r="F155" s="526">
        <f t="shared" si="9"/>
        <v>-0.4375</v>
      </c>
      <c r="G155" s="470">
        <f t="shared" si="10"/>
        <v>-0.205882352941176</v>
      </c>
      <c r="H155" s="524" t="str">
        <f t="shared" si="11"/>
        <v>是</v>
      </c>
      <c r="I155" s="312" t="str">
        <f t="shared" si="8"/>
        <v>项</v>
      </c>
    </row>
    <row r="156" s="372" customFormat="1" ht="24" hidden="1" customHeight="1" spans="1:9">
      <c r="A156" s="330">
        <v>2012803</v>
      </c>
      <c r="B156" s="379" t="s">
        <v>214</v>
      </c>
      <c r="C156" s="516">
        <v>0</v>
      </c>
      <c r="D156" s="516">
        <f>'04'!F156</f>
        <v>0</v>
      </c>
      <c r="E156" s="525">
        <v>0</v>
      </c>
      <c r="F156" s="526" t="str">
        <f t="shared" si="9"/>
        <v/>
      </c>
      <c r="G156" s="470" t="str">
        <f t="shared" si="10"/>
        <v/>
      </c>
      <c r="H156" s="524" t="str">
        <f t="shared" si="11"/>
        <v>否</v>
      </c>
      <c r="I156" s="312" t="str">
        <f t="shared" si="8"/>
        <v>项</v>
      </c>
    </row>
    <row r="157" s="372" customFormat="1" ht="24" hidden="1" customHeight="1" spans="1:9">
      <c r="A157" s="330">
        <v>2012804</v>
      </c>
      <c r="B157" s="379" t="s">
        <v>226</v>
      </c>
      <c r="C157" s="516">
        <v>0</v>
      </c>
      <c r="D157" s="516">
        <f>'04'!F157</f>
        <v>0</v>
      </c>
      <c r="E157" s="525">
        <v>0</v>
      </c>
      <c r="F157" s="526" t="str">
        <f t="shared" si="9"/>
        <v/>
      </c>
      <c r="G157" s="470" t="str">
        <f t="shared" si="10"/>
        <v/>
      </c>
      <c r="H157" s="524" t="str">
        <f t="shared" si="11"/>
        <v>否</v>
      </c>
      <c r="I157" s="312" t="str">
        <f t="shared" si="8"/>
        <v>项</v>
      </c>
    </row>
    <row r="158" s="372" customFormat="1" ht="24" hidden="1" customHeight="1" spans="1:9">
      <c r="A158" s="330">
        <v>2012850</v>
      </c>
      <c r="B158" s="379" t="s">
        <v>221</v>
      </c>
      <c r="C158" s="516">
        <v>0</v>
      </c>
      <c r="D158" s="516">
        <f>'04'!F158</f>
        <v>0</v>
      </c>
      <c r="E158" s="525">
        <v>0</v>
      </c>
      <c r="F158" s="526" t="str">
        <f t="shared" si="9"/>
        <v/>
      </c>
      <c r="G158" s="470" t="str">
        <f t="shared" si="10"/>
        <v/>
      </c>
      <c r="H158" s="524" t="str">
        <f t="shared" si="11"/>
        <v>否</v>
      </c>
      <c r="I158" s="312" t="str">
        <f t="shared" si="8"/>
        <v>项</v>
      </c>
    </row>
    <row r="159" s="372" customFormat="1" ht="24" customHeight="1" spans="1:9">
      <c r="A159" s="330">
        <v>2012899</v>
      </c>
      <c r="B159" s="379" t="s">
        <v>301</v>
      </c>
      <c r="C159" s="516">
        <v>22</v>
      </c>
      <c r="D159" s="516">
        <f>'04'!F159</f>
        <v>12</v>
      </c>
      <c r="E159" s="525">
        <v>15</v>
      </c>
      <c r="F159" s="526">
        <f t="shared" si="9"/>
        <v>-0.318181818181818</v>
      </c>
      <c r="G159" s="470">
        <f t="shared" si="10"/>
        <v>0.25</v>
      </c>
      <c r="H159" s="524" t="str">
        <f t="shared" si="11"/>
        <v>是</v>
      </c>
      <c r="I159" s="312" t="str">
        <f t="shared" si="8"/>
        <v>项</v>
      </c>
    </row>
    <row r="160" s="372" customFormat="1" ht="24" customHeight="1" spans="1:9">
      <c r="A160" s="330">
        <v>20129</v>
      </c>
      <c r="B160" s="379" t="s">
        <v>302</v>
      </c>
      <c r="C160" s="515">
        <f>SUM(C161:C166)</f>
        <v>2332</v>
      </c>
      <c r="D160" s="515">
        <f>SUM(D161:D166)</f>
        <v>2413</v>
      </c>
      <c r="E160" s="515">
        <f>SUM(E161:E166)</f>
        <v>2333</v>
      </c>
      <c r="F160" s="523">
        <f t="shared" si="9"/>
        <v>0.000428816466552316</v>
      </c>
      <c r="G160" s="467">
        <f t="shared" si="10"/>
        <v>-0.0331537505180274</v>
      </c>
      <c r="H160" s="524" t="str">
        <f t="shared" si="11"/>
        <v>是</v>
      </c>
      <c r="I160" s="312" t="str">
        <f t="shared" si="8"/>
        <v>款</v>
      </c>
    </row>
    <row r="161" s="372" customFormat="1" ht="24" customHeight="1" spans="1:9">
      <c r="A161" s="330">
        <v>2012901</v>
      </c>
      <c r="B161" s="379" t="s">
        <v>212</v>
      </c>
      <c r="C161" s="516">
        <v>1025</v>
      </c>
      <c r="D161" s="516">
        <f>'04'!F161</f>
        <v>985</v>
      </c>
      <c r="E161" s="525">
        <v>1002</v>
      </c>
      <c r="F161" s="526">
        <f t="shared" si="9"/>
        <v>-0.0224390243902439</v>
      </c>
      <c r="G161" s="470">
        <f t="shared" si="10"/>
        <v>0.017258883248731</v>
      </c>
      <c r="H161" s="524" t="str">
        <f t="shared" si="11"/>
        <v>是</v>
      </c>
      <c r="I161" s="312" t="str">
        <f t="shared" si="8"/>
        <v>项</v>
      </c>
    </row>
    <row r="162" s="372" customFormat="1" ht="24" customHeight="1" spans="1:9">
      <c r="A162" s="330">
        <v>2012902</v>
      </c>
      <c r="B162" s="379" t="s">
        <v>213</v>
      </c>
      <c r="C162" s="516">
        <v>39</v>
      </c>
      <c r="D162" s="516">
        <f>'04'!F162</f>
        <v>61</v>
      </c>
      <c r="E162" s="525">
        <v>52</v>
      </c>
      <c r="F162" s="526">
        <f t="shared" si="9"/>
        <v>0.333333333333333</v>
      </c>
      <c r="G162" s="470">
        <f t="shared" si="10"/>
        <v>-0.147540983606557</v>
      </c>
      <c r="H162" s="524" t="str">
        <f t="shared" si="11"/>
        <v>是</v>
      </c>
      <c r="I162" s="312" t="str">
        <f t="shared" si="8"/>
        <v>项</v>
      </c>
    </row>
    <row r="163" ht="24" hidden="1" customHeight="1" spans="1:9">
      <c r="A163" s="330">
        <v>2012903</v>
      </c>
      <c r="B163" s="379" t="s">
        <v>214</v>
      </c>
      <c r="C163" s="516">
        <v>0</v>
      </c>
      <c r="D163" s="516">
        <f>'04'!F163</f>
        <v>0</v>
      </c>
      <c r="E163" s="525">
        <v>0</v>
      </c>
      <c r="F163" s="526" t="str">
        <f t="shared" si="9"/>
        <v/>
      </c>
      <c r="G163" s="470" t="str">
        <f t="shared" si="10"/>
        <v/>
      </c>
      <c r="H163" s="524" t="str">
        <f t="shared" si="11"/>
        <v>否</v>
      </c>
      <c r="I163" s="312" t="str">
        <f t="shared" si="8"/>
        <v>项</v>
      </c>
    </row>
    <row r="164" s="372" customFormat="1" ht="24" hidden="1" customHeight="1" spans="1:9">
      <c r="A164" s="326">
        <v>2012906</v>
      </c>
      <c r="B164" s="379" t="s">
        <v>303</v>
      </c>
      <c r="C164" s="516">
        <v>0</v>
      </c>
      <c r="D164" s="516">
        <f>'04'!F164</f>
        <v>0</v>
      </c>
      <c r="E164" s="525">
        <v>0</v>
      </c>
      <c r="F164" s="526" t="str">
        <f t="shared" si="9"/>
        <v/>
      </c>
      <c r="G164" s="470" t="str">
        <f t="shared" si="10"/>
        <v/>
      </c>
      <c r="H164" s="524" t="str">
        <f t="shared" si="11"/>
        <v>否</v>
      </c>
      <c r="I164" s="312" t="str">
        <f t="shared" si="8"/>
        <v>项</v>
      </c>
    </row>
    <row r="165" s="372" customFormat="1" ht="24" customHeight="1" spans="1:9">
      <c r="A165" s="330">
        <v>2012950</v>
      </c>
      <c r="B165" s="379" t="s">
        <v>221</v>
      </c>
      <c r="C165" s="516">
        <v>210</v>
      </c>
      <c r="D165" s="516">
        <f>'04'!F165</f>
        <v>177</v>
      </c>
      <c r="E165" s="525">
        <v>183</v>
      </c>
      <c r="F165" s="526">
        <f t="shared" si="9"/>
        <v>-0.128571428571429</v>
      </c>
      <c r="G165" s="470">
        <f t="shared" si="10"/>
        <v>0.0338983050847458</v>
      </c>
      <c r="H165" s="524" t="str">
        <f t="shared" si="11"/>
        <v>是</v>
      </c>
      <c r="I165" s="312" t="str">
        <f t="shared" si="8"/>
        <v>项</v>
      </c>
    </row>
    <row r="166" s="372" customFormat="1" ht="24" customHeight="1" spans="1:9">
      <c r="A166" s="330">
        <v>2012999</v>
      </c>
      <c r="B166" s="379" t="s">
        <v>304</v>
      </c>
      <c r="C166" s="516">
        <v>1058</v>
      </c>
      <c r="D166" s="516">
        <f>'04'!F166</f>
        <v>1190</v>
      </c>
      <c r="E166" s="525">
        <v>1096</v>
      </c>
      <c r="F166" s="526">
        <f t="shared" si="9"/>
        <v>0.0359168241965974</v>
      </c>
      <c r="G166" s="470">
        <f t="shared" si="10"/>
        <v>-0.0789915966386555</v>
      </c>
      <c r="H166" s="524" t="str">
        <f t="shared" si="11"/>
        <v>是</v>
      </c>
      <c r="I166" s="312" t="str">
        <f t="shared" si="8"/>
        <v>项</v>
      </c>
    </row>
    <row r="167" s="372" customFormat="1" ht="24" customHeight="1" spans="1:9">
      <c r="A167" s="330">
        <v>20131</v>
      </c>
      <c r="B167" s="379" t="s">
        <v>305</v>
      </c>
      <c r="C167" s="515">
        <f>SUM(C168:C173)</f>
        <v>1582</v>
      </c>
      <c r="D167" s="515">
        <f>SUM(D168:D173)</f>
        <v>1684</v>
      </c>
      <c r="E167" s="515">
        <f>SUM(E168:E173)</f>
        <v>1645</v>
      </c>
      <c r="F167" s="523">
        <f t="shared" si="9"/>
        <v>0.0398230088495575</v>
      </c>
      <c r="G167" s="467">
        <f t="shared" si="10"/>
        <v>-0.0231591448931116</v>
      </c>
      <c r="H167" s="524" t="str">
        <f t="shared" si="11"/>
        <v>是</v>
      </c>
      <c r="I167" s="312" t="str">
        <f t="shared" si="8"/>
        <v>款</v>
      </c>
    </row>
    <row r="168" s="372" customFormat="1" ht="24" customHeight="1" spans="1:9">
      <c r="A168" s="330">
        <v>2013101</v>
      </c>
      <c r="B168" s="379" t="s">
        <v>212</v>
      </c>
      <c r="C168" s="516">
        <v>1208</v>
      </c>
      <c r="D168" s="516">
        <f>'04'!F168</f>
        <v>1176</v>
      </c>
      <c r="E168" s="525">
        <v>1205</v>
      </c>
      <c r="F168" s="526">
        <f t="shared" si="9"/>
        <v>-0.00248344370860927</v>
      </c>
      <c r="G168" s="470">
        <f t="shared" si="10"/>
        <v>0.0246598639455782</v>
      </c>
      <c r="H168" s="524" t="str">
        <f t="shared" si="11"/>
        <v>是</v>
      </c>
      <c r="I168" s="312" t="str">
        <f t="shared" si="8"/>
        <v>项</v>
      </c>
    </row>
    <row r="169" ht="24" customHeight="1" spans="1:9">
      <c r="A169" s="330">
        <v>2013102</v>
      </c>
      <c r="B169" s="379" t="s">
        <v>213</v>
      </c>
      <c r="C169" s="516">
        <v>168</v>
      </c>
      <c r="D169" s="516">
        <f>'04'!F169</f>
        <v>326</v>
      </c>
      <c r="E169" s="525">
        <v>258</v>
      </c>
      <c r="F169" s="526">
        <f t="shared" si="9"/>
        <v>0.535714285714286</v>
      </c>
      <c r="G169" s="470">
        <f t="shared" si="10"/>
        <v>-0.208588957055215</v>
      </c>
      <c r="H169" s="524" t="str">
        <f t="shared" si="11"/>
        <v>是</v>
      </c>
      <c r="I169" s="312" t="str">
        <f t="shared" si="8"/>
        <v>项</v>
      </c>
    </row>
    <row r="170" s="372" customFormat="1" ht="24" hidden="1" customHeight="1" spans="1:9">
      <c r="A170" s="330">
        <v>2013103</v>
      </c>
      <c r="B170" s="379" t="s">
        <v>214</v>
      </c>
      <c r="C170" s="516">
        <v>0</v>
      </c>
      <c r="D170" s="516">
        <f>'04'!F170</f>
        <v>0</v>
      </c>
      <c r="E170" s="525">
        <v>0</v>
      </c>
      <c r="F170" s="526" t="str">
        <f t="shared" si="9"/>
        <v/>
      </c>
      <c r="G170" s="470" t="str">
        <f t="shared" si="10"/>
        <v/>
      </c>
      <c r="H170" s="524" t="str">
        <f t="shared" si="11"/>
        <v>否</v>
      </c>
      <c r="I170" s="312" t="str">
        <f t="shared" si="8"/>
        <v>项</v>
      </c>
    </row>
    <row r="171" s="372" customFormat="1" ht="24" hidden="1" customHeight="1" spans="1:9">
      <c r="A171" s="330">
        <v>2013105</v>
      </c>
      <c r="B171" s="379" t="s">
        <v>306</v>
      </c>
      <c r="C171" s="516">
        <v>0</v>
      </c>
      <c r="D171" s="516">
        <f>'04'!F171</f>
        <v>0</v>
      </c>
      <c r="E171" s="525">
        <v>0</v>
      </c>
      <c r="F171" s="526" t="str">
        <f t="shared" si="9"/>
        <v/>
      </c>
      <c r="G171" s="470" t="str">
        <f t="shared" si="10"/>
        <v/>
      </c>
      <c r="H171" s="524" t="str">
        <f t="shared" si="11"/>
        <v>否</v>
      </c>
      <c r="I171" s="312" t="str">
        <f t="shared" si="8"/>
        <v>项</v>
      </c>
    </row>
    <row r="172" s="372" customFormat="1" ht="24" customHeight="1" spans="1:9">
      <c r="A172" s="330">
        <v>2013150</v>
      </c>
      <c r="B172" s="379" t="s">
        <v>221</v>
      </c>
      <c r="C172" s="516">
        <v>110</v>
      </c>
      <c r="D172" s="516">
        <f>'04'!F172</f>
        <v>182</v>
      </c>
      <c r="E172" s="525">
        <v>182</v>
      </c>
      <c r="F172" s="526">
        <f t="shared" si="9"/>
        <v>0.654545454545455</v>
      </c>
      <c r="G172" s="470">
        <f t="shared" si="10"/>
        <v>0</v>
      </c>
      <c r="H172" s="524" t="str">
        <f t="shared" si="11"/>
        <v>是</v>
      </c>
      <c r="I172" s="312" t="str">
        <f t="shared" si="8"/>
        <v>项</v>
      </c>
    </row>
    <row r="173" s="372" customFormat="1" ht="24" customHeight="1" spans="1:9">
      <c r="A173" s="330">
        <v>2013199</v>
      </c>
      <c r="B173" s="379" t="s">
        <v>307</v>
      </c>
      <c r="C173" s="516">
        <v>96</v>
      </c>
      <c r="D173" s="516">
        <f>'04'!F173</f>
        <v>0</v>
      </c>
      <c r="E173" s="525">
        <v>0</v>
      </c>
      <c r="F173" s="526">
        <f t="shared" si="9"/>
        <v>-1</v>
      </c>
      <c r="G173" s="470" t="str">
        <f t="shared" si="10"/>
        <v/>
      </c>
      <c r="H173" s="524" t="str">
        <f t="shared" si="11"/>
        <v>是</v>
      </c>
      <c r="I173" s="312" t="str">
        <f t="shared" si="8"/>
        <v>项</v>
      </c>
    </row>
    <row r="174" s="372" customFormat="1" ht="24" customHeight="1" spans="1:9">
      <c r="A174" s="330">
        <v>20132</v>
      </c>
      <c r="B174" s="379" t="s">
        <v>308</v>
      </c>
      <c r="C174" s="515">
        <f>SUM(C175:C180)</f>
        <v>1818</v>
      </c>
      <c r="D174" s="515">
        <f>SUM(D175:D180)</f>
        <v>1791</v>
      </c>
      <c r="E174" s="515">
        <f>SUM(E175:E180)</f>
        <v>1799</v>
      </c>
      <c r="F174" s="523">
        <f t="shared" si="9"/>
        <v>-0.0104510451045105</v>
      </c>
      <c r="G174" s="467">
        <f t="shared" si="10"/>
        <v>0.00446677833612507</v>
      </c>
      <c r="H174" s="524" t="str">
        <f t="shared" si="11"/>
        <v>是</v>
      </c>
      <c r="I174" s="312" t="str">
        <f t="shared" si="8"/>
        <v>款</v>
      </c>
    </row>
    <row r="175" s="372" customFormat="1" ht="24" customHeight="1" spans="1:9">
      <c r="A175" s="330">
        <v>2013201</v>
      </c>
      <c r="B175" s="379" t="s">
        <v>212</v>
      </c>
      <c r="C175" s="516">
        <v>1256</v>
      </c>
      <c r="D175" s="516">
        <f>'04'!F175</f>
        <v>1188</v>
      </c>
      <c r="E175" s="525">
        <v>1205</v>
      </c>
      <c r="F175" s="526">
        <f t="shared" si="9"/>
        <v>-0.0406050955414013</v>
      </c>
      <c r="G175" s="470">
        <f t="shared" si="10"/>
        <v>0.0143097643097643</v>
      </c>
      <c r="H175" s="524" t="str">
        <f t="shared" si="11"/>
        <v>是</v>
      </c>
      <c r="I175" s="312" t="str">
        <f t="shared" si="8"/>
        <v>项</v>
      </c>
    </row>
    <row r="176" ht="24" customHeight="1" spans="1:9">
      <c r="A176" s="330">
        <v>2013202</v>
      </c>
      <c r="B176" s="379" t="s">
        <v>213</v>
      </c>
      <c r="C176" s="516">
        <v>332</v>
      </c>
      <c r="D176" s="516">
        <f>'04'!F176</f>
        <v>371</v>
      </c>
      <c r="E176" s="525">
        <v>315</v>
      </c>
      <c r="F176" s="526">
        <f t="shared" si="9"/>
        <v>-0.0512048192771084</v>
      </c>
      <c r="G176" s="470">
        <f t="shared" si="10"/>
        <v>-0.150943396226415</v>
      </c>
      <c r="H176" s="524" t="str">
        <f t="shared" si="11"/>
        <v>是</v>
      </c>
      <c r="I176" s="312" t="str">
        <f t="shared" si="8"/>
        <v>项</v>
      </c>
    </row>
    <row r="177" s="372" customFormat="1" ht="24" hidden="1" customHeight="1" spans="1:9">
      <c r="A177" s="330">
        <v>2013203</v>
      </c>
      <c r="B177" s="379" t="s">
        <v>214</v>
      </c>
      <c r="C177" s="516">
        <v>0</v>
      </c>
      <c r="D177" s="516">
        <f>'04'!F177</f>
        <v>0</v>
      </c>
      <c r="E177" s="525">
        <v>0</v>
      </c>
      <c r="F177" s="526" t="str">
        <f t="shared" si="9"/>
        <v/>
      </c>
      <c r="G177" s="470" t="str">
        <f t="shared" si="10"/>
        <v/>
      </c>
      <c r="H177" s="524" t="str">
        <f t="shared" si="11"/>
        <v>否</v>
      </c>
      <c r="I177" s="312" t="str">
        <f t="shared" si="8"/>
        <v>项</v>
      </c>
    </row>
    <row r="178" s="372" customFormat="1" ht="24" customHeight="1" spans="1:9">
      <c r="A178" s="330">
        <v>2013204</v>
      </c>
      <c r="B178" s="379" t="s">
        <v>309</v>
      </c>
      <c r="C178" s="516">
        <v>45</v>
      </c>
      <c r="D178" s="516">
        <f>'04'!F178</f>
        <v>60</v>
      </c>
      <c r="E178" s="525">
        <v>85</v>
      </c>
      <c r="F178" s="526">
        <f t="shared" si="9"/>
        <v>0.888888888888889</v>
      </c>
      <c r="G178" s="470">
        <f t="shared" si="10"/>
        <v>0.416666666666667</v>
      </c>
      <c r="H178" s="524" t="str">
        <f t="shared" si="11"/>
        <v>是</v>
      </c>
      <c r="I178" s="312" t="str">
        <f t="shared" si="8"/>
        <v>项</v>
      </c>
    </row>
    <row r="179" s="372" customFormat="1" ht="24" customHeight="1" spans="1:9">
      <c r="A179" s="330">
        <v>2013250</v>
      </c>
      <c r="B179" s="379" t="s">
        <v>221</v>
      </c>
      <c r="C179" s="516">
        <v>50</v>
      </c>
      <c r="D179" s="516">
        <f>'04'!F179</f>
        <v>38</v>
      </c>
      <c r="E179" s="525">
        <v>43</v>
      </c>
      <c r="F179" s="526">
        <f t="shared" si="9"/>
        <v>-0.14</v>
      </c>
      <c r="G179" s="470">
        <f t="shared" si="10"/>
        <v>0.131578947368421</v>
      </c>
      <c r="H179" s="524" t="str">
        <f t="shared" si="11"/>
        <v>是</v>
      </c>
      <c r="I179" s="312" t="str">
        <f t="shared" si="8"/>
        <v>项</v>
      </c>
    </row>
    <row r="180" s="372" customFormat="1" ht="24" customHeight="1" spans="1:9">
      <c r="A180" s="330">
        <v>2013299</v>
      </c>
      <c r="B180" s="379" t="s">
        <v>310</v>
      </c>
      <c r="C180" s="516">
        <v>135</v>
      </c>
      <c r="D180" s="516">
        <f>'04'!F180</f>
        <v>134</v>
      </c>
      <c r="E180" s="525">
        <v>151</v>
      </c>
      <c r="F180" s="526">
        <f t="shared" si="9"/>
        <v>0.118518518518519</v>
      </c>
      <c r="G180" s="470">
        <f t="shared" si="10"/>
        <v>0.126865671641791</v>
      </c>
      <c r="H180" s="524" t="str">
        <f t="shared" si="11"/>
        <v>是</v>
      </c>
      <c r="I180" s="312" t="str">
        <f t="shared" si="8"/>
        <v>项</v>
      </c>
    </row>
    <row r="181" s="372" customFormat="1" ht="24" customHeight="1" spans="1:9">
      <c r="A181" s="330">
        <v>20133</v>
      </c>
      <c r="B181" s="379" t="s">
        <v>311</v>
      </c>
      <c r="C181" s="515">
        <f>SUM(C182:C187)</f>
        <v>1150</v>
      </c>
      <c r="D181" s="515">
        <f>SUM(D182:D187)</f>
        <v>1511</v>
      </c>
      <c r="E181" s="515">
        <f>SUM(E182:E187)</f>
        <v>1517</v>
      </c>
      <c r="F181" s="523">
        <f t="shared" si="9"/>
        <v>0.319130434782609</v>
      </c>
      <c r="G181" s="467">
        <f t="shared" si="10"/>
        <v>0.00397088021178028</v>
      </c>
      <c r="H181" s="524" t="str">
        <f t="shared" si="11"/>
        <v>是</v>
      </c>
      <c r="I181" s="312" t="str">
        <f t="shared" si="8"/>
        <v>款</v>
      </c>
    </row>
    <row r="182" s="372" customFormat="1" ht="24" customHeight="1" spans="1:9">
      <c r="A182" s="330">
        <v>2013301</v>
      </c>
      <c r="B182" s="379" t="s">
        <v>212</v>
      </c>
      <c r="C182" s="516">
        <v>615</v>
      </c>
      <c r="D182" s="516">
        <f>'04'!F182</f>
        <v>614</v>
      </c>
      <c r="E182" s="525">
        <v>625</v>
      </c>
      <c r="F182" s="526">
        <f t="shared" si="9"/>
        <v>0.016260162601626</v>
      </c>
      <c r="G182" s="470">
        <f t="shared" si="10"/>
        <v>0.0179153094462541</v>
      </c>
      <c r="H182" s="524" t="str">
        <f t="shared" si="11"/>
        <v>是</v>
      </c>
      <c r="I182" s="312" t="str">
        <f t="shared" si="8"/>
        <v>项</v>
      </c>
    </row>
    <row r="183" ht="24" customHeight="1" spans="1:9">
      <c r="A183" s="330">
        <v>2013302</v>
      </c>
      <c r="B183" s="379" t="s">
        <v>213</v>
      </c>
      <c r="C183" s="516">
        <v>465</v>
      </c>
      <c r="D183" s="516">
        <f>'04'!F183</f>
        <v>829</v>
      </c>
      <c r="E183" s="525">
        <v>815</v>
      </c>
      <c r="F183" s="526">
        <f t="shared" si="9"/>
        <v>0.752688172043011</v>
      </c>
      <c r="G183" s="470">
        <f t="shared" si="10"/>
        <v>-0.0168878166465621</v>
      </c>
      <c r="H183" s="524" t="str">
        <f t="shared" si="11"/>
        <v>是</v>
      </c>
      <c r="I183" s="312" t="str">
        <f t="shared" si="8"/>
        <v>项</v>
      </c>
    </row>
    <row r="184" s="372" customFormat="1" ht="24" hidden="1" customHeight="1" spans="1:9">
      <c r="A184" s="330">
        <v>2013303</v>
      </c>
      <c r="B184" s="379" t="s">
        <v>214</v>
      </c>
      <c r="C184" s="516">
        <v>0</v>
      </c>
      <c r="D184" s="516">
        <f>'04'!F184</f>
        <v>0</v>
      </c>
      <c r="E184" s="525">
        <v>0</v>
      </c>
      <c r="F184" s="526" t="str">
        <f t="shared" si="9"/>
        <v/>
      </c>
      <c r="G184" s="470" t="str">
        <f t="shared" si="10"/>
        <v/>
      </c>
      <c r="H184" s="524" t="str">
        <f t="shared" si="11"/>
        <v>否</v>
      </c>
      <c r="I184" s="312" t="str">
        <f t="shared" si="8"/>
        <v>项</v>
      </c>
    </row>
    <row r="185" s="372" customFormat="1" ht="24" customHeight="1" spans="1:9">
      <c r="A185" s="330">
        <v>2013304</v>
      </c>
      <c r="B185" s="379" t="s">
        <v>312</v>
      </c>
      <c r="C185" s="516">
        <v>0</v>
      </c>
      <c r="D185" s="516">
        <f>'04'!F185</f>
        <v>10</v>
      </c>
      <c r="E185" s="525">
        <v>15</v>
      </c>
      <c r="F185" s="526" t="str">
        <f t="shared" si="9"/>
        <v/>
      </c>
      <c r="G185" s="470">
        <f t="shared" si="10"/>
        <v>0.5</v>
      </c>
      <c r="H185" s="524" t="str">
        <f t="shared" si="11"/>
        <v>是</v>
      </c>
      <c r="I185" s="312" t="str">
        <f t="shared" si="8"/>
        <v>项</v>
      </c>
    </row>
    <row r="186" s="372" customFormat="1" ht="24" customHeight="1" spans="1:9">
      <c r="A186" s="330">
        <v>2013350</v>
      </c>
      <c r="B186" s="379" t="s">
        <v>221</v>
      </c>
      <c r="C186" s="516">
        <v>70</v>
      </c>
      <c r="D186" s="516">
        <f>'04'!F186</f>
        <v>58</v>
      </c>
      <c r="E186" s="525">
        <v>62</v>
      </c>
      <c r="F186" s="526">
        <f t="shared" si="9"/>
        <v>-0.114285714285714</v>
      </c>
      <c r="G186" s="470">
        <f t="shared" si="10"/>
        <v>0.0689655172413793</v>
      </c>
      <c r="H186" s="524" t="str">
        <f t="shared" si="11"/>
        <v>是</v>
      </c>
      <c r="I186" s="312" t="str">
        <f t="shared" si="8"/>
        <v>项</v>
      </c>
    </row>
    <row r="187" s="372" customFormat="1" ht="24" hidden="1" customHeight="1" spans="1:9">
      <c r="A187" s="330">
        <v>2013399</v>
      </c>
      <c r="B187" s="379" t="s">
        <v>313</v>
      </c>
      <c r="C187" s="516">
        <v>0</v>
      </c>
      <c r="D187" s="516">
        <f>'04'!F187</f>
        <v>0</v>
      </c>
      <c r="E187" s="525">
        <v>0</v>
      </c>
      <c r="F187" s="526" t="str">
        <f t="shared" si="9"/>
        <v/>
      </c>
      <c r="G187" s="470" t="str">
        <f t="shared" si="10"/>
        <v/>
      </c>
      <c r="H187" s="524" t="str">
        <f t="shared" si="11"/>
        <v>否</v>
      </c>
      <c r="I187" s="312" t="str">
        <f t="shared" si="8"/>
        <v>项</v>
      </c>
    </row>
    <row r="188" s="372" customFormat="1" ht="24" customHeight="1" spans="1:9">
      <c r="A188" s="330">
        <v>20134</v>
      </c>
      <c r="B188" s="379" t="s">
        <v>314</v>
      </c>
      <c r="C188" s="515">
        <f>SUM(C189:C195)</f>
        <v>801</v>
      </c>
      <c r="D188" s="515">
        <f>SUM(D189:D195)</f>
        <v>845</v>
      </c>
      <c r="E188" s="515">
        <f>SUM(E189:E195)</f>
        <v>847</v>
      </c>
      <c r="F188" s="523">
        <f t="shared" si="9"/>
        <v>0.0574282147315855</v>
      </c>
      <c r="G188" s="467">
        <f t="shared" si="10"/>
        <v>0.00236686390532544</v>
      </c>
      <c r="H188" s="524" t="str">
        <f t="shared" si="11"/>
        <v>是</v>
      </c>
      <c r="I188" s="312" t="str">
        <f t="shared" si="8"/>
        <v>款</v>
      </c>
    </row>
    <row r="189" s="372" customFormat="1" ht="24" customHeight="1" spans="1:9">
      <c r="A189" s="330">
        <v>2013401</v>
      </c>
      <c r="B189" s="379" t="s">
        <v>212</v>
      </c>
      <c r="C189" s="516">
        <v>675</v>
      </c>
      <c r="D189" s="516">
        <f>'04'!F189</f>
        <v>684</v>
      </c>
      <c r="E189" s="525">
        <v>703</v>
      </c>
      <c r="F189" s="526">
        <f t="shared" si="9"/>
        <v>0.0414814814814815</v>
      </c>
      <c r="G189" s="470">
        <f t="shared" si="10"/>
        <v>0.0277777777777778</v>
      </c>
      <c r="H189" s="524" t="str">
        <f t="shared" si="11"/>
        <v>是</v>
      </c>
      <c r="I189" s="312" t="str">
        <f t="shared" si="8"/>
        <v>项</v>
      </c>
    </row>
    <row r="190" ht="24" customHeight="1" spans="1:9">
      <c r="A190" s="330">
        <v>2013402</v>
      </c>
      <c r="B190" s="379" t="s">
        <v>213</v>
      </c>
      <c r="C190" s="516">
        <v>9</v>
      </c>
      <c r="D190" s="516">
        <f>'04'!F190</f>
        <v>9</v>
      </c>
      <c r="E190" s="525">
        <v>7</v>
      </c>
      <c r="F190" s="526">
        <f t="shared" si="9"/>
        <v>-0.222222222222222</v>
      </c>
      <c r="G190" s="470">
        <f t="shared" si="10"/>
        <v>-0.222222222222222</v>
      </c>
      <c r="H190" s="524" t="str">
        <f t="shared" si="11"/>
        <v>是</v>
      </c>
      <c r="I190" s="312" t="str">
        <f t="shared" si="8"/>
        <v>项</v>
      </c>
    </row>
    <row r="191" s="372" customFormat="1" ht="24" hidden="1" customHeight="1" spans="1:9">
      <c r="A191" s="330">
        <v>2013403</v>
      </c>
      <c r="B191" s="379" t="s">
        <v>214</v>
      </c>
      <c r="C191" s="516">
        <v>0</v>
      </c>
      <c r="D191" s="516">
        <f>'04'!F191</f>
        <v>0</v>
      </c>
      <c r="E191" s="525">
        <v>0</v>
      </c>
      <c r="F191" s="526" t="str">
        <f t="shared" si="9"/>
        <v/>
      </c>
      <c r="G191" s="470" t="str">
        <f t="shared" si="10"/>
        <v/>
      </c>
      <c r="H191" s="524" t="str">
        <f t="shared" si="11"/>
        <v>否</v>
      </c>
      <c r="I191" s="312" t="str">
        <f t="shared" si="8"/>
        <v>项</v>
      </c>
    </row>
    <row r="192" s="372" customFormat="1" ht="24" customHeight="1" spans="1:9">
      <c r="A192" s="330">
        <v>2013404</v>
      </c>
      <c r="B192" s="379" t="s">
        <v>315</v>
      </c>
      <c r="C192" s="516">
        <v>45</v>
      </c>
      <c r="D192" s="516">
        <f>'04'!F192</f>
        <v>59</v>
      </c>
      <c r="E192" s="525">
        <v>62</v>
      </c>
      <c r="F192" s="526">
        <f t="shared" si="9"/>
        <v>0.377777777777778</v>
      </c>
      <c r="G192" s="470">
        <f t="shared" si="10"/>
        <v>0.0508474576271186</v>
      </c>
      <c r="H192" s="524" t="str">
        <f t="shared" si="11"/>
        <v>是</v>
      </c>
      <c r="I192" s="312" t="str">
        <f t="shared" si="8"/>
        <v>项</v>
      </c>
    </row>
    <row r="193" s="372" customFormat="1" ht="24" hidden="1" customHeight="1" spans="1:9">
      <c r="A193" s="330">
        <v>2013405</v>
      </c>
      <c r="B193" s="379" t="s">
        <v>316</v>
      </c>
      <c r="C193" s="516">
        <v>0</v>
      </c>
      <c r="D193" s="516">
        <f>'04'!F193</f>
        <v>0</v>
      </c>
      <c r="E193" s="525">
        <v>0</v>
      </c>
      <c r="F193" s="526" t="str">
        <f t="shared" si="9"/>
        <v/>
      </c>
      <c r="G193" s="470" t="str">
        <f t="shared" si="10"/>
        <v/>
      </c>
      <c r="H193" s="524" t="str">
        <f t="shared" si="11"/>
        <v>否</v>
      </c>
      <c r="I193" s="312" t="str">
        <f t="shared" si="8"/>
        <v>项</v>
      </c>
    </row>
    <row r="194" s="372" customFormat="1" ht="24" hidden="1" customHeight="1" spans="1:9">
      <c r="A194" s="330">
        <v>2013450</v>
      </c>
      <c r="B194" s="379" t="s">
        <v>221</v>
      </c>
      <c r="C194" s="516">
        <v>0</v>
      </c>
      <c r="D194" s="516">
        <f>'04'!F194</f>
        <v>0</v>
      </c>
      <c r="E194" s="525">
        <v>0</v>
      </c>
      <c r="F194" s="526" t="str">
        <f t="shared" si="9"/>
        <v/>
      </c>
      <c r="G194" s="470" t="str">
        <f t="shared" si="10"/>
        <v/>
      </c>
      <c r="H194" s="524" t="str">
        <f t="shared" si="11"/>
        <v>否</v>
      </c>
      <c r="I194" s="312" t="str">
        <f t="shared" si="8"/>
        <v>项</v>
      </c>
    </row>
    <row r="195" s="372" customFormat="1" ht="24" customHeight="1" spans="1:9">
      <c r="A195" s="330">
        <v>2013499</v>
      </c>
      <c r="B195" s="379" t="s">
        <v>317</v>
      </c>
      <c r="C195" s="516">
        <v>72</v>
      </c>
      <c r="D195" s="516">
        <f>'04'!F195</f>
        <v>93</v>
      </c>
      <c r="E195" s="525">
        <v>75</v>
      </c>
      <c r="F195" s="526">
        <f t="shared" si="9"/>
        <v>0.0416666666666667</v>
      </c>
      <c r="G195" s="470">
        <f t="shared" si="10"/>
        <v>-0.193548387096774</v>
      </c>
      <c r="H195" s="524" t="str">
        <f t="shared" si="11"/>
        <v>是</v>
      </c>
      <c r="I195" s="312" t="str">
        <f t="shared" si="8"/>
        <v>项</v>
      </c>
    </row>
    <row r="196" s="372" customFormat="1" ht="24" hidden="1" customHeight="1" spans="1:9">
      <c r="A196" s="330">
        <v>20135</v>
      </c>
      <c r="B196" s="379" t="s">
        <v>318</v>
      </c>
      <c r="C196" s="515">
        <f>SUM(C197:C201)</f>
        <v>0</v>
      </c>
      <c r="D196" s="515">
        <f>SUM(D197:D201)</f>
        <v>0</v>
      </c>
      <c r="E196" s="515">
        <f>SUM(E197:E201)</f>
        <v>0</v>
      </c>
      <c r="F196" s="523" t="str">
        <f t="shared" si="9"/>
        <v/>
      </c>
      <c r="G196" s="467" t="str">
        <f t="shared" si="10"/>
        <v/>
      </c>
      <c r="H196" s="524" t="str">
        <f t="shared" si="11"/>
        <v>否</v>
      </c>
      <c r="I196" s="312" t="str">
        <f t="shared" si="8"/>
        <v>款</v>
      </c>
    </row>
    <row r="197" ht="24" hidden="1" customHeight="1" spans="1:9">
      <c r="A197" s="330">
        <v>2013501</v>
      </c>
      <c r="B197" s="379" t="s">
        <v>212</v>
      </c>
      <c r="C197" s="516"/>
      <c r="D197" s="516">
        <f>'04'!F197</f>
        <v>0</v>
      </c>
      <c r="E197" s="525">
        <v>0</v>
      </c>
      <c r="F197" s="526" t="str">
        <f t="shared" si="9"/>
        <v/>
      </c>
      <c r="G197" s="470" t="str">
        <f t="shared" si="10"/>
        <v/>
      </c>
      <c r="H197" s="524" t="str">
        <f t="shared" si="11"/>
        <v>否</v>
      </c>
      <c r="I197" s="312" t="str">
        <f t="shared" ref="I197:I260" si="12">IF(LEN(A197)=3,"类",IF(LEN(A197)=5,"款","项"))</f>
        <v>项</v>
      </c>
    </row>
    <row r="198" s="372" customFormat="1" ht="24" hidden="1" customHeight="1" spans="1:9">
      <c r="A198" s="330">
        <v>2013502</v>
      </c>
      <c r="B198" s="379" t="s">
        <v>213</v>
      </c>
      <c r="C198" s="516"/>
      <c r="D198" s="516">
        <f>'04'!F198</f>
        <v>0</v>
      </c>
      <c r="E198" s="525">
        <v>0</v>
      </c>
      <c r="F198" s="526" t="str">
        <f t="shared" ref="F198:F261" si="13">IFERROR((E198-C198)/C198,"")</f>
        <v/>
      </c>
      <c r="G198" s="470" t="str">
        <f t="shared" ref="G198:G261" si="14">IFERROR((E198-D198)/D198,"")</f>
        <v/>
      </c>
      <c r="H198" s="524" t="str">
        <f t="shared" ref="H198:H261" si="15">IF(LEN(A198)=3,"是",IF(B198&lt;&gt;"",IF(SUM(C198:E198)&lt;&gt;0,"是","否"),"是"))</f>
        <v>否</v>
      </c>
      <c r="I198" s="312" t="str">
        <f t="shared" si="12"/>
        <v>项</v>
      </c>
    </row>
    <row r="199" s="372" customFormat="1" ht="24" hidden="1" customHeight="1" spans="1:9">
      <c r="A199" s="330">
        <v>2013503</v>
      </c>
      <c r="B199" s="379" t="s">
        <v>214</v>
      </c>
      <c r="C199" s="516"/>
      <c r="D199" s="516">
        <f>'04'!F199</f>
        <v>0</v>
      </c>
      <c r="E199" s="525">
        <v>0</v>
      </c>
      <c r="F199" s="526" t="str">
        <f t="shared" si="13"/>
        <v/>
      </c>
      <c r="G199" s="470" t="str">
        <f t="shared" si="14"/>
        <v/>
      </c>
      <c r="H199" s="524" t="str">
        <f t="shared" si="15"/>
        <v>否</v>
      </c>
      <c r="I199" s="312" t="str">
        <f t="shared" si="12"/>
        <v>项</v>
      </c>
    </row>
    <row r="200" s="372" customFormat="1" ht="24" hidden="1" customHeight="1" spans="1:9">
      <c r="A200" s="330">
        <v>2013550</v>
      </c>
      <c r="B200" s="379" t="s">
        <v>221</v>
      </c>
      <c r="C200" s="516"/>
      <c r="D200" s="516">
        <f>'04'!F200</f>
        <v>0</v>
      </c>
      <c r="E200" s="525">
        <v>0</v>
      </c>
      <c r="F200" s="526" t="str">
        <f t="shared" si="13"/>
        <v/>
      </c>
      <c r="G200" s="470" t="str">
        <f t="shared" si="14"/>
        <v/>
      </c>
      <c r="H200" s="524" t="str">
        <f t="shared" si="15"/>
        <v>否</v>
      </c>
      <c r="I200" s="312" t="str">
        <f t="shared" si="12"/>
        <v>项</v>
      </c>
    </row>
    <row r="201" s="372" customFormat="1" ht="24" hidden="1" customHeight="1" spans="1:9">
      <c r="A201" s="330">
        <v>2013599</v>
      </c>
      <c r="B201" s="379" t="s">
        <v>319</v>
      </c>
      <c r="C201" s="516"/>
      <c r="D201" s="516">
        <f>'04'!F201</f>
        <v>0</v>
      </c>
      <c r="E201" s="525">
        <v>0</v>
      </c>
      <c r="F201" s="526" t="str">
        <f t="shared" si="13"/>
        <v/>
      </c>
      <c r="G201" s="470" t="str">
        <f t="shared" si="14"/>
        <v/>
      </c>
      <c r="H201" s="524" t="str">
        <f t="shared" si="15"/>
        <v>否</v>
      </c>
      <c r="I201" s="312" t="str">
        <f t="shared" si="12"/>
        <v>项</v>
      </c>
    </row>
    <row r="202" s="372" customFormat="1" ht="24" customHeight="1" spans="1:9">
      <c r="A202" s="330">
        <v>20136</v>
      </c>
      <c r="B202" s="379" t="s">
        <v>320</v>
      </c>
      <c r="C202" s="515">
        <f>SUM(C203:C207)</f>
        <v>2649</v>
      </c>
      <c r="D202" s="515">
        <f>SUM(D203:D207)</f>
        <v>2243</v>
      </c>
      <c r="E202" s="515">
        <f>SUM(E203:E207)</f>
        <v>2175</v>
      </c>
      <c r="F202" s="523">
        <f t="shared" si="13"/>
        <v>-0.178935447338618</v>
      </c>
      <c r="G202" s="467">
        <f t="shared" si="14"/>
        <v>-0.0303165403477486</v>
      </c>
      <c r="H202" s="524" t="str">
        <f t="shared" si="15"/>
        <v>是</v>
      </c>
      <c r="I202" s="312" t="str">
        <f t="shared" si="12"/>
        <v>款</v>
      </c>
    </row>
    <row r="203" s="372" customFormat="1" ht="24" customHeight="1" spans="1:9">
      <c r="A203" s="330">
        <v>2013601</v>
      </c>
      <c r="B203" s="379" t="s">
        <v>212</v>
      </c>
      <c r="C203" s="516">
        <v>1815</v>
      </c>
      <c r="D203" s="516">
        <f>'04'!F203</f>
        <v>1719</v>
      </c>
      <c r="E203" s="525">
        <v>1725</v>
      </c>
      <c r="F203" s="526">
        <f t="shared" si="13"/>
        <v>-0.0495867768595041</v>
      </c>
      <c r="G203" s="470">
        <f t="shared" si="14"/>
        <v>0.00349040139616056</v>
      </c>
      <c r="H203" s="524" t="str">
        <f t="shared" si="15"/>
        <v>是</v>
      </c>
      <c r="I203" s="312" t="str">
        <f t="shared" si="12"/>
        <v>项</v>
      </c>
    </row>
    <row r="204" ht="24" customHeight="1" spans="1:9">
      <c r="A204" s="330">
        <v>2013602</v>
      </c>
      <c r="B204" s="379" t="s">
        <v>213</v>
      </c>
      <c r="C204" s="516">
        <v>625</v>
      </c>
      <c r="D204" s="516">
        <f>'04'!F204</f>
        <v>379</v>
      </c>
      <c r="E204" s="525">
        <v>318</v>
      </c>
      <c r="F204" s="526">
        <f t="shared" si="13"/>
        <v>-0.4912</v>
      </c>
      <c r="G204" s="470">
        <f t="shared" si="14"/>
        <v>-0.160949868073879</v>
      </c>
      <c r="H204" s="524" t="str">
        <f t="shared" si="15"/>
        <v>是</v>
      </c>
      <c r="I204" s="312" t="str">
        <f t="shared" si="12"/>
        <v>项</v>
      </c>
    </row>
    <row r="205" s="372" customFormat="1" ht="24" hidden="1" customHeight="1" spans="1:9">
      <c r="A205" s="330">
        <v>2013603</v>
      </c>
      <c r="B205" s="379" t="s">
        <v>214</v>
      </c>
      <c r="C205" s="516">
        <v>0</v>
      </c>
      <c r="D205" s="516">
        <f>'04'!F205</f>
        <v>0</v>
      </c>
      <c r="E205" s="525">
        <v>0</v>
      </c>
      <c r="F205" s="526" t="str">
        <f t="shared" si="13"/>
        <v/>
      </c>
      <c r="G205" s="470" t="str">
        <f t="shared" si="14"/>
        <v/>
      </c>
      <c r="H205" s="524" t="str">
        <f t="shared" si="15"/>
        <v>否</v>
      </c>
      <c r="I205" s="312" t="str">
        <f t="shared" si="12"/>
        <v>项</v>
      </c>
    </row>
    <row r="206" s="372" customFormat="1" ht="24" customHeight="1" spans="1:9">
      <c r="A206" s="330">
        <v>2013650</v>
      </c>
      <c r="B206" s="379" t="s">
        <v>221</v>
      </c>
      <c r="C206" s="516">
        <v>157</v>
      </c>
      <c r="D206" s="516">
        <f>'04'!F206</f>
        <v>115</v>
      </c>
      <c r="E206" s="525">
        <v>112</v>
      </c>
      <c r="F206" s="526">
        <f t="shared" si="13"/>
        <v>-0.286624203821656</v>
      </c>
      <c r="G206" s="470">
        <f t="shared" si="14"/>
        <v>-0.0260869565217391</v>
      </c>
      <c r="H206" s="524" t="str">
        <f t="shared" si="15"/>
        <v>是</v>
      </c>
      <c r="I206" s="312" t="str">
        <f t="shared" si="12"/>
        <v>项</v>
      </c>
    </row>
    <row r="207" s="372" customFormat="1" ht="24" customHeight="1" spans="1:9">
      <c r="A207" s="330">
        <v>2013699</v>
      </c>
      <c r="B207" s="379" t="s">
        <v>321</v>
      </c>
      <c r="C207" s="516">
        <v>52</v>
      </c>
      <c r="D207" s="516">
        <f>'04'!F207</f>
        <v>30</v>
      </c>
      <c r="E207" s="525">
        <v>20</v>
      </c>
      <c r="F207" s="526">
        <f t="shared" si="13"/>
        <v>-0.615384615384615</v>
      </c>
      <c r="G207" s="470">
        <f t="shared" si="14"/>
        <v>-0.333333333333333</v>
      </c>
      <c r="H207" s="524" t="str">
        <f t="shared" si="15"/>
        <v>是</v>
      </c>
      <c r="I207" s="312" t="str">
        <f t="shared" si="12"/>
        <v>项</v>
      </c>
    </row>
    <row r="208" s="372" customFormat="1" ht="24" customHeight="1" spans="1:9">
      <c r="A208" s="330">
        <v>20137</v>
      </c>
      <c r="B208" s="379" t="s">
        <v>322</v>
      </c>
      <c r="C208" s="515">
        <f>SUM(C209:C214)</f>
        <v>535</v>
      </c>
      <c r="D208" s="515">
        <f>SUM(D209:D214)</f>
        <v>416</v>
      </c>
      <c r="E208" s="515">
        <f>SUM(E209:E214)</f>
        <v>424</v>
      </c>
      <c r="F208" s="523">
        <f t="shared" si="13"/>
        <v>-0.207476635514019</v>
      </c>
      <c r="G208" s="467">
        <f t="shared" si="14"/>
        <v>0.0192307692307692</v>
      </c>
      <c r="H208" s="524" t="str">
        <f t="shared" si="15"/>
        <v>是</v>
      </c>
      <c r="I208" s="312" t="str">
        <f t="shared" si="12"/>
        <v>款</v>
      </c>
    </row>
    <row r="209" s="372" customFormat="1" ht="24" customHeight="1" spans="1:9">
      <c r="A209" s="330">
        <v>2013701</v>
      </c>
      <c r="B209" s="379" t="s">
        <v>212</v>
      </c>
      <c r="C209" s="516">
        <v>228</v>
      </c>
      <c r="D209" s="516">
        <f>'04'!F209</f>
        <v>225</v>
      </c>
      <c r="E209" s="525">
        <v>235</v>
      </c>
      <c r="F209" s="526">
        <f t="shared" si="13"/>
        <v>0.0307017543859649</v>
      </c>
      <c r="G209" s="470">
        <f t="shared" si="14"/>
        <v>0.0444444444444444</v>
      </c>
      <c r="H209" s="524" t="str">
        <f t="shared" si="15"/>
        <v>是</v>
      </c>
      <c r="I209" s="312" t="str">
        <f t="shared" si="12"/>
        <v>项</v>
      </c>
    </row>
    <row r="210" s="372" customFormat="1" ht="24" customHeight="1" spans="1:9">
      <c r="A210" s="330">
        <v>2013702</v>
      </c>
      <c r="B210" s="379" t="s">
        <v>213</v>
      </c>
      <c r="C210" s="516">
        <v>110</v>
      </c>
      <c r="D210" s="516">
        <f>'04'!F210</f>
        <v>47</v>
      </c>
      <c r="E210" s="525">
        <v>42</v>
      </c>
      <c r="F210" s="526">
        <f t="shared" si="13"/>
        <v>-0.618181818181818</v>
      </c>
      <c r="G210" s="470">
        <f t="shared" si="14"/>
        <v>-0.106382978723404</v>
      </c>
      <c r="H210" s="524" t="str">
        <f t="shared" si="15"/>
        <v>是</v>
      </c>
      <c r="I210" s="312" t="str">
        <f t="shared" si="12"/>
        <v>项</v>
      </c>
    </row>
    <row r="211" s="372" customFormat="1" ht="24" hidden="1" customHeight="1" spans="1:9">
      <c r="A211" s="330">
        <v>2013703</v>
      </c>
      <c r="B211" s="379" t="s">
        <v>214</v>
      </c>
      <c r="C211" s="516">
        <v>0</v>
      </c>
      <c r="D211" s="516">
        <f>'04'!F211</f>
        <v>0</v>
      </c>
      <c r="E211" s="525">
        <v>0</v>
      </c>
      <c r="F211" s="526" t="str">
        <f t="shared" si="13"/>
        <v/>
      </c>
      <c r="G211" s="470" t="str">
        <f t="shared" si="14"/>
        <v/>
      </c>
      <c r="H211" s="524" t="str">
        <f t="shared" si="15"/>
        <v>否</v>
      </c>
      <c r="I211" s="312" t="str">
        <f t="shared" si="12"/>
        <v>项</v>
      </c>
    </row>
    <row r="212" ht="24" hidden="1" customHeight="1" spans="1:9">
      <c r="A212" s="330">
        <v>2013704</v>
      </c>
      <c r="B212" s="379" t="s">
        <v>323</v>
      </c>
      <c r="C212" s="516">
        <v>0</v>
      </c>
      <c r="D212" s="516">
        <f>'04'!F212</f>
        <v>0</v>
      </c>
      <c r="E212" s="525">
        <v>0</v>
      </c>
      <c r="F212" s="526" t="str">
        <f t="shared" si="13"/>
        <v/>
      </c>
      <c r="G212" s="470" t="str">
        <f t="shared" si="14"/>
        <v/>
      </c>
      <c r="H212" s="524" t="str">
        <f t="shared" si="15"/>
        <v>否</v>
      </c>
      <c r="I212" s="312" t="str">
        <f t="shared" si="12"/>
        <v>项</v>
      </c>
    </row>
    <row r="213" s="372" customFormat="1" ht="24" customHeight="1" spans="1:9">
      <c r="A213" s="330">
        <v>2013750</v>
      </c>
      <c r="B213" s="379" t="s">
        <v>221</v>
      </c>
      <c r="C213" s="516">
        <v>146</v>
      </c>
      <c r="D213" s="516">
        <f>'04'!F213</f>
        <v>142</v>
      </c>
      <c r="E213" s="525">
        <v>146</v>
      </c>
      <c r="F213" s="526">
        <f t="shared" si="13"/>
        <v>0</v>
      </c>
      <c r="G213" s="470">
        <f t="shared" si="14"/>
        <v>0.028169014084507</v>
      </c>
      <c r="H213" s="524" t="str">
        <f t="shared" si="15"/>
        <v>是</v>
      </c>
      <c r="I213" s="312" t="str">
        <f t="shared" si="12"/>
        <v>项</v>
      </c>
    </row>
    <row r="214" s="372" customFormat="1" ht="24" customHeight="1" spans="1:9">
      <c r="A214" s="330">
        <v>2013799</v>
      </c>
      <c r="B214" s="379" t="s">
        <v>324</v>
      </c>
      <c r="C214" s="516">
        <v>51</v>
      </c>
      <c r="D214" s="516">
        <f>'04'!F214</f>
        <v>2</v>
      </c>
      <c r="E214" s="525">
        <v>1</v>
      </c>
      <c r="F214" s="526">
        <f t="shared" si="13"/>
        <v>-0.980392156862745</v>
      </c>
      <c r="G214" s="470">
        <f t="shared" si="14"/>
        <v>-0.5</v>
      </c>
      <c r="H214" s="524" t="str">
        <f t="shared" si="15"/>
        <v>是</v>
      </c>
      <c r="I214" s="312" t="str">
        <f t="shared" si="12"/>
        <v>项</v>
      </c>
    </row>
    <row r="215" s="372" customFormat="1" ht="24" customHeight="1" spans="1:9">
      <c r="A215" s="330">
        <v>20138</v>
      </c>
      <c r="B215" s="379" t="s">
        <v>325</v>
      </c>
      <c r="C215" s="515">
        <f>SUM(C216:C229)</f>
        <v>4228</v>
      </c>
      <c r="D215" s="515">
        <f>SUM(D216:D229)</f>
        <v>3926</v>
      </c>
      <c r="E215" s="515">
        <f>SUM(E216:E229)</f>
        <v>3961</v>
      </c>
      <c r="F215" s="523">
        <f t="shared" si="13"/>
        <v>-0.0631504257332072</v>
      </c>
      <c r="G215" s="467">
        <f t="shared" si="14"/>
        <v>0.00891492613346918</v>
      </c>
      <c r="H215" s="524" t="str">
        <f t="shared" si="15"/>
        <v>是</v>
      </c>
      <c r="I215" s="312" t="str">
        <f t="shared" si="12"/>
        <v>款</v>
      </c>
    </row>
    <row r="216" s="372" customFormat="1" ht="24" customHeight="1" spans="1:9">
      <c r="A216" s="330">
        <v>2013801</v>
      </c>
      <c r="B216" s="379" t="s">
        <v>212</v>
      </c>
      <c r="C216" s="516">
        <v>1915</v>
      </c>
      <c r="D216" s="516">
        <f>'04'!F216</f>
        <v>1718</v>
      </c>
      <c r="E216" s="525">
        <v>1758</v>
      </c>
      <c r="F216" s="526">
        <f t="shared" si="13"/>
        <v>-0.0819843342036553</v>
      </c>
      <c r="G216" s="470">
        <f t="shared" si="14"/>
        <v>0.0232828870779977</v>
      </c>
      <c r="H216" s="524" t="str">
        <f t="shared" si="15"/>
        <v>是</v>
      </c>
      <c r="I216" s="312" t="str">
        <f t="shared" si="12"/>
        <v>项</v>
      </c>
    </row>
    <row r="217" s="372" customFormat="1" ht="24" customHeight="1" spans="1:9">
      <c r="A217" s="330">
        <v>2013802</v>
      </c>
      <c r="B217" s="379" t="s">
        <v>213</v>
      </c>
      <c r="C217" s="516">
        <v>185</v>
      </c>
      <c r="D217" s="516">
        <f>'04'!F217</f>
        <v>176</v>
      </c>
      <c r="E217" s="525">
        <v>158</v>
      </c>
      <c r="F217" s="526">
        <f t="shared" si="13"/>
        <v>-0.145945945945946</v>
      </c>
      <c r="G217" s="470">
        <f t="shared" si="14"/>
        <v>-0.102272727272727</v>
      </c>
      <c r="H217" s="524" t="str">
        <f t="shared" si="15"/>
        <v>是</v>
      </c>
      <c r="I217" s="312" t="str">
        <f t="shared" si="12"/>
        <v>项</v>
      </c>
    </row>
    <row r="218" ht="24" hidden="1" customHeight="1" spans="1:9">
      <c r="A218" s="330">
        <v>2013803</v>
      </c>
      <c r="B218" s="379" t="s">
        <v>214</v>
      </c>
      <c r="C218" s="516">
        <v>0</v>
      </c>
      <c r="D218" s="516">
        <f>'04'!F218</f>
        <v>0</v>
      </c>
      <c r="E218" s="525">
        <v>0</v>
      </c>
      <c r="F218" s="526" t="str">
        <f t="shared" si="13"/>
        <v/>
      </c>
      <c r="G218" s="470" t="str">
        <f t="shared" si="14"/>
        <v/>
      </c>
      <c r="H218" s="524" t="str">
        <f t="shared" si="15"/>
        <v>否</v>
      </c>
      <c r="I218" s="312" t="str">
        <f t="shared" si="12"/>
        <v>项</v>
      </c>
    </row>
    <row r="219" s="374" customFormat="1" ht="24" hidden="1" customHeight="1" spans="1:9">
      <c r="A219" s="331">
        <v>2013804</v>
      </c>
      <c r="B219" s="327" t="s">
        <v>326</v>
      </c>
      <c r="C219" s="516">
        <v>0</v>
      </c>
      <c r="D219" s="516">
        <f>'04'!F219</f>
        <v>0</v>
      </c>
      <c r="E219" s="525">
        <v>0</v>
      </c>
      <c r="F219" s="526" t="str">
        <f t="shared" si="13"/>
        <v/>
      </c>
      <c r="G219" s="470" t="str">
        <f t="shared" si="14"/>
        <v/>
      </c>
      <c r="H219" s="524" t="str">
        <f t="shared" si="15"/>
        <v>否</v>
      </c>
      <c r="I219" s="313" t="str">
        <f t="shared" si="12"/>
        <v>项</v>
      </c>
    </row>
    <row r="220" s="372" customFormat="1" ht="24" customHeight="1" spans="1:9">
      <c r="A220" s="330">
        <v>2013805</v>
      </c>
      <c r="B220" s="379" t="s">
        <v>327</v>
      </c>
      <c r="C220" s="516">
        <v>25</v>
      </c>
      <c r="D220" s="516">
        <f>'04'!F220</f>
        <v>41</v>
      </c>
      <c r="E220" s="525">
        <v>35</v>
      </c>
      <c r="F220" s="526">
        <f t="shared" si="13"/>
        <v>0.4</v>
      </c>
      <c r="G220" s="470">
        <f t="shared" si="14"/>
        <v>-0.146341463414634</v>
      </c>
      <c r="H220" s="524" t="str">
        <f t="shared" si="15"/>
        <v>是</v>
      </c>
      <c r="I220" s="312" t="str">
        <f t="shared" si="12"/>
        <v>项</v>
      </c>
    </row>
    <row r="221" s="372" customFormat="1" ht="24" hidden="1" customHeight="1" spans="1:9">
      <c r="A221" s="330">
        <v>2013808</v>
      </c>
      <c r="B221" s="379" t="s">
        <v>252</v>
      </c>
      <c r="C221" s="516">
        <v>0</v>
      </c>
      <c r="D221" s="516">
        <f>'04'!F221</f>
        <v>0</v>
      </c>
      <c r="E221" s="525">
        <v>0</v>
      </c>
      <c r="F221" s="526" t="str">
        <f t="shared" si="13"/>
        <v/>
      </c>
      <c r="G221" s="470" t="str">
        <f t="shared" si="14"/>
        <v/>
      </c>
      <c r="H221" s="524" t="str">
        <f t="shared" si="15"/>
        <v>否</v>
      </c>
      <c r="I221" s="312" t="str">
        <f t="shared" si="12"/>
        <v>项</v>
      </c>
    </row>
    <row r="222" s="372" customFormat="1" ht="24" customHeight="1" spans="1:9">
      <c r="A222" s="330">
        <v>2013810</v>
      </c>
      <c r="B222" s="379" t="s">
        <v>328</v>
      </c>
      <c r="C222" s="516">
        <v>0</v>
      </c>
      <c r="D222" s="516">
        <f>'04'!F222</f>
        <v>225</v>
      </c>
      <c r="E222" s="525">
        <v>221</v>
      </c>
      <c r="F222" s="526" t="str">
        <f t="shared" si="13"/>
        <v/>
      </c>
      <c r="G222" s="470">
        <f t="shared" si="14"/>
        <v>-0.0177777777777778</v>
      </c>
      <c r="H222" s="524" t="str">
        <f t="shared" si="15"/>
        <v>是</v>
      </c>
      <c r="I222" s="312" t="str">
        <f t="shared" si="12"/>
        <v>项</v>
      </c>
    </row>
    <row r="223" s="372" customFormat="1" ht="24" customHeight="1" spans="1:9">
      <c r="A223" s="330">
        <v>2013812</v>
      </c>
      <c r="B223" s="379" t="s">
        <v>329</v>
      </c>
      <c r="C223" s="516">
        <v>0</v>
      </c>
      <c r="D223" s="516">
        <f>'04'!F223</f>
        <v>10</v>
      </c>
      <c r="E223" s="525">
        <v>11</v>
      </c>
      <c r="F223" s="526" t="str">
        <f t="shared" si="13"/>
        <v/>
      </c>
      <c r="G223" s="470">
        <f t="shared" si="14"/>
        <v>0.1</v>
      </c>
      <c r="H223" s="524" t="str">
        <f t="shared" si="15"/>
        <v>是</v>
      </c>
      <c r="I223" s="312" t="str">
        <f t="shared" si="12"/>
        <v>项</v>
      </c>
    </row>
    <row r="224" ht="24" hidden="1" customHeight="1" spans="1:9">
      <c r="A224" s="330">
        <v>2013813</v>
      </c>
      <c r="B224" s="379" t="s">
        <v>330</v>
      </c>
      <c r="C224" s="516">
        <v>0</v>
      </c>
      <c r="D224" s="516">
        <f>'04'!F224</f>
        <v>0</v>
      </c>
      <c r="E224" s="525">
        <v>0</v>
      </c>
      <c r="F224" s="526" t="str">
        <f t="shared" si="13"/>
        <v/>
      </c>
      <c r="G224" s="470" t="str">
        <f t="shared" si="14"/>
        <v/>
      </c>
      <c r="H224" s="524" t="str">
        <f t="shared" si="15"/>
        <v>否</v>
      </c>
      <c r="I224" s="312" t="str">
        <f t="shared" si="12"/>
        <v>项</v>
      </c>
    </row>
    <row r="225" s="372" customFormat="1" ht="24" hidden="1" customHeight="1" spans="1:9">
      <c r="A225" s="330">
        <v>2013814</v>
      </c>
      <c r="B225" s="379" t="s">
        <v>331</v>
      </c>
      <c r="C225" s="516">
        <v>0</v>
      </c>
      <c r="D225" s="516">
        <f>'04'!F225</f>
        <v>0</v>
      </c>
      <c r="E225" s="525">
        <v>0</v>
      </c>
      <c r="F225" s="526" t="str">
        <f t="shared" si="13"/>
        <v/>
      </c>
      <c r="G225" s="470" t="str">
        <f t="shared" si="14"/>
        <v/>
      </c>
      <c r="H225" s="524" t="str">
        <f t="shared" si="15"/>
        <v>否</v>
      </c>
      <c r="I225" s="312" t="str">
        <f t="shared" si="12"/>
        <v>项</v>
      </c>
    </row>
    <row r="226" s="372" customFormat="1" ht="24" customHeight="1" spans="1:9">
      <c r="A226" s="330">
        <v>2013815</v>
      </c>
      <c r="B226" s="379" t="s">
        <v>332</v>
      </c>
      <c r="C226" s="516">
        <v>50</v>
      </c>
      <c r="D226" s="516">
        <f>'04'!F226</f>
        <v>38</v>
      </c>
      <c r="E226" s="525">
        <v>50</v>
      </c>
      <c r="F226" s="526">
        <f t="shared" si="13"/>
        <v>0</v>
      </c>
      <c r="G226" s="470">
        <f t="shared" si="14"/>
        <v>0.315789473684211</v>
      </c>
      <c r="H226" s="524" t="str">
        <f t="shared" si="15"/>
        <v>是</v>
      </c>
      <c r="I226" s="312" t="str">
        <f t="shared" si="12"/>
        <v>项</v>
      </c>
    </row>
    <row r="227" s="372" customFormat="1" ht="24" customHeight="1" spans="1:9">
      <c r="A227" s="330">
        <v>2013816</v>
      </c>
      <c r="B227" s="379" t="s">
        <v>333</v>
      </c>
      <c r="C227" s="516">
        <v>170</v>
      </c>
      <c r="D227" s="516">
        <f>'04'!F227</f>
        <v>220</v>
      </c>
      <c r="E227" s="525">
        <v>181</v>
      </c>
      <c r="F227" s="526">
        <f t="shared" si="13"/>
        <v>0.0647058823529412</v>
      </c>
      <c r="G227" s="470">
        <f t="shared" si="14"/>
        <v>-0.177272727272727</v>
      </c>
      <c r="H227" s="524" t="str">
        <f t="shared" si="15"/>
        <v>是</v>
      </c>
      <c r="I227" s="312" t="str">
        <f t="shared" si="12"/>
        <v>项</v>
      </c>
    </row>
    <row r="228" s="372" customFormat="1" ht="24" customHeight="1" spans="1:9">
      <c r="A228" s="330">
        <v>2013850</v>
      </c>
      <c r="B228" s="379" t="s">
        <v>221</v>
      </c>
      <c r="C228" s="516">
        <v>1648</v>
      </c>
      <c r="D228" s="516">
        <f>'04'!F228</f>
        <v>1414</v>
      </c>
      <c r="E228" s="525">
        <v>1465</v>
      </c>
      <c r="F228" s="526">
        <f t="shared" si="13"/>
        <v>-0.111043689320388</v>
      </c>
      <c r="G228" s="470">
        <f t="shared" si="14"/>
        <v>0.0360678925035361</v>
      </c>
      <c r="H228" s="524" t="str">
        <f t="shared" si="15"/>
        <v>是</v>
      </c>
      <c r="I228" s="312" t="str">
        <f t="shared" si="12"/>
        <v>项</v>
      </c>
    </row>
    <row r="229" s="372" customFormat="1" ht="24" customHeight="1" spans="1:9">
      <c r="A229" s="330">
        <v>2013899</v>
      </c>
      <c r="B229" s="379" t="s">
        <v>334</v>
      </c>
      <c r="C229" s="516">
        <v>235</v>
      </c>
      <c r="D229" s="516">
        <f>'04'!F229</f>
        <v>84</v>
      </c>
      <c r="E229" s="525">
        <v>82</v>
      </c>
      <c r="F229" s="526">
        <f t="shared" si="13"/>
        <v>-0.651063829787234</v>
      </c>
      <c r="G229" s="470">
        <f t="shared" si="14"/>
        <v>-0.0238095238095238</v>
      </c>
      <c r="H229" s="524" t="str">
        <f t="shared" si="15"/>
        <v>是</v>
      </c>
      <c r="I229" s="312" t="str">
        <f t="shared" si="12"/>
        <v>项</v>
      </c>
    </row>
    <row r="230" s="372" customFormat="1" ht="24" customHeight="1" spans="1:9">
      <c r="A230" s="330">
        <v>20139</v>
      </c>
      <c r="B230" s="379" t="s">
        <v>335</v>
      </c>
      <c r="C230" s="515">
        <f>SUM(C231:C236)</f>
        <v>339</v>
      </c>
      <c r="D230" s="515">
        <f>SUM(D231:D236)</f>
        <v>282</v>
      </c>
      <c r="E230" s="515">
        <f>SUM(E231:E236)</f>
        <v>295</v>
      </c>
      <c r="F230" s="523">
        <f t="shared" si="13"/>
        <v>-0.129793510324484</v>
      </c>
      <c r="G230" s="467">
        <f t="shared" si="14"/>
        <v>0.0460992907801418</v>
      </c>
      <c r="H230" s="524" t="str">
        <f t="shared" si="15"/>
        <v>是</v>
      </c>
      <c r="I230" s="312" t="str">
        <f t="shared" si="12"/>
        <v>款</v>
      </c>
    </row>
    <row r="231" s="372" customFormat="1" ht="24" customHeight="1" spans="1:9">
      <c r="A231" s="330">
        <v>2013901</v>
      </c>
      <c r="B231" s="379" t="s">
        <v>212</v>
      </c>
      <c r="C231" s="516">
        <v>158</v>
      </c>
      <c r="D231" s="516">
        <f>'04'!F231</f>
        <v>222</v>
      </c>
      <c r="E231" s="525">
        <v>231</v>
      </c>
      <c r="F231" s="526">
        <f t="shared" si="13"/>
        <v>0.462025316455696</v>
      </c>
      <c r="G231" s="470">
        <f t="shared" si="14"/>
        <v>0.0405405405405405</v>
      </c>
      <c r="H231" s="524" t="str">
        <f t="shared" si="15"/>
        <v>是</v>
      </c>
      <c r="I231" s="312" t="str">
        <f t="shared" si="12"/>
        <v>项</v>
      </c>
    </row>
    <row r="232" s="372" customFormat="1" ht="24" customHeight="1" spans="1:9">
      <c r="A232" s="330">
        <v>2013902</v>
      </c>
      <c r="B232" s="379" t="s">
        <v>213</v>
      </c>
      <c r="C232" s="516">
        <v>45</v>
      </c>
      <c r="D232" s="516">
        <f>'04'!F232</f>
        <v>26</v>
      </c>
      <c r="E232" s="525">
        <v>28</v>
      </c>
      <c r="F232" s="526">
        <f t="shared" si="13"/>
        <v>-0.377777777777778</v>
      </c>
      <c r="G232" s="470">
        <f t="shared" si="14"/>
        <v>0.0769230769230769</v>
      </c>
      <c r="H232" s="524" t="str">
        <f t="shared" si="15"/>
        <v>是</v>
      </c>
      <c r="I232" s="312" t="str">
        <f t="shared" si="12"/>
        <v>项</v>
      </c>
    </row>
    <row r="233" s="372" customFormat="1" ht="24" hidden="1" customHeight="1" spans="1:9">
      <c r="A233" s="330">
        <v>2013903</v>
      </c>
      <c r="B233" s="379" t="s">
        <v>214</v>
      </c>
      <c r="C233" s="516">
        <v>0</v>
      </c>
      <c r="D233" s="516">
        <f>'04'!F233</f>
        <v>0</v>
      </c>
      <c r="E233" s="525">
        <v>0</v>
      </c>
      <c r="F233" s="526" t="str">
        <f t="shared" si="13"/>
        <v/>
      </c>
      <c r="G233" s="470" t="str">
        <f t="shared" si="14"/>
        <v/>
      </c>
      <c r="H233" s="524" t="str">
        <f t="shared" si="15"/>
        <v>否</v>
      </c>
      <c r="I233" s="312" t="str">
        <f t="shared" si="12"/>
        <v>项</v>
      </c>
    </row>
    <row r="234" s="372" customFormat="1" ht="24" customHeight="1" spans="1:9">
      <c r="A234" s="330">
        <v>2013904</v>
      </c>
      <c r="B234" s="379" t="s">
        <v>306</v>
      </c>
      <c r="C234" s="516">
        <v>120</v>
      </c>
      <c r="D234" s="516">
        <f>'04'!F234</f>
        <v>0</v>
      </c>
      <c r="E234" s="525">
        <v>0</v>
      </c>
      <c r="F234" s="526">
        <f t="shared" si="13"/>
        <v>-1</v>
      </c>
      <c r="G234" s="470" t="str">
        <f t="shared" si="14"/>
        <v/>
      </c>
      <c r="H234" s="524" t="str">
        <f t="shared" si="15"/>
        <v>是</v>
      </c>
      <c r="I234" s="312" t="str">
        <f t="shared" si="12"/>
        <v>项</v>
      </c>
    </row>
    <row r="235" s="372" customFormat="1" ht="24" customHeight="1" spans="1:9">
      <c r="A235" s="330">
        <v>2013950</v>
      </c>
      <c r="B235" s="379" t="s">
        <v>221</v>
      </c>
      <c r="C235" s="516">
        <v>16</v>
      </c>
      <c r="D235" s="516">
        <f>'04'!F235</f>
        <v>34</v>
      </c>
      <c r="E235" s="525">
        <v>36</v>
      </c>
      <c r="F235" s="526">
        <f t="shared" si="13"/>
        <v>1.25</v>
      </c>
      <c r="G235" s="470">
        <f t="shared" si="14"/>
        <v>0.0588235294117647</v>
      </c>
      <c r="H235" s="524" t="str">
        <f t="shared" si="15"/>
        <v>是</v>
      </c>
      <c r="I235" s="312" t="str">
        <f t="shared" si="12"/>
        <v>项</v>
      </c>
    </row>
    <row r="236" s="372" customFormat="1" ht="24" hidden="1" customHeight="1" spans="1:9">
      <c r="A236" s="330">
        <v>2013999</v>
      </c>
      <c r="B236" s="379" t="s">
        <v>336</v>
      </c>
      <c r="C236" s="516">
        <v>0</v>
      </c>
      <c r="D236" s="516">
        <f>'04'!F236</f>
        <v>0</v>
      </c>
      <c r="E236" s="525">
        <v>0</v>
      </c>
      <c r="F236" s="526" t="str">
        <f t="shared" si="13"/>
        <v/>
      </c>
      <c r="G236" s="470" t="str">
        <f t="shared" si="14"/>
        <v/>
      </c>
      <c r="H236" s="524" t="str">
        <f t="shared" si="15"/>
        <v>否</v>
      </c>
      <c r="I236" s="312" t="str">
        <f t="shared" si="12"/>
        <v>项</v>
      </c>
    </row>
    <row r="237" s="372" customFormat="1" ht="24" customHeight="1" spans="1:9">
      <c r="A237" s="330">
        <v>20140</v>
      </c>
      <c r="B237" s="379" t="s">
        <v>337</v>
      </c>
      <c r="C237" s="515">
        <f>SUM(C238:C243)</f>
        <v>416</v>
      </c>
      <c r="D237" s="515">
        <f>SUM(D238:D243)</f>
        <v>384</v>
      </c>
      <c r="E237" s="515">
        <f>SUM(E238:E243)</f>
        <v>392</v>
      </c>
      <c r="F237" s="523">
        <f t="shared" si="13"/>
        <v>-0.0576923076923077</v>
      </c>
      <c r="G237" s="467">
        <f t="shared" si="14"/>
        <v>0.0208333333333333</v>
      </c>
      <c r="H237" s="524" t="str">
        <f t="shared" si="15"/>
        <v>是</v>
      </c>
      <c r="I237" s="312" t="str">
        <f t="shared" si="12"/>
        <v>款</v>
      </c>
    </row>
    <row r="238" s="506" customFormat="1" ht="24" customHeight="1" spans="1:9">
      <c r="A238" s="528">
        <v>2014001</v>
      </c>
      <c r="B238" s="327" t="s">
        <v>212</v>
      </c>
      <c r="C238" s="516">
        <v>366</v>
      </c>
      <c r="D238" s="516">
        <f>'04'!F238</f>
        <v>337</v>
      </c>
      <c r="E238" s="525">
        <v>342</v>
      </c>
      <c r="F238" s="526">
        <f t="shared" si="13"/>
        <v>-0.0655737704918033</v>
      </c>
      <c r="G238" s="470">
        <f t="shared" si="14"/>
        <v>0.0148367952522255</v>
      </c>
      <c r="H238" s="524" t="str">
        <f t="shared" si="15"/>
        <v>是</v>
      </c>
      <c r="I238" s="309" t="str">
        <f t="shared" si="12"/>
        <v>项</v>
      </c>
    </row>
    <row r="239" s="374" customFormat="1" ht="24" customHeight="1" spans="1:9">
      <c r="A239" s="331">
        <v>2014002</v>
      </c>
      <c r="B239" s="327" t="s">
        <v>213</v>
      </c>
      <c r="C239" s="516">
        <v>0</v>
      </c>
      <c r="D239" s="516">
        <f>'04'!F239</f>
        <v>20</v>
      </c>
      <c r="E239" s="525">
        <v>18</v>
      </c>
      <c r="F239" s="526" t="str">
        <f t="shared" si="13"/>
        <v/>
      </c>
      <c r="G239" s="470">
        <f t="shared" si="14"/>
        <v>-0.1</v>
      </c>
      <c r="H239" s="524" t="str">
        <f t="shared" si="15"/>
        <v>是</v>
      </c>
      <c r="I239" s="313" t="str">
        <f t="shared" si="12"/>
        <v>项</v>
      </c>
    </row>
    <row r="240" s="372" customFormat="1" ht="24" hidden="1" customHeight="1" spans="1:9">
      <c r="A240" s="330">
        <v>2014003</v>
      </c>
      <c r="B240" s="379" t="s">
        <v>214</v>
      </c>
      <c r="C240" s="516">
        <v>0</v>
      </c>
      <c r="D240" s="516">
        <f>'04'!F240</f>
        <v>0</v>
      </c>
      <c r="E240" s="525">
        <v>0</v>
      </c>
      <c r="F240" s="526" t="str">
        <f t="shared" si="13"/>
        <v/>
      </c>
      <c r="G240" s="470" t="str">
        <f t="shared" si="14"/>
        <v/>
      </c>
      <c r="H240" s="524" t="str">
        <f t="shared" si="15"/>
        <v>否</v>
      </c>
      <c r="I240" s="312" t="str">
        <f t="shared" si="12"/>
        <v>项</v>
      </c>
    </row>
    <row r="241" s="372" customFormat="1" ht="24" customHeight="1" spans="1:9">
      <c r="A241" s="330">
        <v>2014004</v>
      </c>
      <c r="B241" s="379" t="s">
        <v>338</v>
      </c>
      <c r="C241" s="516">
        <v>50</v>
      </c>
      <c r="D241" s="516">
        <f>'04'!F241</f>
        <v>0</v>
      </c>
      <c r="E241" s="525">
        <v>0</v>
      </c>
      <c r="F241" s="526">
        <f t="shared" si="13"/>
        <v>-1</v>
      </c>
      <c r="G241" s="470" t="str">
        <f t="shared" si="14"/>
        <v/>
      </c>
      <c r="H241" s="524" t="str">
        <f t="shared" si="15"/>
        <v>是</v>
      </c>
      <c r="I241" s="312" t="str">
        <f t="shared" si="12"/>
        <v>项</v>
      </c>
    </row>
    <row r="242" s="374" customFormat="1" ht="24" customHeight="1" spans="1:9">
      <c r="A242" s="354">
        <v>2014050</v>
      </c>
      <c r="B242" s="327" t="s">
        <v>221</v>
      </c>
      <c r="C242" s="516">
        <v>0</v>
      </c>
      <c r="D242" s="516">
        <f>'04'!F242</f>
        <v>27</v>
      </c>
      <c r="E242" s="525">
        <v>32</v>
      </c>
      <c r="F242" s="526" t="str">
        <f t="shared" si="13"/>
        <v/>
      </c>
      <c r="G242" s="470">
        <f t="shared" si="14"/>
        <v>0.185185185185185</v>
      </c>
      <c r="H242" s="524" t="str">
        <f t="shared" si="15"/>
        <v>是</v>
      </c>
      <c r="I242" s="313" t="str">
        <f t="shared" si="12"/>
        <v>项</v>
      </c>
    </row>
    <row r="243" s="374" customFormat="1" ht="24" hidden="1" customHeight="1" spans="1:9">
      <c r="A243" s="331">
        <v>2014099</v>
      </c>
      <c r="B243" s="327" t="s">
        <v>339</v>
      </c>
      <c r="C243" s="516">
        <v>0</v>
      </c>
      <c r="D243" s="516">
        <f>'04'!F243</f>
        <v>0</v>
      </c>
      <c r="E243" s="525">
        <v>0</v>
      </c>
      <c r="F243" s="526" t="str">
        <f t="shared" si="13"/>
        <v/>
      </c>
      <c r="G243" s="470" t="str">
        <f t="shared" si="14"/>
        <v/>
      </c>
      <c r="H243" s="524" t="str">
        <f t="shared" si="15"/>
        <v>否</v>
      </c>
      <c r="I243" s="313" t="str">
        <f t="shared" si="12"/>
        <v>项</v>
      </c>
    </row>
    <row r="244" s="374" customFormat="1" ht="24" hidden="1" customHeight="1" spans="1:9">
      <c r="A244" s="331">
        <v>20141</v>
      </c>
      <c r="B244" s="327" t="s">
        <v>340</v>
      </c>
      <c r="C244" s="529"/>
      <c r="D244" s="529"/>
      <c r="E244" s="529"/>
      <c r="F244" s="523" t="str">
        <f t="shared" si="13"/>
        <v/>
      </c>
      <c r="G244" s="467" t="str">
        <f t="shared" si="14"/>
        <v/>
      </c>
      <c r="H244" s="524" t="str">
        <f t="shared" si="15"/>
        <v>否</v>
      </c>
      <c r="I244" s="313" t="str">
        <f t="shared" si="12"/>
        <v>款</v>
      </c>
    </row>
    <row r="245" s="374" customFormat="1" ht="24" hidden="1" customHeight="1" spans="1:9">
      <c r="A245" s="331">
        <v>2014101</v>
      </c>
      <c r="B245" s="530" t="s">
        <v>212</v>
      </c>
      <c r="C245" s="516"/>
      <c r="D245" s="516">
        <f>'04'!F245</f>
        <v>0</v>
      </c>
      <c r="E245" s="525">
        <v>0</v>
      </c>
      <c r="F245" s="526" t="str">
        <f t="shared" si="13"/>
        <v/>
      </c>
      <c r="G245" s="470" t="str">
        <f t="shared" si="14"/>
        <v/>
      </c>
      <c r="H245" s="524" t="str">
        <f t="shared" si="15"/>
        <v>否</v>
      </c>
      <c r="I245" s="313" t="str">
        <f t="shared" si="12"/>
        <v>项</v>
      </c>
    </row>
    <row r="246" s="374" customFormat="1" ht="24" hidden="1" customHeight="1" spans="1:9">
      <c r="A246" s="331">
        <v>2014102</v>
      </c>
      <c r="B246" s="530" t="s">
        <v>213</v>
      </c>
      <c r="C246" s="516"/>
      <c r="D246" s="516">
        <f>'04'!F246</f>
        <v>0</v>
      </c>
      <c r="E246" s="525">
        <v>0</v>
      </c>
      <c r="F246" s="526" t="str">
        <f t="shared" si="13"/>
        <v/>
      </c>
      <c r="G246" s="470" t="str">
        <f t="shared" si="14"/>
        <v/>
      </c>
      <c r="H246" s="524" t="str">
        <f t="shared" si="15"/>
        <v>否</v>
      </c>
      <c r="I246" s="313" t="str">
        <f t="shared" si="12"/>
        <v>项</v>
      </c>
    </row>
    <row r="247" s="374" customFormat="1" ht="24" hidden="1" customHeight="1" spans="1:9">
      <c r="A247" s="331">
        <v>2014103</v>
      </c>
      <c r="B247" s="530" t="s">
        <v>214</v>
      </c>
      <c r="C247" s="516"/>
      <c r="D247" s="516">
        <f>'04'!F247</f>
        <v>0</v>
      </c>
      <c r="E247" s="525">
        <v>0</v>
      </c>
      <c r="F247" s="526" t="str">
        <f t="shared" si="13"/>
        <v/>
      </c>
      <c r="G247" s="470" t="str">
        <f t="shared" si="14"/>
        <v/>
      </c>
      <c r="H247" s="524" t="str">
        <f t="shared" si="15"/>
        <v>否</v>
      </c>
      <c r="I247" s="313" t="str">
        <f t="shared" si="12"/>
        <v>项</v>
      </c>
    </row>
    <row r="248" s="374" customFormat="1" ht="24" hidden="1" customHeight="1" spans="1:9">
      <c r="A248" s="331">
        <v>2014150</v>
      </c>
      <c r="B248" s="530" t="s">
        <v>221</v>
      </c>
      <c r="C248" s="516"/>
      <c r="D248" s="516">
        <f>'04'!F248</f>
        <v>0</v>
      </c>
      <c r="E248" s="525">
        <v>0</v>
      </c>
      <c r="F248" s="526" t="str">
        <f t="shared" si="13"/>
        <v/>
      </c>
      <c r="G248" s="470" t="str">
        <f t="shared" si="14"/>
        <v/>
      </c>
      <c r="H248" s="524" t="str">
        <f t="shared" si="15"/>
        <v>否</v>
      </c>
      <c r="I248" s="313" t="str">
        <f t="shared" si="12"/>
        <v>项</v>
      </c>
    </row>
    <row r="249" s="374" customFormat="1" ht="24" hidden="1" customHeight="1" spans="1:9">
      <c r="A249" s="331">
        <v>2014199</v>
      </c>
      <c r="B249" s="530" t="s">
        <v>341</v>
      </c>
      <c r="C249" s="516"/>
      <c r="D249" s="516">
        <f>'04'!F249</f>
        <v>0</v>
      </c>
      <c r="E249" s="525">
        <v>0</v>
      </c>
      <c r="F249" s="526" t="str">
        <f t="shared" si="13"/>
        <v/>
      </c>
      <c r="G249" s="470" t="str">
        <f t="shared" si="14"/>
        <v/>
      </c>
      <c r="H249" s="524" t="str">
        <f t="shared" si="15"/>
        <v>否</v>
      </c>
      <c r="I249" s="313" t="str">
        <f t="shared" si="12"/>
        <v>项</v>
      </c>
    </row>
    <row r="250" s="372" customFormat="1" ht="24" customHeight="1" spans="1:9">
      <c r="A250" s="330">
        <v>20199</v>
      </c>
      <c r="B250" s="379" t="s">
        <v>342</v>
      </c>
      <c r="C250" s="515">
        <f>SUM(C251:C252)</f>
        <v>0</v>
      </c>
      <c r="D250" s="515">
        <f>SUM(D251:D252)</f>
        <v>-556</v>
      </c>
      <c r="E250" s="515">
        <f>SUM(E251:E252)</f>
        <v>0</v>
      </c>
      <c r="F250" s="523" t="str">
        <f t="shared" si="13"/>
        <v/>
      </c>
      <c r="G250" s="467">
        <f>-IFERROR((E250-D250)/D250,"")</f>
        <v>1</v>
      </c>
      <c r="H250" s="524" t="str">
        <f t="shared" si="15"/>
        <v>是</v>
      </c>
      <c r="I250" s="312" t="str">
        <f t="shared" si="12"/>
        <v>款</v>
      </c>
    </row>
    <row r="251" ht="24" hidden="1" customHeight="1" spans="1:9">
      <c r="A251" s="330">
        <v>2019901</v>
      </c>
      <c r="B251" s="379" t="s">
        <v>343</v>
      </c>
      <c r="C251" s="516">
        <v>0</v>
      </c>
      <c r="D251" s="516">
        <f>'04'!F251</f>
        <v>0</v>
      </c>
      <c r="E251" s="525">
        <v>0</v>
      </c>
      <c r="F251" s="526" t="str">
        <f t="shared" si="13"/>
        <v/>
      </c>
      <c r="G251" s="470" t="str">
        <f t="shared" si="14"/>
        <v/>
      </c>
      <c r="H251" s="524" t="str">
        <f t="shared" si="15"/>
        <v>否</v>
      </c>
      <c r="I251" s="312" t="str">
        <f t="shared" si="12"/>
        <v>项</v>
      </c>
    </row>
    <row r="252" s="372" customFormat="1" ht="24" customHeight="1" spans="1:9">
      <c r="A252" s="330">
        <v>2019999</v>
      </c>
      <c r="B252" s="379" t="s">
        <v>344</v>
      </c>
      <c r="C252" s="516">
        <v>0</v>
      </c>
      <c r="D252" s="516">
        <f>'04'!F252</f>
        <v>-556</v>
      </c>
      <c r="E252" s="525">
        <v>0</v>
      </c>
      <c r="F252" s="526" t="str">
        <f t="shared" si="13"/>
        <v/>
      </c>
      <c r="G252" s="470">
        <f>-IFERROR((E252-D252)/D252,"")</f>
        <v>1</v>
      </c>
      <c r="H252" s="524" t="str">
        <f t="shared" si="15"/>
        <v>是</v>
      </c>
      <c r="I252" s="312" t="str">
        <f t="shared" si="12"/>
        <v>项</v>
      </c>
    </row>
    <row r="253" s="372" customFormat="1" ht="24" customHeight="1" spans="1:9">
      <c r="A253" s="330">
        <v>202</v>
      </c>
      <c r="B253" s="377" t="s">
        <v>176</v>
      </c>
      <c r="C253" s="515">
        <f>C254+C261+C264+C267+C273+C278+C280+C285+C291</f>
        <v>0</v>
      </c>
      <c r="D253" s="515">
        <f>D254+D261+D264+D267+D273+D278+D280+D285+D291</f>
        <v>0</v>
      </c>
      <c r="E253" s="515">
        <f>E254+E261+E264+E267+E273+E278+E280+E285+E291</f>
        <v>0</v>
      </c>
      <c r="F253" s="523" t="str">
        <f t="shared" si="13"/>
        <v/>
      </c>
      <c r="G253" s="467" t="str">
        <f t="shared" si="14"/>
        <v/>
      </c>
      <c r="H253" s="524" t="str">
        <f t="shared" si="15"/>
        <v>是</v>
      </c>
      <c r="I253" s="312" t="str">
        <f t="shared" si="12"/>
        <v>类</v>
      </c>
    </row>
    <row r="254" s="372" customFormat="1" ht="24" hidden="1" customHeight="1" spans="1:9">
      <c r="A254" s="330">
        <v>20201</v>
      </c>
      <c r="B254" s="379" t="s">
        <v>345</v>
      </c>
      <c r="C254" s="515">
        <f>SUM(C255:C260)</f>
        <v>0</v>
      </c>
      <c r="D254" s="515">
        <f>SUM(D255:D260)</f>
        <v>0</v>
      </c>
      <c r="E254" s="515">
        <f>SUM(E255:E260)</f>
        <v>0</v>
      </c>
      <c r="F254" s="523" t="str">
        <f t="shared" si="13"/>
        <v/>
      </c>
      <c r="G254" s="467" t="str">
        <f t="shared" si="14"/>
        <v/>
      </c>
      <c r="H254" s="524" t="str">
        <f t="shared" si="15"/>
        <v>否</v>
      </c>
      <c r="I254" s="312" t="str">
        <f t="shared" si="12"/>
        <v>款</v>
      </c>
    </row>
    <row r="255" s="372" customFormat="1" ht="24" hidden="1" customHeight="1" spans="1:9">
      <c r="A255" s="330">
        <v>2020101</v>
      </c>
      <c r="B255" s="379" t="s">
        <v>212</v>
      </c>
      <c r="C255" s="516"/>
      <c r="D255" s="516">
        <f>'04'!F255</f>
        <v>0</v>
      </c>
      <c r="E255" s="525">
        <v>0</v>
      </c>
      <c r="F255" s="526" t="str">
        <f t="shared" si="13"/>
        <v/>
      </c>
      <c r="G255" s="470" t="str">
        <f t="shared" si="14"/>
        <v/>
      </c>
      <c r="H255" s="524" t="str">
        <f t="shared" si="15"/>
        <v>否</v>
      </c>
      <c r="I255" s="312" t="str">
        <f t="shared" si="12"/>
        <v>项</v>
      </c>
    </row>
    <row r="256" s="372" customFormat="1" ht="24" hidden="1" customHeight="1" spans="1:9">
      <c r="A256" s="330">
        <v>2020102</v>
      </c>
      <c r="B256" s="379" t="s">
        <v>213</v>
      </c>
      <c r="C256" s="516"/>
      <c r="D256" s="516">
        <f>'04'!F256</f>
        <v>0</v>
      </c>
      <c r="E256" s="525">
        <v>0</v>
      </c>
      <c r="F256" s="526" t="str">
        <f t="shared" si="13"/>
        <v/>
      </c>
      <c r="G256" s="470" t="str">
        <f t="shared" si="14"/>
        <v/>
      </c>
      <c r="H256" s="524" t="str">
        <f t="shared" si="15"/>
        <v>否</v>
      </c>
      <c r="I256" s="312" t="str">
        <f t="shared" si="12"/>
        <v>项</v>
      </c>
    </row>
    <row r="257" s="372" customFormat="1" ht="24" hidden="1" customHeight="1" spans="1:9">
      <c r="A257" s="330">
        <v>2020103</v>
      </c>
      <c r="B257" s="379" t="s">
        <v>214</v>
      </c>
      <c r="C257" s="516"/>
      <c r="D257" s="516">
        <f>'04'!F257</f>
        <v>0</v>
      </c>
      <c r="E257" s="525">
        <v>0</v>
      </c>
      <c r="F257" s="526" t="str">
        <f t="shared" si="13"/>
        <v/>
      </c>
      <c r="G257" s="470" t="str">
        <f t="shared" si="14"/>
        <v/>
      </c>
      <c r="H257" s="524" t="str">
        <f t="shared" si="15"/>
        <v>否</v>
      </c>
      <c r="I257" s="312" t="str">
        <f t="shared" si="12"/>
        <v>项</v>
      </c>
    </row>
    <row r="258" s="372" customFormat="1" ht="24" hidden="1" customHeight="1" spans="1:9">
      <c r="A258" s="330">
        <v>2020104</v>
      </c>
      <c r="B258" s="379" t="s">
        <v>306</v>
      </c>
      <c r="C258" s="516"/>
      <c r="D258" s="516">
        <f>'04'!F258</f>
        <v>0</v>
      </c>
      <c r="E258" s="525">
        <v>0</v>
      </c>
      <c r="F258" s="526" t="str">
        <f t="shared" si="13"/>
        <v/>
      </c>
      <c r="G258" s="470" t="str">
        <f t="shared" si="14"/>
        <v/>
      </c>
      <c r="H258" s="524" t="str">
        <f t="shared" si="15"/>
        <v>否</v>
      </c>
      <c r="I258" s="312" t="str">
        <f t="shared" si="12"/>
        <v>项</v>
      </c>
    </row>
    <row r="259" s="372" customFormat="1" ht="24" hidden="1" customHeight="1" spans="1:9">
      <c r="A259" s="330">
        <v>2020150</v>
      </c>
      <c r="B259" s="379" t="s">
        <v>221</v>
      </c>
      <c r="C259" s="516"/>
      <c r="D259" s="516">
        <f>'04'!F259</f>
        <v>0</v>
      </c>
      <c r="E259" s="525">
        <v>0</v>
      </c>
      <c r="F259" s="526" t="str">
        <f t="shared" si="13"/>
        <v/>
      </c>
      <c r="G259" s="470" t="str">
        <f t="shared" si="14"/>
        <v/>
      </c>
      <c r="H259" s="524" t="str">
        <f t="shared" si="15"/>
        <v>否</v>
      </c>
      <c r="I259" s="312" t="str">
        <f t="shared" si="12"/>
        <v>项</v>
      </c>
    </row>
    <row r="260" s="372" customFormat="1" ht="24" hidden="1" customHeight="1" spans="1:9">
      <c r="A260" s="330">
        <v>2020199</v>
      </c>
      <c r="B260" s="379" t="s">
        <v>346</v>
      </c>
      <c r="C260" s="516"/>
      <c r="D260" s="516">
        <f>'04'!F260</f>
        <v>0</v>
      </c>
      <c r="E260" s="525">
        <v>0</v>
      </c>
      <c r="F260" s="526" t="str">
        <f t="shared" si="13"/>
        <v/>
      </c>
      <c r="G260" s="470" t="str">
        <f t="shared" si="14"/>
        <v/>
      </c>
      <c r="H260" s="524" t="str">
        <f t="shared" si="15"/>
        <v>否</v>
      </c>
      <c r="I260" s="312" t="str">
        <f t="shared" si="12"/>
        <v>项</v>
      </c>
    </row>
    <row r="261" s="372" customFormat="1" ht="24" hidden="1" customHeight="1" spans="1:9">
      <c r="A261" s="330">
        <v>20202</v>
      </c>
      <c r="B261" s="379" t="s">
        <v>347</v>
      </c>
      <c r="C261" s="515">
        <f>SUM(C262:C263)</f>
        <v>0</v>
      </c>
      <c r="D261" s="515">
        <f>SUM(D262:D263)</f>
        <v>0</v>
      </c>
      <c r="E261" s="515">
        <f>SUM(E262:E263)</f>
        <v>0</v>
      </c>
      <c r="F261" s="523" t="str">
        <f t="shared" si="13"/>
        <v/>
      </c>
      <c r="G261" s="467" t="str">
        <f t="shared" si="14"/>
        <v/>
      </c>
      <c r="H261" s="524" t="str">
        <f t="shared" si="15"/>
        <v>否</v>
      </c>
      <c r="I261" s="312" t="str">
        <f t="shared" ref="I261:I324" si="16">IF(LEN(A261)=3,"类",IF(LEN(A261)=5,"款","项"))</f>
        <v>款</v>
      </c>
    </row>
    <row r="262" s="372" customFormat="1" ht="24" hidden="1" customHeight="1" spans="1:9">
      <c r="A262" s="330">
        <v>2020201</v>
      </c>
      <c r="B262" s="379" t="s">
        <v>348</v>
      </c>
      <c r="C262" s="516"/>
      <c r="D262" s="516">
        <f>'04'!F262</f>
        <v>0</v>
      </c>
      <c r="E262" s="525">
        <v>0</v>
      </c>
      <c r="F262" s="526" t="str">
        <f t="shared" ref="F262:F325" si="17">IFERROR((E262-C262)/C262,"")</f>
        <v/>
      </c>
      <c r="G262" s="470" t="str">
        <f t="shared" ref="G262:G325" si="18">IFERROR((E262-D262)/D262,"")</f>
        <v/>
      </c>
      <c r="H262" s="524" t="str">
        <f t="shared" ref="H262:H325" si="19">IF(LEN(A262)=3,"是",IF(B262&lt;&gt;"",IF(SUM(C262:E262)&lt;&gt;0,"是","否"),"是"))</f>
        <v>否</v>
      </c>
      <c r="I262" s="312" t="str">
        <f t="shared" si="16"/>
        <v>项</v>
      </c>
    </row>
    <row r="263" s="372" customFormat="1" ht="24" hidden="1" customHeight="1" spans="1:9">
      <c r="A263" s="330">
        <v>2020202</v>
      </c>
      <c r="B263" s="379" t="s">
        <v>349</v>
      </c>
      <c r="C263" s="516"/>
      <c r="D263" s="516">
        <f>'04'!F263</f>
        <v>0</v>
      </c>
      <c r="E263" s="525">
        <v>0</v>
      </c>
      <c r="F263" s="526" t="str">
        <f t="shared" si="17"/>
        <v/>
      </c>
      <c r="G263" s="470" t="str">
        <f t="shared" si="18"/>
        <v/>
      </c>
      <c r="H263" s="524" t="str">
        <f t="shared" si="19"/>
        <v>否</v>
      </c>
      <c r="I263" s="312" t="str">
        <f t="shared" si="16"/>
        <v>项</v>
      </c>
    </row>
    <row r="264" s="372" customFormat="1" ht="24" hidden="1" customHeight="1" spans="1:9">
      <c r="A264" s="330">
        <v>20203</v>
      </c>
      <c r="B264" s="379" t="s">
        <v>350</v>
      </c>
      <c r="C264" s="515">
        <f>SUM(C265:C266)</f>
        <v>0</v>
      </c>
      <c r="D264" s="515">
        <f>SUM(D265:D266)</f>
        <v>0</v>
      </c>
      <c r="E264" s="515">
        <f>SUM(E265:E266)</f>
        <v>0</v>
      </c>
      <c r="F264" s="523" t="str">
        <f t="shared" si="17"/>
        <v/>
      </c>
      <c r="G264" s="467" t="str">
        <f t="shared" si="18"/>
        <v/>
      </c>
      <c r="H264" s="524" t="str">
        <f t="shared" si="19"/>
        <v>否</v>
      </c>
      <c r="I264" s="312" t="str">
        <f t="shared" si="16"/>
        <v>款</v>
      </c>
    </row>
    <row r="265" s="372" customFormat="1" ht="24" hidden="1" customHeight="1" spans="1:9">
      <c r="A265" s="330">
        <v>2020304</v>
      </c>
      <c r="B265" s="379" t="s">
        <v>351</v>
      </c>
      <c r="C265" s="516"/>
      <c r="D265" s="516">
        <f>'04'!F265</f>
        <v>0</v>
      </c>
      <c r="E265" s="525">
        <v>0</v>
      </c>
      <c r="F265" s="526" t="str">
        <f t="shared" si="17"/>
        <v/>
      </c>
      <c r="G265" s="470" t="str">
        <f t="shared" si="18"/>
        <v/>
      </c>
      <c r="H265" s="524" t="str">
        <f t="shared" si="19"/>
        <v>否</v>
      </c>
      <c r="I265" s="312" t="str">
        <f t="shared" si="16"/>
        <v>项</v>
      </c>
    </row>
    <row r="266" s="372" customFormat="1" ht="24" hidden="1" customHeight="1" spans="1:9">
      <c r="A266" s="330">
        <v>2020306</v>
      </c>
      <c r="B266" s="379" t="s">
        <v>352</v>
      </c>
      <c r="C266" s="516"/>
      <c r="D266" s="516">
        <f>'04'!F266</f>
        <v>0</v>
      </c>
      <c r="E266" s="525">
        <v>0</v>
      </c>
      <c r="F266" s="526" t="str">
        <f t="shared" si="17"/>
        <v/>
      </c>
      <c r="G266" s="470" t="str">
        <f t="shared" si="18"/>
        <v/>
      </c>
      <c r="H266" s="524" t="str">
        <f t="shared" si="19"/>
        <v>否</v>
      </c>
      <c r="I266" s="312" t="str">
        <f t="shared" si="16"/>
        <v>项</v>
      </c>
    </row>
    <row r="267" s="372" customFormat="1" ht="24" hidden="1" customHeight="1" spans="1:9">
      <c r="A267" s="330">
        <v>20204</v>
      </c>
      <c r="B267" s="379" t="s">
        <v>353</v>
      </c>
      <c r="C267" s="515">
        <f>SUM(C268:C272)</f>
        <v>0</v>
      </c>
      <c r="D267" s="515">
        <f>SUM(D268:D272)</f>
        <v>0</v>
      </c>
      <c r="E267" s="515">
        <f>SUM(E268:E272)</f>
        <v>0</v>
      </c>
      <c r="F267" s="523" t="str">
        <f t="shared" si="17"/>
        <v/>
      </c>
      <c r="G267" s="467" t="str">
        <f t="shared" si="18"/>
        <v/>
      </c>
      <c r="H267" s="524" t="str">
        <f t="shared" si="19"/>
        <v>否</v>
      </c>
      <c r="I267" s="312" t="str">
        <f t="shared" si="16"/>
        <v>款</v>
      </c>
    </row>
    <row r="268" s="372" customFormat="1" ht="24" hidden="1" customHeight="1" spans="1:9">
      <c r="A268" s="330">
        <v>2020401</v>
      </c>
      <c r="B268" s="379" t="s">
        <v>354</v>
      </c>
      <c r="C268" s="516"/>
      <c r="D268" s="516">
        <f>'04'!F268</f>
        <v>0</v>
      </c>
      <c r="E268" s="525">
        <v>0</v>
      </c>
      <c r="F268" s="526" t="str">
        <f t="shared" si="17"/>
        <v/>
      </c>
      <c r="G268" s="470" t="str">
        <f t="shared" si="18"/>
        <v/>
      </c>
      <c r="H268" s="524" t="str">
        <f t="shared" si="19"/>
        <v>否</v>
      </c>
      <c r="I268" s="312" t="str">
        <f t="shared" si="16"/>
        <v>项</v>
      </c>
    </row>
    <row r="269" s="372" customFormat="1" ht="24" hidden="1" customHeight="1" spans="1:9">
      <c r="A269" s="330">
        <v>2020402</v>
      </c>
      <c r="B269" s="379" t="s">
        <v>355</v>
      </c>
      <c r="C269" s="516"/>
      <c r="D269" s="516">
        <f>'04'!F269</f>
        <v>0</v>
      </c>
      <c r="E269" s="525">
        <v>0</v>
      </c>
      <c r="F269" s="526" t="str">
        <f t="shared" si="17"/>
        <v/>
      </c>
      <c r="G269" s="470" t="str">
        <f t="shared" si="18"/>
        <v/>
      </c>
      <c r="H269" s="524" t="str">
        <f t="shared" si="19"/>
        <v>否</v>
      </c>
      <c r="I269" s="312" t="str">
        <f t="shared" si="16"/>
        <v>项</v>
      </c>
    </row>
    <row r="270" s="372" customFormat="1" ht="24" hidden="1" customHeight="1" spans="1:9">
      <c r="A270" s="330">
        <v>2020403</v>
      </c>
      <c r="B270" s="379" t="s">
        <v>356</v>
      </c>
      <c r="C270" s="516"/>
      <c r="D270" s="516">
        <f>'04'!F270</f>
        <v>0</v>
      </c>
      <c r="E270" s="525">
        <v>0</v>
      </c>
      <c r="F270" s="526" t="str">
        <f t="shared" si="17"/>
        <v/>
      </c>
      <c r="G270" s="470" t="str">
        <f t="shared" si="18"/>
        <v/>
      </c>
      <c r="H270" s="524" t="str">
        <f t="shared" si="19"/>
        <v>否</v>
      </c>
      <c r="I270" s="312" t="str">
        <f t="shared" si="16"/>
        <v>项</v>
      </c>
    </row>
    <row r="271" s="372" customFormat="1" ht="24" hidden="1" customHeight="1" spans="1:9">
      <c r="A271" s="330">
        <v>2020404</v>
      </c>
      <c r="B271" s="379" t="s">
        <v>357</v>
      </c>
      <c r="C271" s="516"/>
      <c r="D271" s="516">
        <f>'04'!F271</f>
        <v>0</v>
      </c>
      <c r="E271" s="525">
        <v>0</v>
      </c>
      <c r="F271" s="526" t="str">
        <f t="shared" si="17"/>
        <v/>
      </c>
      <c r="G271" s="470" t="str">
        <f t="shared" si="18"/>
        <v/>
      </c>
      <c r="H271" s="524" t="str">
        <f t="shared" si="19"/>
        <v>否</v>
      </c>
      <c r="I271" s="312" t="str">
        <f t="shared" si="16"/>
        <v>项</v>
      </c>
    </row>
    <row r="272" s="372" customFormat="1" ht="24" hidden="1" customHeight="1" spans="1:9">
      <c r="A272" s="330">
        <v>2020499</v>
      </c>
      <c r="B272" s="379" t="s">
        <v>358</v>
      </c>
      <c r="C272" s="516"/>
      <c r="D272" s="516">
        <f>'04'!F272</f>
        <v>0</v>
      </c>
      <c r="E272" s="525">
        <v>0</v>
      </c>
      <c r="F272" s="526" t="str">
        <f t="shared" si="17"/>
        <v/>
      </c>
      <c r="G272" s="470" t="str">
        <f t="shared" si="18"/>
        <v/>
      </c>
      <c r="H272" s="524" t="str">
        <f t="shared" si="19"/>
        <v>否</v>
      </c>
      <c r="I272" s="312" t="str">
        <f t="shared" si="16"/>
        <v>项</v>
      </c>
    </row>
    <row r="273" s="372" customFormat="1" ht="24" hidden="1" customHeight="1" spans="1:9">
      <c r="A273" s="330">
        <v>20205</v>
      </c>
      <c r="B273" s="379" t="s">
        <v>359</v>
      </c>
      <c r="C273" s="515">
        <f>SUM(C274:C277)</f>
        <v>0</v>
      </c>
      <c r="D273" s="515">
        <f>SUM(D274:D277)</f>
        <v>0</v>
      </c>
      <c r="E273" s="515">
        <f>SUM(E274:E277)</f>
        <v>0</v>
      </c>
      <c r="F273" s="523" t="str">
        <f t="shared" si="17"/>
        <v/>
      </c>
      <c r="G273" s="467" t="str">
        <f t="shared" si="18"/>
        <v/>
      </c>
      <c r="H273" s="524" t="str">
        <f t="shared" si="19"/>
        <v>否</v>
      </c>
      <c r="I273" s="312" t="str">
        <f t="shared" si="16"/>
        <v>款</v>
      </c>
    </row>
    <row r="274" s="372" customFormat="1" ht="24" hidden="1" customHeight="1" spans="1:9">
      <c r="A274" s="330">
        <v>2020503</v>
      </c>
      <c r="B274" s="379" t="s">
        <v>360</v>
      </c>
      <c r="C274" s="516"/>
      <c r="D274" s="516">
        <f>'04'!F274</f>
        <v>0</v>
      </c>
      <c r="E274" s="525">
        <v>0</v>
      </c>
      <c r="F274" s="526" t="str">
        <f t="shared" si="17"/>
        <v/>
      </c>
      <c r="G274" s="470" t="str">
        <f t="shared" si="18"/>
        <v/>
      </c>
      <c r="H274" s="524" t="str">
        <f t="shared" si="19"/>
        <v>否</v>
      </c>
      <c r="I274" s="312" t="str">
        <f t="shared" si="16"/>
        <v>项</v>
      </c>
    </row>
    <row r="275" s="372" customFormat="1" ht="24" hidden="1" customHeight="1" spans="1:9">
      <c r="A275" s="330">
        <v>2020504</v>
      </c>
      <c r="B275" s="379" t="s">
        <v>361</v>
      </c>
      <c r="C275" s="516"/>
      <c r="D275" s="516">
        <f>'04'!F275</f>
        <v>0</v>
      </c>
      <c r="E275" s="525">
        <v>0</v>
      </c>
      <c r="F275" s="526" t="str">
        <f t="shared" si="17"/>
        <v/>
      </c>
      <c r="G275" s="470" t="str">
        <f t="shared" si="18"/>
        <v/>
      </c>
      <c r="H275" s="524" t="str">
        <f t="shared" si="19"/>
        <v>否</v>
      </c>
      <c r="I275" s="312" t="str">
        <f t="shared" si="16"/>
        <v>项</v>
      </c>
    </row>
    <row r="276" s="372" customFormat="1" ht="24" hidden="1" customHeight="1" spans="1:9">
      <c r="A276" s="330">
        <v>2020505</v>
      </c>
      <c r="B276" s="379" t="s">
        <v>362</v>
      </c>
      <c r="C276" s="516"/>
      <c r="D276" s="516">
        <f>'04'!F276</f>
        <v>0</v>
      </c>
      <c r="E276" s="525">
        <v>0</v>
      </c>
      <c r="F276" s="526" t="str">
        <f t="shared" si="17"/>
        <v/>
      </c>
      <c r="G276" s="470" t="str">
        <f t="shared" si="18"/>
        <v/>
      </c>
      <c r="H276" s="524" t="str">
        <f t="shared" si="19"/>
        <v>否</v>
      </c>
      <c r="I276" s="312" t="str">
        <f t="shared" si="16"/>
        <v>项</v>
      </c>
    </row>
    <row r="277" s="372" customFormat="1" ht="24" hidden="1" customHeight="1" spans="1:9">
      <c r="A277" s="330">
        <v>2020599</v>
      </c>
      <c r="B277" s="379" t="s">
        <v>363</v>
      </c>
      <c r="C277" s="516"/>
      <c r="D277" s="516">
        <f>'04'!F277</f>
        <v>0</v>
      </c>
      <c r="E277" s="525">
        <v>0</v>
      </c>
      <c r="F277" s="526" t="str">
        <f t="shared" si="17"/>
        <v/>
      </c>
      <c r="G277" s="470" t="str">
        <f t="shared" si="18"/>
        <v/>
      </c>
      <c r="H277" s="524" t="str">
        <f t="shared" si="19"/>
        <v>否</v>
      </c>
      <c r="I277" s="312" t="str">
        <f t="shared" si="16"/>
        <v>项</v>
      </c>
    </row>
    <row r="278" s="372" customFormat="1" ht="24" hidden="1" customHeight="1" spans="1:9">
      <c r="A278" s="330">
        <v>20206</v>
      </c>
      <c r="B278" s="379" t="s">
        <v>364</v>
      </c>
      <c r="C278" s="515">
        <f>C279</f>
        <v>0</v>
      </c>
      <c r="D278" s="515">
        <f>D279</f>
        <v>0</v>
      </c>
      <c r="E278" s="515">
        <f>E279</f>
        <v>0</v>
      </c>
      <c r="F278" s="523" t="str">
        <f t="shared" si="17"/>
        <v/>
      </c>
      <c r="G278" s="467" t="str">
        <f t="shared" si="18"/>
        <v/>
      </c>
      <c r="H278" s="524" t="str">
        <f t="shared" si="19"/>
        <v>否</v>
      </c>
      <c r="I278" s="312" t="str">
        <f t="shared" si="16"/>
        <v>款</v>
      </c>
    </row>
    <row r="279" s="372" customFormat="1" ht="24" hidden="1" customHeight="1" spans="1:9">
      <c r="A279" s="330">
        <v>2020601</v>
      </c>
      <c r="B279" s="379" t="s">
        <v>365</v>
      </c>
      <c r="C279" s="516"/>
      <c r="D279" s="516">
        <f>'04'!F279</f>
        <v>0</v>
      </c>
      <c r="E279" s="525">
        <v>0</v>
      </c>
      <c r="F279" s="526" t="str">
        <f t="shared" si="17"/>
        <v/>
      </c>
      <c r="G279" s="470" t="str">
        <f t="shared" si="18"/>
        <v/>
      </c>
      <c r="H279" s="524" t="str">
        <f t="shared" si="19"/>
        <v>否</v>
      </c>
      <c r="I279" s="312" t="str">
        <f t="shared" si="16"/>
        <v>项</v>
      </c>
    </row>
    <row r="280" s="372" customFormat="1" ht="24" hidden="1" customHeight="1" spans="1:9">
      <c r="A280" s="330">
        <v>20207</v>
      </c>
      <c r="B280" s="379" t="s">
        <v>366</v>
      </c>
      <c r="C280" s="515">
        <f>SUM(C281:C284)</f>
        <v>0</v>
      </c>
      <c r="D280" s="515">
        <f>SUM(D281:D284)</f>
        <v>0</v>
      </c>
      <c r="E280" s="515">
        <f>SUM(E281:E284)</f>
        <v>0</v>
      </c>
      <c r="F280" s="523" t="str">
        <f t="shared" si="17"/>
        <v/>
      </c>
      <c r="G280" s="467" t="str">
        <f t="shared" si="18"/>
        <v/>
      </c>
      <c r="H280" s="524" t="str">
        <f t="shared" si="19"/>
        <v>否</v>
      </c>
      <c r="I280" s="312" t="str">
        <f t="shared" si="16"/>
        <v>款</v>
      </c>
    </row>
    <row r="281" s="372" customFormat="1" ht="24" hidden="1" customHeight="1" spans="1:9">
      <c r="A281" s="330">
        <v>2020701</v>
      </c>
      <c r="B281" s="379" t="s">
        <v>367</v>
      </c>
      <c r="C281" s="516"/>
      <c r="D281" s="516">
        <f>'04'!F281</f>
        <v>0</v>
      </c>
      <c r="E281" s="525">
        <v>0</v>
      </c>
      <c r="F281" s="526" t="str">
        <f t="shared" si="17"/>
        <v/>
      </c>
      <c r="G281" s="470" t="str">
        <f t="shared" si="18"/>
        <v/>
      </c>
      <c r="H281" s="524" t="str">
        <f t="shared" si="19"/>
        <v>否</v>
      </c>
      <c r="I281" s="312" t="str">
        <f t="shared" si="16"/>
        <v>项</v>
      </c>
    </row>
    <row r="282" s="372" customFormat="1" ht="24" hidden="1" customHeight="1" spans="1:9">
      <c r="A282" s="330">
        <v>2020702</v>
      </c>
      <c r="B282" s="379" t="s">
        <v>368</v>
      </c>
      <c r="C282" s="516"/>
      <c r="D282" s="516">
        <f>'04'!F282</f>
        <v>0</v>
      </c>
      <c r="E282" s="525">
        <v>0</v>
      </c>
      <c r="F282" s="526" t="str">
        <f t="shared" si="17"/>
        <v/>
      </c>
      <c r="G282" s="470" t="str">
        <f t="shared" si="18"/>
        <v/>
      </c>
      <c r="H282" s="524" t="str">
        <f t="shared" si="19"/>
        <v>否</v>
      </c>
      <c r="I282" s="312" t="str">
        <f t="shared" si="16"/>
        <v>项</v>
      </c>
    </row>
    <row r="283" s="372" customFormat="1" ht="24" hidden="1" customHeight="1" spans="1:9">
      <c r="A283" s="330">
        <v>2020703</v>
      </c>
      <c r="B283" s="379" t="s">
        <v>369</v>
      </c>
      <c r="C283" s="516"/>
      <c r="D283" s="516">
        <f>'04'!F283</f>
        <v>0</v>
      </c>
      <c r="E283" s="525">
        <v>0</v>
      </c>
      <c r="F283" s="526" t="str">
        <f t="shared" si="17"/>
        <v/>
      </c>
      <c r="G283" s="470" t="str">
        <f t="shared" si="18"/>
        <v/>
      </c>
      <c r="H283" s="524" t="str">
        <f t="shared" si="19"/>
        <v>否</v>
      </c>
      <c r="I283" s="312" t="str">
        <f t="shared" si="16"/>
        <v>项</v>
      </c>
    </row>
    <row r="284" s="372" customFormat="1" ht="24" hidden="1" customHeight="1" spans="1:9">
      <c r="A284" s="330">
        <v>2020799</v>
      </c>
      <c r="B284" s="379" t="s">
        <v>370</v>
      </c>
      <c r="C284" s="516"/>
      <c r="D284" s="516">
        <f>'04'!F284</f>
        <v>0</v>
      </c>
      <c r="E284" s="525">
        <v>0</v>
      </c>
      <c r="F284" s="526" t="str">
        <f t="shared" si="17"/>
        <v/>
      </c>
      <c r="G284" s="470" t="str">
        <f t="shared" si="18"/>
        <v/>
      </c>
      <c r="H284" s="524" t="str">
        <f t="shared" si="19"/>
        <v>否</v>
      </c>
      <c r="I284" s="312" t="str">
        <f t="shared" si="16"/>
        <v>项</v>
      </c>
    </row>
    <row r="285" s="372" customFormat="1" ht="24" hidden="1" customHeight="1" spans="1:9">
      <c r="A285" s="330">
        <v>20208</v>
      </c>
      <c r="B285" s="379" t="s">
        <v>371</v>
      </c>
      <c r="C285" s="515">
        <f>SUM(C286:C290)</f>
        <v>0</v>
      </c>
      <c r="D285" s="515">
        <f>SUM(D286:D290)</f>
        <v>0</v>
      </c>
      <c r="E285" s="515">
        <f>SUM(E286:E290)</f>
        <v>0</v>
      </c>
      <c r="F285" s="523" t="str">
        <f t="shared" si="17"/>
        <v/>
      </c>
      <c r="G285" s="467" t="str">
        <f t="shared" si="18"/>
        <v/>
      </c>
      <c r="H285" s="524" t="str">
        <f t="shared" si="19"/>
        <v>否</v>
      </c>
      <c r="I285" s="312" t="str">
        <f t="shared" si="16"/>
        <v>款</v>
      </c>
    </row>
    <row r="286" s="372" customFormat="1" ht="24" hidden="1" customHeight="1" spans="1:9">
      <c r="A286" s="330">
        <v>2020801</v>
      </c>
      <c r="B286" s="379" t="s">
        <v>212</v>
      </c>
      <c r="C286" s="516"/>
      <c r="D286" s="516">
        <f>'04'!F286</f>
        <v>0</v>
      </c>
      <c r="E286" s="525">
        <v>0</v>
      </c>
      <c r="F286" s="526" t="str">
        <f t="shared" si="17"/>
        <v/>
      </c>
      <c r="G286" s="470" t="str">
        <f t="shared" si="18"/>
        <v/>
      </c>
      <c r="H286" s="524" t="str">
        <f t="shared" si="19"/>
        <v>否</v>
      </c>
      <c r="I286" s="312" t="str">
        <f t="shared" si="16"/>
        <v>项</v>
      </c>
    </row>
    <row r="287" s="372" customFormat="1" ht="24" hidden="1" customHeight="1" spans="1:9">
      <c r="A287" s="330">
        <v>2020802</v>
      </c>
      <c r="B287" s="379" t="s">
        <v>213</v>
      </c>
      <c r="C287" s="516"/>
      <c r="D287" s="516">
        <f>'04'!F287</f>
        <v>0</v>
      </c>
      <c r="E287" s="525">
        <v>0</v>
      </c>
      <c r="F287" s="526" t="str">
        <f t="shared" si="17"/>
        <v/>
      </c>
      <c r="G287" s="470" t="str">
        <f t="shared" si="18"/>
        <v/>
      </c>
      <c r="H287" s="524" t="str">
        <f t="shared" si="19"/>
        <v>否</v>
      </c>
      <c r="I287" s="312" t="str">
        <f t="shared" si="16"/>
        <v>项</v>
      </c>
    </row>
    <row r="288" s="372" customFormat="1" ht="24" hidden="1" customHeight="1" spans="1:9">
      <c r="A288" s="330">
        <v>2020803</v>
      </c>
      <c r="B288" s="379" t="s">
        <v>214</v>
      </c>
      <c r="C288" s="516"/>
      <c r="D288" s="516">
        <f>'04'!F288</f>
        <v>0</v>
      </c>
      <c r="E288" s="525">
        <v>0</v>
      </c>
      <c r="F288" s="526" t="str">
        <f t="shared" si="17"/>
        <v/>
      </c>
      <c r="G288" s="470" t="str">
        <f t="shared" si="18"/>
        <v/>
      </c>
      <c r="H288" s="524" t="str">
        <f t="shared" si="19"/>
        <v>否</v>
      </c>
      <c r="I288" s="312" t="str">
        <f t="shared" si="16"/>
        <v>项</v>
      </c>
    </row>
    <row r="289" s="372" customFormat="1" ht="24" hidden="1" customHeight="1" spans="1:9">
      <c r="A289" s="330">
        <v>2020850</v>
      </c>
      <c r="B289" s="379" t="s">
        <v>221</v>
      </c>
      <c r="C289" s="516"/>
      <c r="D289" s="516">
        <f>'04'!F289</f>
        <v>0</v>
      </c>
      <c r="E289" s="525">
        <v>0</v>
      </c>
      <c r="F289" s="526" t="str">
        <f t="shared" si="17"/>
        <v/>
      </c>
      <c r="G289" s="470" t="str">
        <f t="shared" si="18"/>
        <v/>
      </c>
      <c r="H289" s="524" t="str">
        <f t="shared" si="19"/>
        <v>否</v>
      </c>
      <c r="I289" s="312" t="str">
        <f t="shared" si="16"/>
        <v>项</v>
      </c>
    </row>
    <row r="290" s="372" customFormat="1" ht="24" hidden="1" customHeight="1" spans="1:9">
      <c r="A290" s="330">
        <v>2020899</v>
      </c>
      <c r="B290" s="379" t="s">
        <v>372</v>
      </c>
      <c r="C290" s="516"/>
      <c r="D290" s="516">
        <f>'04'!F290</f>
        <v>0</v>
      </c>
      <c r="E290" s="525">
        <v>0</v>
      </c>
      <c r="F290" s="526" t="str">
        <f t="shared" si="17"/>
        <v/>
      </c>
      <c r="G290" s="470" t="str">
        <f t="shared" si="18"/>
        <v/>
      </c>
      <c r="H290" s="524" t="str">
        <f t="shared" si="19"/>
        <v>否</v>
      </c>
      <c r="I290" s="312" t="str">
        <f t="shared" si="16"/>
        <v>项</v>
      </c>
    </row>
    <row r="291" s="372" customFormat="1" ht="24" hidden="1" customHeight="1" spans="1:9">
      <c r="A291" s="330">
        <v>20299</v>
      </c>
      <c r="B291" s="379" t="s">
        <v>373</v>
      </c>
      <c r="C291" s="515">
        <f>C292</f>
        <v>0</v>
      </c>
      <c r="D291" s="515">
        <f>D292</f>
        <v>0</v>
      </c>
      <c r="E291" s="515">
        <f>E292</f>
        <v>0</v>
      </c>
      <c r="F291" s="523" t="str">
        <f t="shared" si="17"/>
        <v/>
      </c>
      <c r="G291" s="467" t="str">
        <f t="shared" si="18"/>
        <v/>
      </c>
      <c r="H291" s="524" t="str">
        <f t="shared" si="19"/>
        <v>否</v>
      </c>
      <c r="I291" s="312" t="str">
        <f t="shared" si="16"/>
        <v>款</v>
      </c>
    </row>
    <row r="292" s="372" customFormat="1" ht="24" hidden="1" customHeight="1" spans="1:9">
      <c r="A292" s="330">
        <v>2029999</v>
      </c>
      <c r="B292" s="379" t="s">
        <v>374</v>
      </c>
      <c r="C292" s="516"/>
      <c r="D292" s="516">
        <f>'04'!F292</f>
        <v>0</v>
      </c>
      <c r="E292" s="525">
        <v>0</v>
      </c>
      <c r="F292" s="526" t="str">
        <f t="shared" si="17"/>
        <v/>
      </c>
      <c r="G292" s="470" t="str">
        <f t="shared" si="18"/>
        <v/>
      </c>
      <c r="H292" s="524" t="str">
        <f t="shared" si="19"/>
        <v>否</v>
      </c>
      <c r="I292" s="312" t="str">
        <f t="shared" si="16"/>
        <v>项</v>
      </c>
    </row>
    <row r="293" s="372" customFormat="1" ht="24" customHeight="1" spans="1:9">
      <c r="A293" s="329">
        <v>203</v>
      </c>
      <c r="B293" s="377" t="s">
        <v>177</v>
      </c>
      <c r="C293" s="515">
        <f>C294+C298+C300+C302+C310</f>
        <v>781</v>
      </c>
      <c r="D293" s="515">
        <f>D294+D298+D300+D302+D310</f>
        <v>1279</v>
      </c>
      <c r="E293" s="515">
        <f>E294+E298+E300+E302+E310</f>
        <v>1366</v>
      </c>
      <c r="F293" s="523">
        <f t="shared" si="17"/>
        <v>0.749039692701664</v>
      </c>
      <c r="G293" s="467">
        <f t="shared" si="18"/>
        <v>0.0680218921032056</v>
      </c>
      <c r="H293" s="524" t="str">
        <f t="shared" si="19"/>
        <v>是</v>
      </c>
      <c r="I293" s="312" t="str">
        <f t="shared" si="16"/>
        <v>类</v>
      </c>
    </row>
    <row r="294" s="372" customFormat="1" ht="24" hidden="1" customHeight="1" spans="1:9">
      <c r="A294" s="356">
        <v>20301</v>
      </c>
      <c r="B294" s="405" t="s">
        <v>375</v>
      </c>
      <c r="C294" s="515">
        <f>SUM(C295:C297)</f>
        <v>0</v>
      </c>
      <c r="D294" s="515">
        <f>SUM(D295:D297)</f>
        <v>0</v>
      </c>
      <c r="E294" s="515">
        <f>SUM(E295:E297)</f>
        <v>0</v>
      </c>
      <c r="F294" s="523" t="str">
        <f t="shared" si="17"/>
        <v/>
      </c>
      <c r="G294" s="467" t="str">
        <f t="shared" si="18"/>
        <v/>
      </c>
      <c r="H294" s="524" t="str">
        <f t="shared" si="19"/>
        <v>否</v>
      </c>
      <c r="I294" s="312" t="str">
        <f t="shared" si="16"/>
        <v>款</v>
      </c>
    </row>
    <row r="295" s="372" customFormat="1" ht="24" hidden="1" customHeight="1" spans="1:9">
      <c r="A295" s="356">
        <v>2030101</v>
      </c>
      <c r="B295" s="379" t="s">
        <v>376</v>
      </c>
      <c r="C295" s="516">
        <v>0</v>
      </c>
      <c r="D295" s="516">
        <f>'04'!F295</f>
        <v>0</v>
      </c>
      <c r="E295" s="525">
        <v>0</v>
      </c>
      <c r="F295" s="526" t="str">
        <f t="shared" si="17"/>
        <v/>
      </c>
      <c r="G295" s="470" t="str">
        <f t="shared" si="18"/>
        <v/>
      </c>
      <c r="H295" s="524" t="str">
        <f t="shared" si="19"/>
        <v>否</v>
      </c>
      <c r="I295" s="312" t="str">
        <f t="shared" si="16"/>
        <v>项</v>
      </c>
    </row>
    <row r="296" s="372" customFormat="1" ht="24" hidden="1" customHeight="1" spans="1:9">
      <c r="A296" s="351">
        <v>2030102</v>
      </c>
      <c r="B296" s="379" t="s">
        <v>377</v>
      </c>
      <c r="C296" s="516">
        <v>0</v>
      </c>
      <c r="D296" s="516">
        <f>'04'!F296</f>
        <v>0</v>
      </c>
      <c r="E296" s="525">
        <v>0</v>
      </c>
      <c r="F296" s="526" t="str">
        <f t="shared" si="17"/>
        <v/>
      </c>
      <c r="G296" s="470" t="str">
        <f t="shared" si="18"/>
        <v/>
      </c>
      <c r="H296" s="524" t="str">
        <f t="shared" si="19"/>
        <v>否</v>
      </c>
      <c r="I296" s="312" t="str">
        <f t="shared" si="16"/>
        <v>项</v>
      </c>
    </row>
    <row r="297" s="372" customFormat="1" ht="24" hidden="1" customHeight="1" spans="1:9">
      <c r="A297" s="351">
        <v>2030199</v>
      </c>
      <c r="B297" s="379" t="s">
        <v>378</v>
      </c>
      <c r="C297" s="516">
        <v>0</v>
      </c>
      <c r="D297" s="516">
        <f>'04'!F297</f>
        <v>0</v>
      </c>
      <c r="E297" s="525">
        <v>0</v>
      </c>
      <c r="F297" s="526" t="str">
        <f t="shared" si="17"/>
        <v/>
      </c>
      <c r="G297" s="470" t="str">
        <f t="shared" si="18"/>
        <v/>
      </c>
      <c r="H297" s="524" t="str">
        <f t="shared" si="19"/>
        <v>否</v>
      </c>
      <c r="I297" s="312" t="str">
        <f t="shared" si="16"/>
        <v>项</v>
      </c>
    </row>
    <row r="298" s="372" customFormat="1" ht="24" hidden="1" customHeight="1" spans="1:9">
      <c r="A298" s="356">
        <v>20304</v>
      </c>
      <c r="B298" s="379" t="s">
        <v>379</v>
      </c>
      <c r="C298" s="515">
        <f>C299</f>
        <v>0</v>
      </c>
      <c r="D298" s="515">
        <f>D299</f>
        <v>0</v>
      </c>
      <c r="E298" s="515">
        <f>E299</f>
        <v>0</v>
      </c>
      <c r="F298" s="523" t="str">
        <f t="shared" si="17"/>
        <v/>
      </c>
      <c r="G298" s="467" t="str">
        <f t="shared" si="18"/>
        <v/>
      </c>
      <c r="H298" s="524" t="str">
        <f t="shared" si="19"/>
        <v>否</v>
      </c>
      <c r="I298" s="312" t="str">
        <f t="shared" si="16"/>
        <v>款</v>
      </c>
    </row>
    <row r="299" s="372" customFormat="1" ht="24" hidden="1" customHeight="1" spans="1:9">
      <c r="A299" s="356">
        <v>2030401</v>
      </c>
      <c r="B299" s="379" t="s">
        <v>380</v>
      </c>
      <c r="C299" s="516">
        <v>0</v>
      </c>
      <c r="D299" s="516">
        <f>'04'!F299</f>
        <v>0</v>
      </c>
      <c r="E299" s="525">
        <v>0</v>
      </c>
      <c r="F299" s="526" t="str">
        <f t="shared" si="17"/>
        <v/>
      </c>
      <c r="G299" s="470" t="str">
        <f t="shared" si="18"/>
        <v/>
      </c>
      <c r="H299" s="524" t="str">
        <f t="shared" si="19"/>
        <v>否</v>
      </c>
      <c r="I299" s="312" t="str">
        <f t="shared" si="16"/>
        <v>项</v>
      </c>
    </row>
    <row r="300" s="372" customFormat="1" ht="24" customHeight="1" spans="1:9">
      <c r="A300" s="356">
        <v>20305</v>
      </c>
      <c r="B300" s="379" t="s">
        <v>381</v>
      </c>
      <c r="C300" s="515">
        <f>C301</f>
        <v>95</v>
      </c>
      <c r="D300" s="515">
        <f>D301</f>
        <v>0</v>
      </c>
      <c r="E300" s="515">
        <f>E301</f>
        <v>0</v>
      </c>
      <c r="F300" s="523">
        <f t="shared" si="17"/>
        <v>-1</v>
      </c>
      <c r="G300" s="467" t="str">
        <f t="shared" si="18"/>
        <v/>
      </c>
      <c r="H300" s="524" t="str">
        <f t="shared" si="19"/>
        <v>是</v>
      </c>
      <c r="I300" s="312" t="str">
        <f t="shared" si="16"/>
        <v>款</v>
      </c>
    </row>
    <row r="301" s="372" customFormat="1" ht="24" customHeight="1" spans="1:9">
      <c r="A301" s="356">
        <v>2030501</v>
      </c>
      <c r="B301" s="379" t="s">
        <v>382</v>
      </c>
      <c r="C301" s="516">
        <v>95</v>
      </c>
      <c r="D301" s="516">
        <f>'04'!F301</f>
        <v>0</v>
      </c>
      <c r="E301" s="525">
        <v>0</v>
      </c>
      <c r="F301" s="526">
        <f t="shared" si="17"/>
        <v>-1</v>
      </c>
      <c r="G301" s="470" t="str">
        <f t="shared" si="18"/>
        <v/>
      </c>
      <c r="H301" s="524" t="str">
        <f t="shared" si="19"/>
        <v>是</v>
      </c>
      <c r="I301" s="312" t="str">
        <f t="shared" si="16"/>
        <v>项</v>
      </c>
    </row>
    <row r="302" s="372" customFormat="1" ht="24" customHeight="1" spans="1:9">
      <c r="A302" s="330">
        <v>20306</v>
      </c>
      <c r="B302" s="379" t="s">
        <v>383</v>
      </c>
      <c r="C302" s="515">
        <f>SUM(C303:C309)</f>
        <v>686</v>
      </c>
      <c r="D302" s="515">
        <f>SUM(D303:D309)</f>
        <v>1279</v>
      </c>
      <c r="E302" s="515">
        <f>SUM(E303:E309)</f>
        <v>1366</v>
      </c>
      <c r="F302" s="523">
        <f t="shared" si="17"/>
        <v>0.991253644314869</v>
      </c>
      <c r="G302" s="467">
        <f t="shared" si="18"/>
        <v>0.0680218921032056</v>
      </c>
      <c r="H302" s="524" t="str">
        <f t="shared" si="19"/>
        <v>是</v>
      </c>
      <c r="I302" s="312" t="str">
        <f t="shared" si="16"/>
        <v>款</v>
      </c>
    </row>
    <row r="303" ht="24" customHeight="1" spans="1:9">
      <c r="A303" s="330">
        <v>2030601</v>
      </c>
      <c r="B303" s="379" t="s">
        <v>384</v>
      </c>
      <c r="C303" s="516">
        <v>75</v>
      </c>
      <c r="D303" s="516">
        <f>'04'!F303</f>
        <v>75</v>
      </c>
      <c r="E303" s="525">
        <v>85</v>
      </c>
      <c r="F303" s="526">
        <f t="shared" si="17"/>
        <v>0.133333333333333</v>
      </c>
      <c r="G303" s="470">
        <f t="shared" si="18"/>
        <v>0.133333333333333</v>
      </c>
      <c r="H303" s="524" t="str">
        <f t="shared" si="19"/>
        <v>是</v>
      </c>
      <c r="I303" s="312" t="str">
        <f t="shared" si="16"/>
        <v>项</v>
      </c>
    </row>
    <row r="304" s="372" customFormat="1" ht="24" hidden="1" customHeight="1" spans="1:9">
      <c r="A304" s="330">
        <v>2030602</v>
      </c>
      <c r="B304" s="379" t="s">
        <v>385</v>
      </c>
      <c r="C304" s="516">
        <v>0</v>
      </c>
      <c r="D304" s="516">
        <f>'04'!F304</f>
        <v>0</v>
      </c>
      <c r="E304" s="525">
        <v>0</v>
      </c>
      <c r="F304" s="526" t="str">
        <f t="shared" si="17"/>
        <v/>
      </c>
      <c r="G304" s="470" t="str">
        <f t="shared" si="18"/>
        <v/>
      </c>
      <c r="H304" s="524" t="str">
        <f t="shared" si="19"/>
        <v>否</v>
      </c>
      <c r="I304" s="312" t="str">
        <f t="shared" si="16"/>
        <v>项</v>
      </c>
    </row>
    <row r="305" s="372" customFormat="1" ht="24" customHeight="1" spans="1:9">
      <c r="A305" s="330">
        <v>2030603</v>
      </c>
      <c r="B305" s="379" t="s">
        <v>386</v>
      </c>
      <c r="C305" s="516">
        <v>21</v>
      </c>
      <c r="D305" s="516">
        <f>'04'!F305</f>
        <v>753</v>
      </c>
      <c r="E305" s="525">
        <v>745</v>
      </c>
      <c r="F305" s="526">
        <f t="shared" si="17"/>
        <v>34.4761904761905</v>
      </c>
      <c r="G305" s="470">
        <f t="shared" si="18"/>
        <v>-0.0106241699867198</v>
      </c>
      <c r="H305" s="524" t="str">
        <f t="shared" si="19"/>
        <v>是</v>
      </c>
      <c r="I305" s="312" t="str">
        <f t="shared" si="16"/>
        <v>项</v>
      </c>
    </row>
    <row r="306" ht="24" hidden="1" customHeight="1" spans="1:9">
      <c r="A306" s="330">
        <v>2030604</v>
      </c>
      <c r="B306" s="379" t="s">
        <v>387</v>
      </c>
      <c r="C306" s="516">
        <v>0</v>
      </c>
      <c r="D306" s="516">
        <f>'04'!F306</f>
        <v>0</v>
      </c>
      <c r="E306" s="525">
        <v>0</v>
      </c>
      <c r="F306" s="526" t="str">
        <f t="shared" si="17"/>
        <v/>
      </c>
      <c r="G306" s="470" t="str">
        <f t="shared" si="18"/>
        <v/>
      </c>
      <c r="H306" s="524" t="str">
        <f t="shared" si="19"/>
        <v>否</v>
      </c>
      <c r="I306" s="312" t="str">
        <f t="shared" si="16"/>
        <v>项</v>
      </c>
    </row>
    <row r="307" s="372" customFormat="1" ht="24" customHeight="1" spans="1:9">
      <c r="A307" s="330">
        <v>2030607</v>
      </c>
      <c r="B307" s="379" t="s">
        <v>388</v>
      </c>
      <c r="C307" s="516">
        <v>362</v>
      </c>
      <c r="D307" s="516">
        <f>'04'!F307</f>
        <v>237</v>
      </c>
      <c r="E307" s="525">
        <v>315</v>
      </c>
      <c r="F307" s="526">
        <f t="shared" si="17"/>
        <v>-0.129834254143646</v>
      </c>
      <c r="G307" s="470">
        <f t="shared" si="18"/>
        <v>0.329113924050633</v>
      </c>
      <c r="H307" s="524" t="str">
        <f t="shared" si="19"/>
        <v>是</v>
      </c>
      <c r="I307" s="312" t="str">
        <f t="shared" si="16"/>
        <v>项</v>
      </c>
    </row>
    <row r="308" s="372" customFormat="1" ht="24" hidden="1" customHeight="1" spans="1:9">
      <c r="A308" s="330">
        <v>2030608</v>
      </c>
      <c r="B308" s="379" t="s">
        <v>389</v>
      </c>
      <c r="C308" s="516">
        <v>0</v>
      </c>
      <c r="D308" s="516">
        <f>'04'!F308</f>
        <v>0</v>
      </c>
      <c r="E308" s="525">
        <v>0</v>
      </c>
      <c r="F308" s="526" t="str">
        <f t="shared" si="17"/>
        <v/>
      </c>
      <c r="G308" s="470" t="str">
        <f t="shared" si="18"/>
        <v/>
      </c>
      <c r="H308" s="524" t="str">
        <f t="shared" si="19"/>
        <v>否</v>
      </c>
      <c r="I308" s="312" t="str">
        <f t="shared" si="16"/>
        <v>项</v>
      </c>
    </row>
    <row r="309" ht="24" customHeight="1" spans="1:9">
      <c r="A309" s="330">
        <v>2030699</v>
      </c>
      <c r="B309" s="379" t="s">
        <v>390</v>
      </c>
      <c r="C309" s="516">
        <v>228</v>
      </c>
      <c r="D309" s="516">
        <f>'04'!F309</f>
        <v>214</v>
      </c>
      <c r="E309" s="525">
        <v>221</v>
      </c>
      <c r="F309" s="526">
        <f t="shared" si="17"/>
        <v>-0.0307017543859649</v>
      </c>
      <c r="G309" s="470">
        <f t="shared" si="18"/>
        <v>0.0327102803738318</v>
      </c>
      <c r="H309" s="524" t="str">
        <f t="shared" si="19"/>
        <v>是</v>
      </c>
      <c r="I309" s="312" t="str">
        <f t="shared" si="16"/>
        <v>项</v>
      </c>
    </row>
    <row r="310" ht="24" hidden="1" customHeight="1" spans="1:9">
      <c r="A310" s="330">
        <v>20399</v>
      </c>
      <c r="B310" s="379" t="s">
        <v>391</v>
      </c>
      <c r="C310" s="515">
        <f>C311</f>
        <v>0</v>
      </c>
      <c r="D310" s="515">
        <f>D311</f>
        <v>0</v>
      </c>
      <c r="E310" s="515">
        <f>E311</f>
        <v>0</v>
      </c>
      <c r="F310" s="523" t="str">
        <f t="shared" si="17"/>
        <v/>
      </c>
      <c r="G310" s="467" t="str">
        <f t="shared" si="18"/>
        <v/>
      </c>
      <c r="H310" s="524" t="str">
        <f t="shared" si="19"/>
        <v>否</v>
      </c>
      <c r="I310" s="312" t="str">
        <f t="shared" si="16"/>
        <v>款</v>
      </c>
    </row>
    <row r="311" s="372" customFormat="1" ht="24" hidden="1" customHeight="1" spans="1:9">
      <c r="A311" s="531">
        <v>2039999</v>
      </c>
      <c r="B311" s="379" t="s">
        <v>392</v>
      </c>
      <c r="C311" s="516">
        <v>0</v>
      </c>
      <c r="D311" s="516">
        <f>'04'!F311</f>
        <v>0</v>
      </c>
      <c r="E311" s="525">
        <v>0</v>
      </c>
      <c r="F311" s="526" t="str">
        <f t="shared" si="17"/>
        <v/>
      </c>
      <c r="G311" s="470" t="str">
        <f t="shared" si="18"/>
        <v/>
      </c>
      <c r="H311" s="524" t="str">
        <f t="shared" si="19"/>
        <v>否</v>
      </c>
      <c r="I311" s="312" t="str">
        <f t="shared" si="16"/>
        <v>项</v>
      </c>
    </row>
    <row r="312" s="372" customFormat="1" ht="24" customHeight="1" spans="1:9">
      <c r="A312" s="329">
        <v>204</v>
      </c>
      <c r="B312" s="377" t="s">
        <v>178</v>
      </c>
      <c r="C312" s="515">
        <f>C313+C316+C327+C334+C342+C351+C365+C375+C385+C393+C399</f>
        <v>18644</v>
      </c>
      <c r="D312" s="515">
        <f>D313+D316+D327+D334+D342+D351+D365+D375+D385+D393+D399</f>
        <v>22295</v>
      </c>
      <c r="E312" s="515">
        <f>E313+E316+E327+E334+E342+E351+E365+E375+E385+E393+E399</f>
        <v>23874</v>
      </c>
      <c r="F312" s="523">
        <f t="shared" si="17"/>
        <v>0.280519201888007</v>
      </c>
      <c r="G312" s="467">
        <f t="shared" si="18"/>
        <v>0.0708230544965239</v>
      </c>
      <c r="H312" s="524" t="str">
        <f t="shared" si="19"/>
        <v>是</v>
      </c>
      <c r="I312" s="312" t="str">
        <f t="shared" si="16"/>
        <v>类</v>
      </c>
    </row>
    <row r="313" s="372" customFormat="1" ht="24" customHeight="1" spans="1:9">
      <c r="A313" s="330">
        <v>20401</v>
      </c>
      <c r="B313" s="379" t="s">
        <v>393</v>
      </c>
      <c r="C313" s="515">
        <f>SUM(C314:C315)</f>
        <v>98</v>
      </c>
      <c r="D313" s="515">
        <f>SUM(D314:D315)</f>
        <v>141</v>
      </c>
      <c r="E313" s="515">
        <f>SUM(E314:E315)</f>
        <v>135</v>
      </c>
      <c r="F313" s="523">
        <f t="shared" si="17"/>
        <v>0.377551020408163</v>
      </c>
      <c r="G313" s="467">
        <f t="shared" si="18"/>
        <v>-0.0425531914893617</v>
      </c>
      <c r="H313" s="524" t="str">
        <f t="shared" si="19"/>
        <v>是</v>
      </c>
      <c r="I313" s="312" t="str">
        <f t="shared" si="16"/>
        <v>款</v>
      </c>
    </row>
    <row r="314" s="372" customFormat="1" ht="24" hidden="1" customHeight="1" spans="1:9">
      <c r="A314" s="330">
        <v>2040101</v>
      </c>
      <c r="B314" s="379" t="s">
        <v>394</v>
      </c>
      <c r="C314" s="516">
        <v>0</v>
      </c>
      <c r="D314" s="516">
        <f>'04'!F314</f>
        <v>0</v>
      </c>
      <c r="E314" s="525">
        <v>0</v>
      </c>
      <c r="F314" s="526" t="str">
        <f t="shared" si="17"/>
        <v/>
      </c>
      <c r="G314" s="470" t="str">
        <f t="shared" si="18"/>
        <v/>
      </c>
      <c r="H314" s="524" t="str">
        <f t="shared" si="19"/>
        <v>否</v>
      </c>
      <c r="I314" s="312" t="str">
        <f t="shared" si="16"/>
        <v>项</v>
      </c>
    </row>
    <row r="315" s="372" customFormat="1" ht="24" customHeight="1" spans="1:9">
      <c r="A315" s="330">
        <v>2040199</v>
      </c>
      <c r="B315" s="379" t="s">
        <v>395</v>
      </c>
      <c r="C315" s="516">
        <v>98</v>
      </c>
      <c r="D315" s="516">
        <f>'04'!F315</f>
        <v>141</v>
      </c>
      <c r="E315" s="525">
        <v>135</v>
      </c>
      <c r="F315" s="526">
        <f t="shared" si="17"/>
        <v>0.377551020408163</v>
      </c>
      <c r="G315" s="470">
        <f t="shared" si="18"/>
        <v>-0.0425531914893617</v>
      </c>
      <c r="H315" s="524" t="str">
        <f t="shared" si="19"/>
        <v>是</v>
      </c>
      <c r="I315" s="312" t="str">
        <f t="shared" si="16"/>
        <v>项</v>
      </c>
    </row>
    <row r="316" s="372" customFormat="1" ht="24" customHeight="1" spans="1:9">
      <c r="A316" s="330">
        <v>20402</v>
      </c>
      <c r="B316" s="379" t="s">
        <v>396</v>
      </c>
      <c r="C316" s="515">
        <f>SUM(C317:C326)</f>
        <v>17129</v>
      </c>
      <c r="D316" s="515">
        <f>SUM(D317:D326)</f>
        <v>20713</v>
      </c>
      <c r="E316" s="515">
        <f>SUM(E317:E326)</f>
        <v>22229</v>
      </c>
      <c r="F316" s="523">
        <f t="shared" si="17"/>
        <v>0.29774067371125</v>
      </c>
      <c r="G316" s="467">
        <f t="shared" si="18"/>
        <v>0.0731907497706754</v>
      </c>
      <c r="H316" s="524" t="str">
        <f t="shared" si="19"/>
        <v>是</v>
      </c>
      <c r="I316" s="312" t="str">
        <f t="shared" si="16"/>
        <v>款</v>
      </c>
    </row>
    <row r="317" s="372" customFormat="1" ht="24" customHeight="1" spans="1:9">
      <c r="A317" s="330">
        <v>2040201</v>
      </c>
      <c r="B317" s="379" t="s">
        <v>212</v>
      </c>
      <c r="C317" s="516">
        <v>11256</v>
      </c>
      <c r="D317" s="516">
        <f>'04'!F317</f>
        <v>11789</v>
      </c>
      <c r="E317" s="525">
        <v>12285</v>
      </c>
      <c r="F317" s="526">
        <f t="shared" si="17"/>
        <v>0.0914179104477612</v>
      </c>
      <c r="G317" s="470">
        <f t="shared" si="18"/>
        <v>0.0420731190092459</v>
      </c>
      <c r="H317" s="524" t="str">
        <f t="shared" si="19"/>
        <v>是</v>
      </c>
      <c r="I317" s="312" t="str">
        <f t="shared" si="16"/>
        <v>项</v>
      </c>
    </row>
    <row r="318" ht="24" hidden="1" customHeight="1" spans="1:9">
      <c r="A318" s="330">
        <v>2040202</v>
      </c>
      <c r="B318" s="379" t="s">
        <v>213</v>
      </c>
      <c r="C318" s="516">
        <v>0</v>
      </c>
      <c r="D318" s="516">
        <f>'04'!F318</f>
        <v>0</v>
      </c>
      <c r="E318" s="525">
        <v>0</v>
      </c>
      <c r="F318" s="526" t="str">
        <f t="shared" si="17"/>
        <v/>
      </c>
      <c r="G318" s="470" t="str">
        <f t="shared" si="18"/>
        <v/>
      </c>
      <c r="H318" s="524" t="str">
        <f t="shared" si="19"/>
        <v>否</v>
      </c>
      <c r="I318" s="312" t="str">
        <f t="shared" si="16"/>
        <v>项</v>
      </c>
    </row>
    <row r="319" s="372" customFormat="1" ht="24" hidden="1" customHeight="1" spans="1:9">
      <c r="A319" s="330">
        <v>2040203</v>
      </c>
      <c r="B319" s="379" t="s">
        <v>214</v>
      </c>
      <c r="C319" s="516">
        <v>0</v>
      </c>
      <c r="D319" s="516">
        <f>'04'!F319</f>
        <v>0</v>
      </c>
      <c r="E319" s="525">
        <v>0</v>
      </c>
      <c r="F319" s="526" t="str">
        <f t="shared" si="17"/>
        <v/>
      </c>
      <c r="G319" s="470" t="str">
        <f t="shared" si="18"/>
        <v/>
      </c>
      <c r="H319" s="524" t="str">
        <f t="shared" si="19"/>
        <v>否</v>
      </c>
      <c r="I319" s="312" t="str">
        <f t="shared" si="16"/>
        <v>项</v>
      </c>
    </row>
    <row r="320" s="372" customFormat="1" ht="24" customHeight="1" spans="1:9">
      <c r="A320" s="330">
        <v>2040219</v>
      </c>
      <c r="B320" s="379" t="s">
        <v>252</v>
      </c>
      <c r="C320" s="516">
        <v>112</v>
      </c>
      <c r="D320" s="516">
        <f>'04'!F320</f>
        <v>1867</v>
      </c>
      <c r="E320" s="525">
        <v>1846</v>
      </c>
      <c r="F320" s="526">
        <f t="shared" si="17"/>
        <v>15.4821428571429</v>
      </c>
      <c r="G320" s="470">
        <f t="shared" si="18"/>
        <v>-0.0112479914301018</v>
      </c>
      <c r="H320" s="524" t="str">
        <f t="shared" si="19"/>
        <v>是</v>
      </c>
      <c r="I320" s="312" t="str">
        <f t="shared" si="16"/>
        <v>项</v>
      </c>
    </row>
    <row r="321" s="372" customFormat="1" ht="24" customHeight="1" spans="1:9">
      <c r="A321" s="330">
        <v>2040220</v>
      </c>
      <c r="B321" s="379" t="s">
        <v>397</v>
      </c>
      <c r="C321" s="516">
        <v>3768</v>
      </c>
      <c r="D321" s="516">
        <f>'04'!F321</f>
        <v>4417</v>
      </c>
      <c r="E321" s="525">
        <v>4825</v>
      </c>
      <c r="F321" s="526">
        <f t="shared" si="17"/>
        <v>0.28052016985138</v>
      </c>
      <c r="G321" s="470">
        <f t="shared" si="18"/>
        <v>0.0923703871405932</v>
      </c>
      <c r="H321" s="524" t="str">
        <f t="shared" si="19"/>
        <v>是</v>
      </c>
      <c r="I321" s="312" t="str">
        <f t="shared" si="16"/>
        <v>项</v>
      </c>
    </row>
    <row r="322" s="372" customFormat="1" ht="24" hidden="1" customHeight="1" spans="1:9">
      <c r="A322" s="330">
        <v>2040221</v>
      </c>
      <c r="B322" s="379" t="s">
        <v>398</v>
      </c>
      <c r="C322" s="516">
        <v>0</v>
      </c>
      <c r="D322" s="516">
        <f>'04'!F322</f>
        <v>0</v>
      </c>
      <c r="E322" s="525">
        <v>0</v>
      </c>
      <c r="F322" s="526" t="str">
        <f t="shared" si="17"/>
        <v/>
      </c>
      <c r="G322" s="470" t="str">
        <f t="shared" si="18"/>
        <v/>
      </c>
      <c r="H322" s="524" t="str">
        <f t="shared" si="19"/>
        <v>否</v>
      </c>
      <c r="I322" s="312" t="str">
        <f t="shared" si="16"/>
        <v>项</v>
      </c>
    </row>
    <row r="323" s="372" customFormat="1" ht="24" hidden="1" customHeight="1" spans="1:9">
      <c r="A323" s="330">
        <v>2040222</v>
      </c>
      <c r="B323" s="379" t="s">
        <v>399</v>
      </c>
      <c r="C323" s="516">
        <v>0</v>
      </c>
      <c r="D323" s="516">
        <f>'04'!F323</f>
        <v>0</v>
      </c>
      <c r="E323" s="525">
        <v>0</v>
      </c>
      <c r="F323" s="526" t="str">
        <f t="shared" si="17"/>
        <v/>
      </c>
      <c r="G323" s="470" t="str">
        <f t="shared" si="18"/>
        <v/>
      </c>
      <c r="H323" s="524" t="str">
        <f t="shared" si="19"/>
        <v>否</v>
      </c>
      <c r="I323" s="312" t="str">
        <f t="shared" si="16"/>
        <v>项</v>
      </c>
    </row>
    <row r="324" s="372" customFormat="1" ht="24" customHeight="1" spans="1:9">
      <c r="A324" s="330">
        <v>2040223</v>
      </c>
      <c r="B324" s="379" t="s">
        <v>400</v>
      </c>
      <c r="C324" s="516">
        <v>6</v>
      </c>
      <c r="D324" s="516">
        <f>'04'!F324</f>
        <v>0</v>
      </c>
      <c r="E324" s="525">
        <v>0</v>
      </c>
      <c r="F324" s="526">
        <f t="shared" si="17"/>
        <v>-1</v>
      </c>
      <c r="G324" s="470" t="str">
        <f t="shared" si="18"/>
        <v/>
      </c>
      <c r="H324" s="524" t="str">
        <f t="shared" si="19"/>
        <v>是</v>
      </c>
      <c r="I324" s="312" t="str">
        <f t="shared" si="16"/>
        <v>项</v>
      </c>
    </row>
    <row r="325" s="372" customFormat="1" ht="24" customHeight="1" spans="1:9">
      <c r="A325" s="330">
        <v>2040250</v>
      </c>
      <c r="B325" s="379" t="s">
        <v>221</v>
      </c>
      <c r="C325" s="516">
        <v>135</v>
      </c>
      <c r="D325" s="516">
        <f>'04'!F325</f>
        <v>112</v>
      </c>
      <c r="E325" s="525">
        <v>121</v>
      </c>
      <c r="F325" s="526">
        <f t="shared" si="17"/>
        <v>-0.103703703703704</v>
      </c>
      <c r="G325" s="470">
        <f t="shared" si="18"/>
        <v>0.0803571428571429</v>
      </c>
      <c r="H325" s="524" t="str">
        <f t="shared" si="19"/>
        <v>是</v>
      </c>
      <c r="I325" s="312" t="str">
        <f t="shared" ref="I325:I388" si="20">IF(LEN(A325)=3,"类",IF(LEN(A325)=5,"款","项"))</f>
        <v>项</v>
      </c>
    </row>
    <row r="326" s="372" customFormat="1" ht="24" customHeight="1" spans="1:9">
      <c r="A326" s="330">
        <v>2040299</v>
      </c>
      <c r="B326" s="379" t="s">
        <v>401</v>
      </c>
      <c r="C326" s="516">
        <v>1852</v>
      </c>
      <c r="D326" s="516">
        <f>'04'!F326</f>
        <v>2528</v>
      </c>
      <c r="E326" s="525">
        <v>3152</v>
      </c>
      <c r="F326" s="526">
        <f t="shared" ref="F326:F389" si="21">IFERROR((E326-C326)/C326,"")</f>
        <v>0.701943844492441</v>
      </c>
      <c r="G326" s="470">
        <f t="shared" ref="G326:G389" si="22">IFERROR((E326-D326)/D326,"")</f>
        <v>0.246835443037975</v>
      </c>
      <c r="H326" s="524" t="str">
        <f t="shared" ref="H326:H389" si="23">IF(LEN(A326)=3,"是",IF(B326&lt;&gt;"",IF(SUM(C326:E326)&lt;&gt;0,"是","否"),"是"))</f>
        <v>是</v>
      </c>
      <c r="I326" s="312" t="str">
        <f t="shared" si="20"/>
        <v>项</v>
      </c>
    </row>
    <row r="327" s="372" customFormat="1" ht="24" customHeight="1" spans="1:9">
      <c r="A327" s="330">
        <v>20403</v>
      </c>
      <c r="B327" s="379" t="s">
        <v>402</v>
      </c>
      <c r="C327" s="515">
        <f>SUM(C328:C333)</f>
        <v>23</v>
      </c>
      <c r="D327" s="515">
        <f>SUM(D328:D333)</f>
        <v>50</v>
      </c>
      <c r="E327" s="515">
        <f>SUM(E328:E333)</f>
        <v>50</v>
      </c>
      <c r="F327" s="523">
        <f t="shared" si="21"/>
        <v>1.17391304347826</v>
      </c>
      <c r="G327" s="467">
        <f t="shared" si="22"/>
        <v>0</v>
      </c>
      <c r="H327" s="524" t="str">
        <f t="shared" si="23"/>
        <v>是</v>
      </c>
      <c r="I327" s="312" t="str">
        <f t="shared" si="20"/>
        <v>款</v>
      </c>
    </row>
    <row r="328" ht="24" hidden="1" customHeight="1" spans="1:9">
      <c r="A328" s="330">
        <v>2040301</v>
      </c>
      <c r="B328" s="379" t="s">
        <v>212</v>
      </c>
      <c r="C328" s="516">
        <v>0</v>
      </c>
      <c r="D328" s="516">
        <f>'04'!F328</f>
        <v>0</v>
      </c>
      <c r="E328" s="525">
        <v>0</v>
      </c>
      <c r="F328" s="526" t="str">
        <f t="shared" si="21"/>
        <v/>
      </c>
      <c r="G328" s="470" t="str">
        <f t="shared" si="22"/>
        <v/>
      </c>
      <c r="H328" s="524" t="str">
        <f t="shared" si="23"/>
        <v>否</v>
      </c>
      <c r="I328" s="312" t="str">
        <f t="shared" si="20"/>
        <v>项</v>
      </c>
    </row>
    <row r="329" s="372" customFormat="1" ht="24" hidden="1" customHeight="1" spans="1:9">
      <c r="A329" s="330">
        <v>2040302</v>
      </c>
      <c r="B329" s="379" t="s">
        <v>213</v>
      </c>
      <c r="C329" s="516">
        <v>0</v>
      </c>
      <c r="D329" s="516">
        <f>'04'!F329</f>
        <v>0</v>
      </c>
      <c r="E329" s="525">
        <v>0</v>
      </c>
      <c r="F329" s="526" t="str">
        <f t="shared" si="21"/>
        <v/>
      </c>
      <c r="G329" s="470" t="str">
        <f t="shared" si="22"/>
        <v/>
      </c>
      <c r="H329" s="524" t="str">
        <f t="shared" si="23"/>
        <v>否</v>
      </c>
      <c r="I329" s="312" t="str">
        <f t="shared" si="20"/>
        <v>项</v>
      </c>
    </row>
    <row r="330" ht="24" hidden="1" customHeight="1" spans="1:9">
      <c r="A330" s="330">
        <v>2040303</v>
      </c>
      <c r="B330" s="379" t="s">
        <v>214</v>
      </c>
      <c r="C330" s="516">
        <v>0</v>
      </c>
      <c r="D330" s="516">
        <f>'04'!F330</f>
        <v>0</v>
      </c>
      <c r="E330" s="525">
        <v>0</v>
      </c>
      <c r="F330" s="526" t="str">
        <f t="shared" si="21"/>
        <v/>
      </c>
      <c r="G330" s="470" t="str">
        <f t="shared" si="22"/>
        <v/>
      </c>
      <c r="H330" s="524" t="str">
        <f t="shared" si="23"/>
        <v>否</v>
      </c>
      <c r="I330" s="312" t="str">
        <f t="shared" si="20"/>
        <v>项</v>
      </c>
    </row>
    <row r="331" ht="24" hidden="1" customHeight="1" spans="1:9">
      <c r="A331" s="330">
        <v>2040304</v>
      </c>
      <c r="B331" s="379" t="s">
        <v>403</v>
      </c>
      <c r="C331" s="516">
        <v>0</v>
      </c>
      <c r="D331" s="516">
        <f>'04'!F331</f>
        <v>0</v>
      </c>
      <c r="E331" s="525">
        <v>0</v>
      </c>
      <c r="F331" s="526" t="str">
        <f t="shared" si="21"/>
        <v/>
      </c>
      <c r="G331" s="470" t="str">
        <f t="shared" si="22"/>
        <v/>
      </c>
      <c r="H331" s="524" t="str">
        <f t="shared" si="23"/>
        <v>否</v>
      </c>
      <c r="I331" s="312" t="str">
        <f t="shared" si="20"/>
        <v>项</v>
      </c>
    </row>
    <row r="332" s="372" customFormat="1" ht="24" hidden="1" customHeight="1" spans="1:9">
      <c r="A332" s="330">
        <v>2040350</v>
      </c>
      <c r="B332" s="379" t="s">
        <v>221</v>
      </c>
      <c r="C332" s="516">
        <v>0</v>
      </c>
      <c r="D332" s="516">
        <f>'04'!F332</f>
        <v>0</v>
      </c>
      <c r="E332" s="525">
        <v>0</v>
      </c>
      <c r="F332" s="526" t="str">
        <f t="shared" si="21"/>
        <v/>
      </c>
      <c r="G332" s="470" t="str">
        <f t="shared" si="22"/>
        <v/>
      </c>
      <c r="H332" s="524" t="str">
        <f t="shared" si="23"/>
        <v>否</v>
      </c>
      <c r="I332" s="312" t="str">
        <f t="shared" si="20"/>
        <v>项</v>
      </c>
    </row>
    <row r="333" s="372" customFormat="1" ht="24" customHeight="1" spans="1:9">
      <c r="A333" s="330">
        <v>2040399</v>
      </c>
      <c r="B333" s="379" t="s">
        <v>404</v>
      </c>
      <c r="C333" s="516">
        <v>23</v>
      </c>
      <c r="D333" s="516">
        <f>'04'!F333</f>
        <v>50</v>
      </c>
      <c r="E333" s="525">
        <v>50</v>
      </c>
      <c r="F333" s="526">
        <f t="shared" si="21"/>
        <v>1.17391304347826</v>
      </c>
      <c r="G333" s="470">
        <f t="shared" si="22"/>
        <v>0</v>
      </c>
      <c r="H333" s="524" t="str">
        <f t="shared" si="23"/>
        <v>是</v>
      </c>
      <c r="I333" s="312" t="str">
        <f t="shared" si="20"/>
        <v>项</v>
      </c>
    </row>
    <row r="334" ht="24" customHeight="1" spans="1:9">
      <c r="A334" s="330">
        <v>20404</v>
      </c>
      <c r="B334" s="379" t="s">
        <v>405</v>
      </c>
      <c r="C334" s="515">
        <f>SUM(C335:C341)</f>
        <v>11</v>
      </c>
      <c r="D334" s="515">
        <f>SUM(D335:D341)</f>
        <v>9</v>
      </c>
      <c r="E334" s="515">
        <f>SUM(E335:E341)</f>
        <v>30</v>
      </c>
      <c r="F334" s="523">
        <f t="shared" si="21"/>
        <v>1.72727272727273</v>
      </c>
      <c r="G334" s="467">
        <f t="shared" si="22"/>
        <v>2.33333333333333</v>
      </c>
      <c r="H334" s="524" t="str">
        <f t="shared" si="23"/>
        <v>是</v>
      </c>
      <c r="I334" s="312" t="str">
        <f t="shared" si="20"/>
        <v>款</v>
      </c>
    </row>
    <row r="335" s="372" customFormat="1" ht="24" customHeight="1" spans="1:9">
      <c r="A335" s="330">
        <v>2040401</v>
      </c>
      <c r="B335" s="379" t="s">
        <v>212</v>
      </c>
      <c r="C335" s="516">
        <v>1</v>
      </c>
      <c r="D335" s="516">
        <f>'04'!F335</f>
        <v>0</v>
      </c>
      <c r="E335" s="525">
        <v>0</v>
      </c>
      <c r="F335" s="526">
        <f t="shared" si="21"/>
        <v>-1</v>
      </c>
      <c r="G335" s="470" t="str">
        <f t="shared" si="22"/>
        <v/>
      </c>
      <c r="H335" s="524" t="str">
        <f t="shared" si="23"/>
        <v>是</v>
      </c>
      <c r="I335" s="312" t="str">
        <f t="shared" si="20"/>
        <v>项</v>
      </c>
    </row>
    <row r="336" s="372" customFormat="1" ht="24" hidden="1" customHeight="1" spans="1:9">
      <c r="A336" s="330">
        <v>2040402</v>
      </c>
      <c r="B336" s="379" t="s">
        <v>213</v>
      </c>
      <c r="C336" s="516">
        <v>0</v>
      </c>
      <c r="D336" s="516">
        <f>'04'!F336</f>
        <v>0</v>
      </c>
      <c r="E336" s="525">
        <v>0</v>
      </c>
      <c r="F336" s="526" t="str">
        <f t="shared" si="21"/>
        <v/>
      </c>
      <c r="G336" s="470" t="str">
        <f t="shared" si="22"/>
        <v/>
      </c>
      <c r="H336" s="524" t="str">
        <f t="shared" si="23"/>
        <v>否</v>
      </c>
      <c r="I336" s="312" t="str">
        <f t="shared" si="20"/>
        <v>项</v>
      </c>
    </row>
    <row r="337" s="372" customFormat="1" ht="24" hidden="1" customHeight="1" spans="1:9">
      <c r="A337" s="330">
        <v>2040403</v>
      </c>
      <c r="B337" s="379" t="s">
        <v>214</v>
      </c>
      <c r="C337" s="516">
        <v>0</v>
      </c>
      <c r="D337" s="516">
        <f>'04'!F337</f>
        <v>0</v>
      </c>
      <c r="E337" s="525">
        <v>0</v>
      </c>
      <c r="F337" s="526" t="str">
        <f t="shared" si="21"/>
        <v/>
      </c>
      <c r="G337" s="470" t="str">
        <f t="shared" si="22"/>
        <v/>
      </c>
      <c r="H337" s="524" t="str">
        <f t="shared" si="23"/>
        <v>否</v>
      </c>
      <c r="I337" s="312" t="str">
        <f t="shared" si="20"/>
        <v>项</v>
      </c>
    </row>
    <row r="338" s="372" customFormat="1" ht="24" hidden="1" customHeight="1" spans="1:9">
      <c r="A338" s="330">
        <v>2040409</v>
      </c>
      <c r="B338" s="379" t="s">
        <v>406</v>
      </c>
      <c r="C338" s="516">
        <v>0</v>
      </c>
      <c r="D338" s="516">
        <f>'04'!F338</f>
        <v>0</v>
      </c>
      <c r="E338" s="525">
        <v>0</v>
      </c>
      <c r="F338" s="526" t="str">
        <f t="shared" si="21"/>
        <v/>
      </c>
      <c r="G338" s="470" t="str">
        <f t="shared" si="22"/>
        <v/>
      </c>
      <c r="H338" s="524" t="str">
        <f t="shared" si="23"/>
        <v>否</v>
      </c>
      <c r="I338" s="312" t="str">
        <f t="shared" si="20"/>
        <v>项</v>
      </c>
    </row>
    <row r="339" s="372" customFormat="1" ht="24" customHeight="1" spans="1:9">
      <c r="A339" s="330">
        <v>2040410</v>
      </c>
      <c r="B339" s="379" t="s">
        <v>407</v>
      </c>
      <c r="C339" s="516">
        <v>0</v>
      </c>
      <c r="D339" s="516">
        <f>'04'!F339</f>
        <v>0</v>
      </c>
      <c r="E339" s="525">
        <v>30</v>
      </c>
      <c r="F339" s="526" t="str">
        <f t="shared" si="21"/>
        <v/>
      </c>
      <c r="G339" s="470" t="str">
        <f t="shared" si="22"/>
        <v/>
      </c>
      <c r="H339" s="524" t="str">
        <f t="shared" si="23"/>
        <v>是</v>
      </c>
      <c r="I339" s="312" t="str">
        <f t="shared" si="20"/>
        <v>项</v>
      </c>
    </row>
    <row r="340" s="372" customFormat="1" ht="24" hidden="1" customHeight="1" spans="1:9">
      <c r="A340" s="330">
        <v>2040450</v>
      </c>
      <c r="B340" s="379" t="s">
        <v>221</v>
      </c>
      <c r="C340" s="516">
        <v>0</v>
      </c>
      <c r="D340" s="516">
        <f>'04'!F340</f>
        <v>0</v>
      </c>
      <c r="E340" s="525">
        <v>0</v>
      </c>
      <c r="F340" s="526" t="str">
        <f t="shared" si="21"/>
        <v/>
      </c>
      <c r="G340" s="470" t="str">
        <f t="shared" si="22"/>
        <v/>
      </c>
      <c r="H340" s="524" t="str">
        <f t="shared" si="23"/>
        <v>否</v>
      </c>
      <c r="I340" s="312" t="str">
        <f t="shared" si="20"/>
        <v>项</v>
      </c>
    </row>
    <row r="341" s="372" customFormat="1" ht="24" customHeight="1" spans="1:9">
      <c r="A341" s="330">
        <v>2040499</v>
      </c>
      <c r="B341" s="379" t="s">
        <v>408</v>
      </c>
      <c r="C341" s="516">
        <v>10</v>
      </c>
      <c r="D341" s="516">
        <f>'04'!F341</f>
        <v>9</v>
      </c>
      <c r="E341" s="525">
        <v>0</v>
      </c>
      <c r="F341" s="526">
        <f t="shared" si="21"/>
        <v>-1</v>
      </c>
      <c r="G341" s="470">
        <f t="shared" si="22"/>
        <v>-1</v>
      </c>
      <c r="H341" s="524" t="str">
        <f t="shared" si="23"/>
        <v>是</v>
      </c>
      <c r="I341" s="312" t="str">
        <f t="shared" si="20"/>
        <v>项</v>
      </c>
    </row>
    <row r="342" s="372" customFormat="1" ht="24" customHeight="1" spans="1:9">
      <c r="A342" s="330">
        <v>20405</v>
      </c>
      <c r="B342" s="379" t="s">
        <v>409</v>
      </c>
      <c r="C342" s="515">
        <f>SUM(C343:C350)</f>
        <v>10</v>
      </c>
      <c r="D342" s="515">
        <f>SUM(D343:D350)</f>
        <v>12</v>
      </c>
      <c r="E342" s="515">
        <f>SUM(E343:E350)</f>
        <v>30</v>
      </c>
      <c r="F342" s="523">
        <f t="shared" si="21"/>
        <v>2</v>
      </c>
      <c r="G342" s="467">
        <f t="shared" si="22"/>
        <v>1.5</v>
      </c>
      <c r="H342" s="524" t="str">
        <f t="shared" si="23"/>
        <v>是</v>
      </c>
      <c r="I342" s="312" t="str">
        <f t="shared" si="20"/>
        <v>款</v>
      </c>
    </row>
    <row r="343" s="372" customFormat="1" ht="24" hidden="1" customHeight="1" spans="1:9">
      <c r="A343" s="330">
        <v>2040501</v>
      </c>
      <c r="B343" s="379" t="s">
        <v>212</v>
      </c>
      <c r="C343" s="516">
        <v>0</v>
      </c>
      <c r="D343" s="516">
        <f>'04'!F343</f>
        <v>0</v>
      </c>
      <c r="E343" s="525">
        <v>0</v>
      </c>
      <c r="F343" s="526" t="str">
        <f t="shared" si="21"/>
        <v/>
      </c>
      <c r="G343" s="470" t="str">
        <f t="shared" si="22"/>
        <v/>
      </c>
      <c r="H343" s="524" t="str">
        <f t="shared" si="23"/>
        <v>否</v>
      </c>
      <c r="I343" s="312" t="str">
        <f t="shared" si="20"/>
        <v>项</v>
      </c>
    </row>
    <row r="344" s="372" customFormat="1" ht="24" hidden="1" customHeight="1" spans="1:9">
      <c r="A344" s="330">
        <v>2040502</v>
      </c>
      <c r="B344" s="379" t="s">
        <v>213</v>
      </c>
      <c r="C344" s="516">
        <v>0</v>
      </c>
      <c r="D344" s="516">
        <f>'04'!F344</f>
        <v>0</v>
      </c>
      <c r="E344" s="525">
        <v>0</v>
      </c>
      <c r="F344" s="526" t="str">
        <f t="shared" si="21"/>
        <v/>
      </c>
      <c r="G344" s="470" t="str">
        <f t="shared" si="22"/>
        <v/>
      </c>
      <c r="H344" s="524" t="str">
        <f t="shared" si="23"/>
        <v>否</v>
      </c>
      <c r="I344" s="312" t="str">
        <f t="shared" si="20"/>
        <v>项</v>
      </c>
    </row>
    <row r="345" ht="24" hidden="1" customHeight="1" spans="1:9">
      <c r="A345" s="330">
        <v>2040503</v>
      </c>
      <c r="B345" s="379" t="s">
        <v>214</v>
      </c>
      <c r="C345" s="516">
        <v>0</v>
      </c>
      <c r="D345" s="516">
        <f>'04'!F345</f>
        <v>0</v>
      </c>
      <c r="E345" s="525">
        <v>0</v>
      </c>
      <c r="F345" s="526" t="str">
        <f t="shared" si="21"/>
        <v/>
      </c>
      <c r="G345" s="470" t="str">
        <f t="shared" si="22"/>
        <v/>
      </c>
      <c r="H345" s="524" t="str">
        <f t="shared" si="23"/>
        <v>否</v>
      </c>
      <c r="I345" s="312" t="str">
        <f t="shared" si="20"/>
        <v>项</v>
      </c>
    </row>
    <row r="346" s="372" customFormat="1" ht="24" customHeight="1" spans="1:9">
      <c r="A346" s="330">
        <v>2040504</v>
      </c>
      <c r="B346" s="379" t="s">
        <v>410</v>
      </c>
      <c r="C346" s="516">
        <v>0</v>
      </c>
      <c r="D346" s="516">
        <f>'04'!F346</f>
        <v>3</v>
      </c>
      <c r="E346" s="525">
        <v>0</v>
      </c>
      <c r="F346" s="526" t="str">
        <f t="shared" si="21"/>
        <v/>
      </c>
      <c r="G346" s="470">
        <f t="shared" si="22"/>
        <v>-1</v>
      </c>
      <c r="H346" s="524" t="str">
        <f t="shared" si="23"/>
        <v>是</v>
      </c>
      <c r="I346" s="312" t="str">
        <f t="shared" si="20"/>
        <v>项</v>
      </c>
    </row>
    <row r="347" s="372" customFormat="1" ht="24" hidden="1" customHeight="1" spans="1:9">
      <c r="A347" s="330">
        <v>2040505</v>
      </c>
      <c r="B347" s="379" t="s">
        <v>411</v>
      </c>
      <c r="C347" s="516">
        <v>0</v>
      </c>
      <c r="D347" s="516">
        <f>'04'!F347</f>
        <v>0</v>
      </c>
      <c r="E347" s="525">
        <v>0</v>
      </c>
      <c r="F347" s="526" t="str">
        <f t="shared" si="21"/>
        <v/>
      </c>
      <c r="G347" s="470" t="str">
        <f t="shared" si="22"/>
        <v/>
      </c>
      <c r="H347" s="524" t="str">
        <f t="shared" si="23"/>
        <v>否</v>
      </c>
      <c r="I347" s="312" t="str">
        <f t="shared" si="20"/>
        <v>项</v>
      </c>
    </row>
    <row r="348" s="372" customFormat="1" ht="24" hidden="1" customHeight="1" spans="1:9">
      <c r="A348" s="330">
        <v>2040506</v>
      </c>
      <c r="B348" s="379" t="s">
        <v>412</v>
      </c>
      <c r="C348" s="516">
        <v>0</v>
      </c>
      <c r="D348" s="516">
        <f>'04'!F348</f>
        <v>0</v>
      </c>
      <c r="E348" s="525">
        <v>0</v>
      </c>
      <c r="F348" s="526" t="str">
        <f t="shared" si="21"/>
        <v/>
      </c>
      <c r="G348" s="470" t="str">
        <f t="shared" si="22"/>
        <v/>
      </c>
      <c r="H348" s="524" t="str">
        <f t="shared" si="23"/>
        <v>否</v>
      </c>
      <c r="I348" s="312" t="str">
        <f t="shared" si="20"/>
        <v>项</v>
      </c>
    </row>
    <row r="349" s="372" customFormat="1" ht="24" hidden="1" customHeight="1" spans="1:9">
      <c r="A349" s="330">
        <v>2040550</v>
      </c>
      <c r="B349" s="379" t="s">
        <v>221</v>
      </c>
      <c r="C349" s="516">
        <v>0</v>
      </c>
      <c r="D349" s="516">
        <f>'04'!F349</f>
        <v>0</v>
      </c>
      <c r="E349" s="525">
        <v>0</v>
      </c>
      <c r="F349" s="526" t="str">
        <f t="shared" si="21"/>
        <v/>
      </c>
      <c r="G349" s="470" t="str">
        <f t="shared" si="22"/>
        <v/>
      </c>
      <c r="H349" s="524" t="str">
        <f t="shared" si="23"/>
        <v>否</v>
      </c>
      <c r="I349" s="312" t="str">
        <f t="shared" si="20"/>
        <v>项</v>
      </c>
    </row>
    <row r="350" s="372" customFormat="1" ht="24" customHeight="1" spans="1:9">
      <c r="A350" s="330">
        <v>2040599</v>
      </c>
      <c r="B350" s="379" t="s">
        <v>413</v>
      </c>
      <c r="C350" s="516">
        <v>10</v>
      </c>
      <c r="D350" s="516">
        <f>'04'!F350</f>
        <v>9</v>
      </c>
      <c r="E350" s="525">
        <v>30</v>
      </c>
      <c r="F350" s="526">
        <f t="shared" si="21"/>
        <v>2</v>
      </c>
      <c r="G350" s="470">
        <f t="shared" si="22"/>
        <v>2.33333333333333</v>
      </c>
      <c r="H350" s="524" t="str">
        <f t="shared" si="23"/>
        <v>是</v>
      </c>
      <c r="I350" s="312" t="str">
        <f t="shared" si="20"/>
        <v>项</v>
      </c>
    </row>
    <row r="351" s="372" customFormat="1" ht="24" customHeight="1" spans="1:9">
      <c r="A351" s="330">
        <v>20406</v>
      </c>
      <c r="B351" s="379" t="s">
        <v>414</v>
      </c>
      <c r="C351" s="515">
        <f>SUM(C352:C364)</f>
        <v>1183</v>
      </c>
      <c r="D351" s="515">
        <f>SUM(D352:D364)</f>
        <v>1287</v>
      </c>
      <c r="E351" s="515">
        <f>SUM(E352:E364)</f>
        <v>1322</v>
      </c>
      <c r="F351" s="523">
        <f t="shared" si="21"/>
        <v>0.117497886728656</v>
      </c>
      <c r="G351" s="467">
        <f t="shared" si="22"/>
        <v>0.0271950271950272</v>
      </c>
      <c r="H351" s="524" t="str">
        <f t="shared" si="23"/>
        <v>是</v>
      </c>
      <c r="I351" s="312" t="str">
        <f t="shared" si="20"/>
        <v>款</v>
      </c>
    </row>
    <row r="352" ht="24" customHeight="1" spans="1:9">
      <c r="A352" s="330">
        <v>2040601</v>
      </c>
      <c r="B352" s="379" t="s">
        <v>212</v>
      </c>
      <c r="C352" s="516">
        <v>785</v>
      </c>
      <c r="D352" s="516">
        <f>'04'!F352</f>
        <v>751</v>
      </c>
      <c r="E352" s="525">
        <v>768</v>
      </c>
      <c r="F352" s="526">
        <f t="shared" si="21"/>
        <v>-0.021656050955414</v>
      </c>
      <c r="G352" s="470">
        <f t="shared" si="22"/>
        <v>0.0226364846870839</v>
      </c>
      <c r="H352" s="524" t="str">
        <f t="shared" si="23"/>
        <v>是</v>
      </c>
      <c r="I352" s="312" t="str">
        <f t="shared" si="20"/>
        <v>项</v>
      </c>
    </row>
    <row r="353" s="372" customFormat="1" ht="24" hidden="1" customHeight="1" spans="1:9">
      <c r="A353" s="330">
        <v>2040602</v>
      </c>
      <c r="B353" s="379" t="s">
        <v>213</v>
      </c>
      <c r="C353" s="516">
        <v>0</v>
      </c>
      <c r="D353" s="516">
        <f>'04'!F353</f>
        <v>0</v>
      </c>
      <c r="E353" s="525">
        <v>0</v>
      </c>
      <c r="F353" s="526" t="str">
        <f t="shared" si="21"/>
        <v/>
      </c>
      <c r="G353" s="470" t="str">
        <f t="shared" si="22"/>
        <v/>
      </c>
      <c r="H353" s="524" t="str">
        <f t="shared" si="23"/>
        <v>否</v>
      </c>
      <c r="I353" s="312" t="str">
        <f t="shared" si="20"/>
        <v>项</v>
      </c>
    </row>
    <row r="354" s="372" customFormat="1" ht="24" hidden="1" customHeight="1" spans="1:9">
      <c r="A354" s="330">
        <v>2040603</v>
      </c>
      <c r="B354" s="379" t="s">
        <v>214</v>
      </c>
      <c r="C354" s="516">
        <v>0</v>
      </c>
      <c r="D354" s="516">
        <f>'04'!F354</f>
        <v>0</v>
      </c>
      <c r="E354" s="525">
        <v>0</v>
      </c>
      <c r="F354" s="526" t="str">
        <f t="shared" si="21"/>
        <v/>
      </c>
      <c r="G354" s="470" t="str">
        <f t="shared" si="22"/>
        <v/>
      </c>
      <c r="H354" s="524" t="str">
        <f t="shared" si="23"/>
        <v>否</v>
      </c>
      <c r="I354" s="312" t="str">
        <f t="shared" si="20"/>
        <v>项</v>
      </c>
    </row>
    <row r="355" s="372" customFormat="1" ht="24" customHeight="1" spans="1:9">
      <c r="A355" s="330">
        <v>2040604</v>
      </c>
      <c r="B355" s="379" t="s">
        <v>415</v>
      </c>
      <c r="C355" s="516">
        <v>56</v>
      </c>
      <c r="D355" s="516">
        <f>'04'!F355</f>
        <v>156</v>
      </c>
      <c r="E355" s="525">
        <v>165</v>
      </c>
      <c r="F355" s="526">
        <f t="shared" si="21"/>
        <v>1.94642857142857</v>
      </c>
      <c r="G355" s="470">
        <f t="shared" si="22"/>
        <v>0.0576923076923077</v>
      </c>
      <c r="H355" s="524" t="str">
        <f t="shared" si="23"/>
        <v>是</v>
      </c>
      <c r="I355" s="312" t="str">
        <f t="shared" si="20"/>
        <v>项</v>
      </c>
    </row>
    <row r="356" s="372" customFormat="1" ht="24" customHeight="1" spans="1:9">
      <c r="A356" s="330">
        <v>2040605</v>
      </c>
      <c r="B356" s="379" t="s">
        <v>416</v>
      </c>
      <c r="C356" s="516">
        <v>113</v>
      </c>
      <c r="D356" s="516">
        <f>'04'!F356</f>
        <v>44</v>
      </c>
      <c r="E356" s="525">
        <v>45</v>
      </c>
      <c r="F356" s="526">
        <f t="shared" si="21"/>
        <v>-0.601769911504425</v>
      </c>
      <c r="G356" s="470">
        <f t="shared" si="22"/>
        <v>0.0227272727272727</v>
      </c>
      <c r="H356" s="524" t="str">
        <f t="shared" si="23"/>
        <v>是</v>
      </c>
      <c r="I356" s="312" t="str">
        <f t="shared" si="20"/>
        <v>项</v>
      </c>
    </row>
    <row r="357" s="372" customFormat="1" ht="24" hidden="1" customHeight="1" spans="1:9">
      <c r="A357" s="532">
        <v>2040606</v>
      </c>
      <c r="B357" s="379" t="s">
        <v>417</v>
      </c>
      <c r="C357" s="516">
        <v>0</v>
      </c>
      <c r="D357" s="516">
        <f>'04'!F357</f>
        <v>0</v>
      </c>
      <c r="E357" s="525">
        <v>0</v>
      </c>
      <c r="F357" s="526" t="str">
        <f t="shared" si="21"/>
        <v/>
      </c>
      <c r="G357" s="470" t="str">
        <f t="shared" si="22"/>
        <v/>
      </c>
      <c r="H357" s="524" t="str">
        <f t="shared" si="23"/>
        <v>否</v>
      </c>
      <c r="I357" s="312" t="str">
        <f t="shared" si="20"/>
        <v>项</v>
      </c>
    </row>
    <row r="358" s="372" customFormat="1" ht="24" customHeight="1" spans="1:9">
      <c r="A358" s="532">
        <v>2040607</v>
      </c>
      <c r="B358" s="379" t="s">
        <v>418</v>
      </c>
      <c r="C358" s="516">
        <v>29</v>
      </c>
      <c r="D358" s="516">
        <f>'04'!F358</f>
        <v>62</v>
      </c>
      <c r="E358" s="525">
        <v>65</v>
      </c>
      <c r="F358" s="526">
        <f t="shared" si="21"/>
        <v>1.24137931034483</v>
      </c>
      <c r="G358" s="470">
        <f t="shared" si="22"/>
        <v>0.0483870967741935</v>
      </c>
      <c r="H358" s="524" t="str">
        <f t="shared" si="23"/>
        <v>是</v>
      </c>
      <c r="I358" s="312" t="str">
        <f t="shared" si="20"/>
        <v>项</v>
      </c>
    </row>
    <row r="359" s="372" customFormat="1" ht="24" customHeight="1" spans="1:9">
      <c r="A359" s="330">
        <v>2040608</v>
      </c>
      <c r="B359" s="379" t="s">
        <v>419</v>
      </c>
      <c r="C359" s="516">
        <v>11</v>
      </c>
      <c r="D359" s="516">
        <f>'04'!F359</f>
        <v>19</v>
      </c>
      <c r="E359" s="525">
        <v>21</v>
      </c>
      <c r="F359" s="526">
        <f t="shared" si="21"/>
        <v>0.909090909090909</v>
      </c>
      <c r="G359" s="470">
        <f t="shared" si="22"/>
        <v>0.105263157894737</v>
      </c>
      <c r="H359" s="524" t="str">
        <f t="shared" si="23"/>
        <v>是</v>
      </c>
      <c r="I359" s="312" t="str">
        <f t="shared" si="20"/>
        <v>项</v>
      </c>
    </row>
    <row r="360" ht="24" customHeight="1" spans="1:9">
      <c r="A360" s="330">
        <v>2040610</v>
      </c>
      <c r="B360" s="379" t="s">
        <v>420</v>
      </c>
      <c r="C360" s="516">
        <v>5</v>
      </c>
      <c r="D360" s="516">
        <f>'04'!F360</f>
        <v>11</v>
      </c>
      <c r="E360" s="525">
        <v>13</v>
      </c>
      <c r="F360" s="526">
        <f t="shared" si="21"/>
        <v>1.6</v>
      </c>
      <c r="G360" s="470">
        <f t="shared" si="22"/>
        <v>0.181818181818182</v>
      </c>
      <c r="H360" s="524" t="str">
        <f t="shared" si="23"/>
        <v>是</v>
      </c>
      <c r="I360" s="312" t="str">
        <f t="shared" si="20"/>
        <v>项</v>
      </c>
    </row>
    <row r="361" s="372" customFormat="1" ht="24" customHeight="1" spans="1:9">
      <c r="A361" s="330">
        <v>2040612</v>
      </c>
      <c r="B361" s="405" t="s">
        <v>421</v>
      </c>
      <c r="C361" s="516">
        <v>75</v>
      </c>
      <c r="D361" s="516">
        <f>'04'!F361</f>
        <v>47</v>
      </c>
      <c r="E361" s="525">
        <v>48</v>
      </c>
      <c r="F361" s="526">
        <f t="shared" si="21"/>
        <v>-0.36</v>
      </c>
      <c r="G361" s="470">
        <f t="shared" si="22"/>
        <v>0.0212765957446809</v>
      </c>
      <c r="H361" s="524" t="str">
        <f t="shared" si="23"/>
        <v>是</v>
      </c>
      <c r="I361" s="312" t="str">
        <f t="shared" si="20"/>
        <v>项</v>
      </c>
    </row>
    <row r="362" s="372" customFormat="1" ht="24" hidden="1" customHeight="1" spans="1:9">
      <c r="A362" s="330">
        <v>2040613</v>
      </c>
      <c r="B362" s="379" t="s">
        <v>252</v>
      </c>
      <c r="C362" s="516">
        <v>0</v>
      </c>
      <c r="D362" s="516">
        <f>'04'!F362</f>
        <v>0</v>
      </c>
      <c r="E362" s="525">
        <v>0</v>
      </c>
      <c r="F362" s="526" t="str">
        <f t="shared" si="21"/>
        <v/>
      </c>
      <c r="G362" s="470" t="str">
        <f t="shared" si="22"/>
        <v/>
      </c>
      <c r="H362" s="524" t="str">
        <f t="shared" si="23"/>
        <v>否</v>
      </c>
      <c r="I362" s="312" t="str">
        <f t="shared" si="20"/>
        <v>项</v>
      </c>
    </row>
    <row r="363" s="372" customFormat="1" ht="24" customHeight="1" spans="1:9">
      <c r="A363" s="330">
        <v>2040650</v>
      </c>
      <c r="B363" s="379" t="s">
        <v>221</v>
      </c>
      <c r="C363" s="516">
        <v>29</v>
      </c>
      <c r="D363" s="516">
        <f>'04'!F363</f>
        <v>40</v>
      </c>
      <c r="E363" s="525">
        <v>45</v>
      </c>
      <c r="F363" s="526">
        <f t="shared" si="21"/>
        <v>0.551724137931034</v>
      </c>
      <c r="G363" s="470">
        <f t="shared" si="22"/>
        <v>0.125</v>
      </c>
      <c r="H363" s="524" t="str">
        <f t="shared" si="23"/>
        <v>是</v>
      </c>
      <c r="I363" s="312" t="str">
        <f t="shared" si="20"/>
        <v>项</v>
      </c>
    </row>
    <row r="364" s="372" customFormat="1" ht="24" customHeight="1" spans="1:9">
      <c r="A364" s="330">
        <v>2040699</v>
      </c>
      <c r="B364" s="379" t="s">
        <v>422</v>
      </c>
      <c r="C364" s="516">
        <v>80</v>
      </c>
      <c r="D364" s="516">
        <f>'04'!F364</f>
        <v>157</v>
      </c>
      <c r="E364" s="525">
        <v>152</v>
      </c>
      <c r="F364" s="526">
        <f t="shared" si="21"/>
        <v>0.9</v>
      </c>
      <c r="G364" s="470">
        <f t="shared" si="22"/>
        <v>-0.0318471337579618</v>
      </c>
      <c r="H364" s="524" t="str">
        <f t="shared" si="23"/>
        <v>是</v>
      </c>
      <c r="I364" s="312" t="str">
        <f t="shared" si="20"/>
        <v>项</v>
      </c>
    </row>
    <row r="365" s="372" customFormat="1" ht="24" hidden="1" customHeight="1" spans="1:9">
      <c r="A365" s="330">
        <v>20407</v>
      </c>
      <c r="B365" s="379" t="s">
        <v>423</v>
      </c>
      <c r="C365" s="515">
        <f>SUM(C366:C374)</f>
        <v>0</v>
      </c>
      <c r="D365" s="515">
        <f>SUM(D366:D374)</f>
        <v>0</v>
      </c>
      <c r="E365" s="515">
        <f>SUM(E366:E374)</f>
        <v>0</v>
      </c>
      <c r="F365" s="523" t="str">
        <f t="shared" si="21"/>
        <v/>
      </c>
      <c r="G365" s="467" t="str">
        <f t="shared" si="22"/>
        <v/>
      </c>
      <c r="H365" s="524" t="str">
        <f t="shared" si="23"/>
        <v>否</v>
      </c>
      <c r="I365" s="312" t="str">
        <f t="shared" si="20"/>
        <v>款</v>
      </c>
    </row>
    <row r="366" s="372" customFormat="1" ht="24" hidden="1" customHeight="1" spans="1:9">
      <c r="A366" s="330">
        <v>2040701</v>
      </c>
      <c r="B366" s="379" t="s">
        <v>212</v>
      </c>
      <c r="C366" s="516"/>
      <c r="D366" s="516">
        <f>'04'!F366</f>
        <v>0</v>
      </c>
      <c r="E366" s="525">
        <v>0</v>
      </c>
      <c r="F366" s="526" t="str">
        <f t="shared" si="21"/>
        <v/>
      </c>
      <c r="G366" s="470" t="str">
        <f t="shared" si="22"/>
        <v/>
      </c>
      <c r="H366" s="524" t="str">
        <f t="shared" si="23"/>
        <v>否</v>
      </c>
      <c r="I366" s="312" t="str">
        <f t="shared" si="20"/>
        <v>项</v>
      </c>
    </row>
    <row r="367" s="372" customFormat="1" ht="24" hidden="1" customHeight="1" spans="1:9">
      <c r="A367" s="330">
        <v>2040702</v>
      </c>
      <c r="B367" s="379" t="s">
        <v>213</v>
      </c>
      <c r="C367" s="516"/>
      <c r="D367" s="516">
        <f>'04'!F367</f>
        <v>0</v>
      </c>
      <c r="E367" s="525">
        <v>0</v>
      </c>
      <c r="F367" s="526" t="str">
        <f t="shared" si="21"/>
        <v/>
      </c>
      <c r="G367" s="470" t="str">
        <f t="shared" si="22"/>
        <v/>
      </c>
      <c r="H367" s="524" t="str">
        <f t="shared" si="23"/>
        <v>否</v>
      </c>
      <c r="I367" s="312" t="str">
        <f t="shared" si="20"/>
        <v>项</v>
      </c>
    </row>
    <row r="368" s="372" customFormat="1" ht="24" hidden="1" customHeight="1" spans="1:9">
      <c r="A368" s="330">
        <v>2040703</v>
      </c>
      <c r="B368" s="379" t="s">
        <v>214</v>
      </c>
      <c r="C368" s="516"/>
      <c r="D368" s="516">
        <f>'04'!F368</f>
        <v>0</v>
      </c>
      <c r="E368" s="525">
        <v>0</v>
      </c>
      <c r="F368" s="526" t="str">
        <f t="shared" si="21"/>
        <v/>
      </c>
      <c r="G368" s="470" t="str">
        <f t="shared" si="22"/>
        <v/>
      </c>
      <c r="H368" s="524" t="str">
        <f t="shared" si="23"/>
        <v>否</v>
      </c>
      <c r="I368" s="312" t="str">
        <f t="shared" si="20"/>
        <v>项</v>
      </c>
    </row>
    <row r="369" ht="24" hidden="1" customHeight="1" spans="1:9">
      <c r="A369" s="330">
        <v>2040704</v>
      </c>
      <c r="B369" s="405" t="s">
        <v>424</v>
      </c>
      <c r="C369" s="516"/>
      <c r="D369" s="516">
        <f>'04'!F369</f>
        <v>0</v>
      </c>
      <c r="E369" s="525">
        <v>0</v>
      </c>
      <c r="F369" s="526" t="str">
        <f t="shared" si="21"/>
        <v/>
      </c>
      <c r="G369" s="470" t="str">
        <f t="shared" si="22"/>
        <v/>
      </c>
      <c r="H369" s="524" t="str">
        <f t="shared" si="23"/>
        <v>否</v>
      </c>
      <c r="I369" s="312" t="str">
        <f t="shared" si="20"/>
        <v>项</v>
      </c>
    </row>
    <row r="370" s="372" customFormat="1" ht="24" hidden="1" customHeight="1" spans="1:9">
      <c r="A370" s="330">
        <v>2040705</v>
      </c>
      <c r="B370" s="405" t="s">
        <v>425</v>
      </c>
      <c r="C370" s="516"/>
      <c r="D370" s="516">
        <f>'04'!F370</f>
        <v>0</v>
      </c>
      <c r="E370" s="525">
        <v>0</v>
      </c>
      <c r="F370" s="526" t="str">
        <f t="shared" si="21"/>
        <v/>
      </c>
      <c r="G370" s="470" t="str">
        <f t="shared" si="22"/>
        <v/>
      </c>
      <c r="H370" s="524" t="str">
        <f t="shared" si="23"/>
        <v>否</v>
      </c>
      <c r="I370" s="312" t="str">
        <f t="shared" si="20"/>
        <v>项</v>
      </c>
    </row>
    <row r="371" s="372" customFormat="1" ht="24" hidden="1" customHeight="1" spans="1:9">
      <c r="A371" s="330">
        <v>2040706</v>
      </c>
      <c r="B371" s="379" t="s">
        <v>426</v>
      </c>
      <c r="C371" s="516"/>
      <c r="D371" s="516">
        <f>'04'!F371</f>
        <v>0</v>
      </c>
      <c r="E371" s="525">
        <v>0</v>
      </c>
      <c r="F371" s="526" t="str">
        <f t="shared" si="21"/>
        <v/>
      </c>
      <c r="G371" s="470" t="str">
        <f t="shared" si="22"/>
        <v/>
      </c>
      <c r="H371" s="524" t="str">
        <f t="shared" si="23"/>
        <v>否</v>
      </c>
      <c r="I371" s="312" t="str">
        <f t="shared" si="20"/>
        <v>项</v>
      </c>
    </row>
    <row r="372" s="372" customFormat="1" ht="24" hidden="1" customHeight="1" spans="1:9">
      <c r="A372" s="330">
        <v>2040707</v>
      </c>
      <c r="B372" s="379" t="s">
        <v>252</v>
      </c>
      <c r="C372" s="516"/>
      <c r="D372" s="516">
        <f>'04'!F372</f>
        <v>0</v>
      </c>
      <c r="E372" s="525">
        <v>0</v>
      </c>
      <c r="F372" s="526" t="str">
        <f t="shared" si="21"/>
        <v/>
      </c>
      <c r="G372" s="470" t="str">
        <f t="shared" si="22"/>
        <v/>
      </c>
      <c r="H372" s="524" t="str">
        <f t="shared" si="23"/>
        <v>否</v>
      </c>
      <c r="I372" s="312" t="str">
        <f t="shared" si="20"/>
        <v>项</v>
      </c>
    </row>
    <row r="373" s="372" customFormat="1" ht="24" hidden="1" customHeight="1" spans="1:9">
      <c r="A373" s="330">
        <v>2040750</v>
      </c>
      <c r="B373" s="379" t="s">
        <v>221</v>
      </c>
      <c r="C373" s="516"/>
      <c r="D373" s="516">
        <f>'04'!F373</f>
        <v>0</v>
      </c>
      <c r="E373" s="525">
        <v>0</v>
      </c>
      <c r="F373" s="526" t="str">
        <f t="shared" si="21"/>
        <v/>
      </c>
      <c r="G373" s="470" t="str">
        <f t="shared" si="22"/>
        <v/>
      </c>
      <c r="H373" s="524" t="str">
        <f t="shared" si="23"/>
        <v>否</v>
      </c>
      <c r="I373" s="312" t="str">
        <f t="shared" si="20"/>
        <v>项</v>
      </c>
    </row>
    <row r="374" s="372" customFormat="1" ht="24" hidden="1" customHeight="1" spans="1:9">
      <c r="A374" s="330">
        <v>2040799</v>
      </c>
      <c r="B374" s="379" t="s">
        <v>427</v>
      </c>
      <c r="C374" s="516"/>
      <c r="D374" s="516">
        <f>'04'!F374</f>
        <v>0</v>
      </c>
      <c r="E374" s="525">
        <v>0</v>
      </c>
      <c r="F374" s="526" t="str">
        <f t="shared" si="21"/>
        <v/>
      </c>
      <c r="G374" s="470" t="str">
        <f t="shared" si="22"/>
        <v/>
      </c>
      <c r="H374" s="524" t="str">
        <f t="shared" si="23"/>
        <v>否</v>
      </c>
      <c r="I374" s="312" t="str">
        <f t="shared" si="20"/>
        <v>项</v>
      </c>
    </row>
    <row r="375" s="372" customFormat="1" ht="24" customHeight="1" spans="1:9">
      <c r="A375" s="330">
        <v>20408</v>
      </c>
      <c r="B375" s="379" t="s">
        <v>428</v>
      </c>
      <c r="C375" s="515">
        <f>SUM(C376:C384)</f>
        <v>20</v>
      </c>
      <c r="D375" s="515">
        <f>SUM(D376:D384)</f>
        <v>17</v>
      </c>
      <c r="E375" s="515">
        <f>SUM(E376:E384)</f>
        <v>20</v>
      </c>
      <c r="F375" s="523">
        <f t="shared" si="21"/>
        <v>0</v>
      </c>
      <c r="G375" s="467">
        <f t="shared" si="22"/>
        <v>0.176470588235294</v>
      </c>
      <c r="H375" s="524" t="str">
        <f t="shared" si="23"/>
        <v>是</v>
      </c>
      <c r="I375" s="312" t="str">
        <f t="shared" si="20"/>
        <v>款</v>
      </c>
    </row>
    <row r="376" s="372" customFormat="1" ht="24" hidden="1" customHeight="1" spans="1:9">
      <c r="A376" s="330">
        <v>2040801</v>
      </c>
      <c r="B376" s="379" t="s">
        <v>212</v>
      </c>
      <c r="C376" s="516">
        <v>0</v>
      </c>
      <c r="D376" s="516">
        <f>'04'!F376</f>
        <v>0</v>
      </c>
      <c r="E376" s="525">
        <v>0</v>
      </c>
      <c r="F376" s="526" t="str">
        <f t="shared" si="21"/>
        <v/>
      </c>
      <c r="G376" s="470" t="str">
        <f t="shared" si="22"/>
        <v/>
      </c>
      <c r="H376" s="524" t="str">
        <f t="shared" si="23"/>
        <v>否</v>
      </c>
      <c r="I376" s="312" t="str">
        <f t="shared" si="20"/>
        <v>项</v>
      </c>
    </row>
    <row r="377" s="372" customFormat="1" ht="24" hidden="1" customHeight="1" spans="1:9">
      <c r="A377" s="330">
        <v>2040802</v>
      </c>
      <c r="B377" s="379" t="s">
        <v>213</v>
      </c>
      <c r="C377" s="516">
        <v>0</v>
      </c>
      <c r="D377" s="516">
        <f>'04'!F377</f>
        <v>0</v>
      </c>
      <c r="E377" s="525">
        <v>0</v>
      </c>
      <c r="F377" s="526" t="str">
        <f t="shared" si="21"/>
        <v/>
      </c>
      <c r="G377" s="470" t="str">
        <f t="shared" si="22"/>
        <v/>
      </c>
      <c r="H377" s="524" t="str">
        <f t="shared" si="23"/>
        <v>否</v>
      </c>
      <c r="I377" s="312" t="str">
        <f t="shared" si="20"/>
        <v>项</v>
      </c>
    </row>
    <row r="378" s="372" customFormat="1" ht="24" hidden="1" customHeight="1" spans="1:9">
      <c r="A378" s="330">
        <v>2040803</v>
      </c>
      <c r="B378" s="379" t="s">
        <v>214</v>
      </c>
      <c r="C378" s="516">
        <v>0</v>
      </c>
      <c r="D378" s="516">
        <f>'04'!F378</f>
        <v>0</v>
      </c>
      <c r="E378" s="525">
        <v>0</v>
      </c>
      <c r="F378" s="526" t="str">
        <f t="shared" si="21"/>
        <v/>
      </c>
      <c r="G378" s="470" t="str">
        <f t="shared" si="22"/>
        <v/>
      </c>
      <c r="H378" s="524" t="str">
        <f t="shared" si="23"/>
        <v>否</v>
      </c>
      <c r="I378" s="312" t="str">
        <f t="shared" si="20"/>
        <v>项</v>
      </c>
    </row>
    <row r="379" s="372" customFormat="1" ht="24" hidden="1" customHeight="1" spans="1:9">
      <c r="A379" s="330">
        <v>2040804</v>
      </c>
      <c r="B379" s="379" t="s">
        <v>429</v>
      </c>
      <c r="C379" s="516">
        <v>0</v>
      </c>
      <c r="D379" s="516">
        <f>'04'!F379</f>
        <v>0</v>
      </c>
      <c r="E379" s="525">
        <v>0</v>
      </c>
      <c r="F379" s="526" t="str">
        <f t="shared" si="21"/>
        <v/>
      </c>
      <c r="G379" s="470" t="str">
        <f t="shared" si="22"/>
        <v/>
      </c>
      <c r="H379" s="524" t="str">
        <f t="shared" si="23"/>
        <v>否</v>
      </c>
      <c r="I379" s="312" t="str">
        <f t="shared" si="20"/>
        <v>项</v>
      </c>
    </row>
    <row r="380" s="372" customFormat="1" ht="24" hidden="1" customHeight="1" spans="1:9">
      <c r="A380" s="330">
        <v>2040805</v>
      </c>
      <c r="B380" s="379" t="s">
        <v>430</v>
      </c>
      <c r="C380" s="516">
        <v>0</v>
      </c>
      <c r="D380" s="516">
        <f>'04'!F380</f>
        <v>0</v>
      </c>
      <c r="E380" s="525">
        <v>0</v>
      </c>
      <c r="F380" s="526" t="str">
        <f t="shared" si="21"/>
        <v/>
      </c>
      <c r="G380" s="470" t="str">
        <f t="shared" si="22"/>
        <v/>
      </c>
      <c r="H380" s="524" t="str">
        <f t="shared" si="23"/>
        <v>否</v>
      </c>
      <c r="I380" s="312" t="str">
        <f t="shared" si="20"/>
        <v>项</v>
      </c>
    </row>
    <row r="381" s="372" customFormat="1" ht="24" hidden="1" customHeight="1" spans="1:9">
      <c r="A381" s="330">
        <v>2040806</v>
      </c>
      <c r="B381" s="379" t="s">
        <v>431</v>
      </c>
      <c r="C381" s="516">
        <v>0</v>
      </c>
      <c r="D381" s="516">
        <f>'04'!F381</f>
        <v>0</v>
      </c>
      <c r="E381" s="525">
        <v>0</v>
      </c>
      <c r="F381" s="526" t="str">
        <f t="shared" si="21"/>
        <v/>
      </c>
      <c r="G381" s="470" t="str">
        <f t="shared" si="22"/>
        <v/>
      </c>
      <c r="H381" s="524" t="str">
        <f t="shared" si="23"/>
        <v>否</v>
      </c>
      <c r="I381" s="312" t="str">
        <f t="shared" si="20"/>
        <v>项</v>
      </c>
    </row>
    <row r="382" s="372" customFormat="1" ht="24" hidden="1" customHeight="1" spans="1:9">
      <c r="A382" s="330">
        <v>2040807</v>
      </c>
      <c r="B382" s="379" t="s">
        <v>252</v>
      </c>
      <c r="C382" s="516">
        <v>0</v>
      </c>
      <c r="D382" s="516">
        <f>'04'!F382</f>
        <v>0</v>
      </c>
      <c r="E382" s="525">
        <v>0</v>
      </c>
      <c r="F382" s="526" t="str">
        <f t="shared" si="21"/>
        <v/>
      </c>
      <c r="G382" s="470" t="str">
        <f t="shared" si="22"/>
        <v/>
      </c>
      <c r="H382" s="524" t="str">
        <f t="shared" si="23"/>
        <v>否</v>
      </c>
      <c r="I382" s="312" t="str">
        <f t="shared" si="20"/>
        <v>项</v>
      </c>
    </row>
    <row r="383" ht="24" hidden="1" customHeight="1" spans="1:9">
      <c r="A383" s="330">
        <v>2040850</v>
      </c>
      <c r="B383" s="379" t="s">
        <v>221</v>
      </c>
      <c r="C383" s="516">
        <v>0</v>
      </c>
      <c r="D383" s="516">
        <f>'04'!F383</f>
        <v>0</v>
      </c>
      <c r="E383" s="525">
        <v>0</v>
      </c>
      <c r="F383" s="526" t="str">
        <f t="shared" si="21"/>
        <v/>
      </c>
      <c r="G383" s="470" t="str">
        <f t="shared" si="22"/>
        <v/>
      </c>
      <c r="H383" s="524" t="str">
        <f t="shared" si="23"/>
        <v>否</v>
      </c>
      <c r="I383" s="312" t="str">
        <f t="shared" si="20"/>
        <v>项</v>
      </c>
    </row>
    <row r="384" s="372" customFormat="1" ht="24" customHeight="1" spans="1:9">
      <c r="A384" s="330">
        <v>2040899</v>
      </c>
      <c r="B384" s="379" t="s">
        <v>432</v>
      </c>
      <c r="C384" s="516">
        <v>20</v>
      </c>
      <c r="D384" s="516">
        <f>'04'!F384</f>
        <v>17</v>
      </c>
      <c r="E384" s="525">
        <v>20</v>
      </c>
      <c r="F384" s="526">
        <f t="shared" si="21"/>
        <v>0</v>
      </c>
      <c r="G384" s="470">
        <f t="shared" si="22"/>
        <v>0.176470588235294</v>
      </c>
      <c r="H384" s="524" t="str">
        <f t="shared" si="23"/>
        <v>是</v>
      </c>
      <c r="I384" s="312" t="str">
        <f t="shared" si="20"/>
        <v>项</v>
      </c>
    </row>
    <row r="385" s="372" customFormat="1" ht="24" hidden="1" customHeight="1" spans="1:9">
      <c r="A385" s="330">
        <v>20409</v>
      </c>
      <c r="B385" s="379" t="s">
        <v>433</v>
      </c>
      <c r="C385" s="515">
        <f>SUM(C386:C392)</f>
        <v>0</v>
      </c>
      <c r="D385" s="515">
        <f>SUM(D386:D392)</f>
        <v>0</v>
      </c>
      <c r="E385" s="515">
        <f>SUM(E386:E392)</f>
        <v>0</v>
      </c>
      <c r="F385" s="523" t="str">
        <f t="shared" si="21"/>
        <v/>
      </c>
      <c r="G385" s="467" t="str">
        <f t="shared" si="22"/>
        <v/>
      </c>
      <c r="H385" s="524" t="str">
        <f t="shared" si="23"/>
        <v>否</v>
      </c>
      <c r="I385" s="312" t="str">
        <f t="shared" si="20"/>
        <v>款</v>
      </c>
    </row>
    <row r="386" s="372" customFormat="1" ht="24" hidden="1" customHeight="1" spans="1:9">
      <c r="A386" s="330">
        <v>2040901</v>
      </c>
      <c r="B386" s="379" t="s">
        <v>212</v>
      </c>
      <c r="C386" s="516"/>
      <c r="D386" s="516">
        <f>'04'!F386</f>
        <v>0</v>
      </c>
      <c r="E386" s="525">
        <v>0</v>
      </c>
      <c r="F386" s="526" t="str">
        <f t="shared" si="21"/>
        <v/>
      </c>
      <c r="G386" s="470" t="str">
        <f t="shared" si="22"/>
        <v/>
      </c>
      <c r="H386" s="524" t="str">
        <f t="shared" si="23"/>
        <v>否</v>
      </c>
      <c r="I386" s="312" t="str">
        <f t="shared" si="20"/>
        <v>项</v>
      </c>
    </row>
    <row r="387" s="372" customFormat="1" ht="24" hidden="1" customHeight="1" spans="1:9">
      <c r="A387" s="330">
        <v>2040902</v>
      </c>
      <c r="B387" s="379" t="s">
        <v>213</v>
      </c>
      <c r="C387" s="516"/>
      <c r="D387" s="516">
        <f>'04'!F387</f>
        <v>0</v>
      </c>
      <c r="E387" s="525">
        <v>0</v>
      </c>
      <c r="F387" s="526" t="str">
        <f t="shared" si="21"/>
        <v/>
      </c>
      <c r="G387" s="470" t="str">
        <f t="shared" si="22"/>
        <v/>
      </c>
      <c r="H387" s="524" t="str">
        <f t="shared" si="23"/>
        <v>否</v>
      </c>
      <c r="I387" s="312" t="str">
        <f t="shared" si="20"/>
        <v>项</v>
      </c>
    </row>
    <row r="388" s="372" customFormat="1" ht="24" hidden="1" customHeight="1" spans="1:9">
      <c r="A388" s="330">
        <v>2040903</v>
      </c>
      <c r="B388" s="379" t="s">
        <v>214</v>
      </c>
      <c r="C388" s="516"/>
      <c r="D388" s="516">
        <f>'04'!F388</f>
        <v>0</v>
      </c>
      <c r="E388" s="525">
        <v>0</v>
      </c>
      <c r="F388" s="526" t="str">
        <f t="shared" si="21"/>
        <v/>
      </c>
      <c r="G388" s="470" t="str">
        <f t="shared" si="22"/>
        <v/>
      </c>
      <c r="H388" s="524" t="str">
        <f t="shared" si="23"/>
        <v>否</v>
      </c>
      <c r="I388" s="312" t="str">
        <f t="shared" si="20"/>
        <v>项</v>
      </c>
    </row>
    <row r="389" s="372" customFormat="1" ht="24" hidden="1" customHeight="1" spans="1:9">
      <c r="A389" s="330">
        <v>2040904</v>
      </c>
      <c r="B389" s="379" t="s">
        <v>434</v>
      </c>
      <c r="C389" s="516"/>
      <c r="D389" s="516">
        <f>'04'!F389</f>
        <v>0</v>
      </c>
      <c r="E389" s="525">
        <v>0</v>
      </c>
      <c r="F389" s="526" t="str">
        <f t="shared" si="21"/>
        <v/>
      </c>
      <c r="G389" s="470" t="str">
        <f t="shared" si="22"/>
        <v/>
      </c>
      <c r="H389" s="524" t="str">
        <f t="shared" si="23"/>
        <v>否</v>
      </c>
      <c r="I389" s="312" t="str">
        <f t="shared" ref="I389:I452" si="24">IF(LEN(A389)=3,"类",IF(LEN(A389)=5,"款","项"))</f>
        <v>项</v>
      </c>
    </row>
    <row r="390" s="372" customFormat="1" ht="24" hidden="1" customHeight="1" spans="1:9">
      <c r="A390" s="330">
        <v>2040905</v>
      </c>
      <c r="B390" s="379" t="s">
        <v>435</v>
      </c>
      <c r="C390" s="516"/>
      <c r="D390" s="516">
        <f>'04'!F390</f>
        <v>0</v>
      </c>
      <c r="E390" s="525">
        <v>0</v>
      </c>
      <c r="F390" s="526" t="str">
        <f t="shared" ref="F390:F453" si="25">IFERROR((E390-C390)/C390,"")</f>
        <v/>
      </c>
      <c r="G390" s="470" t="str">
        <f t="shared" ref="G390:G453" si="26">IFERROR((E390-D390)/D390,"")</f>
        <v/>
      </c>
      <c r="H390" s="524" t="str">
        <f t="shared" ref="H390:H453" si="27">IF(LEN(A390)=3,"是",IF(B390&lt;&gt;"",IF(SUM(C390:E390)&lt;&gt;0,"是","否"),"是"))</f>
        <v>否</v>
      </c>
      <c r="I390" s="312" t="str">
        <f t="shared" si="24"/>
        <v>项</v>
      </c>
    </row>
    <row r="391" s="372" customFormat="1" ht="24" hidden="1" customHeight="1" spans="1:9">
      <c r="A391" s="330">
        <v>2040950</v>
      </c>
      <c r="B391" s="379" t="s">
        <v>221</v>
      </c>
      <c r="C391" s="516"/>
      <c r="D391" s="516">
        <f>'04'!F391</f>
        <v>0</v>
      </c>
      <c r="E391" s="525">
        <v>0</v>
      </c>
      <c r="F391" s="526" t="str">
        <f t="shared" si="25"/>
        <v/>
      </c>
      <c r="G391" s="470" t="str">
        <f t="shared" si="26"/>
        <v/>
      </c>
      <c r="H391" s="524" t="str">
        <f t="shared" si="27"/>
        <v>否</v>
      </c>
      <c r="I391" s="312" t="str">
        <f t="shared" si="24"/>
        <v>项</v>
      </c>
    </row>
    <row r="392" s="372" customFormat="1" ht="24" hidden="1" customHeight="1" spans="1:9">
      <c r="A392" s="330">
        <v>2040999</v>
      </c>
      <c r="B392" s="379" t="s">
        <v>436</v>
      </c>
      <c r="C392" s="516"/>
      <c r="D392" s="516">
        <f>'04'!F392</f>
        <v>0</v>
      </c>
      <c r="E392" s="525">
        <v>0</v>
      </c>
      <c r="F392" s="526" t="str">
        <f t="shared" si="25"/>
        <v/>
      </c>
      <c r="G392" s="470" t="str">
        <f t="shared" si="26"/>
        <v/>
      </c>
      <c r="H392" s="524" t="str">
        <f t="shared" si="27"/>
        <v>否</v>
      </c>
      <c r="I392" s="312" t="str">
        <f t="shared" si="24"/>
        <v>项</v>
      </c>
    </row>
    <row r="393" ht="24" hidden="1" customHeight="1" spans="1:9">
      <c r="A393" s="330">
        <v>20410</v>
      </c>
      <c r="B393" s="379" t="s">
        <v>437</v>
      </c>
      <c r="C393" s="515">
        <f>SUM(C394:C398)</f>
        <v>0</v>
      </c>
      <c r="D393" s="515">
        <f>SUM(D394:D398)</f>
        <v>0</v>
      </c>
      <c r="E393" s="515">
        <f>SUM(E394:E398)</f>
        <v>0</v>
      </c>
      <c r="F393" s="523" t="str">
        <f t="shared" si="25"/>
        <v/>
      </c>
      <c r="G393" s="467" t="str">
        <f t="shared" si="26"/>
        <v/>
      </c>
      <c r="H393" s="524" t="str">
        <f t="shared" si="27"/>
        <v>否</v>
      </c>
      <c r="I393" s="312" t="str">
        <f t="shared" si="24"/>
        <v>款</v>
      </c>
    </row>
    <row r="394" s="372" customFormat="1" ht="24" hidden="1" customHeight="1" spans="1:9">
      <c r="A394" s="330">
        <v>2041001</v>
      </c>
      <c r="B394" s="379" t="s">
        <v>212</v>
      </c>
      <c r="C394" s="516"/>
      <c r="D394" s="516">
        <f>'04'!F394</f>
        <v>0</v>
      </c>
      <c r="E394" s="525">
        <v>0</v>
      </c>
      <c r="F394" s="526" t="str">
        <f t="shared" si="25"/>
        <v/>
      </c>
      <c r="G394" s="470" t="str">
        <f t="shared" si="26"/>
        <v/>
      </c>
      <c r="H394" s="524" t="str">
        <f t="shared" si="27"/>
        <v>否</v>
      </c>
      <c r="I394" s="312" t="str">
        <f t="shared" si="24"/>
        <v>项</v>
      </c>
    </row>
    <row r="395" s="372" customFormat="1" ht="24" hidden="1" customHeight="1" spans="1:9">
      <c r="A395" s="330">
        <v>2041002</v>
      </c>
      <c r="B395" s="379" t="s">
        <v>213</v>
      </c>
      <c r="C395" s="516"/>
      <c r="D395" s="516">
        <f>'04'!F395</f>
        <v>0</v>
      </c>
      <c r="E395" s="525">
        <v>0</v>
      </c>
      <c r="F395" s="526" t="str">
        <f t="shared" si="25"/>
        <v/>
      </c>
      <c r="G395" s="470" t="str">
        <f t="shared" si="26"/>
        <v/>
      </c>
      <c r="H395" s="524" t="str">
        <f t="shared" si="27"/>
        <v>否</v>
      </c>
      <c r="I395" s="312" t="str">
        <f t="shared" si="24"/>
        <v>项</v>
      </c>
    </row>
    <row r="396" s="372" customFormat="1" ht="24" hidden="1" customHeight="1" spans="1:9">
      <c r="A396" s="330">
        <v>2041006</v>
      </c>
      <c r="B396" s="379" t="s">
        <v>252</v>
      </c>
      <c r="C396" s="516"/>
      <c r="D396" s="516">
        <f>'04'!F396</f>
        <v>0</v>
      </c>
      <c r="E396" s="525">
        <v>0</v>
      </c>
      <c r="F396" s="526" t="str">
        <f t="shared" si="25"/>
        <v/>
      </c>
      <c r="G396" s="470" t="str">
        <f t="shared" si="26"/>
        <v/>
      </c>
      <c r="H396" s="524" t="str">
        <f t="shared" si="27"/>
        <v>否</v>
      </c>
      <c r="I396" s="312" t="str">
        <f t="shared" si="24"/>
        <v>项</v>
      </c>
    </row>
    <row r="397" s="372" customFormat="1" ht="24" hidden="1" customHeight="1" spans="1:9">
      <c r="A397" s="330">
        <v>2041007</v>
      </c>
      <c r="B397" s="379" t="s">
        <v>438</v>
      </c>
      <c r="C397" s="516"/>
      <c r="D397" s="516">
        <f>'04'!F397</f>
        <v>0</v>
      </c>
      <c r="E397" s="525">
        <v>0</v>
      </c>
      <c r="F397" s="526" t="str">
        <f t="shared" si="25"/>
        <v/>
      </c>
      <c r="G397" s="470" t="str">
        <f t="shared" si="26"/>
        <v/>
      </c>
      <c r="H397" s="524" t="str">
        <f t="shared" si="27"/>
        <v>否</v>
      </c>
      <c r="I397" s="312" t="str">
        <f t="shared" si="24"/>
        <v>项</v>
      </c>
    </row>
    <row r="398" s="372" customFormat="1" ht="24" hidden="1" customHeight="1" spans="1:9">
      <c r="A398" s="330">
        <v>2041099</v>
      </c>
      <c r="B398" s="379" t="s">
        <v>439</v>
      </c>
      <c r="C398" s="516"/>
      <c r="D398" s="516">
        <f>'04'!F398</f>
        <v>0</v>
      </c>
      <c r="E398" s="525">
        <v>0</v>
      </c>
      <c r="F398" s="526" t="str">
        <f t="shared" si="25"/>
        <v/>
      </c>
      <c r="G398" s="470" t="str">
        <f t="shared" si="26"/>
        <v/>
      </c>
      <c r="H398" s="524" t="str">
        <f t="shared" si="27"/>
        <v>否</v>
      </c>
      <c r="I398" s="312" t="str">
        <f t="shared" si="24"/>
        <v>项</v>
      </c>
    </row>
    <row r="399" s="372" customFormat="1" ht="24" customHeight="1" spans="1:9">
      <c r="A399" s="330">
        <v>20499</v>
      </c>
      <c r="B399" s="379" t="s">
        <v>440</v>
      </c>
      <c r="C399" s="515">
        <f>SUM(C400:C401)</f>
        <v>170</v>
      </c>
      <c r="D399" s="515">
        <f>SUM(D400:D401)</f>
        <v>66</v>
      </c>
      <c r="E399" s="515">
        <f>SUM(E400:E401)</f>
        <v>58</v>
      </c>
      <c r="F399" s="523">
        <f t="shared" si="25"/>
        <v>-0.658823529411765</v>
      </c>
      <c r="G399" s="467">
        <f t="shared" si="26"/>
        <v>-0.121212121212121</v>
      </c>
      <c r="H399" s="524" t="str">
        <f t="shared" si="27"/>
        <v>是</v>
      </c>
      <c r="I399" s="312" t="str">
        <f t="shared" si="24"/>
        <v>款</v>
      </c>
    </row>
    <row r="400" s="372" customFormat="1" ht="24" customHeight="1" spans="1:9">
      <c r="A400" s="326">
        <v>2049902</v>
      </c>
      <c r="B400" s="379" t="s">
        <v>441</v>
      </c>
      <c r="C400" s="516">
        <v>20</v>
      </c>
      <c r="D400" s="516">
        <f>'04'!F400</f>
        <v>0</v>
      </c>
      <c r="E400" s="525">
        <v>0</v>
      </c>
      <c r="F400" s="526">
        <f t="shared" si="25"/>
        <v>-1</v>
      </c>
      <c r="G400" s="470" t="str">
        <f t="shared" si="26"/>
        <v/>
      </c>
      <c r="H400" s="524" t="str">
        <f t="shared" si="27"/>
        <v>是</v>
      </c>
      <c r="I400" s="312" t="str">
        <f t="shared" si="24"/>
        <v>项</v>
      </c>
    </row>
    <row r="401" s="372" customFormat="1" ht="24" customHeight="1" spans="1:9">
      <c r="A401" s="533">
        <v>2049999</v>
      </c>
      <c r="B401" s="379" t="s">
        <v>442</v>
      </c>
      <c r="C401" s="516">
        <v>150</v>
      </c>
      <c r="D401" s="516">
        <f>'04'!F401</f>
        <v>66</v>
      </c>
      <c r="E401" s="525">
        <v>58</v>
      </c>
      <c r="F401" s="526">
        <f t="shared" si="25"/>
        <v>-0.613333333333333</v>
      </c>
      <c r="G401" s="470">
        <f t="shared" si="26"/>
        <v>-0.121212121212121</v>
      </c>
      <c r="H401" s="524" t="str">
        <f t="shared" si="27"/>
        <v>是</v>
      </c>
      <c r="I401" s="312" t="str">
        <f t="shared" si="24"/>
        <v>项</v>
      </c>
    </row>
    <row r="402" s="372" customFormat="1" ht="24" customHeight="1" spans="1:9">
      <c r="A402" s="329">
        <v>205</v>
      </c>
      <c r="B402" s="377" t="s">
        <v>179</v>
      </c>
      <c r="C402" s="515">
        <f>C403+C408+C415+C421+C427+C431+C435+C439+C445+C452</f>
        <v>29431</v>
      </c>
      <c r="D402" s="515">
        <f>D403+D408+D415+D421+D427+D431+D435+D439+D445+D452</f>
        <v>38236</v>
      </c>
      <c r="E402" s="515">
        <f>E403+E408+E415+E421+E427+E431+E435+E439+E445+E452</f>
        <v>40974</v>
      </c>
      <c r="F402" s="523">
        <f t="shared" si="25"/>
        <v>0.392205497604567</v>
      </c>
      <c r="G402" s="467">
        <f t="shared" si="26"/>
        <v>0.0716079087770687</v>
      </c>
      <c r="H402" s="524" t="str">
        <f t="shared" si="27"/>
        <v>是</v>
      </c>
      <c r="I402" s="312" t="str">
        <f t="shared" si="24"/>
        <v>类</v>
      </c>
    </row>
    <row r="403" ht="24" customHeight="1" spans="1:9">
      <c r="A403" s="330">
        <v>20501</v>
      </c>
      <c r="B403" s="379" t="s">
        <v>443</v>
      </c>
      <c r="C403" s="515">
        <f>SUM(C404:C407)</f>
        <v>828</v>
      </c>
      <c r="D403" s="515">
        <f>SUM(D404:D407)</f>
        <v>713</v>
      </c>
      <c r="E403" s="515">
        <f>SUM(E404:E407)</f>
        <v>776</v>
      </c>
      <c r="F403" s="523">
        <f t="shared" si="25"/>
        <v>-0.0628019323671498</v>
      </c>
      <c r="G403" s="467">
        <f t="shared" si="26"/>
        <v>0.08835904628331</v>
      </c>
      <c r="H403" s="524" t="str">
        <f t="shared" si="27"/>
        <v>是</v>
      </c>
      <c r="I403" s="312" t="str">
        <f t="shared" si="24"/>
        <v>款</v>
      </c>
    </row>
    <row r="404" s="372" customFormat="1" ht="24" customHeight="1" spans="1:9">
      <c r="A404" s="330">
        <v>2050101</v>
      </c>
      <c r="B404" s="379" t="s">
        <v>212</v>
      </c>
      <c r="C404" s="516">
        <v>558</v>
      </c>
      <c r="D404" s="516">
        <f>'04'!F404</f>
        <v>552</v>
      </c>
      <c r="E404" s="525">
        <v>573</v>
      </c>
      <c r="F404" s="526">
        <f t="shared" si="25"/>
        <v>0.0268817204301075</v>
      </c>
      <c r="G404" s="470">
        <f t="shared" si="26"/>
        <v>0.0380434782608696</v>
      </c>
      <c r="H404" s="524" t="str">
        <f t="shared" si="27"/>
        <v>是</v>
      </c>
      <c r="I404" s="312" t="str">
        <f t="shared" si="24"/>
        <v>项</v>
      </c>
    </row>
    <row r="405" s="372" customFormat="1" ht="24" customHeight="1" spans="1:9">
      <c r="A405" s="330">
        <v>2050102</v>
      </c>
      <c r="B405" s="379" t="s">
        <v>213</v>
      </c>
      <c r="C405" s="516">
        <v>195</v>
      </c>
      <c r="D405" s="516">
        <f>'04'!F405</f>
        <v>47</v>
      </c>
      <c r="E405" s="525">
        <v>45</v>
      </c>
      <c r="F405" s="526">
        <f t="shared" si="25"/>
        <v>-0.769230769230769</v>
      </c>
      <c r="G405" s="470">
        <f t="shared" si="26"/>
        <v>-0.0425531914893617</v>
      </c>
      <c r="H405" s="524" t="str">
        <f t="shared" si="27"/>
        <v>是</v>
      </c>
      <c r="I405" s="312" t="str">
        <f t="shared" si="24"/>
        <v>项</v>
      </c>
    </row>
    <row r="406" s="372" customFormat="1" ht="24" hidden="1" customHeight="1" spans="1:9">
      <c r="A406" s="330">
        <v>2050103</v>
      </c>
      <c r="B406" s="379" t="s">
        <v>214</v>
      </c>
      <c r="C406" s="516">
        <v>0</v>
      </c>
      <c r="D406" s="516">
        <f>'04'!F406</f>
        <v>0</v>
      </c>
      <c r="E406" s="525">
        <v>0</v>
      </c>
      <c r="F406" s="526" t="str">
        <f t="shared" si="25"/>
        <v/>
      </c>
      <c r="G406" s="470" t="str">
        <f t="shared" si="26"/>
        <v/>
      </c>
      <c r="H406" s="524" t="str">
        <f t="shared" si="27"/>
        <v>否</v>
      </c>
      <c r="I406" s="312" t="str">
        <f t="shared" si="24"/>
        <v>项</v>
      </c>
    </row>
    <row r="407" s="372" customFormat="1" ht="24" customHeight="1" spans="1:9">
      <c r="A407" s="330">
        <v>2050199</v>
      </c>
      <c r="B407" s="379" t="s">
        <v>444</v>
      </c>
      <c r="C407" s="516">
        <v>75</v>
      </c>
      <c r="D407" s="516">
        <f>'04'!F407</f>
        <v>114</v>
      </c>
      <c r="E407" s="525">
        <v>158</v>
      </c>
      <c r="F407" s="526">
        <f t="shared" si="25"/>
        <v>1.10666666666667</v>
      </c>
      <c r="G407" s="470">
        <f t="shared" si="26"/>
        <v>0.385964912280702</v>
      </c>
      <c r="H407" s="524" t="str">
        <f t="shared" si="27"/>
        <v>是</v>
      </c>
      <c r="I407" s="312" t="str">
        <f t="shared" si="24"/>
        <v>项</v>
      </c>
    </row>
    <row r="408" s="372" customFormat="1" ht="24" customHeight="1" spans="1:9">
      <c r="A408" s="330">
        <v>20502</v>
      </c>
      <c r="B408" s="379" t="s">
        <v>445</v>
      </c>
      <c r="C408" s="515">
        <f>SUM(C409:C414)</f>
        <v>17638</v>
      </c>
      <c r="D408" s="515">
        <f>SUM(D409:D414)</f>
        <v>20984</v>
      </c>
      <c r="E408" s="515">
        <f>SUM(E409:E414)</f>
        <v>22899</v>
      </c>
      <c r="F408" s="523">
        <f t="shared" si="25"/>
        <v>0.298276448576936</v>
      </c>
      <c r="G408" s="467">
        <f t="shared" si="26"/>
        <v>0.091260007624857</v>
      </c>
      <c r="H408" s="524" t="str">
        <f t="shared" si="27"/>
        <v>是</v>
      </c>
      <c r="I408" s="312" t="str">
        <f t="shared" si="24"/>
        <v>款</v>
      </c>
    </row>
    <row r="409" s="372" customFormat="1" ht="24" customHeight="1" spans="1:9">
      <c r="A409" s="330">
        <v>2050201</v>
      </c>
      <c r="B409" s="379" t="s">
        <v>446</v>
      </c>
      <c r="C409" s="516">
        <v>3015</v>
      </c>
      <c r="D409" s="516">
        <f>'04'!F409</f>
        <v>2891</v>
      </c>
      <c r="E409" s="525">
        <v>3456</v>
      </c>
      <c r="F409" s="526">
        <f t="shared" si="25"/>
        <v>0.146268656716418</v>
      </c>
      <c r="G409" s="470">
        <f t="shared" si="26"/>
        <v>0.195434105845728</v>
      </c>
      <c r="H409" s="524" t="str">
        <f t="shared" si="27"/>
        <v>是</v>
      </c>
      <c r="I409" s="312" t="str">
        <f t="shared" si="24"/>
        <v>项</v>
      </c>
    </row>
    <row r="410" s="372" customFormat="1" ht="24" customHeight="1" spans="1:9">
      <c r="A410" s="330">
        <v>2050202</v>
      </c>
      <c r="B410" s="379" t="s">
        <v>447</v>
      </c>
      <c r="C410" s="516">
        <v>4389</v>
      </c>
      <c r="D410" s="516">
        <f>'04'!F410</f>
        <v>4892</v>
      </c>
      <c r="E410" s="525">
        <v>5215</v>
      </c>
      <c r="F410" s="526">
        <f t="shared" si="25"/>
        <v>0.188197767145136</v>
      </c>
      <c r="G410" s="470">
        <f t="shared" si="26"/>
        <v>0.0660261651676206</v>
      </c>
      <c r="H410" s="524" t="str">
        <f t="shared" si="27"/>
        <v>是</v>
      </c>
      <c r="I410" s="312" t="str">
        <f t="shared" si="24"/>
        <v>项</v>
      </c>
    </row>
    <row r="411" ht="24" customHeight="1" spans="1:9">
      <c r="A411" s="330">
        <v>2050203</v>
      </c>
      <c r="B411" s="379" t="s">
        <v>448</v>
      </c>
      <c r="C411" s="516">
        <v>685</v>
      </c>
      <c r="D411" s="516">
        <f>'04'!F411</f>
        <v>822</v>
      </c>
      <c r="E411" s="525">
        <v>1125</v>
      </c>
      <c r="F411" s="526">
        <f t="shared" si="25"/>
        <v>0.642335766423358</v>
      </c>
      <c r="G411" s="470">
        <f t="shared" si="26"/>
        <v>0.368613138686131</v>
      </c>
      <c r="H411" s="524" t="str">
        <f t="shared" si="27"/>
        <v>是</v>
      </c>
      <c r="I411" s="312" t="str">
        <f t="shared" si="24"/>
        <v>项</v>
      </c>
    </row>
    <row r="412" s="372" customFormat="1" ht="24" customHeight="1" spans="1:9">
      <c r="A412" s="330">
        <v>2050204</v>
      </c>
      <c r="B412" s="379" t="s">
        <v>449</v>
      </c>
      <c r="C412" s="516">
        <v>9213</v>
      </c>
      <c r="D412" s="516">
        <f>'04'!F412</f>
        <v>8213</v>
      </c>
      <c r="E412" s="525">
        <v>8645</v>
      </c>
      <c r="F412" s="526">
        <f t="shared" si="25"/>
        <v>-0.0616520134592424</v>
      </c>
      <c r="G412" s="470">
        <f t="shared" si="26"/>
        <v>0.0525995373188847</v>
      </c>
      <c r="H412" s="524" t="str">
        <f t="shared" si="27"/>
        <v>是</v>
      </c>
      <c r="I412" s="312" t="str">
        <f t="shared" si="24"/>
        <v>项</v>
      </c>
    </row>
    <row r="413" s="372" customFormat="1" ht="24" customHeight="1" spans="1:9">
      <c r="A413" s="330">
        <v>2050205</v>
      </c>
      <c r="B413" s="379" t="s">
        <v>450</v>
      </c>
      <c r="C413" s="516">
        <v>336</v>
      </c>
      <c r="D413" s="516">
        <f>'04'!F413</f>
        <v>4110</v>
      </c>
      <c r="E413" s="525">
        <v>4458</v>
      </c>
      <c r="F413" s="526">
        <f t="shared" si="25"/>
        <v>12.2678571428571</v>
      </c>
      <c r="G413" s="470">
        <f t="shared" si="26"/>
        <v>0.0846715328467153</v>
      </c>
      <c r="H413" s="524" t="str">
        <f t="shared" si="27"/>
        <v>是</v>
      </c>
      <c r="I413" s="312" t="str">
        <f t="shared" si="24"/>
        <v>项</v>
      </c>
    </row>
    <row r="414" s="372" customFormat="1" ht="24" customHeight="1" spans="1:9">
      <c r="A414" s="330">
        <v>2050299</v>
      </c>
      <c r="B414" s="379" t="s">
        <v>451</v>
      </c>
      <c r="C414" s="516">
        <v>0</v>
      </c>
      <c r="D414" s="516">
        <f>'04'!F414</f>
        <v>56</v>
      </c>
      <c r="E414" s="525">
        <v>0</v>
      </c>
      <c r="F414" s="526" t="str">
        <f t="shared" si="25"/>
        <v/>
      </c>
      <c r="G414" s="470">
        <f t="shared" si="26"/>
        <v>-1</v>
      </c>
      <c r="H414" s="524" t="str">
        <f t="shared" si="27"/>
        <v>是</v>
      </c>
      <c r="I414" s="312" t="str">
        <f t="shared" si="24"/>
        <v>项</v>
      </c>
    </row>
    <row r="415" s="372" customFormat="1" ht="24" customHeight="1" spans="1:9">
      <c r="A415" s="330">
        <v>20503</v>
      </c>
      <c r="B415" s="379" t="s">
        <v>452</v>
      </c>
      <c r="C415" s="515">
        <f>SUM(C416:C420)</f>
        <v>8336</v>
      </c>
      <c r="D415" s="515">
        <f>SUM(D416:D420)</f>
        <v>12066</v>
      </c>
      <c r="E415" s="515">
        <f>SUM(E416:E420)</f>
        <v>12752</v>
      </c>
      <c r="F415" s="523">
        <f t="shared" si="25"/>
        <v>0.529750479846449</v>
      </c>
      <c r="G415" s="467">
        <f t="shared" si="26"/>
        <v>0.0568539698325874</v>
      </c>
      <c r="H415" s="524" t="str">
        <f t="shared" si="27"/>
        <v>是</v>
      </c>
      <c r="I415" s="312" t="str">
        <f t="shared" si="24"/>
        <v>款</v>
      </c>
    </row>
    <row r="416" s="372" customFormat="1" ht="24" hidden="1" customHeight="1" spans="1:9">
      <c r="A416" s="330">
        <v>2050301</v>
      </c>
      <c r="B416" s="379" t="s">
        <v>453</v>
      </c>
      <c r="C416" s="516">
        <v>0</v>
      </c>
      <c r="D416" s="516">
        <f>'04'!F416</f>
        <v>0</v>
      </c>
      <c r="E416" s="525">
        <v>0</v>
      </c>
      <c r="F416" s="526" t="str">
        <f t="shared" si="25"/>
        <v/>
      </c>
      <c r="G416" s="470" t="str">
        <f t="shared" si="26"/>
        <v/>
      </c>
      <c r="H416" s="524" t="str">
        <f t="shared" si="27"/>
        <v>否</v>
      </c>
      <c r="I416" s="312" t="str">
        <f t="shared" si="24"/>
        <v>项</v>
      </c>
    </row>
    <row r="417" ht="24" customHeight="1" spans="1:9">
      <c r="A417" s="330">
        <v>2050302</v>
      </c>
      <c r="B417" s="379" t="s">
        <v>454</v>
      </c>
      <c r="C417" s="516">
        <v>5368</v>
      </c>
      <c r="D417" s="516">
        <f>'04'!F417</f>
        <v>5227</v>
      </c>
      <c r="E417" s="525">
        <v>5525</v>
      </c>
      <c r="F417" s="526">
        <f t="shared" si="25"/>
        <v>0.02924739195231</v>
      </c>
      <c r="G417" s="470">
        <f t="shared" si="26"/>
        <v>0.057011670174096</v>
      </c>
      <c r="H417" s="524" t="str">
        <f t="shared" si="27"/>
        <v>是</v>
      </c>
      <c r="I417" s="312" t="str">
        <f t="shared" si="24"/>
        <v>项</v>
      </c>
    </row>
    <row r="418" s="372" customFormat="1" ht="24" customHeight="1" spans="1:9">
      <c r="A418" s="330">
        <v>2050303</v>
      </c>
      <c r="B418" s="379" t="s">
        <v>455</v>
      </c>
      <c r="C418" s="516">
        <v>183</v>
      </c>
      <c r="D418" s="516">
        <f>'04'!F418</f>
        <v>386</v>
      </c>
      <c r="E418" s="525">
        <v>452</v>
      </c>
      <c r="F418" s="526">
        <f t="shared" si="25"/>
        <v>1.46994535519126</v>
      </c>
      <c r="G418" s="470">
        <f t="shared" si="26"/>
        <v>0.170984455958549</v>
      </c>
      <c r="H418" s="524" t="str">
        <f t="shared" si="27"/>
        <v>是</v>
      </c>
      <c r="I418" s="312" t="str">
        <f t="shared" si="24"/>
        <v>项</v>
      </c>
    </row>
    <row r="419" s="372" customFormat="1" ht="24" customHeight="1" spans="1:9">
      <c r="A419" s="330">
        <v>2050305</v>
      </c>
      <c r="B419" s="379" t="s">
        <v>456</v>
      </c>
      <c r="C419" s="516">
        <v>2785</v>
      </c>
      <c r="D419" s="516">
        <f>'04'!F419</f>
        <v>6453</v>
      </c>
      <c r="E419" s="525">
        <v>6775</v>
      </c>
      <c r="F419" s="526">
        <f t="shared" si="25"/>
        <v>1.4326750448833</v>
      </c>
      <c r="G419" s="470">
        <f t="shared" si="26"/>
        <v>0.0498992716565938</v>
      </c>
      <c r="H419" s="524" t="str">
        <f t="shared" si="27"/>
        <v>是</v>
      </c>
      <c r="I419" s="312" t="str">
        <f t="shared" si="24"/>
        <v>项</v>
      </c>
    </row>
    <row r="420" ht="24" hidden="1" customHeight="1" spans="1:9">
      <c r="A420" s="330">
        <v>2050399</v>
      </c>
      <c r="B420" s="379" t="s">
        <v>457</v>
      </c>
      <c r="C420" s="516">
        <v>0</v>
      </c>
      <c r="D420" s="516">
        <f>'04'!F420</f>
        <v>0</v>
      </c>
      <c r="E420" s="525">
        <v>0</v>
      </c>
      <c r="F420" s="526" t="str">
        <f t="shared" si="25"/>
        <v/>
      </c>
      <c r="G420" s="470" t="str">
        <f t="shared" si="26"/>
        <v/>
      </c>
      <c r="H420" s="524" t="str">
        <f t="shared" si="27"/>
        <v>否</v>
      </c>
      <c r="I420" s="312" t="str">
        <f t="shared" si="24"/>
        <v>项</v>
      </c>
    </row>
    <row r="421" ht="24" hidden="1" customHeight="1" spans="1:9">
      <c r="A421" s="330">
        <v>20504</v>
      </c>
      <c r="B421" s="379" t="s">
        <v>458</v>
      </c>
      <c r="C421" s="515">
        <f>SUM(C422:C426)</f>
        <v>0</v>
      </c>
      <c r="D421" s="515">
        <f>SUM(D422:D426)</f>
        <v>0</v>
      </c>
      <c r="E421" s="515">
        <f>SUM(E422:E426)</f>
        <v>0</v>
      </c>
      <c r="F421" s="523" t="str">
        <f t="shared" si="25"/>
        <v/>
      </c>
      <c r="G421" s="467" t="str">
        <f t="shared" si="26"/>
        <v/>
      </c>
      <c r="H421" s="524" t="str">
        <f t="shared" si="27"/>
        <v>否</v>
      </c>
      <c r="I421" s="312" t="str">
        <f t="shared" si="24"/>
        <v>款</v>
      </c>
    </row>
    <row r="422" s="372" customFormat="1" ht="24" hidden="1" customHeight="1" spans="1:9">
      <c r="A422" s="330">
        <v>2050401</v>
      </c>
      <c r="B422" s="379" t="s">
        <v>459</v>
      </c>
      <c r="C422" s="516"/>
      <c r="D422" s="516">
        <f>'04'!F422</f>
        <v>0</v>
      </c>
      <c r="E422" s="525">
        <v>0</v>
      </c>
      <c r="F422" s="526" t="str">
        <f t="shared" si="25"/>
        <v/>
      </c>
      <c r="G422" s="470" t="str">
        <f t="shared" si="26"/>
        <v/>
      </c>
      <c r="H422" s="524" t="str">
        <f t="shared" si="27"/>
        <v>否</v>
      </c>
      <c r="I422" s="312" t="str">
        <f t="shared" si="24"/>
        <v>项</v>
      </c>
    </row>
    <row r="423" s="372" customFormat="1" ht="24" hidden="1" customHeight="1" spans="1:9">
      <c r="A423" s="330">
        <v>2050402</v>
      </c>
      <c r="B423" s="379" t="s">
        <v>460</v>
      </c>
      <c r="C423" s="516"/>
      <c r="D423" s="516">
        <f>'04'!F423</f>
        <v>0</v>
      </c>
      <c r="E423" s="525">
        <v>0</v>
      </c>
      <c r="F423" s="526" t="str">
        <f t="shared" si="25"/>
        <v/>
      </c>
      <c r="G423" s="470" t="str">
        <f t="shared" si="26"/>
        <v/>
      </c>
      <c r="H423" s="524" t="str">
        <f t="shared" si="27"/>
        <v>否</v>
      </c>
      <c r="I423" s="312" t="str">
        <f t="shared" si="24"/>
        <v>项</v>
      </c>
    </row>
    <row r="424" s="372" customFormat="1" ht="24" hidden="1" customHeight="1" spans="1:9">
      <c r="A424" s="330">
        <v>2050403</v>
      </c>
      <c r="B424" s="379" t="s">
        <v>461</v>
      </c>
      <c r="C424" s="516"/>
      <c r="D424" s="516">
        <f>'04'!F424</f>
        <v>0</v>
      </c>
      <c r="E424" s="525">
        <v>0</v>
      </c>
      <c r="F424" s="526" t="str">
        <f t="shared" si="25"/>
        <v/>
      </c>
      <c r="G424" s="470" t="str">
        <f t="shared" si="26"/>
        <v/>
      </c>
      <c r="H424" s="524" t="str">
        <f t="shared" si="27"/>
        <v>否</v>
      </c>
      <c r="I424" s="312" t="str">
        <f t="shared" si="24"/>
        <v>项</v>
      </c>
    </row>
    <row r="425" s="372" customFormat="1" ht="24" hidden="1" customHeight="1" spans="1:9">
      <c r="A425" s="330">
        <v>2050404</v>
      </c>
      <c r="B425" s="379" t="s">
        <v>462</v>
      </c>
      <c r="C425" s="516"/>
      <c r="D425" s="516">
        <f>'04'!F425</f>
        <v>0</v>
      </c>
      <c r="E425" s="525">
        <v>0</v>
      </c>
      <c r="F425" s="526" t="str">
        <f t="shared" si="25"/>
        <v/>
      </c>
      <c r="G425" s="470" t="str">
        <f t="shared" si="26"/>
        <v/>
      </c>
      <c r="H425" s="524" t="str">
        <f t="shared" si="27"/>
        <v>否</v>
      </c>
      <c r="I425" s="312" t="str">
        <f t="shared" si="24"/>
        <v>项</v>
      </c>
    </row>
    <row r="426" ht="24" hidden="1" customHeight="1" spans="1:9">
      <c r="A426" s="330">
        <v>2050499</v>
      </c>
      <c r="B426" s="379" t="s">
        <v>463</v>
      </c>
      <c r="C426" s="516"/>
      <c r="D426" s="516">
        <f>'04'!F426</f>
        <v>0</v>
      </c>
      <c r="E426" s="525">
        <v>0</v>
      </c>
      <c r="F426" s="526" t="str">
        <f t="shared" si="25"/>
        <v/>
      </c>
      <c r="G426" s="470" t="str">
        <f t="shared" si="26"/>
        <v/>
      </c>
      <c r="H426" s="524" t="str">
        <f t="shared" si="27"/>
        <v>否</v>
      </c>
      <c r="I426" s="312" t="str">
        <f t="shared" si="24"/>
        <v>项</v>
      </c>
    </row>
    <row r="427" s="372" customFormat="1" ht="24" hidden="1" customHeight="1" spans="1:9">
      <c r="A427" s="330">
        <v>20505</v>
      </c>
      <c r="B427" s="379" t="s">
        <v>464</v>
      </c>
      <c r="C427" s="515">
        <f>SUM(C428:C430)</f>
        <v>0</v>
      </c>
      <c r="D427" s="515">
        <f>SUM(D428:D430)</f>
        <v>0</v>
      </c>
      <c r="E427" s="515">
        <f>SUM(E428:E430)</f>
        <v>0</v>
      </c>
      <c r="F427" s="523" t="str">
        <f t="shared" si="25"/>
        <v/>
      </c>
      <c r="G427" s="467" t="str">
        <f t="shared" si="26"/>
        <v/>
      </c>
      <c r="H427" s="524" t="str">
        <f t="shared" si="27"/>
        <v>否</v>
      </c>
      <c r="I427" s="312" t="str">
        <f t="shared" si="24"/>
        <v>款</v>
      </c>
    </row>
    <row r="428" s="372" customFormat="1" ht="24" hidden="1" customHeight="1" spans="1:9">
      <c r="A428" s="330">
        <v>2050501</v>
      </c>
      <c r="B428" s="379" t="s">
        <v>465</v>
      </c>
      <c r="C428" s="516"/>
      <c r="D428" s="516">
        <f>'04'!F428</f>
        <v>0</v>
      </c>
      <c r="E428" s="525">
        <v>0</v>
      </c>
      <c r="F428" s="526" t="str">
        <f t="shared" si="25"/>
        <v/>
      </c>
      <c r="G428" s="470" t="str">
        <f t="shared" si="26"/>
        <v/>
      </c>
      <c r="H428" s="524" t="str">
        <f t="shared" si="27"/>
        <v>否</v>
      </c>
      <c r="I428" s="312" t="str">
        <f t="shared" si="24"/>
        <v>项</v>
      </c>
    </row>
    <row r="429" s="372" customFormat="1" ht="24" hidden="1" customHeight="1" spans="1:9">
      <c r="A429" s="330">
        <v>2050502</v>
      </c>
      <c r="B429" s="379" t="s">
        <v>466</v>
      </c>
      <c r="C429" s="516"/>
      <c r="D429" s="516">
        <f>'04'!F429</f>
        <v>0</v>
      </c>
      <c r="E429" s="525">
        <v>0</v>
      </c>
      <c r="F429" s="526" t="str">
        <f t="shared" si="25"/>
        <v/>
      </c>
      <c r="G429" s="470" t="str">
        <f t="shared" si="26"/>
        <v/>
      </c>
      <c r="H429" s="524" t="str">
        <f t="shared" si="27"/>
        <v>否</v>
      </c>
      <c r="I429" s="312" t="str">
        <f t="shared" si="24"/>
        <v>项</v>
      </c>
    </row>
    <row r="430" s="372" customFormat="1" ht="24" hidden="1" customHeight="1" spans="1:9">
      <c r="A430" s="330">
        <v>2050599</v>
      </c>
      <c r="B430" s="379" t="s">
        <v>467</v>
      </c>
      <c r="C430" s="516"/>
      <c r="D430" s="516">
        <f>'04'!F430</f>
        <v>0</v>
      </c>
      <c r="E430" s="525">
        <v>0</v>
      </c>
      <c r="F430" s="526" t="str">
        <f t="shared" si="25"/>
        <v/>
      </c>
      <c r="G430" s="470" t="str">
        <f t="shared" si="26"/>
        <v/>
      </c>
      <c r="H430" s="524" t="str">
        <f t="shared" si="27"/>
        <v>否</v>
      </c>
      <c r="I430" s="312" t="str">
        <f t="shared" si="24"/>
        <v>项</v>
      </c>
    </row>
    <row r="431" s="372" customFormat="1" ht="24" hidden="1" customHeight="1" spans="1:9">
      <c r="A431" s="330">
        <v>20506</v>
      </c>
      <c r="B431" s="379" t="s">
        <v>468</v>
      </c>
      <c r="C431" s="515">
        <f>SUM(C432:C434)</f>
        <v>0</v>
      </c>
      <c r="D431" s="515">
        <f>SUM(D432:D434)</f>
        <v>0</v>
      </c>
      <c r="E431" s="515">
        <f>SUM(E432:E434)</f>
        <v>0</v>
      </c>
      <c r="F431" s="523" t="str">
        <f t="shared" si="25"/>
        <v/>
      </c>
      <c r="G431" s="467" t="str">
        <f t="shared" si="26"/>
        <v/>
      </c>
      <c r="H431" s="524" t="str">
        <f t="shared" si="27"/>
        <v>否</v>
      </c>
      <c r="I431" s="312" t="str">
        <f t="shared" si="24"/>
        <v>款</v>
      </c>
    </row>
    <row r="432" s="372" customFormat="1" ht="24" hidden="1" customHeight="1" spans="1:9">
      <c r="A432" s="330">
        <v>2050601</v>
      </c>
      <c r="B432" s="379" t="s">
        <v>469</v>
      </c>
      <c r="C432" s="516"/>
      <c r="D432" s="516">
        <f>'04'!F432</f>
        <v>0</v>
      </c>
      <c r="E432" s="525">
        <v>0</v>
      </c>
      <c r="F432" s="526" t="str">
        <f t="shared" si="25"/>
        <v/>
      </c>
      <c r="G432" s="470" t="str">
        <f t="shared" si="26"/>
        <v/>
      </c>
      <c r="H432" s="524" t="str">
        <f t="shared" si="27"/>
        <v>否</v>
      </c>
      <c r="I432" s="312" t="str">
        <f t="shared" si="24"/>
        <v>项</v>
      </c>
    </row>
    <row r="433" ht="24" hidden="1" customHeight="1" spans="1:9">
      <c r="A433" s="330">
        <v>2050602</v>
      </c>
      <c r="B433" s="379" t="s">
        <v>470</v>
      </c>
      <c r="C433" s="516"/>
      <c r="D433" s="516">
        <f>'04'!F433</f>
        <v>0</v>
      </c>
      <c r="E433" s="525">
        <v>0</v>
      </c>
      <c r="F433" s="526" t="str">
        <f t="shared" si="25"/>
        <v/>
      </c>
      <c r="G433" s="470" t="str">
        <f t="shared" si="26"/>
        <v/>
      </c>
      <c r="H433" s="524" t="str">
        <f t="shared" si="27"/>
        <v>否</v>
      </c>
      <c r="I433" s="312" t="str">
        <f t="shared" si="24"/>
        <v>项</v>
      </c>
    </row>
    <row r="434" s="372" customFormat="1" ht="24" hidden="1" customHeight="1" spans="1:9">
      <c r="A434" s="330">
        <v>2050699</v>
      </c>
      <c r="B434" s="379" t="s">
        <v>471</v>
      </c>
      <c r="C434" s="516"/>
      <c r="D434" s="516">
        <f>'04'!F434</f>
        <v>0</v>
      </c>
      <c r="E434" s="525">
        <v>0</v>
      </c>
      <c r="F434" s="526" t="str">
        <f t="shared" si="25"/>
        <v/>
      </c>
      <c r="G434" s="470" t="str">
        <f t="shared" si="26"/>
        <v/>
      </c>
      <c r="H434" s="524" t="str">
        <f t="shared" si="27"/>
        <v>否</v>
      </c>
      <c r="I434" s="312" t="str">
        <f t="shared" si="24"/>
        <v>项</v>
      </c>
    </row>
    <row r="435" s="372" customFormat="1" ht="24" customHeight="1" spans="1:9">
      <c r="A435" s="330">
        <v>20507</v>
      </c>
      <c r="B435" s="379" t="s">
        <v>472</v>
      </c>
      <c r="C435" s="515">
        <f>SUM(C436:C438)</f>
        <v>1136</v>
      </c>
      <c r="D435" s="515">
        <f>SUM(D436:D438)</f>
        <v>2808</v>
      </c>
      <c r="E435" s="515">
        <f>SUM(E436:E438)</f>
        <v>2995</v>
      </c>
      <c r="F435" s="523">
        <f t="shared" si="25"/>
        <v>1.63644366197183</v>
      </c>
      <c r="G435" s="467">
        <f t="shared" si="26"/>
        <v>0.0665954415954416</v>
      </c>
      <c r="H435" s="524" t="str">
        <f t="shared" si="27"/>
        <v>是</v>
      </c>
      <c r="I435" s="312" t="str">
        <f t="shared" si="24"/>
        <v>款</v>
      </c>
    </row>
    <row r="436" s="372" customFormat="1" ht="24" customHeight="1" spans="1:9">
      <c r="A436" s="330">
        <v>2050701</v>
      </c>
      <c r="B436" s="379" t="s">
        <v>473</v>
      </c>
      <c r="C436" s="516">
        <v>971</v>
      </c>
      <c r="D436" s="516">
        <f>'04'!F436</f>
        <v>2483</v>
      </c>
      <c r="E436" s="525">
        <v>2659</v>
      </c>
      <c r="F436" s="526">
        <f t="shared" si="25"/>
        <v>1.7384140061792</v>
      </c>
      <c r="G436" s="470">
        <f t="shared" si="26"/>
        <v>0.0708819975835683</v>
      </c>
      <c r="H436" s="524" t="str">
        <f t="shared" si="27"/>
        <v>是</v>
      </c>
      <c r="I436" s="312" t="str">
        <f t="shared" si="24"/>
        <v>项</v>
      </c>
    </row>
    <row r="437" s="374" customFormat="1" ht="24" customHeight="1" spans="1:9">
      <c r="A437" s="331">
        <v>2050702</v>
      </c>
      <c r="B437" s="327" t="s">
        <v>474</v>
      </c>
      <c r="C437" s="516">
        <v>165</v>
      </c>
      <c r="D437" s="516">
        <f>'04'!F437</f>
        <v>325</v>
      </c>
      <c r="E437" s="525">
        <v>336</v>
      </c>
      <c r="F437" s="526">
        <f t="shared" si="25"/>
        <v>1.03636363636364</v>
      </c>
      <c r="G437" s="470">
        <f t="shared" si="26"/>
        <v>0.0338461538461538</v>
      </c>
      <c r="H437" s="524" t="str">
        <f t="shared" si="27"/>
        <v>是</v>
      </c>
      <c r="I437" s="313" t="str">
        <f t="shared" si="24"/>
        <v>项</v>
      </c>
    </row>
    <row r="438" s="372" customFormat="1" ht="24" hidden="1" customHeight="1" spans="1:9">
      <c r="A438" s="330">
        <v>2050799</v>
      </c>
      <c r="B438" s="379" t="s">
        <v>475</v>
      </c>
      <c r="C438" s="516">
        <v>0</v>
      </c>
      <c r="D438" s="516">
        <f>'04'!F438</f>
        <v>0</v>
      </c>
      <c r="E438" s="525">
        <v>0</v>
      </c>
      <c r="F438" s="526" t="str">
        <f t="shared" si="25"/>
        <v/>
      </c>
      <c r="G438" s="470" t="str">
        <f t="shared" si="26"/>
        <v/>
      </c>
      <c r="H438" s="524" t="str">
        <f t="shared" si="27"/>
        <v>否</v>
      </c>
      <c r="I438" s="312" t="str">
        <f t="shared" si="24"/>
        <v>项</v>
      </c>
    </row>
    <row r="439" ht="24" customHeight="1" spans="1:9">
      <c r="A439" s="330">
        <v>20508</v>
      </c>
      <c r="B439" s="379" t="s">
        <v>476</v>
      </c>
      <c r="C439" s="515">
        <f>SUM(C440:C444)</f>
        <v>1493</v>
      </c>
      <c r="D439" s="515">
        <f>SUM(D440:D444)</f>
        <v>1663</v>
      </c>
      <c r="E439" s="515">
        <f>SUM(E440:E444)</f>
        <v>1552</v>
      </c>
      <c r="F439" s="523">
        <f t="shared" si="25"/>
        <v>0.0395177494976557</v>
      </c>
      <c r="G439" s="467">
        <f t="shared" si="26"/>
        <v>-0.0667468430547204</v>
      </c>
      <c r="H439" s="524" t="str">
        <f t="shared" si="27"/>
        <v>是</v>
      </c>
      <c r="I439" s="312" t="str">
        <f t="shared" si="24"/>
        <v>款</v>
      </c>
    </row>
    <row r="440" s="372" customFormat="1" ht="24" customHeight="1" spans="1:9">
      <c r="A440" s="330">
        <v>2050801</v>
      </c>
      <c r="B440" s="379" t="s">
        <v>477</v>
      </c>
      <c r="C440" s="516">
        <v>525</v>
      </c>
      <c r="D440" s="516">
        <f>'04'!F440</f>
        <v>528</v>
      </c>
      <c r="E440" s="525">
        <v>492</v>
      </c>
      <c r="F440" s="526">
        <f t="shared" si="25"/>
        <v>-0.0628571428571429</v>
      </c>
      <c r="G440" s="470">
        <f t="shared" si="26"/>
        <v>-0.0681818181818182</v>
      </c>
      <c r="H440" s="524" t="str">
        <f t="shared" si="27"/>
        <v>是</v>
      </c>
      <c r="I440" s="312" t="str">
        <f t="shared" si="24"/>
        <v>项</v>
      </c>
    </row>
    <row r="441" s="372" customFormat="1" ht="24" customHeight="1" spans="1:9">
      <c r="A441" s="330">
        <v>2050802</v>
      </c>
      <c r="B441" s="379" t="s">
        <v>478</v>
      </c>
      <c r="C441" s="516">
        <v>950</v>
      </c>
      <c r="D441" s="516">
        <f>'04'!F441</f>
        <v>916</v>
      </c>
      <c r="E441" s="525">
        <v>865</v>
      </c>
      <c r="F441" s="526">
        <f t="shared" si="25"/>
        <v>-0.0894736842105263</v>
      </c>
      <c r="G441" s="470">
        <f t="shared" si="26"/>
        <v>-0.0556768558951965</v>
      </c>
      <c r="H441" s="524" t="str">
        <f t="shared" si="27"/>
        <v>是</v>
      </c>
      <c r="I441" s="312" t="str">
        <f t="shared" si="24"/>
        <v>项</v>
      </c>
    </row>
    <row r="442" s="372" customFormat="1" ht="24" hidden="1" customHeight="1" spans="1:9">
      <c r="A442" s="330">
        <v>2050803</v>
      </c>
      <c r="B442" s="379" t="s">
        <v>479</v>
      </c>
      <c r="C442" s="516">
        <v>0</v>
      </c>
      <c r="D442" s="516">
        <f>'04'!F442</f>
        <v>0</v>
      </c>
      <c r="E442" s="525">
        <v>0</v>
      </c>
      <c r="F442" s="526" t="str">
        <f t="shared" si="25"/>
        <v/>
      </c>
      <c r="G442" s="470" t="str">
        <f t="shared" si="26"/>
        <v/>
      </c>
      <c r="H442" s="524" t="str">
        <f t="shared" si="27"/>
        <v>否</v>
      </c>
      <c r="I442" s="312" t="str">
        <f t="shared" si="24"/>
        <v>项</v>
      </c>
    </row>
    <row r="443" s="372" customFormat="1" ht="24" hidden="1" customHeight="1" spans="1:9">
      <c r="A443" s="330">
        <v>2050804</v>
      </c>
      <c r="B443" s="379" t="s">
        <v>480</v>
      </c>
      <c r="C443" s="516">
        <v>0</v>
      </c>
      <c r="D443" s="516">
        <f>'04'!F443</f>
        <v>0</v>
      </c>
      <c r="E443" s="525">
        <v>0</v>
      </c>
      <c r="F443" s="526" t="str">
        <f t="shared" si="25"/>
        <v/>
      </c>
      <c r="G443" s="470" t="str">
        <f t="shared" si="26"/>
        <v/>
      </c>
      <c r="H443" s="524" t="str">
        <f t="shared" si="27"/>
        <v>否</v>
      </c>
      <c r="I443" s="312" t="str">
        <f t="shared" si="24"/>
        <v>项</v>
      </c>
    </row>
    <row r="444" s="372" customFormat="1" ht="24" customHeight="1" spans="1:9">
      <c r="A444" s="330">
        <v>2050899</v>
      </c>
      <c r="B444" s="379" t="s">
        <v>481</v>
      </c>
      <c r="C444" s="516">
        <v>18</v>
      </c>
      <c r="D444" s="516">
        <f>'04'!F444</f>
        <v>219</v>
      </c>
      <c r="E444" s="525">
        <v>195</v>
      </c>
      <c r="F444" s="526">
        <f t="shared" si="25"/>
        <v>9.83333333333333</v>
      </c>
      <c r="G444" s="470">
        <f t="shared" si="26"/>
        <v>-0.10958904109589</v>
      </c>
      <c r="H444" s="524" t="str">
        <f t="shared" si="27"/>
        <v>是</v>
      </c>
      <c r="I444" s="312" t="str">
        <f t="shared" si="24"/>
        <v>项</v>
      </c>
    </row>
    <row r="445" ht="24" hidden="1" customHeight="1" spans="1:9">
      <c r="A445" s="330">
        <v>20509</v>
      </c>
      <c r="B445" s="379" t="s">
        <v>482</v>
      </c>
      <c r="C445" s="515">
        <f>SUM(C446:C451)</f>
        <v>0</v>
      </c>
      <c r="D445" s="515">
        <f>SUM(D446:D451)</f>
        <v>0</v>
      </c>
      <c r="E445" s="515">
        <f>SUM(E446:E451)</f>
        <v>0</v>
      </c>
      <c r="F445" s="523" t="str">
        <f t="shared" si="25"/>
        <v/>
      </c>
      <c r="G445" s="467" t="str">
        <f t="shared" si="26"/>
        <v/>
      </c>
      <c r="H445" s="524" t="str">
        <f t="shared" si="27"/>
        <v>否</v>
      </c>
      <c r="I445" s="312" t="str">
        <f t="shared" si="24"/>
        <v>款</v>
      </c>
    </row>
    <row r="446" s="372" customFormat="1" ht="24" hidden="1" customHeight="1" spans="1:9">
      <c r="A446" s="330">
        <v>2050901</v>
      </c>
      <c r="B446" s="379" t="s">
        <v>483</v>
      </c>
      <c r="C446" s="516"/>
      <c r="D446" s="516">
        <f>'04'!F446</f>
        <v>0</v>
      </c>
      <c r="E446" s="525">
        <v>0</v>
      </c>
      <c r="F446" s="526" t="str">
        <f t="shared" si="25"/>
        <v/>
      </c>
      <c r="G446" s="470" t="str">
        <f t="shared" si="26"/>
        <v/>
      </c>
      <c r="H446" s="524" t="str">
        <f t="shared" si="27"/>
        <v>否</v>
      </c>
      <c r="I446" s="312" t="str">
        <f t="shared" si="24"/>
        <v>项</v>
      </c>
    </row>
    <row r="447" s="372" customFormat="1" ht="24" hidden="1" customHeight="1" spans="1:9">
      <c r="A447" s="330">
        <v>2050902</v>
      </c>
      <c r="B447" s="379" t="s">
        <v>484</v>
      </c>
      <c r="C447" s="516"/>
      <c r="D447" s="516">
        <f>'04'!F447</f>
        <v>0</v>
      </c>
      <c r="E447" s="525">
        <v>0</v>
      </c>
      <c r="F447" s="526" t="str">
        <f t="shared" si="25"/>
        <v/>
      </c>
      <c r="G447" s="470" t="str">
        <f t="shared" si="26"/>
        <v/>
      </c>
      <c r="H447" s="524" t="str">
        <f t="shared" si="27"/>
        <v>否</v>
      </c>
      <c r="I447" s="312" t="str">
        <f t="shared" si="24"/>
        <v>项</v>
      </c>
    </row>
    <row r="448" s="372" customFormat="1" ht="24" hidden="1" customHeight="1" spans="1:9">
      <c r="A448" s="330">
        <v>2050903</v>
      </c>
      <c r="B448" s="379" t="s">
        <v>485</v>
      </c>
      <c r="C448" s="516"/>
      <c r="D448" s="516">
        <f>'04'!F448</f>
        <v>0</v>
      </c>
      <c r="E448" s="525">
        <v>0</v>
      </c>
      <c r="F448" s="526" t="str">
        <f t="shared" si="25"/>
        <v/>
      </c>
      <c r="G448" s="470" t="str">
        <f t="shared" si="26"/>
        <v/>
      </c>
      <c r="H448" s="524" t="str">
        <f t="shared" si="27"/>
        <v>否</v>
      </c>
      <c r="I448" s="312" t="str">
        <f t="shared" si="24"/>
        <v>项</v>
      </c>
    </row>
    <row r="449" s="507" customFormat="1" ht="24" hidden="1" customHeight="1" spans="1:9">
      <c r="A449" s="330">
        <v>2050904</v>
      </c>
      <c r="B449" s="379" t="s">
        <v>486</v>
      </c>
      <c r="C449" s="516"/>
      <c r="D449" s="516">
        <f>'04'!F449</f>
        <v>0</v>
      </c>
      <c r="E449" s="525">
        <v>0</v>
      </c>
      <c r="F449" s="526" t="str">
        <f t="shared" si="25"/>
        <v/>
      </c>
      <c r="G449" s="470" t="str">
        <f t="shared" si="26"/>
        <v/>
      </c>
      <c r="H449" s="524" t="str">
        <f t="shared" si="27"/>
        <v>否</v>
      </c>
      <c r="I449" s="312" t="str">
        <f t="shared" si="24"/>
        <v>项</v>
      </c>
    </row>
    <row r="450" s="372" customFormat="1" ht="24" hidden="1" customHeight="1" spans="1:9">
      <c r="A450" s="330">
        <v>2050905</v>
      </c>
      <c r="B450" s="379" t="s">
        <v>487</v>
      </c>
      <c r="C450" s="516"/>
      <c r="D450" s="516">
        <f>'04'!F450</f>
        <v>0</v>
      </c>
      <c r="E450" s="525">
        <v>0</v>
      </c>
      <c r="F450" s="526" t="str">
        <f t="shared" si="25"/>
        <v/>
      </c>
      <c r="G450" s="470" t="str">
        <f t="shared" si="26"/>
        <v/>
      </c>
      <c r="H450" s="524" t="str">
        <f t="shared" si="27"/>
        <v>否</v>
      </c>
      <c r="I450" s="312" t="str">
        <f t="shared" si="24"/>
        <v>项</v>
      </c>
    </row>
    <row r="451" s="372" customFormat="1" ht="24" hidden="1" customHeight="1" spans="1:9">
      <c r="A451" s="330">
        <v>2050999</v>
      </c>
      <c r="B451" s="379" t="s">
        <v>488</v>
      </c>
      <c r="C451" s="516"/>
      <c r="D451" s="516">
        <f>'04'!F451</f>
        <v>0</v>
      </c>
      <c r="E451" s="525">
        <v>0</v>
      </c>
      <c r="F451" s="526" t="str">
        <f t="shared" si="25"/>
        <v/>
      </c>
      <c r="G451" s="470" t="str">
        <f t="shared" si="26"/>
        <v/>
      </c>
      <c r="H451" s="524" t="str">
        <f t="shared" si="27"/>
        <v>否</v>
      </c>
      <c r="I451" s="312" t="str">
        <f t="shared" si="24"/>
        <v>项</v>
      </c>
    </row>
    <row r="452" s="507" customFormat="1" ht="24" customHeight="1" spans="1:9">
      <c r="A452" s="330">
        <v>20599</v>
      </c>
      <c r="B452" s="379" t="s">
        <v>489</v>
      </c>
      <c r="C452" s="515">
        <f>C453</f>
        <v>0</v>
      </c>
      <c r="D452" s="515">
        <f>D453</f>
        <v>2</v>
      </c>
      <c r="E452" s="515">
        <f>E453</f>
        <v>0</v>
      </c>
      <c r="F452" s="523" t="str">
        <f t="shared" si="25"/>
        <v/>
      </c>
      <c r="G452" s="467">
        <f t="shared" si="26"/>
        <v>-1</v>
      </c>
      <c r="H452" s="524" t="str">
        <f t="shared" si="27"/>
        <v>是</v>
      </c>
      <c r="I452" s="312" t="str">
        <f t="shared" si="24"/>
        <v>款</v>
      </c>
    </row>
    <row r="453" ht="24" customHeight="1" spans="1:9">
      <c r="A453" s="406">
        <v>2059999</v>
      </c>
      <c r="B453" s="379" t="s">
        <v>490</v>
      </c>
      <c r="C453" s="516"/>
      <c r="D453" s="516">
        <f>'04'!F453</f>
        <v>2</v>
      </c>
      <c r="E453" s="525">
        <v>0</v>
      </c>
      <c r="F453" s="526" t="str">
        <f t="shared" si="25"/>
        <v/>
      </c>
      <c r="G453" s="470">
        <f t="shared" si="26"/>
        <v>-1</v>
      </c>
      <c r="H453" s="524" t="str">
        <f t="shared" si="27"/>
        <v>是</v>
      </c>
      <c r="I453" s="312" t="str">
        <f t="shared" ref="I453:I516" si="28">IF(LEN(A453)=3,"类",IF(LEN(A453)=5,"款","项"))</f>
        <v>项</v>
      </c>
    </row>
    <row r="454" s="372" customFormat="1" ht="24" customHeight="1" spans="1:9">
      <c r="A454" s="329">
        <v>206</v>
      </c>
      <c r="B454" s="377" t="s">
        <v>180</v>
      </c>
      <c r="C454" s="515">
        <f>C455+C460+C469+C475+C480+C485+C490+C497+C501+C505</f>
        <v>2553</v>
      </c>
      <c r="D454" s="515">
        <f>D455+D460+D469+D475+D480+D485+D490+D497+D501+D505</f>
        <v>3289</v>
      </c>
      <c r="E454" s="515">
        <f>E455+E460+E469+E475+E480+E485+E490+E497+E501+E505</f>
        <v>3409</v>
      </c>
      <c r="F454" s="523">
        <f t="shared" ref="F454:F517" si="29">IFERROR((E454-C454)/C454,"")</f>
        <v>0.335291813552683</v>
      </c>
      <c r="G454" s="467">
        <f t="shared" ref="G454:G517" si="30">IFERROR((E454-D454)/D454,"")</f>
        <v>0.0364852538765582</v>
      </c>
      <c r="H454" s="524" t="str">
        <f t="shared" ref="H454:H517" si="31">IF(LEN(A454)=3,"是",IF(B454&lt;&gt;"",IF(SUM(C454:E454)&lt;&gt;0,"是","否"),"是"))</f>
        <v>是</v>
      </c>
      <c r="I454" s="312" t="str">
        <f t="shared" si="28"/>
        <v>类</v>
      </c>
    </row>
    <row r="455" s="372" customFormat="1" ht="24" customHeight="1" spans="1:9">
      <c r="A455" s="330">
        <v>20601</v>
      </c>
      <c r="B455" s="379" t="s">
        <v>491</v>
      </c>
      <c r="C455" s="515">
        <f>SUM(C456:C459)</f>
        <v>608</v>
      </c>
      <c r="D455" s="515">
        <f>SUM(D456:D459)</f>
        <v>964</v>
      </c>
      <c r="E455" s="515">
        <f>SUM(E456:E459)</f>
        <v>977</v>
      </c>
      <c r="F455" s="523">
        <f t="shared" si="29"/>
        <v>0.606907894736842</v>
      </c>
      <c r="G455" s="467">
        <f t="shared" si="30"/>
        <v>0.0134854771784232</v>
      </c>
      <c r="H455" s="524" t="str">
        <f t="shared" si="31"/>
        <v>是</v>
      </c>
      <c r="I455" s="312" t="str">
        <f t="shared" si="28"/>
        <v>款</v>
      </c>
    </row>
    <row r="456" s="372" customFormat="1" ht="24" customHeight="1" spans="1:9">
      <c r="A456" s="330">
        <v>2060101</v>
      </c>
      <c r="B456" s="379" t="s">
        <v>212</v>
      </c>
      <c r="C456" s="516">
        <v>456</v>
      </c>
      <c r="D456" s="516">
        <f>'04'!F456</f>
        <v>418</v>
      </c>
      <c r="E456" s="525">
        <v>435</v>
      </c>
      <c r="F456" s="526">
        <f t="shared" si="29"/>
        <v>-0.0460526315789474</v>
      </c>
      <c r="G456" s="470">
        <f t="shared" si="30"/>
        <v>0.0406698564593301</v>
      </c>
      <c r="H456" s="524" t="str">
        <f t="shared" si="31"/>
        <v>是</v>
      </c>
      <c r="I456" s="312" t="str">
        <f t="shared" si="28"/>
        <v>项</v>
      </c>
    </row>
    <row r="457" ht="24" hidden="1" customHeight="1" spans="1:9">
      <c r="A457" s="330">
        <v>2060102</v>
      </c>
      <c r="B457" s="379" t="s">
        <v>213</v>
      </c>
      <c r="C457" s="516">
        <v>0</v>
      </c>
      <c r="D457" s="516">
        <f>'04'!F457</f>
        <v>0</v>
      </c>
      <c r="E457" s="525">
        <v>0</v>
      </c>
      <c r="F457" s="526" t="str">
        <f t="shared" si="29"/>
        <v/>
      </c>
      <c r="G457" s="470" t="str">
        <f t="shared" si="30"/>
        <v/>
      </c>
      <c r="H457" s="524" t="str">
        <f t="shared" si="31"/>
        <v>否</v>
      </c>
      <c r="I457" s="312" t="str">
        <f t="shared" si="28"/>
        <v>项</v>
      </c>
    </row>
    <row r="458" s="372" customFormat="1" ht="24" hidden="1" customHeight="1" spans="1:9">
      <c r="A458" s="330">
        <v>2060103</v>
      </c>
      <c r="B458" s="379" t="s">
        <v>214</v>
      </c>
      <c r="C458" s="516">
        <v>0</v>
      </c>
      <c r="D458" s="516">
        <f>'04'!F458</f>
        <v>0</v>
      </c>
      <c r="E458" s="525">
        <v>0</v>
      </c>
      <c r="F458" s="526" t="str">
        <f t="shared" si="29"/>
        <v/>
      </c>
      <c r="G458" s="470" t="str">
        <f t="shared" si="30"/>
        <v/>
      </c>
      <c r="H458" s="524" t="str">
        <f t="shared" si="31"/>
        <v>否</v>
      </c>
      <c r="I458" s="312" t="str">
        <f t="shared" si="28"/>
        <v>项</v>
      </c>
    </row>
    <row r="459" s="372" customFormat="1" ht="24" customHeight="1" spans="1:9">
      <c r="A459" s="330">
        <v>2060199</v>
      </c>
      <c r="B459" s="379" t="s">
        <v>492</v>
      </c>
      <c r="C459" s="516">
        <v>152</v>
      </c>
      <c r="D459" s="516">
        <f>'04'!F459</f>
        <v>546</v>
      </c>
      <c r="E459" s="525">
        <v>542</v>
      </c>
      <c r="F459" s="526">
        <f t="shared" si="29"/>
        <v>2.56578947368421</v>
      </c>
      <c r="G459" s="470">
        <f t="shared" si="30"/>
        <v>-0.00732600732600733</v>
      </c>
      <c r="H459" s="524" t="str">
        <f t="shared" si="31"/>
        <v>是</v>
      </c>
      <c r="I459" s="312" t="str">
        <f t="shared" si="28"/>
        <v>项</v>
      </c>
    </row>
    <row r="460" s="372" customFormat="1" ht="24" hidden="1" customHeight="1" spans="1:9">
      <c r="A460" s="330">
        <v>20602</v>
      </c>
      <c r="B460" s="379" t="s">
        <v>493</v>
      </c>
      <c r="C460" s="515">
        <f>SUM(C461:C468)</f>
        <v>0</v>
      </c>
      <c r="D460" s="515">
        <f>SUM(D461:D468)</f>
        <v>0</v>
      </c>
      <c r="E460" s="515">
        <f>SUM(E461:E468)</f>
        <v>0</v>
      </c>
      <c r="F460" s="523" t="str">
        <f t="shared" si="29"/>
        <v/>
      </c>
      <c r="G460" s="467" t="str">
        <f t="shared" si="30"/>
        <v/>
      </c>
      <c r="H460" s="524" t="str">
        <f t="shared" si="31"/>
        <v>否</v>
      </c>
      <c r="I460" s="312" t="str">
        <f t="shared" si="28"/>
        <v>款</v>
      </c>
    </row>
    <row r="461" s="372" customFormat="1" ht="24" hidden="1" customHeight="1" spans="1:9">
      <c r="A461" s="330">
        <v>2060201</v>
      </c>
      <c r="B461" s="379" t="s">
        <v>494</v>
      </c>
      <c r="C461" s="516"/>
      <c r="D461" s="516">
        <f>'04'!F461</f>
        <v>0</v>
      </c>
      <c r="E461" s="525">
        <v>0</v>
      </c>
      <c r="F461" s="526" t="str">
        <f t="shared" si="29"/>
        <v/>
      </c>
      <c r="G461" s="470" t="str">
        <f t="shared" si="30"/>
        <v/>
      </c>
      <c r="H461" s="524" t="str">
        <f t="shared" si="31"/>
        <v>否</v>
      </c>
      <c r="I461" s="312" t="str">
        <f t="shared" si="28"/>
        <v>项</v>
      </c>
    </row>
    <row r="462" s="372" customFormat="1" ht="24" hidden="1" customHeight="1" spans="1:9">
      <c r="A462" s="330">
        <v>2060203</v>
      </c>
      <c r="B462" s="379" t="s">
        <v>495</v>
      </c>
      <c r="C462" s="516"/>
      <c r="D462" s="516">
        <f>'04'!F462</f>
        <v>0</v>
      </c>
      <c r="E462" s="525">
        <v>0</v>
      </c>
      <c r="F462" s="526" t="str">
        <f t="shared" si="29"/>
        <v/>
      </c>
      <c r="G462" s="470" t="str">
        <f t="shared" si="30"/>
        <v/>
      </c>
      <c r="H462" s="524" t="str">
        <f t="shared" si="31"/>
        <v>否</v>
      </c>
      <c r="I462" s="312" t="str">
        <f t="shared" si="28"/>
        <v>项</v>
      </c>
    </row>
    <row r="463" ht="24" hidden="1" customHeight="1" spans="1:9">
      <c r="A463" s="330">
        <v>2060204</v>
      </c>
      <c r="B463" s="379" t="s">
        <v>496</v>
      </c>
      <c r="C463" s="516"/>
      <c r="D463" s="516">
        <f>'04'!F463</f>
        <v>0</v>
      </c>
      <c r="E463" s="525">
        <v>0</v>
      </c>
      <c r="F463" s="526" t="str">
        <f t="shared" si="29"/>
        <v/>
      </c>
      <c r="G463" s="470" t="str">
        <f t="shared" si="30"/>
        <v/>
      </c>
      <c r="H463" s="524" t="str">
        <f t="shared" si="31"/>
        <v>否</v>
      </c>
      <c r="I463" s="312" t="str">
        <f t="shared" si="28"/>
        <v>项</v>
      </c>
    </row>
    <row r="464" s="372" customFormat="1" ht="24" hidden="1" customHeight="1" spans="1:9">
      <c r="A464" s="330">
        <v>2060205</v>
      </c>
      <c r="B464" s="379" t="s">
        <v>497</v>
      </c>
      <c r="C464" s="516"/>
      <c r="D464" s="516">
        <f>'04'!F464</f>
        <v>0</v>
      </c>
      <c r="E464" s="525">
        <v>0</v>
      </c>
      <c r="F464" s="526" t="str">
        <f t="shared" si="29"/>
        <v/>
      </c>
      <c r="G464" s="470" t="str">
        <f t="shared" si="30"/>
        <v/>
      </c>
      <c r="H464" s="524" t="str">
        <f t="shared" si="31"/>
        <v>否</v>
      </c>
      <c r="I464" s="312" t="str">
        <f t="shared" si="28"/>
        <v>项</v>
      </c>
    </row>
    <row r="465" s="372" customFormat="1" ht="24" hidden="1" customHeight="1" spans="1:9">
      <c r="A465" s="330">
        <v>2060206</v>
      </c>
      <c r="B465" s="379" t="s">
        <v>498</v>
      </c>
      <c r="C465" s="516"/>
      <c r="D465" s="516">
        <f>'04'!F465</f>
        <v>0</v>
      </c>
      <c r="E465" s="525">
        <v>0</v>
      </c>
      <c r="F465" s="526" t="str">
        <f t="shared" si="29"/>
        <v/>
      </c>
      <c r="G465" s="470" t="str">
        <f t="shared" si="30"/>
        <v/>
      </c>
      <c r="H465" s="524" t="str">
        <f t="shared" si="31"/>
        <v>否</v>
      </c>
      <c r="I465" s="312" t="str">
        <f t="shared" si="28"/>
        <v>项</v>
      </c>
    </row>
    <row r="466" s="372" customFormat="1" ht="24" hidden="1" customHeight="1" spans="1:9">
      <c r="A466" s="330">
        <v>2060207</v>
      </c>
      <c r="B466" s="379" t="s">
        <v>499</v>
      </c>
      <c r="C466" s="516"/>
      <c r="D466" s="516">
        <f>'04'!F466</f>
        <v>0</v>
      </c>
      <c r="E466" s="525">
        <v>0</v>
      </c>
      <c r="F466" s="526" t="str">
        <f t="shared" si="29"/>
        <v/>
      </c>
      <c r="G466" s="470" t="str">
        <f t="shared" si="30"/>
        <v/>
      </c>
      <c r="H466" s="524" t="str">
        <f t="shared" si="31"/>
        <v>否</v>
      </c>
      <c r="I466" s="312" t="str">
        <f t="shared" si="28"/>
        <v>项</v>
      </c>
    </row>
    <row r="467" s="372" customFormat="1" ht="24" hidden="1" customHeight="1" spans="1:9">
      <c r="A467" s="527">
        <v>2060208</v>
      </c>
      <c r="B467" s="534" t="s">
        <v>500</v>
      </c>
      <c r="C467" s="516"/>
      <c r="D467" s="516">
        <f>'04'!F467</f>
        <v>0</v>
      </c>
      <c r="E467" s="525">
        <v>0</v>
      </c>
      <c r="F467" s="526" t="str">
        <f t="shared" si="29"/>
        <v/>
      </c>
      <c r="G467" s="470" t="str">
        <f t="shared" si="30"/>
        <v/>
      </c>
      <c r="H467" s="524" t="str">
        <f t="shared" si="31"/>
        <v>否</v>
      </c>
      <c r="I467" s="312" t="str">
        <f t="shared" si="28"/>
        <v>项</v>
      </c>
    </row>
    <row r="468" s="372" customFormat="1" ht="24" hidden="1" customHeight="1" spans="1:9">
      <c r="A468" s="330">
        <v>2060299</v>
      </c>
      <c r="B468" s="379" t="s">
        <v>501</v>
      </c>
      <c r="C468" s="516"/>
      <c r="D468" s="516">
        <f>'04'!F468</f>
        <v>0</v>
      </c>
      <c r="E468" s="525">
        <v>0</v>
      </c>
      <c r="F468" s="526" t="str">
        <f t="shared" si="29"/>
        <v/>
      </c>
      <c r="G468" s="470" t="str">
        <f t="shared" si="30"/>
        <v/>
      </c>
      <c r="H468" s="524" t="str">
        <f t="shared" si="31"/>
        <v>否</v>
      </c>
      <c r="I468" s="312" t="str">
        <f t="shared" si="28"/>
        <v>项</v>
      </c>
    </row>
    <row r="469" s="372" customFormat="1" ht="24" customHeight="1" spans="1:9">
      <c r="A469" s="330">
        <v>20603</v>
      </c>
      <c r="B469" s="379" t="s">
        <v>502</v>
      </c>
      <c r="C469" s="515">
        <f>SUM(C470:C474)</f>
        <v>912</v>
      </c>
      <c r="D469" s="515">
        <f>SUM(D470:D474)</f>
        <v>955</v>
      </c>
      <c r="E469" s="515">
        <f>SUM(E470:E474)</f>
        <v>985</v>
      </c>
      <c r="F469" s="523">
        <f t="shared" si="29"/>
        <v>0.0800438596491228</v>
      </c>
      <c r="G469" s="467">
        <f t="shared" si="30"/>
        <v>0.031413612565445</v>
      </c>
      <c r="H469" s="524" t="str">
        <f t="shared" si="31"/>
        <v>是</v>
      </c>
      <c r="I469" s="312" t="str">
        <f t="shared" si="28"/>
        <v>款</v>
      </c>
    </row>
    <row r="470" ht="24" customHeight="1" spans="1:9">
      <c r="A470" s="330">
        <v>2060301</v>
      </c>
      <c r="B470" s="379" t="s">
        <v>494</v>
      </c>
      <c r="C470" s="516">
        <v>902</v>
      </c>
      <c r="D470" s="516">
        <f>'04'!F470</f>
        <v>955</v>
      </c>
      <c r="E470" s="525">
        <v>985</v>
      </c>
      <c r="F470" s="526">
        <f t="shared" si="29"/>
        <v>0.0920177383592018</v>
      </c>
      <c r="G470" s="470">
        <f t="shared" si="30"/>
        <v>0.031413612565445</v>
      </c>
      <c r="H470" s="524" t="str">
        <f t="shared" si="31"/>
        <v>是</v>
      </c>
      <c r="I470" s="312" t="str">
        <f t="shared" si="28"/>
        <v>项</v>
      </c>
    </row>
    <row r="471" s="372" customFormat="1" ht="24" customHeight="1" spans="1:9">
      <c r="A471" s="330">
        <v>2060302</v>
      </c>
      <c r="B471" s="379" t="s">
        <v>503</v>
      </c>
      <c r="C471" s="516">
        <v>10</v>
      </c>
      <c r="D471" s="516">
        <f>'04'!F471</f>
        <v>0</v>
      </c>
      <c r="E471" s="525">
        <v>0</v>
      </c>
      <c r="F471" s="526">
        <f t="shared" si="29"/>
        <v>-1</v>
      </c>
      <c r="G471" s="470" t="str">
        <f t="shared" si="30"/>
        <v/>
      </c>
      <c r="H471" s="524" t="str">
        <f t="shared" si="31"/>
        <v>是</v>
      </c>
      <c r="I471" s="312" t="str">
        <f t="shared" si="28"/>
        <v>项</v>
      </c>
    </row>
    <row r="472" ht="24" hidden="1" customHeight="1" spans="1:9">
      <c r="A472" s="330">
        <v>2060303</v>
      </c>
      <c r="B472" s="379" t="s">
        <v>504</v>
      </c>
      <c r="C472" s="516">
        <v>0</v>
      </c>
      <c r="D472" s="516">
        <f>'04'!F472</f>
        <v>0</v>
      </c>
      <c r="E472" s="525">
        <v>0</v>
      </c>
      <c r="F472" s="526" t="str">
        <f t="shared" si="29"/>
        <v/>
      </c>
      <c r="G472" s="470" t="str">
        <f t="shared" si="30"/>
        <v/>
      </c>
      <c r="H472" s="524" t="str">
        <f t="shared" si="31"/>
        <v>否</v>
      </c>
      <c r="I472" s="312" t="str">
        <f t="shared" si="28"/>
        <v>项</v>
      </c>
    </row>
    <row r="473" ht="24" hidden="1" customHeight="1" spans="1:9">
      <c r="A473" s="330">
        <v>2060304</v>
      </c>
      <c r="B473" s="379" t="s">
        <v>505</v>
      </c>
      <c r="C473" s="516">
        <v>0</v>
      </c>
      <c r="D473" s="516">
        <f>'04'!F473</f>
        <v>0</v>
      </c>
      <c r="E473" s="525">
        <v>0</v>
      </c>
      <c r="F473" s="526" t="str">
        <f t="shared" si="29"/>
        <v/>
      </c>
      <c r="G473" s="470" t="str">
        <f t="shared" si="30"/>
        <v/>
      </c>
      <c r="H473" s="524" t="str">
        <f t="shared" si="31"/>
        <v>否</v>
      </c>
      <c r="I473" s="312" t="str">
        <f t="shared" si="28"/>
        <v>项</v>
      </c>
    </row>
    <row r="474" s="372" customFormat="1" ht="24" hidden="1" customHeight="1" spans="1:9">
      <c r="A474" s="330">
        <v>2060399</v>
      </c>
      <c r="B474" s="379" t="s">
        <v>506</v>
      </c>
      <c r="C474" s="516">
        <v>0</v>
      </c>
      <c r="D474" s="516">
        <f>'04'!F474</f>
        <v>0</v>
      </c>
      <c r="E474" s="525">
        <v>0</v>
      </c>
      <c r="F474" s="526" t="str">
        <f t="shared" si="29"/>
        <v/>
      </c>
      <c r="G474" s="470" t="str">
        <f t="shared" si="30"/>
        <v/>
      </c>
      <c r="H474" s="524" t="str">
        <f t="shared" si="31"/>
        <v>否</v>
      </c>
      <c r="I474" s="312" t="str">
        <f t="shared" si="28"/>
        <v>项</v>
      </c>
    </row>
    <row r="475" s="372" customFormat="1" ht="24" customHeight="1" spans="1:9">
      <c r="A475" s="330">
        <v>20604</v>
      </c>
      <c r="B475" s="379" t="s">
        <v>507</v>
      </c>
      <c r="C475" s="515">
        <f>SUM(C476:C479)</f>
        <v>265</v>
      </c>
      <c r="D475" s="515">
        <f>SUM(D476:D479)</f>
        <v>147</v>
      </c>
      <c r="E475" s="515">
        <f>SUM(E476:E479)</f>
        <v>148</v>
      </c>
      <c r="F475" s="523">
        <f t="shared" si="29"/>
        <v>-0.441509433962264</v>
      </c>
      <c r="G475" s="467">
        <f t="shared" si="30"/>
        <v>0.00680272108843537</v>
      </c>
      <c r="H475" s="524" t="str">
        <f t="shared" si="31"/>
        <v>是</v>
      </c>
      <c r="I475" s="312" t="str">
        <f t="shared" si="28"/>
        <v>款</v>
      </c>
    </row>
    <row r="476" s="372" customFormat="1" ht="24" hidden="1" customHeight="1" spans="1:9">
      <c r="A476" s="330">
        <v>2060401</v>
      </c>
      <c r="B476" s="379" t="s">
        <v>494</v>
      </c>
      <c r="C476" s="516">
        <v>0</v>
      </c>
      <c r="D476" s="516">
        <f>'04'!F476</f>
        <v>0</v>
      </c>
      <c r="E476" s="525">
        <v>0</v>
      </c>
      <c r="F476" s="526" t="str">
        <f t="shared" si="29"/>
        <v/>
      </c>
      <c r="G476" s="470" t="str">
        <f t="shared" si="30"/>
        <v/>
      </c>
      <c r="H476" s="524" t="str">
        <f t="shared" si="31"/>
        <v>否</v>
      </c>
      <c r="I476" s="312" t="str">
        <f t="shared" si="28"/>
        <v>项</v>
      </c>
    </row>
    <row r="477" s="372" customFormat="1" ht="24" customHeight="1" spans="1:9">
      <c r="A477" s="330">
        <v>2060404</v>
      </c>
      <c r="B477" s="379" t="s">
        <v>508</v>
      </c>
      <c r="C477" s="516">
        <v>223</v>
      </c>
      <c r="D477" s="516">
        <f>'04'!F477</f>
        <v>21</v>
      </c>
      <c r="E477" s="525">
        <v>25</v>
      </c>
      <c r="F477" s="526">
        <f t="shared" si="29"/>
        <v>-0.887892376681614</v>
      </c>
      <c r="G477" s="470">
        <f t="shared" si="30"/>
        <v>0.19047619047619</v>
      </c>
      <c r="H477" s="524" t="str">
        <f t="shared" si="31"/>
        <v>是</v>
      </c>
      <c r="I477" s="312" t="str">
        <f t="shared" si="28"/>
        <v>项</v>
      </c>
    </row>
    <row r="478" ht="24" customHeight="1" spans="1:9">
      <c r="A478" s="535">
        <v>2060405</v>
      </c>
      <c r="B478" s="379" t="s">
        <v>509</v>
      </c>
      <c r="C478" s="516">
        <v>0</v>
      </c>
      <c r="D478" s="516">
        <f>'04'!F478</f>
        <v>14</v>
      </c>
      <c r="E478" s="525">
        <v>15</v>
      </c>
      <c r="F478" s="526" t="str">
        <f t="shared" si="29"/>
        <v/>
      </c>
      <c r="G478" s="470">
        <f t="shared" si="30"/>
        <v>0.0714285714285714</v>
      </c>
      <c r="H478" s="524" t="str">
        <f t="shared" si="31"/>
        <v>是</v>
      </c>
      <c r="I478" s="312" t="str">
        <f t="shared" si="28"/>
        <v>项</v>
      </c>
    </row>
    <row r="479" s="372" customFormat="1" ht="24" customHeight="1" spans="1:9">
      <c r="A479" s="330">
        <v>2060499</v>
      </c>
      <c r="B479" s="379" t="s">
        <v>510</v>
      </c>
      <c r="C479" s="516">
        <v>42</v>
      </c>
      <c r="D479" s="516">
        <f>'04'!F479</f>
        <v>112</v>
      </c>
      <c r="E479" s="525">
        <v>108</v>
      </c>
      <c r="F479" s="526">
        <f t="shared" si="29"/>
        <v>1.57142857142857</v>
      </c>
      <c r="G479" s="470">
        <f t="shared" si="30"/>
        <v>-0.0357142857142857</v>
      </c>
      <c r="H479" s="524" t="str">
        <f t="shared" si="31"/>
        <v>是</v>
      </c>
      <c r="I479" s="312" t="str">
        <f t="shared" si="28"/>
        <v>项</v>
      </c>
    </row>
    <row r="480" s="372" customFormat="1" ht="24" hidden="1" customHeight="1" spans="1:9">
      <c r="A480" s="330">
        <v>20605</v>
      </c>
      <c r="B480" s="379" t="s">
        <v>511</v>
      </c>
      <c r="C480" s="515">
        <f>SUM(C481:C484)</f>
        <v>0</v>
      </c>
      <c r="D480" s="515">
        <f>SUM(D481:D484)</f>
        <v>0</v>
      </c>
      <c r="E480" s="515">
        <f>SUM(E481:E484)</f>
        <v>0</v>
      </c>
      <c r="F480" s="523" t="str">
        <f t="shared" si="29"/>
        <v/>
      </c>
      <c r="G480" s="467" t="str">
        <f t="shared" si="30"/>
        <v/>
      </c>
      <c r="H480" s="524" t="str">
        <f t="shared" si="31"/>
        <v>否</v>
      </c>
      <c r="I480" s="312" t="str">
        <f t="shared" si="28"/>
        <v>款</v>
      </c>
    </row>
    <row r="481" s="372" customFormat="1" ht="24" hidden="1" customHeight="1" spans="1:9">
      <c r="A481" s="330">
        <v>2060501</v>
      </c>
      <c r="B481" s="379" t="s">
        <v>494</v>
      </c>
      <c r="C481" s="516"/>
      <c r="D481" s="516">
        <f>'04'!F481</f>
        <v>0</v>
      </c>
      <c r="E481" s="525">
        <v>0</v>
      </c>
      <c r="F481" s="526" t="str">
        <f t="shared" si="29"/>
        <v/>
      </c>
      <c r="G481" s="470" t="str">
        <f t="shared" si="30"/>
        <v/>
      </c>
      <c r="H481" s="524" t="str">
        <f t="shared" si="31"/>
        <v>否</v>
      </c>
      <c r="I481" s="312" t="str">
        <f t="shared" si="28"/>
        <v>项</v>
      </c>
    </row>
    <row r="482" s="372" customFormat="1" ht="24" hidden="1" customHeight="1" spans="1:9">
      <c r="A482" s="330">
        <v>2060502</v>
      </c>
      <c r="B482" s="379" t="s">
        <v>512</v>
      </c>
      <c r="C482" s="516"/>
      <c r="D482" s="516">
        <f>'04'!F482</f>
        <v>0</v>
      </c>
      <c r="E482" s="525">
        <v>0</v>
      </c>
      <c r="F482" s="526" t="str">
        <f t="shared" si="29"/>
        <v/>
      </c>
      <c r="G482" s="470" t="str">
        <f t="shared" si="30"/>
        <v/>
      </c>
      <c r="H482" s="524" t="str">
        <f t="shared" si="31"/>
        <v>否</v>
      </c>
      <c r="I482" s="312" t="str">
        <f t="shared" si="28"/>
        <v>项</v>
      </c>
    </row>
    <row r="483" s="372" customFormat="1" ht="24" hidden="1" customHeight="1" spans="1:9">
      <c r="A483" s="330">
        <v>2060503</v>
      </c>
      <c r="B483" s="379" t="s">
        <v>513</v>
      </c>
      <c r="C483" s="516"/>
      <c r="D483" s="516">
        <f>'04'!F483</f>
        <v>0</v>
      </c>
      <c r="E483" s="525">
        <v>0</v>
      </c>
      <c r="F483" s="526" t="str">
        <f t="shared" si="29"/>
        <v/>
      </c>
      <c r="G483" s="470" t="str">
        <f t="shared" si="30"/>
        <v/>
      </c>
      <c r="H483" s="524" t="str">
        <f t="shared" si="31"/>
        <v>否</v>
      </c>
      <c r="I483" s="312" t="str">
        <f t="shared" si="28"/>
        <v>项</v>
      </c>
    </row>
    <row r="484" s="372" customFormat="1" ht="24" hidden="1" customHeight="1" spans="1:9">
      <c r="A484" s="330">
        <v>2060599</v>
      </c>
      <c r="B484" s="379" t="s">
        <v>514</v>
      </c>
      <c r="C484" s="516"/>
      <c r="D484" s="516">
        <f>'04'!F484</f>
        <v>0</v>
      </c>
      <c r="E484" s="525">
        <v>0</v>
      </c>
      <c r="F484" s="526" t="str">
        <f t="shared" si="29"/>
        <v/>
      </c>
      <c r="G484" s="470" t="str">
        <f t="shared" si="30"/>
        <v/>
      </c>
      <c r="H484" s="524" t="str">
        <f t="shared" si="31"/>
        <v>否</v>
      </c>
      <c r="I484" s="312" t="str">
        <f t="shared" si="28"/>
        <v>项</v>
      </c>
    </row>
    <row r="485" s="372" customFormat="1" ht="24" customHeight="1" spans="1:9">
      <c r="A485" s="330">
        <v>20606</v>
      </c>
      <c r="B485" s="379" t="s">
        <v>515</v>
      </c>
      <c r="C485" s="515">
        <f>SUM(C486:C489)</f>
        <v>326</v>
      </c>
      <c r="D485" s="515">
        <f>SUM(D486:D489)</f>
        <v>249</v>
      </c>
      <c r="E485" s="515">
        <f>SUM(E486:E489)</f>
        <v>286</v>
      </c>
      <c r="F485" s="523">
        <f t="shared" si="29"/>
        <v>-0.122699386503067</v>
      </c>
      <c r="G485" s="467">
        <f t="shared" si="30"/>
        <v>0.14859437751004</v>
      </c>
      <c r="H485" s="524" t="str">
        <f t="shared" si="31"/>
        <v>是</v>
      </c>
      <c r="I485" s="312" t="str">
        <f t="shared" si="28"/>
        <v>款</v>
      </c>
    </row>
    <row r="486" s="372" customFormat="1" ht="24" customHeight="1" spans="1:9">
      <c r="A486" s="330">
        <v>2060601</v>
      </c>
      <c r="B486" s="379" t="s">
        <v>516</v>
      </c>
      <c r="C486" s="516">
        <v>311</v>
      </c>
      <c r="D486" s="516">
        <f>'04'!F486</f>
        <v>276</v>
      </c>
      <c r="E486" s="525">
        <v>286</v>
      </c>
      <c r="F486" s="526">
        <f t="shared" si="29"/>
        <v>-0.0803858520900322</v>
      </c>
      <c r="G486" s="470">
        <f t="shared" si="30"/>
        <v>0.036231884057971</v>
      </c>
      <c r="H486" s="524" t="str">
        <f t="shared" si="31"/>
        <v>是</v>
      </c>
      <c r="I486" s="312" t="str">
        <f t="shared" si="28"/>
        <v>项</v>
      </c>
    </row>
    <row r="487" ht="24" customHeight="1" spans="1:9">
      <c r="A487" s="330">
        <v>2060602</v>
      </c>
      <c r="B487" s="379" t="s">
        <v>517</v>
      </c>
      <c r="C487" s="516">
        <v>15</v>
      </c>
      <c r="D487" s="516">
        <f>'04'!F487</f>
        <v>-27</v>
      </c>
      <c r="E487" s="525">
        <v>0</v>
      </c>
      <c r="F487" s="526">
        <f t="shared" si="29"/>
        <v>-1</v>
      </c>
      <c r="G487" s="470">
        <f>-IFERROR((E487-D487)/D487,"")</f>
        <v>1</v>
      </c>
      <c r="H487" s="524" t="str">
        <f t="shared" si="31"/>
        <v>是</v>
      </c>
      <c r="I487" s="312" t="str">
        <f t="shared" si="28"/>
        <v>项</v>
      </c>
    </row>
    <row r="488" s="372" customFormat="1" ht="24" hidden="1" customHeight="1" spans="1:9">
      <c r="A488" s="330">
        <v>2060603</v>
      </c>
      <c r="B488" s="379" t="s">
        <v>518</v>
      </c>
      <c r="C488" s="516">
        <v>0</v>
      </c>
      <c r="D488" s="516">
        <f>'04'!F488</f>
        <v>0</v>
      </c>
      <c r="E488" s="525">
        <v>0</v>
      </c>
      <c r="F488" s="526" t="str">
        <f t="shared" si="29"/>
        <v/>
      </c>
      <c r="G488" s="470" t="str">
        <f t="shared" si="30"/>
        <v/>
      </c>
      <c r="H488" s="524" t="str">
        <f t="shared" si="31"/>
        <v>否</v>
      </c>
      <c r="I488" s="312" t="str">
        <f t="shared" si="28"/>
        <v>项</v>
      </c>
    </row>
    <row r="489" s="372" customFormat="1" ht="24" hidden="1" customHeight="1" spans="1:9">
      <c r="A489" s="330">
        <v>2060699</v>
      </c>
      <c r="B489" s="379" t="s">
        <v>519</v>
      </c>
      <c r="C489" s="516">
        <v>0</v>
      </c>
      <c r="D489" s="516">
        <f>'04'!F489</f>
        <v>0</v>
      </c>
      <c r="E489" s="525">
        <v>0</v>
      </c>
      <c r="F489" s="526" t="str">
        <f t="shared" si="29"/>
        <v/>
      </c>
      <c r="G489" s="470" t="str">
        <f t="shared" si="30"/>
        <v/>
      </c>
      <c r="H489" s="524" t="str">
        <f t="shared" si="31"/>
        <v>否</v>
      </c>
      <c r="I489" s="312" t="str">
        <f t="shared" si="28"/>
        <v>项</v>
      </c>
    </row>
    <row r="490" s="372" customFormat="1" ht="24" customHeight="1" spans="1:9">
      <c r="A490" s="330">
        <v>20607</v>
      </c>
      <c r="B490" s="379" t="s">
        <v>520</v>
      </c>
      <c r="C490" s="515">
        <f>SUM(C491:C496)</f>
        <v>375</v>
      </c>
      <c r="D490" s="515">
        <f>SUM(D491:D496)</f>
        <v>660</v>
      </c>
      <c r="E490" s="515">
        <f>SUM(E491:E496)</f>
        <v>719</v>
      </c>
      <c r="F490" s="523">
        <f t="shared" si="29"/>
        <v>0.917333333333333</v>
      </c>
      <c r="G490" s="467">
        <f t="shared" si="30"/>
        <v>0.0893939393939394</v>
      </c>
      <c r="H490" s="524" t="str">
        <f t="shared" si="31"/>
        <v>是</v>
      </c>
      <c r="I490" s="312" t="str">
        <f t="shared" si="28"/>
        <v>款</v>
      </c>
    </row>
    <row r="491" s="372" customFormat="1" ht="24" customHeight="1" spans="1:9">
      <c r="A491" s="330">
        <v>2060701</v>
      </c>
      <c r="B491" s="379" t="s">
        <v>494</v>
      </c>
      <c r="C491" s="516">
        <v>205</v>
      </c>
      <c r="D491" s="516">
        <f>'04'!F491</f>
        <v>204</v>
      </c>
      <c r="E491" s="525">
        <v>235</v>
      </c>
      <c r="F491" s="526">
        <f t="shared" si="29"/>
        <v>0.146341463414634</v>
      </c>
      <c r="G491" s="470">
        <f t="shared" si="30"/>
        <v>0.151960784313725</v>
      </c>
      <c r="H491" s="524" t="str">
        <f t="shared" si="31"/>
        <v>是</v>
      </c>
      <c r="I491" s="312" t="str">
        <f t="shared" si="28"/>
        <v>项</v>
      </c>
    </row>
    <row r="492" s="372" customFormat="1" ht="24" customHeight="1" spans="1:9">
      <c r="A492" s="330">
        <v>2060702</v>
      </c>
      <c r="B492" s="379" t="s">
        <v>521</v>
      </c>
      <c r="C492" s="516">
        <v>53</v>
      </c>
      <c r="D492" s="516">
        <f>'04'!F492</f>
        <v>164</v>
      </c>
      <c r="E492" s="525">
        <v>185</v>
      </c>
      <c r="F492" s="526">
        <f t="shared" si="29"/>
        <v>2.49056603773585</v>
      </c>
      <c r="G492" s="470">
        <f t="shared" si="30"/>
        <v>0.128048780487805</v>
      </c>
      <c r="H492" s="524" t="str">
        <f t="shared" si="31"/>
        <v>是</v>
      </c>
      <c r="I492" s="312" t="str">
        <f t="shared" si="28"/>
        <v>项</v>
      </c>
    </row>
    <row r="493" ht="24" hidden="1" customHeight="1" spans="1:9">
      <c r="A493" s="330">
        <v>2060703</v>
      </c>
      <c r="B493" s="379" t="s">
        <v>522</v>
      </c>
      <c r="C493" s="516">
        <v>0</v>
      </c>
      <c r="D493" s="516">
        <f>'04'!F493</f>
        <v>0</v>
      </c>
      <c r="E493" s="525">
        <v>0</v>
      </c>
      <c r="F493" s="526" t="str">
        <f t="shared" si="29"/>
        <v/>
      </c>
      <c r="G493" s="470" t="str">
        <f t="shared" si="30"/>
        <v/>
      </c>
      <c r="H493" s="524" t="str">
        <f t="shared" si="31"/>
        <v>否</v>
      </c>
      <c r="I493" s="312" t="str">
        <f t="shared" si="28"/>
        <v>项</v>
      </c>
    </row>
    <row r="494" s="372" customFormat="1" ht="24" hidden="1" customHeight="1" spans="1:9">
      <c r="A494" s="330">
        <v>2060704</v>
      </c>
      <c r="B494" s="379" t="s">
        <v>523</v>
      </c>
      <c r="C494" s="516">
        <v>0</v>
      </c>
      <c r="D494" s="516">
        <f>'04'!F494</f>
        <v>0</v>
      </c>
      <c r="E494" s="525">
        <v>0</v>
      </c>
      <c r="F494" s="526" t="str">
        <f t="shared" si="29"/>
        <v/>
      </c>
      <c r="G494" s="470" t="str">
        <f t="shared" si="30"/>
        <v/>
      </c>
      <c r="H494" s="524" t="str">
        <f t="shared" si="31"/>
        <v>否</v>
      </c>
      <c r="I494" s="312" t="str">
        <f t="shared" si="28"/>
        <v>项</v>
      </c>
    </row>
    <row r="495" s="372" customFormat="1" ht="24" customHeight="1" spans="1:9">
      <c r="A495" s="330">
        <v>2060705</v>
      </c>
      <c r="B495" s="379" t="s">
        <v>524</v>
      </c>
      <c r="C495" s="516">
        <v>65</v>
      </c>
      <c r="D495" s="516">
        <f>'04'!F495</f>
        <v>143</v>
      </c>
      <c r="E495" s="525">
        <v>156</v>
      </c>
      <c r="F495" s="526">
        <f t="shared" si="29"/>
        <v>1.4</v>
      </c>
      <c r="G495" s="470">
        <f t="shared" si="30"/>
        <v>0.0909090909090909</v>
      </c>
      <c r="H495" s="524" t="str">
        <f t="shared" si="31"/>
        <v>是</v>
      </c>
      <c r="I495" s="312" t="str">
        <f t="shared" si="28"/>
        <v>项</v>
      </c>
    </row>
    <row r="496" s="372" customFormat="1" ht="24" customHeight="1" spans="1:9">
      <c r="A496" s="330">
        <v>2060799</v>
      </c>
      <c r="B496" s="379" t="s">
        <v>525</v>
      </c>
      <c r="C496" s="516">
        <v>52</v>
      </c>
      <c r="D496" s="516">
        <f>'04'!F496</f>
        <v>149</v>
      </c>
      <c r="E496" s="525">
        <v>143</v>
      </c>
      <c r="F496" s="526">
        <f t="shared" si="29"/>
        <v>1.75</v>
      </c>
      <c r="G496" s="470">
        <f t="shared" si="30"/>
        <v>-0.0402684563758389</v>
      </c>
      <c r="H496" s="524" t="str">
        <f t="shared" si="31"/>
        <v>是</v>
      </c>
      <c r="I496" s="312" t="str">
        <f t="shared" si="28"/>
        <v>项</v>
      </c>
    </row>
    <row r="497" s="372" customFormat="1" ht="24" hidden="1" customHeight="1" spans="1:9">
      <c r="A497" s="330">
        <v>20608</v>
      </c>
      <c r="B497" s="379" t="s">
        <v>526</v>
      </c>
      <c r="C497" s="515">
        <f>SUM(C498:C500)</f>
        <v>0</v>
      </c>
      <c r="D497" s="515">
        <f>SUM(D498:D500)</f>
        <v>0</v>
      </c>
      <c r="E497" s="515">
        <f>SUM(E498:E500)</f>
        <v>0</v>
      </c>
      <c r="F497" s="523" t="str">
        <f t="shared" si="29"/>
        <v/>
      </c>
      <c r="G497" s="467" t="str">
        <f t="shared" si="30"/>
        <v/>
      </c>
      <c r="H497" s="524" t="str">
        <f t="shared" si="31"/>
        <v>否</v>
      </c>
      <c r="I497" s="312" t="str">
        <f t="shared" si="28"/>
        <v>款</v>
      </c>
    </row>
    <row r="498" ht="24" hidden="1" customHeight="1" spans="1:9">
      <c r="A498" s="330">
        <v>2060801</v>
      </c>
      <c r="B498" s="379" t="s">
        <v>527</v>
      </c>
      <c r="C498" s="516"/>
      <c r="D498" s="516">
        <f>'04'!F498</f>
        <v>0</v>
      </c>
      <c r="E498" s="525">
        <v>0</v>
      </c>
      <c r="F498" s="526" t="str">
        <f t="shared" si="29"/>
        <v/>
      </c>
      <c r="G498" s="470" t="str">
        <f t="shared" si="30"/>
        <v/>
      </c>
      <c r="H498" s="524" t="str">
        <f t="shared" si="31"/>
        <v>否</v>
      </c>
      <c r="I498" s="312" t="str">
        <f t="shared" si="28"/>
        <v>项</v>
      </c>
    </row>
    <row r="499" s="372" customFormat="1" ht="24" hidden="1" customHeight="1" spans="1:9">
      <c r="A499" s="330">
        <v>2060802</v>
      </c>
      <c r="B499" s="379" t="s">
        <v>528</v>
      </c>
      <c r="C499" s="516"/>
      <c r="D499" s="516">
        <f>'04'!F499</f>
        <v>0</v>
      </c>
      <c r="E499" s="525">
        <v>0</v>
      </c>
      <c r="F499" s="526" t="str">
        <f t="shared" si="29"/>
        <v/>
      </c>
      <c r="G499" s="470" t="str">
        <f t="shared" si="30"/>
        <v/>
      </c>
      <c r="H499" s="524" t="str">
        <f t="shared" si="31"/>
        <v>否</v>
      </c>
      <c r="I499" s="312" t="str">
        <f t="shared" si="28"/>
        <v>项</v>
      </c>
    </row>
    <row r="500" s="372" customFormat="1" ht="24" hidden="1" customHeight="1" spans="1:9">
      <c r="A500" s="330">
        <v>2060899</v>
      </c>
      <c r="B500" s="379" t="s">
        <v>529</v>
      </c>
      <c r="C500" s="516"/>
      <c r="D500" s="516">
        <f>'04'!F500</f>
        <v>0</v>
      </c>
      <c r="E500" s="525">
        <v>0</v>
      </c>
      <c r="F500" s="526" t="str">
        <f t="shared" si="29"/>
        <v/>
      </c>
      <c r="G500" s="470" t="str">
        <f t="shared" si="30"/>
        <v/>
      </c>
      <c r="H500" s="524" t="str">
        <f t="shared" si="31"/>
        <v>否</v>
      </c>
      <c r="I500" s="312" t="str">
        <f t="shared" si="28"/>
        <v>项</v>
      </c>
    </row>
    <row r="501" s="372" customFormat="1" ht="24" customHeight="1" spans="1:9">
      <c r="A501" s="330">
        <v>20609</v>
      </c>
      <c r="B501" s="379" t="s">
        <v>530</v>
      </c>
      <c r="C501" s="515">
        <f>SUM(C502:C504)</f>
        <v>0</v>
      </c>
      <c r="D501" s="515">
        <f>SUM(D502:D504)</f>
        <v>26</v>
      </c>
      <c r="E501" s="515">
        <f>SUM(E502:E504)</f>
        <v>26</v>
      </c>
      <c r="F501" s="523" t="str">
        <f t="shared" si="29"/>
        <v/>
      </c>
      <c r="G501" s="467">
        <f t="shared" si="30"/>
        <v>0</v>
      </c>
      <c r="H501" s="524" t="str">
        <f t="shared" si="31"/>
        <v>是</v>
      </c>
      <c r="I501" s="312" t="str">
        <f t="shared" si="28"/>
        <v>款</v>
      </c>
    </row>
    <row r="502" s="372" customFormat="1" ht="24" hidden="1" customHeight="1" spans="1:9">
      <c r="A502" s="330">
        <v>2060901</v>
      </c>
      <c r="B502" s="379" t="s">
        <v>531</v>
      </c>
      <c r="C502" s="516"/>
      <c r="D502" s="516">
        <f>'04'!F502</f>
        <v>0</v>
      </c>
      <c r="E502" s="525">
        <v>0</v>
      </c>
      <c r="F502" s="526" t="str">
        <f t="shared" si="29"/>
        <v/>
      </c>
      <c r="G502" s="470" t="str">
        <f t="shared" si="30"/>
        <v/>
      </c>
      <c r="H502" s="524" t="str">
        <f t="shared" si="31"/>
        <v>否</v>
      </c>
      <c r="I502" s="312" t="str">
        <f t="shared" si="28"/>
        <v>项</v>
      </c>
    </row>
    <row r="503" ht="24" customHeight="1" spans="1:9">
      <c r="A503" s="330">
        <v>2060902</v>
      </c>
      <c r="B503" s="379" t="s">
        <v>532</v>
      </c>
      <c r="C503" s="516"/>
      <c r="D503" s="516">
        <f>'04'!F503</f>
        <v>25</v>
      </c>
      <c r="E503" s="525">
        <v>26</v>
      </c>
      <c r="F503" s="526" t="str">
        <f t="shared" si="29"/>
        <v/>
      </c>
      <c r="G503" s="470">
        <f t="shared" si="30"/>
        <v>0.04</v>
      </c>
      <c r="H503" s="524" t="str">
        <f t="shared" si="31"/>
        <v>是</v>
      </c>
      <c r="I503" s="312" t="str">
        <f t="shared" si="28"/>
        <v>项</v>
      </c>
    </row>
    <row r="504" s="372" customFormat="1" ht="24" customHeight="1" spans="1:9">
      <c r="A504" s="330">
        <v>2060999</v>
      </c>
      <c r="B504" s="379" t="s">
        <v>533</v>
      </c>
      <c r="C504" s="516"/>
      <c r="D504" s="516">
        <f>'04'!F504</f>
        <v>1</v>
      </c>
      <c r="E504" s="525">
        <v>0</v>
      </c>
      <c r="F504" s="526" t="str">
        <f t="shared" si="29"/>
        <v/>
      </c>
      <c r="G504" s="470">
        <f t="shared" si="30"/>
        <v>-1</v>
      </c>
      <c r="H504" s="524" t="str">
        <f t="shared" si="31"/>
        <v>是</v>
      </c>
      <c r="I504" s="312" t="str">
        <f t="shared" si="28"/>
        <v>项</v>
      </c>
    </row>
    <row r="505" s="372" customFormat="1" ht="24" customHeight="1" spans="1:9">
      <c r="A505" s="330">
        <v>20699</v>
      </c>
      <c r="B505" s="379" t="s">
        <v>534</v>
      </c>
      <c r="C505" s="515">
        <f>SUM(C506:C509)</f>
        <v>67</v>
      </c>
      <c r="D505" s="515">
        <f>SUM(D506:D509)</f>
        <v>288</v>
      </c>
      <c r="E505" s="515">
        <f>SUM(E506:E509)</f>
        <v>268</v>
      </c>
      <c r="F505" s="523">
        <f t="shared" si="29"/>
        <v>3</v>
      </c>
      <c r="G505" s="467">
        <f t="shared" si="30"/>
        <v>-0.0694444444444444</v>
      </c>
      <c r="H505" s="524" t="str">
        <f t="shared" si="31"/>
        <v>是</v>
      </c>
      <c r="I505" s="312" t="str">
        <f t="shared" si="28"/>
        <v>款</v>
      </c>
    </row>
    <row r="506" s="372" customFormat="1" ht="24" customHeight="1" spans="1:9">
      <c r="A506" s="330">
        <v>2069901</v>
      </c>
      <c r="B506" s="379" t="s">
        <v>535</v>
      </c>
      <c r="C506" s="516">
        <v>0</v>
      </c>
      <c r="D506" s="516">
        <f>'04'!F506</f>
        <v>5</v>
      </c>
      <c r="E506" s="525">
        <v>0</v>
      </c>
      <c r="F506" s="526" t="str">
        <f t="shared" si="29"/>
        <v/>
      </c>
      <c r="G506" s="470">
        <f t="shared" si="30"/>
        <v>-1</v>
      </c>
      <c r="H506" s="524" t="str">
        <f t="shared" si="31"/>
        <v>是</v>
      </c>
      <c r="I506" s="312" t="str">
        <f t="shared" si="28"/>
        <v>项</v>
      </c>
    </row>
    <row r="507" s="372" customFormat="1" ht="24" hidden="1" customHeight="1" spans="1:9">
      <c r="A507" s="330">
        <v>2069902</v>
      </c>
      <c r="B507" s="379" t="s">
        <v>536</v>
      </c>
      <c r="C507" s="516">
        <v>0</v>
      </c>
      <c r="D507" s="516">
        <f>'04'!F507</f>
        <v>0</v>
      </c>
      <c r="E507" s="525">
        <v>0</v>
      </c>
      <c r="F507" s="526" t="str">
        <f t="shared" si="29"/>
        <v/>
      </c>
      <c r="G507" s="470" t="str">
        <f t="shared" si="30"/>
        <v/>
      </c>
      <c r="H507" s="524" t="str">
        <f t="shared" si="31"/>
        <v>否</v>
      </c>
      <c r="I507" s="312" t="str">
        <f t="shared" si="28"/>
        <v>项</v>
      </c>
    </row>
    <row r="508" ht="24" hidden="1" customHeight="1" spans="1:9">
      <c r="A508" s="330">
        <v>2069903</v>
      </c>
      <c r="B508" s="379" t="s">
        <v>537</v>
      </c>
      <c r="C508" s="516">
        <v>0</v>
      </c>
      <c r="D508" s="516">
        <f>'04'!F508</f>
        <v>0</v>
      </c>
      <c r="E508" s="525">
        <v>0</v>
      </c>
      <c r="F508" s="526" t="str">
        <f t="shared" si="29"/>
        <v/>
      </c>
      <c r="G508" s="470" t="str">
        <f t="shared" si="30"/>
        <v/>
      </c>
      <c r="H508" s="524" t="str">
        <f t="shared" si="31"/>
        <v>否</v>
      </c>
      <c r="I508" s="312" t="str">
        <f t="shared" si="28"/>
        <v>项</v>
      </c>
    </row>
    <row r="509" s="372" customFormat="1" ht="24" customHeight="1" spans="1:9">
      <c r="A509" s="330">
        <v>2069999</v>
      </c>
      <c r="B509" s="379" t="s">
        <v>538</v>
      </c>
      <c r="C509" s="516">
        <v>67</v>
      </c>
      <c r="D509" s="516">
        <f>'04'!F509</f>
        <v>283</v>
      </c>
      <c r="E509" s="525">
        <v>268</v>
      </c>
      <c r="F509" s="526">
        <f t="shared" si="29"/>
        <v>3</v>
      </c>
      <c r="G509" s="470">
        <f t="shared" si="30"/>
        <v>-0.0530035335689046</v>
      </c>
      <c r="H509" s="524" t="str">
        <f t="shared" si="31"/>
        <v>是</v>
      </c>
      <c r="I509" s="312" t="str">
        <f t="shared" si="28"/>
        <v>项</v>
      </c>
    </row>
    <row r="510" s="372" customFormat="1" ht="24" customHeight="1" spans="1:9">
      <c r="A510" s="329">
        <v>207</v>
      </c>
      <c r="B510" s="377" t="s">
        <v>181</v>
      </c>
      <c r="C510" s="515">
        <f>C511+C527+C535+C546+C555+C563</f>
        <v>12540</v>
      </c>
      <c r="D510" s="515">
        <f>D511+D527+D535+D546+D555+D563</f>
        <v>11167</v>
      </c>
      <c r="E510" s="515">
        <f>E511+E527+E535+E546+E555+E563</f>
        <v>12001</v>
      </c>
      <c r="F510" s="523">
        <f t="shared" si="29"/>
        <v>-0.0429824561403509</v>
      </c>
      <c r="G510" s="467">
        <f t="shared" si="30"/>
        <v>0.0746843377809618</v>
      </c>
      <c r="H510" s="524" t="str">
        <f t="shared" si="31"/>
        <v>是</v>
      </c>
      <c r="I510" s="312" t="str">
        <f t="shared" si="28"/>
        <v>类</v>
      </c>
    </row>
    <row r="511" s="372" customFormat="1" ht="24" customHeight="1" spans="1:9">
      <c r="A511" s="330">
        <v>20701</v>
      </c>
      <c r="B511" s="379" t="s">
        <v>539</v>
      </c>
      <c r="C511" s="515">
        <f>SUM(C512:C526)</f>
        <v>5068</v>
      </c>
      <c r="D511" s="515">
        <f>SUM(D512:D526)</f>
        <v>6421</v>
      </c>
      <c r="E511" s="515">
        <f>SUM(E512:E526)</f>
        <v>7153</v>
      </c>
      <c r="F511" s="523">
        <f t="shared" si="29"/>
        <v>0.411404893449092</v>
      </c>
      <c r="G511" s="467">
        <f t="shared" si="30"/>
        <v>0.114000934433889</v>
      </c>
      <c r="H511" s="524" t="str">
        <f t="shared" si="31"/>
        <v>是</v>
      </c>
      <c r="I511" s="312" t="str">
        <f t="shared" si="28"/>
        <v>款</v>
      </c>
    </row>
    <row r="512" s="372" customFormat="1" ht="24" customHeight="1" spans="1:9">
      <c r="A512" s="330">
        <v>2070101</v>
      </c>
      <c r="B512" s="379" t="s">
        <v>212</v>
      </c>
      <c r="C512" s="516">
        <v>645</v>
      </c>
      <c r="D512" s="516">
        <f>'04'!F512</f>
        <v>600</v>
      </c>
      <c r="E512" s="525">
        <v>625</v>
      </c>
      <c r="F512" s="526">
        <f t="shared" si="29"/>
        <v>-0.0310077519379845</v>
      </c>
      <c r="G512" s="470">
        <f t="shared" si="30"/>
        <v>0.0416666666666667</v>
      </c>
      <c r="H512" s="524" t="str">
        <f t="shared" si="31"/>
        <v>是</v>
      </c>
      <c r="I512" s="312" t="str">
        <f t="shared" si="28"/>
        <v>项</v>
      </c>
    </row>
    <row r="513" s="372" customFormat="1" ht="24" customHeight="1" spans="1:9">
      <c r="A513" s="330">
        <v>2070102</v>
      </c>
      <c r="B513" s="379" t="s">
        <v>213</v>
      </c>
      <c r="C513" s="516">
        <v>35</v>
      </c>
      <c r="D513" s="516">
        <f>'04'!F513</f>
        <v>56</v>
      </c>
      <c r="E513" s="525">
        <v>45</v>
      </c>
      <c r="F513" s="526">
        <f t="shared" si="29"/>
        <v>0.285714285714286</v>
      </c>
      <c r="G513" s="470">
        <f t="shared" si="30"/>
        <v>-0.196428571428571</v>
      </c>
      <c r="H513" s="524" t="str">
        <f t="shared" si="31"/>
        <v>是</v>
      </c>
      <c r="I513" s="312" t="str">
        <f t="shared" si="28"/>
        <v>项</v>
      </c>
    </row>
    <row r="514" s="372" customFormat="1" ht="24" hidden="1" customHeight="1" spans="1:9">
      <c r="A514" s="330">
        <v>2070103</v>
      </c>
      <c r="B514" s="379" t="s">
        <v>214</v>
      </c>
      <c r="C514" s="516">
        <v>0</v>
      </c>
      <c r="D514" s="516">
        <f>'04'!F514</f>
        <v>0</v>
      </c>
      <c r="E514" s="525">
        <v>0</v>
      </c>
      <c r="F514" s="526" t="str">
        <f t="shared" si="29"/>
        <v/>
      </c>
      <c r="G514" s="470" t="str">
        <f t="shared" si="30"/>
        <v/>
      </c>
      <c r="H514" s="524" t="str">
        <f t="shared" si="31"/>
        <v>否</v>
      </c>
      <c r="I514" s="312" t="str">
        <f t="shared" si="28"/>
        <v>项</v>
      </c>
    </row>
    <row r="515" ht="24" customHeight="1" spans="1:9">
      <c r="A515" s="330">
        <v>2070104</v>
      </c>
      <c r="B515" s="379" t="s">
        <v>540</v>
      </c>
      <c r="C515" s="516">
        <v>513</v>
      </c>
      <c r="D515" s="516">
        <f>'04'!F515</f>
        <v>692</v>
      </c>
      <c r="E515" s="525">
        <v>712</v>
      </c>
      <c r="F515" s="526">
        <f t="shared" si="29"/>
        <v>0.387914230019493</v>
      </c>
      <c r="G515" s="470">
        <f t="shared" si="30"/>
        <v>0.0289017341040462</v>
      </c>
      <c r="H515" s="524" t="str">
        <f t="shared" si="31"/>
        <v>是</v>
      </c>
      <c r="I515" s="312" t="str">
        <f t="shared" si="28"/>
        <v>项</v>
      </c>
    </row>
    <row r="516" s="372" customFormat="1" ht="24" hidden="1" customHeight="1" spans="1:9">
      <c r="A516" s="330">
        <v>2070105</v>
      </c>
      <c r="B516" s="379" t="s">
        <v>541</v>
      </c>
      <c r="C516" s="516">
        <v>0</v>
      </c>
      <c r="D516" s="516">
        <f>'04'!F516</f>
        <v>0</v>
      </c>
      <c r="E516" s="525">
        <v>0</v>
      </c>
      <c r="F516" s="526" t="str">
        <f t="shared" si="29"/>
        <v/>
      </c>
      <c r="G516" s="470" t="str">
        <f t="shared" si="30"/>
        <v/>
      </c>
      <c r="H516" s="524" t="str">
        <f t="shared" si="31"/>
        <v>否</v>
      </c>
      <c r="I516" s="312" t="str">
        <f t="shared" si="28"/>
        <v>项</v>
      </c>
    </row>
    <row r="517" s="372" customFormat="1" ht="24" hidden="1" customHeight="1" spans="1:9">
      <c r="A517" s="330">
        <v>2070106</v>
      </c>
      <c r="B517" s="379" t="s">
        <v>542</v>
      </c>
      <c r="C517" s="516">
        <v>0</v>
      </c>
      <c r="D517" s="516">
        <f>'04'!F517</f>
        <v>0</v>
      </c>
      <c r="E517" s="525">
        <v>0</v>
      </c>
      <c r="F517" s="526" t="str">
        <f t="shared" si="29"/>
        <v/>
      </c>
      <c r="G517" s="470" t="str">
        <f t="shared" si="30"/>
        <v/>
      </c>
      <c r="H517" s="524" t="str">
        <f t="shared" si="31"/>
        <v>否</v>
      </c>
      <c r="I517" s="312" t="str">
        <f t="shared" ref="I517:I580" si="32">IF(LEN(A517)=3,"类",IF(LEN(A517)=5,"款","项"))</f>
        <v>项</v>
      </c>
    </row>
    <row r="518" s="372" customFormat="1" ht="24" hidden="1" customHeight="1" spans="1:9">
      <c r="A518" s="330">
        <v>2070107</v>
      </c>
      <c r="B518" s="379" t="s">
        <v>543</v>
      </c>
      <c r="C518" s="516">
        <v>0</v>
      </c>
      <c r="D518" s="516">
        <f>'04'!F518</f>
        <v>0</v>
      </c>
      <c r="E518" s="525">
        <v>0</v>
      </c>
      <c r="F518" s="526" t="str">
        <f t="shared" ref="F518:F581" si="33">IFERROR((E518-C518)/C518,"")</f>
        <v/>
      </c>
      <c r="G518" s="470" t="str">
        <f t="shared" ref="G518:G581" si="34">IFERROR((E518-D518)/D518,"")</f>
        <v/>
      </c>
      <c r="H518" s="524" t="str">
        <f t="shared" ref="H518:H581" si="35">IF(LEN(A518)=3,"是",IF(B518&lt;&gt;"",IF(SUM(C518:E518)&lt;&gt;0,"是","否"),"是"))</f>
        <v>否</v>
      </c>
      <c r="I518" s="312" t="str">
        <f t="shared" si="32"/>
        <v>项</v>
      </c>
    </row>
    <row r="519" ht="24" customHeight="1" spans="1:9">
      <c r="A519" s="330">
        <v>2070108</v>
      </c>
      <c r="B519" s="379" t="s">
        <v>544</v>
      </c>
      <c r="C519" s="516">
        <v>0</v>
      </c>
      <c r="D519" s="516">
        <f>'04'!F519</f>
        <v>36</v>
      </c>
      <c r="E519" s="525">
        <v>34</v>
      </c>
      <c r="F519" s="526" t="str">
        <f t="shared" si="33"/>
        <v/>
      </c>
      <c r="G519" s="470">
        <f t="shared" si="34"/>
        <v>-0.0555555555555556</v>
      </c>
      <c r="H519" s="524" t="str">
        <f t="shared" si="35"/>
        <v>是</v>
      </c>
      <c r="I519" s="312" t="str">
        <f t="shared" si="32"/>
        <v>项</v>
      </c>
    </row>
    <row r="520" s="372" customFormat="1" ht="24" customHeight="1" spans="1:9">
      <c r="A520" s="330">
        <v>2070109</v>
      </c>
      <c r="B520" s="379" t="s">
        <v>545</v>
      </c>
      <c r="C520" s="516">
        <v>571</v>
      </c>
      <c r="D520" s="516">
        <f>'04'!F520</f>
        <v>594</v>
      </c>
      <c r="E520" s="525">
        <v>612</v>
      </c>
      <c r="F520" s="526">
        <f t="shared" si="33"/>
        <v>0.0718038528896672</v>
      </c>
      <c r="G520" s="470">
        <f t="shared" si="34"/>
        <v>0.0303030303030303</v>
      </c>
      <c r="H520" s="524" t="str">
        <f t="shared" si="35"/>
        <v>是</v>
      </c>
      <c r="I520" s="312" t="str">
        <f t="shared" si="32"/>
        <v>项</v>
      </c>
    </row>
    <row r="521" s="372" customFormat="1" ht="24" hidden="1" customHeight="1" spans="1:9">
      <c r="A521" s="330">
        <v>2070110</v>
      </c>
      <c r="B521" s="379" t="s">
        <v>546</v>
      </c>
      <c r="C521" s="516">
        <v>0</v>
      </c>
      <c r="D521" s="516">
        <f>'04'!F521</f>
        <v>0</v>
      </c>
      <c r="E521" s="525">
        <v>0</v>
      </c>
      <c r="F521" s="526" t="str">
        <f t="shared" si="33"/>
        <v/>
      </c>
      <c r="G521" s="470" t="str">
        <f t="shared" si="34"/>
        <v/>
      </c>
      <c r="H521" s="524" t="str">
        <f t="shared" si="35"/>
        <v>否</v>
      </c>
      <c r="I521" s="312" t="str">
        <f t="shared" si="32"/>
        <v>项</v>
      </c>
    </row>
    <row r="522" s="372" customFormat="1" ht="24" customHeight="1" spans="1:9">
      <c r="A522" s="330">
        <v>2070111</v>
      </c>
      <c r="B522" s="379" t="s">
        <v>547</v>
      </c>
      <c r="C522" s="516">
        <v>212</v>
      </c>
      <c r="D522" s="516">
        <f>'04'!F522</f>
        <v>501</v>
      </c>
      <c r="E522" s="525">
        <v>585</v>
      </c>
      <c r="F522" s="526">
        <f t="shared" si="33"/>
        <v>1.75943396226415</v>
      </c>
      <c r="G522" s="470">
        <f t="shared" si="34"/>
        <v>0.167664670658683</v>
      </c>
      <c r="H522" s="524" t="str">
        <f t="shared" si="35"/>
        <v>是</v>
      </c>
      <c r="I522" s="312" t="str">
        <f t="shared" si="32"/>
        <v>项</v>
      </c>
    </row>
    <row r="523" ht="24" customHeight="1" spans="1:9">
      <c r="A523" s="330">
        <v>2070112</v>
      </c>
      <c r="B523" s="379" t="s">
        <v>548</v>
      </c>
      <c r="C523" s="516">
        <v>921</v>
      </c>
      <c r="D523" s="516">
        <f>'04'!F523</f>
        <v>827</v>
      </c>
      <c r="E523" s="525">
        <v>879</v>
      </c>
      <c r="F523" s="526">
        <f t="shared" si="33"/>
        <v>-0.0456026058631922</v>
      </c>
      <c r="G523" s="470">
        <f t="shared" si="34"/>
        <v>0.0628778718258767</v>
      </c>
      <c r="H523" s="524" t="str">
        <f t="shared" si="35"/>
        <v>是</v>
      </c>
      <c r="I523" s="312" t="str">
        <f t="shared" si="32"/>
        <v>项</v>
      </c>
    </row>
    <row r="524" s="372" customFormat="1" ht="24" customHeight="1" spans="1:9">
      <c r="A524" s="330">
        <v>2070113</v>
      </c>
      <c r="B524" s="379" t="s">
        <v>549</v>
      </c>
      <c r="C524" s="516">
        <v>513</v>
      </c>
      <c r="D524" s="516">
        <f>'04'!F524</f>
        <v>114</v>
      </c>
      <c r="E524" s="525">
        <v>121</v>
      </c>
      <c r="F524" s="526">
        <f t="shared" si="33"/>
        <v>-0.764132553606238</v>
      </c>
      <c r="G524" s="470">
        <f t="shared" si="34"/>
        <v>0.0614035087719298</v>
      </c>
      <c r="H524" s="524" t="str">
        <f t="shared" si="35"/>
        <v>是</v>
      </c>
      <c r="I524" s="312" t="str">
        <f t="shared" si="32"/>
        <v>项</v>
      </c>
    </row>
    <row r="525" s="372" customFormat="1" ht="24" customHeight="1" spans="1:9">
      <c r="A525" s="330">
        <v>2070114</v>
      </c>
      <c r="B525" s="379" t="s">
        <v>550</v>
      </c>
      <c r="C525" s="516">
        <v>0</v>
      </c>
      <c r="D525" s="516">
        <f>'04'!F525</f>
        <v>283</v>
      </c>
      <c r="E525" s="525">
        <v>325</v>
      </c>
      <c r="F525" s="526" t="str">
        <f t="shared" si="33"/>
        <v/>
      </c>
      <c r="G525" s="470">
        <f t="shared" si="34"/>
        <v>0.148409893992933</v>
      </c>
      <c r="H525" s="524" t="str">
        <f t="shared" si="35"/>
        <v>是</v>
      </c>
      <c r="I525" s="312" t="str">
        <f t="shared" si="32"/>
        <v>项</v>
      </c>
    </row>
    <row r="526" s="372" customFormat="1" ht="24" customHeight="1" spans="1:9">
      <c r="A526" s="330">
        <v>2070199</v>
      </c>
      <c r="B526" s="379" t="s">
        <v>551</v>
      </c>
      <c r="C526" s="516">
        <v>1658</v>
      </c>
      <c r="D526" s="516">
        <f>'04'!F526</f>
        <v>2718</v>
      </c>
      <c r="E526" s="525">
        <v>3215</v>
      </c>
      <c r="F526" s="526">
        <f t="shared" si="33"/>
        <v>0.939083232810615</v>
      </c>
      <c r="G526" s="470">
        <f t="shared" si="34"/>
        <v>0.182855040470935</v>
      </c>
      <c r="H526" s="524" t="str">
        <f t="shared" si="35"/>
        <v>是</v>
      </c>
      <c r="I526" s="312" t="str">
        <f t="shared" si="32"/>
        <v>项</v>
      </c>
    </row>
    <row r="527" s="372" customFormat="1" ht="24" customHeight="1" spans="1:9">
      <c r="A527" s="330">
        <v>20702</v>
      </c>
      <c r="B527" s="379" t="s">
        <v>552</v>
      </c>
      <c r="C527" s="515">
        <f>SUM(C528:C534)</f>
        <v>723</v>
      </c>
      <c r="D527" s="515">
        <f>SUM(D528:D534)</f>
        <v>805</v>
      </c>
      <c r="E527" s="515">
        <f>SUM(E528:E534)</f>
        <v>830</v>
      </c>
      <c r="F527" s="523">
        <f t="shared" si="33"/>
        <v>0.147994467496542</v>
      </c>
      <c r="G527" s="467">
        <f t="shared" si="34"/>
        <v>0.031055900621118</v>
      </c>
      <c r="H527" s="524" t="str">
        <f t="shared" si="35"/>
        <v>是</v>
      </c>
      <c r="I527" s="312" t="str">
        <f t="shared" si="32"/>
        <v>款</v>
      </c>
    </row>
    <row r="528" ht="24" hidden="1" customHeight="1" spans="1:9">
      <c r="A528" s="330">
        <v>2070201</v>
      </c>
      <c r="B528" s="379" t="s">
        <v>212</v>
      </c>
      <c r="C528" s="516">
        <v>0</v>
      </c>
      <c r="D528" s="516">
        <f>'04'!F528</f>
        <v>0</v>
      </c>
      <c r="E528" s="525">
        <v>0</v>
      </c>
      <c r="F528" s="526" t="str">
        <f t="shared" si="33"/>
        <v/>
      </c>
      <c r="G528" s="470" t="str">
        <f t="shared" si="34"/>
        <v/>
      </c>
      <c r="H528" s="524" t="str">
        <f t="shared" si="35"/>
        <v>否</v>
      </c>
      <c r="I528" s="312" t="str">
        <f t="shared" si="32"/>
        <v>项</v>
      </c>
    </row>
    <row r="529" ht="24" hidden="1" customHeight="1" spans="1:9">
      <c r="A529" s="330">
        <v>2070202</v>
      </c>
      <c r="B529" s="379" t="s">
        <v>213</v>
      </c>
      <c r="C529" s="516">
        <v>0</v>
      </c>
      <c r="D529" s="516">
        <f>'04'!F529</f>
        <v>0</v>
      </c>
      <c r="E529" s="525">
        <v>0</v>
      </c>
      <c r="F529" s="526" t="str">
        <f t="shared" si="33"/>
        <v/>
      </c>
      <c r="G529" s="470" t="str">
        <f t="shared" si="34"/>
        <v/>
      </c>
      <c r="H529" s="524" t="str">
        <f t="shared" si="35"/>
        <v>否</v>
      </c>
      <c r="I529" s="312" t="str">
        <f t="shared" si="32"/>
        <v>项</v>
      </c>
    </row>
    <row r="530" s="372" customFormat="1" ht="24" hidden="1" customHeight="1" spans="1:9">
      <c r="A530" s="330">
        <v>2070203</v>
      </c>
      <c r="B530" s="379" t="s">
        <v>214</v>
      </c>
      <c r="C530" s="516">
        <v>0</v>
      </c>
      <c r="D530" s="516">
        <f>'04'!F530</f>
        <v>0</v>
      </c>
      <c r="E530" s="525">
        <v>0</v>
      </c>
      <c r="F530" s="526" t="str">
        <f t="shared" si="33"/>
        <v/>
      </c>
      <c r="G530" s="470" t="str">
        <f t="shared" si="34"/>
        <v/>
      </c>
      <c r="H530" s="524" t="str">
        <f t="shared" si="35"/>
        <v>否</v>
      </c>
      <c r="I530" s="312" t="str">
        <f t="shared" si="32"/>
        <v>项</v>
      </c>
    </row>
    <row r="531" s="372" customFormat="1" ht="24" customHeight="1" spans="1:9">
      <c r="A531" s="330">
        <v>2070204</v>
      </c>
      <c r="B531" s="379" t="s">
        <v>553</v>
      </c>
      <c r="C531" s="516">
        <v>15</v>
      </c>
      <c r="D531" s="516">
        <f>'04'!F531</f>
        <v>68</v>
      </c>
      <c r="E531" s="525">
        <v>65</v>
      </c>
      <c r="F531" s="526">
        <f t="shared" si="33"/>
        <v>3.33333333333333</v>
      </c>
      <c r="G531" s="470">
        <f t="shared" si="34"/>
        <v>-0.0441176470588235</v>
      </c>
      <c r="H531" s="524" t="str">
        <f t="shared" si="35"/>
        <v>是</v>
      </c>
      <c r="I531" s="312" t="str">
        <f t="shared" si="32"/>
        <v>项</v>
      </c>
    </row>
    <row r="532" s="372" customFormat="1" ht="24" customHeight="1" spans="1:9">
      <c r="A532" s="330">
        <v>2070205</v>
      </c>
      <c r="B532" s="379" t="s">
        <v>554</v>
      </c>
      <c r="C532" s="516">
        <v>708</v>
      </c>
      <c r="D532" s="516">
        <f>'04'!F532</f>
        <v>737</v>
      </c>
      <c r="E532" s="525">
        <v>765</v>
      </c>
      <c r="F532" s="526">
        <f t="shared" si="33"/>
        <v>0.0805084745762712</v>
      </c>
      <c r="G532" s="470">
        <f t="shared" si="34"/>
        <v>0.0379918588873813</v>
      </c>
      <c r="H532" s="524" t="str">
        <f t="shared" si="35"/>
        <v>是</v>
      </c>
      <c r="I532" s="312" t="str">
        <f t="shared" si="32"/>
        <v>项</v>
      </c>
    </row>
    <row r="533" s="372" customFormat="1" ht="24" hidden="1" customHeight="1" spans="1:9">
      <c r="A533" s="330">
        <v>2070206</v>
      </c>
      <c r="B533" s="379" t="s">
        <v>555</v>
      </c>
      <c r="C533" s="516">
        <v>0</v>
      </c>
      <c r="D533" s="516">
        <f>'04'!F533</f>
        <v>0</v>
      </c>
      <c r="E533" s="525">
        <v>0</v>
      </c>
      <c r="F533" s="526" t="str">
        <f t="shared" si="33"/>
        <v/>
      </c>
      <c r="G533" s="470" t="str">
        <f t="shared" si="34"/>
        <v/>
      </c>
      <c r="H533" s="524" t="str">
        <f t="shared" si="35"/>
        <v>否</v>
      </c>
      <c r="I533" s="312" t="str">
        <f t="shared" si="32"/>
        <v>项</v>
      </c>
    </row>
    <row r="534" s="372" customFormat="1" ht="24" hidden="1" customHeight="1" spans="1:9">
      <c r="A534" s="330">
        <v>2070299</v>
      </c>
      <c r="B534" s="379" t="s">
        <v>556</v>
      </c>
      <c r="C534" s="516">
        <v>0</v>
      </c>
      <c r="D534" s="516">
        <f>'04'!F534</f>
        <v>0</v>
      </c>
      <c r="E534" s="525">
        <v>0</v>
      </c>
      <c r="F534" s="526" t="str">
        <f t="shared" si="33"/>
        <v/>
      </c>
      <c r="G534" s="470" t="str">
        <f t="shared" si="34"/>
        <v/>
      </c>
      <c r="H534" s="524" t="str">
        <f t="shared" si="35"/>
        <v>否</v>
      </c>
      <c r="I534" s="312" t="str">
        <f t="shared" si="32"/>
        <v>项</v>
      </c>
    </row>
    <row r="535" s="372" customFormat="1" ht="24" customHeight="1" spans="1:9">
      <c r="A535" s="330">
        <v>20703</v>
      </c>
      <c r="B535" s="379" t="s">
        <v>557</v>
      </c>
      <c r="C535" s="515">
        <f>SUM(C536:C545)</f>
        <v>2194</v>
      </c>
      <c r="D535" s="515">
        <f>SUM(D536:D545)</f>
        <v>1476</v>
      </c>
      <c r="E535" s="515">
        <f>SUM(E536:E545)</f>
        <v>1502</v>
      </c>
      <c r="F535" s="523">
        <f t="shared" si="33"/>
        <v>-0.315405651777575</v>
      </c>
      <c r="G535" s="467">
        <f t="shared" si="34"/>
        <v>0.0176151761517615</v>
      </c>
      <c r="H535" s="524" t="str">
        <f t="shared" si="35"/>
        <v>是</v>
      </c>
      <c r="I535" s="312" t="str">
        <f t="shared" si="32"/>
        <v>款</v>
      </c>
    </row>
    <row r="536" s="372" customFormat="1" ht="24" customHeight="1" spans="1:9">
      <c r="A536" s="330">
        <v>2070301</v>
      </c>
      <c r="B536" s="379" t="s">
        <v>212</v>
      </c>
      <c r="C536" s="516">
        <v>123</v>
      </c>
      <c r="D536" s="516">
        <f>'04'!F536</f>
        <v>118</v>
      </c>
      <c r="E536" s="525">
        <v>125</v>
      </c>
      <c r="F536" s="526">
        <f t="shared" si="33"/>
        <v>0.016260162601626</v>
      </c>
      <c r="G536" s="470">
        <f t="shared" si="34"/>
        <v>0.0593220338983051</v>
      </c>
      <c r="H536" s="524" t="str">
        <f t="shared" si="35"/>
        <v>是</v>
      </c>
      <c r="I536" s="312" t="str">
        <f t="shared" si="32"/>
        <v>项</v>
      </c>
    </row>
    <row r="537" s="372" customFormat="1" ht="24" customHeight="1" spans="1:9">
      <c r="A537" s="330">
        <v>2070302</v>
      </c>
      <c r="B537" s="379" t="s">
        <v>213</v>
      </c>
      <c r="C537" s="516">
        <v>30</v>
      </c>
      <c r="D537" s="516">
        <f>'04'!F537</f>
        <v>2</v>
      </c>
      <c r="E537" s="525">
        <v>3</v>
      </c>
      <c r="F537" s="526">
        <f t="shared" si="33"/>
        <v>-0.9</v>
      </c>
      <c r="G537" s="470">
        <f t="shared" si="34"/>
        <v>0.5</v>
      </c>
      <c r="H537" s="524" t="str">
        <f t="shared" si="35"/>
        <v>是</v>
      </c>
      <c r="I537" s="312" t="str">
        <f t="shared" si="32"/>
        <v>项</v>
      </c>
    </row>
    <row r="538" s="372" customFormat="1" ht="24" hidden="1" customHeight="1" spans="1:9">
      <c r="A538" s="330">
        <v>2070303</v>
      </c>
      <c r="B538" s="379" t="s">
        <v>214</v>
      </c>
      <c r="C538" s="516">
        <v>0</v>
      </c>
      <c r="D538" s="516">
        <f>'04'!F538</f>
        <v>0</v>
      </c>
      <c r="E538" s="525">
        <v>0</v>
      </c>
      <c r="F538" s="526" t="str">
        <f t="shared" si="33"/>
        <v/>
      </c>
      <c r="G538" s="470" t="str">
        <f t="shared" si="34"/>
        <v/>
      </c>
      <c r="H538" s="524" t="str">
        <f t="shared" si="35"/>
        <v>否</v>
      </c>
      <c r="I538" s="312" t="str">
        <f t="shared" si="32"/>
        <v>项</v>
      </c>
    </row>
    <row r="539" s="372" customFormat="1" ht="24" customHeight="1" spans="1:9">
      <c r="A539" s="330">
        <v>2070304</v>
      </c>
      <c r="B539" s="379" t="s">
        <v>558</v>
      </c>
      <c r="C539" s="516">
        <v>150</v>
      </c>
      <c r="D539" s="516">
        <f>'04'!F539</f>
        <v>239</v>
      </c>
      <c r="E539" s="525">
        <v>224</v>
      </c>
      <c r="F539" s="526">
        <f t="shared" si="33"/>
        <v>0.493333333333333</v>
      </c>
      <c r="G539" s="470">
        <f t="shared" si="34"/>
        <v>-0.0627615062761506</v>
      </c>
      <c r="H539" s="524" t="str">
        <f t="shared" si="35"/>
        <v>是</v>
      </c>
      <c r="I539" s="312" t="str">
        <f t="shared" si="32"/>
        <v>项</v>
      </c>
    </row>
    <row r="540" s="372" customFormat="1" ht="24" hidden="1" customHeight="1" spans="1:9">
      <c r="A540" s="330">
        <v>2070305</v>
      </c>
      <c r="B540" s="379" t="s">
        <v>559</v>
      </c>
      <c r="C540" s="516">
        <v>0</v>
      </c>
      <c r="D540" s="516">
        <f>'04'!F540</f>
        <v>0</v>
      </c>
      <c r="E540" s="525">
        <v>0</v>
      </c>
      <c r="F540" s="526" t="str">
        <f t="shared" si="33"/>
        <v/>
      </c>
      <c r="G540" s="470" t="str">
        <f t="shared" si="34"/>
        <v/>
      </c>
      <c r="H540" s="524" t="str">
        <f t="shared" si="35"/>
        <v>否</v>
      </c>
      <c r="I540" s="312" t="str">
        <f t="shared" si="32"/>
        <v>项</v>
      </c>
    </row>
    <row r="541" s="372" customFormat="1" ht="24" customHeight="1" spans="1:9">
      <c r="A541" s="330">
        <v>2070306</v>
      </c>
      <c r="B541" s="379" t="s">
        <v>560</v>
      </c>
      <c r="C541" s="516">
        <v>23</v>
      </c>
      <c r="D541" s="516">
        <f>'04'!F541</f>
        <v>38</v>
      </c>
      <c r="E541" s="525">
        <v>35</v>
      </c>
      <c r="F541" s="526">
        <f t="shared" si="33"/>
        <v>0.521739130434783</v>
      </c>
      <c r="G541" s="470">
        <f t="shared" si="34"/>
        <v>-0.0789473684210526</v>
      </c>
      <c r="H541" s="524" t="str">
        <f t="shared" si="35"/>
        <v>是</v>
      </c>
      <c r="I541" s="312" t="str">
        <f t="shared" si="32"/>
        <v>项</v>
      </c>
    </row>
    <row r="542" s="372" customFormat="1" ht="24" customHeight="1" spans="1:9">
      <c r="A542" s="330">
        <v>2070307</v>
      </c>
      <c r="B542" s="379" t="s">
        <v>561</v>
      </c>
      <c r="C542" s="516">
        <v>593</v>
      </c>
      <c r="D542" s="516">
        <f>'04'!F542</f>
        <v>116</v>
      </c>
      <c r="E542" s="525">
        <v>112</v>
      </c>
      <c r="F542" s="526">
        <f t="shared" si="33"/>
        <v>-0.811129848229342</v>
      </c>
      <c r="G542" s="470">
        <f t="shared" si="34"/>
        <v>-0.0344827586206897</v>
      </c>
      <c r="H542" s="524" t="str">
        <f t="shared" si="35"/>
        <v>是</v>
      </c>
      <c r="I542" s="312" t="str">
        <f t="shared" si="32"/>
        <v>项</v>
      </c>
    </row>
    <row r="543" s="372" customFormat="1" ht="24" customHeight="1" spans="1:9">
      <c r="A543" s="330">
        <v>2070308</v>
      </c>
      <c r="B543" s="379" t="s">
        <v>562</v>
      </c>
      <c r="C543" s="516">
        <v>1185</v>
      </c>
      <c r="D543" s="516">
        <f>'04'!F543</f>
        <v>843</v>
      </c>
      <c r="E543" s="525">
        <v>878</v>
      </c>
      <c r="F543" s="526">
        <f t="shared" si="33"/>
        <v>-0.259071729957806</v>
      </c>
      <c r="G543" s="470">
        <f t="shared" si="34"/>
        <v>0.0415183867141162</v>
      </c>
      <c r="H543" s="524" t="str">
        <f t="shared" si="35"/>
        <v>是</v>
      </c>
      <c r="I543" s="312" t="str">
        <f t="shared" si="32"/>
        <v>项</v>
      </c>
    </row>
    <row r="544" s="372" customFormat="1" ht="24" customHeight="1" spans="1:9">
      <c r="A544" s="330">
        <v>2070309</v>
      </c>
      <c r="B544" s="379" t="s">
        <v>563</v>
      </c>
      <c r="C544" s="516">
        <v>90</v>
      </c>
      <c r="D544" s="516">
        <f>'04'!F544</f>
        <v>120</v>
      </c>
      <c r="E544" s="525">
        <v>125</v>
      </c>
      <c r="F544" s="526">
        <f t="shared" si="33"/>
        <v>0.388888888888889</v>
      </c>
      <c r="G544" s="470">
        <f t="shared" si="34"/>
        <v>0.0416666666666667</v>
      </c>
      <c r="H544" s="524" t="str">
        <f t="shared" si="35"/>
        <v>是</v>
      </c>
      <c r="I544" s="312" t="str">
        <f t="shared" si="32"/>
        <v>项</v>
      </c>
    </row>
    <row r="545" ht="24" hidden="1" customHeight="1" spans="1:9">
      <c r="A545" s="330">
        <v>2070399</v>
      </c>
      <c r="B545" s="379" t="s">
        <v>564</v>
      </c>
      <c r="C545" s="516">
        <v>0</v>
      </c>
      <c r="D545" s="516">
        <f>'04'!F545</f>
        <v>0</v>
      </c>
      <c r="E545" s="525">
        <v>0</v>
      </c>
      <c r="F545" s="526" t="str">
        <f t="shared" si="33"/>
        <v/>
      </c>
      <c r="G545" s="470" t="str">
        <f t="shared" si="34"/>
        <v/>
      </c>
      <c r="H545" s="524" t="str">
        <f t="shared" si="35"/>
        <v>否</v>
      </c>
      <c r="I545" s="312" t="str">
        <f t="shared" si="32"/>
        <v>项</v>
      </c>
    </row>
    <row r="546" s="372" customFormat="1" ht="24" customHeight="1" spans="1:9">
      <c r="A546" s="330">
        <v>20706</v>
      </c>
      <c r="B546" s="379" t="s">
        <v>565</v>
      </c>
      <c r="C546" s="515">
        <f>SUM(C547:C554)</f>
        <v>10</v>
      </c>
      <c r="D546" s="515">
        <f>SUM(D547:D554)</f>
        <v>0</v>
      </c>
      <c r="E546" s="515">
        <f>SUM(E547:E554)</f>
        <v>0</v>
      </c>
      <c r="F546" s="523">
        <f t="shared" si="33"/>
        <v>-1</v>
      </c>
      <c r="G546" s="467" t="str">
        <f t="shared" si="34"/>
        <v/>
      </c>
      <c r="H546" s="524" t="str">
        <f t="shared" si="35"/>
        <v>是</v>
      </c>
      <c r="I546" s="312" t="str">
        <f t="shared" si="32"/>
        <v>款</v>
      </c>
    </row>
    <row r="547" s="372" customFormat="1" ht="24" hidden="1" customHeight="1" spans="1:9">
      <c r="A547" s="330">
        <v>2070601</v>
      </c>
      <c r="B547" s="379" t="s">
        <v>212</v>
      </c>
      <c r="C547" s="516"/>
      <c r="D547" s="516">
        <f>'04'!F547</f>
        <v>0</v>
      </c>
      <c r="E547" s="525">
        <v>0</v>
      </c>
      <c r="F547" s="526" t="str">
        <f t="shared" si="33"/>
        <v/>
      </c>
      <c r="G547" s="470" t="str">
        <f t="shared" si="34"/>
        <v/>
      </c>
      <c r="H547" s="524" t="str">
        <f t="shared" si="35"/>
        <v>否</v>
      </c>
      <c r="I547" s="312" t="str">
        <f t="shared" si="32"/>
        <v>项</v>
      </c>
    </row>
    <row r="548" s="372" customFormat="1" ht="24" hidden="1" customHeight="1" spans="1:9">
      <c r="A548" s="330">
        <v>2070602</v>
      </c>
      <c r="B548" s="379" t="s">
        <v>213</v>
      </c>
      <c r="C548" s="516"/>
      <c r="D548" s="516">
        <f>'04'!F548</f>
        <v>0</v>
      </c>
      <c r="E548" s="525">
        <v>0</v>
      </c>
      <c r="F548" s="526" t="str">
        <f t="shared" si="33"/>
        <v/>
      </c>
      <c r="G548" s="470" t="str">
        <f t="shared" si="34"/>
        <v/>
      </c>
      <c r="H548" s="524" t="str">
        <f t="shared" si="35"/>
        <v>否</v>
      </c>
      <c r="I548" s="312" t="str">
        <f t="shared" si="32"/>
        <v>项</v>
      </c>
    </row>
    <row r="549" s="372" customFormat="1" ht="24" hidden="1" customHeight="1" spans="1:9">
      <c r="A549" s="330">
        <v>2070603</v>
      </c>
      <c r="B549" s="379" t="s">
        <v>214</v>
      </c>
      <c r="C549" s="516"/>
      <c r="D549" s="516">
        <f>'04'!F549</f>
        <v>0</v>
      </c>
      <c r="E549" s="525">
        <v>0</v>
      </c>
      <c r="F549" s="526" t="str">
        <f t="shared" si="33"/>
        <v/>
      </c>
      <c r="G549" s="470" t="str">
        <f t="shared" si="34"/>
        <v/>
      </c>
      <c r="H549" s="524" t="str">
        <f t="shared" si="35"/>
        <v>否</v>
      </c>
      <c r="I549" s="312" t="str">
        <f t="shared" si="32"/>
        <v>项</v>
      </c>
    </row>
    <row r="550" s="372" customFormat="1" ht="24" hidden="1" customHeight="1" spans="1:9">
      <c r="A550" s="330">
        <v>2070604</v>
      </c>
      <c r="B550" s="379" t="s">
        <v>566</v>
      </c>
      <c r="C550" s="516"/>
      <c r="D550" s="516">
        <f>'04'!F550</f>
        <v>0</v>
      </c>
      <c r="E550" s="525">
        <v>0</v>
      </c>
      <c r="F550" s="526" t="str">
        <f t="shared" si="33"/>
        <v/>
      </c>
      <c r="G550" s="470" t="str">
        <f t="shared" si="34"/>
        <v/>
      </c>
      <c r="H550" s="524" t="str">
        <f t="shared" si="35"/>
        <v>否</v>
      </c>
      <c r="I550" s="312" t="str">
        <f t="shared" si="32"/>
        <v>项</v>
      </c>
    </row>
    <row r="551" s="372" customFormat="1" ht="24" hidden="1" customHeight="1" spans="1:9">
      <c r="A551" s="330">
        <v>2070605</v>
      </c>
      <c r="B551" s="379" t="s">
        <v>567</v>
      </c>
      <c r="C551" s="516"/>
      <c r="D551" s="516">
        <f>'04'!F551</f>
        <v>0</v>
      </c>
      <c r="E551" s="525">
        <v>0</v>
      </c>
      <c r="F551" s="526" t="str">
        <f t="shared" si="33"/>
        <v/>
      </c>
      <c r="G551" s="470" t="str">
        <f t="shared" si="34"/>
        <v/>
      </c>
      <c r="H551" s="524" t="str">
        <f t="shared" si="35"/>
        <v>否</v>
      </c>
      <c r="I551" s="312" t="str">
        <f t="shared" si="32"/>
        <v>项</v>
      </c>
    </row>
    <row r="552" s="372" customFormat="1" ht="24" hidden="1" customHeight="1" spans="1:9">
      <c r="A552" s="330">
        <v>2070606</v>
      </c>
      <c r="B552" s="379" t="s">
        <v>568</v>
      </c>
      <c r="C552" s="516"/>
      <c r="D552" s="516">
        <f>'04'!F552</f>
        <v>0</v>
      </c>
      <c r="E552" s="525">
        <v>0</v>
      </c>
      <c r="F552" s="526" t="str">
        <f t="shared" si="33"/>
        <v/>
      </c>
      <c r="G552" s="470" t="str">
        <f t="shared" si="34"/>
        <v/>
      </c>
      <c r="H552" s="524" t="str">
        <f t="shared" si="35"/>
        <v>否</v>
      </c>
      <c r="I552" s="312" t="str">
        <f t="shared" si="32"/>
        <v>项</v>
      </c>
    </row>
    <row r="553" ht="24" customHeight="1" spans="1:9">
      <c r="A553" s="330">
        <v>2070607</v>
      </c>
      <c r="B553" s="379" t="s">
        <v>569</v>
      </c>
      <c r="C553" s="516">
        <v>10</v>
      </c>
      <c r="D553" s="516">
        <f>'04'!F553</f>
        <v>0</v>
      </c>
      <c r="E553" s="525">
        <v>0</v>
      </c>
      <c r="F553" s="526">
        <f t="shared" si="33"/>
        <v>-1</v>
      </c>
      <c r="G553" s="470" t="str">
        <f t="shared" si="34"/>
        <v/>
      </c>
      <c r="H553" s="524" t="str">
        <f t="shared" si="35"/>
        <v>是</v>
      </c>
      <c r="I553" s="312" t="str">
        <f t="shared" si="32"/>
        <v>项</v>
      </c>
    </row>
    <row r="554" s="372" customFormat="1" ht="24" hidden="1" customHeight="1" spans="1:9">
      <c r="A554" s="330">
        <v>2070699</v>
      </c>
      <c r="B554" s="379" t="s">
        <v>570</v>
      </c>
      <c r="C554" s="516"/>
      <c r="D554" s="516">
        <f>'04'!F554</f>
        <v>0</v>
      </c>
      <c r="E554" s="525">
        <v>0</v>
      </c>
      <c r="F554" s="526" t="str">
        <f t="shared" si="33"/>
        <v/>
      </c>
      <c r="G554" s="470" t="str">
        <f t="shared" si="34"/>
        <v/>
      </c>
      <c r="H554" s="524" t="str">
        <f t="shared" si="35"/>
        <v>否</v>
      </c>
      <c r="I554" s="312" t="str">
        <f t="shared" si="32"/>
        <v>项</v>
      </c>
    </row>
    <row r="555" s="372" customFormat="1" ht="24" customHeight="1" spans="1:9">
      <c r="A555" s="330">
        <v>20708</v>
      </c>
      <c r="B555" s="379" t="s">
        <v>571</v>
      </c>
      <c r="C555" s="515">
        <f>SUM(C556:C562)</f>
        <v>4545</v>
      </c>
      <c r="D555" s="515">
        <f>SUM(D556:D562)</f>
        <v>2346</v>
      </c>
      <c r="E555" s="515">
        <f>SUM(E556:E562)</f>
        <v>2411</v>
      </c>
      <c r="F555" s="523">
        <f t="shared" si="33"/>
        <v>-0.46952695269527</v>
      </c>
      <c r="G555" s="467">
        <f t="shared" si="34"/>
        <v>0.0277067348678602</v>
      </c>
      <c r="H555" s="524" t="str">
        <f t="shared" si="35"/>
        <v>是</v>
      </c>
      <c r="I555" s="312" t="str">
        <f t="shared" si="32"/>
        <v>款</v>
      </c>
    </row>
    <row r="556" s="372" customFormat="1" ht="24" customHeight="1" spans="1:9">
      <c r="A556" s="330">
        <v>2070801</v>
      </c>
      <c r="B556" s="379" t="s">
        <v>212</v>
      </c>
      <c r="C556" s="516">
        <v>252</v>
      </c>
      <c r="D556" s="516">
        <f>'04'!F556</f>
        <v>245</v>
      </c>
      <c r="E556" s="525">
        <v>252</v>
      </c>
      <c r="F556" s="526">
        <f t="shared" si="33"/>
        <v>0</v>
      </c>
      <c r="G556" s="470">
        <f t="shared" si="34"/>
        <v>0.0285714285714286</v>
      </c>
      <c r="H556" s="524" t="str">
        <f t="shared" si="35"/>
        <v>是</v>
      </c>
      <c r="I556" s="312" t="str">
        <f t="shared" si="32"/>
        <v>项</v>
      </c>
    </row>
    <row r="557" s="372" customFormat="1" ht="24" customHeight="1" spans="1:9">
      <c r="A557" s="330">
        <v>2070802</v>
      </c>
      <c r="B557" s="379" t="s">
        <v>213</v>
      </c>
      <c r="C557" s="516">
        <v>8</v>
      </c>
      <c r="D557" s="516">
        <f>'04'!F557</f>
        <v>17</v>
      </c>
      <c r="E557" s="525">
        <v>14</v>
      </c>
      <c r="F557" s="526">
        <f t="shared" si="33"/>
        <v>0.75</v>
      </c>
      <c r="G557" s="470">
        <f t="shared" si="34"/>
        <v>-0.176470588235294</v>
      </c>
      <c r="H557" s="524" t="str">
        <f t="shared" si="35"/>
        <v>是</v>
      </c>
      <c r="I557" s="312" t="str">
        <f t="shared" si="32"/>
        <v>项</v>
      </c>
    </row>
    <row r="558" s="372" customFormat="1" ht="24" hidden="1" customHeight="1" spans="1:9">
      <c r="A558" s="330">
        <v>2070803</v>
      </c>
      <c r="B558" s="379" t="s">
        <v>214</v>
      </c>
      <c r="C558" s="516">
        <v>0</v>
      </c>
      <c r="D558" s="516">
        <f>'04'!F558</f>
        <v>0</v>
      </c>
      <c r="E558" s="525">
        <v>0</v>
      </c>
      <c r="F558" s="526" t="str">
        <f t="shared" si="33"/>
        <v/>
      </c>
      <c r="G558" s="470" t="str">
        <f t="shared" si="34"/>
        <v/>
      </c>
      <c r="H558" s="524" t="str">
        <f t="shared" si="35"/>
        <v>否</v>
      </c>
      <c r="I558" s="312" t="str">
        <f t="shared" si="32"/>
        <v>项</v>
      </c>
    </row>
    <row r="559" s="372" customFormat="1" ht="24" customHeight="1" spans="1:9">
      <c r="A559" s="330">
        <v>2070806</v>
      </c>
      <c r="B559" s="379" t="s">
        <v>572</v>
      </c>
      <c r="C559" s="516">
        <v>50</v>
      </c>
      <c r="D559" s="516">
        <f>'04'!F559</f>
        <v>65</v>
      </c>
      <c r="E559" s="525">
        <v>63</v>
      </c>
      <c r="F559" s="526">
        <f t="shared" si="33"/>
        <v>0.26</v>
      </c>
      <c r="G559" s="470">
        <f t="shared" si="34"/>
        <v>-0.0307692307692308</v>
      </c>
      <c r="H559" s="524" t="str">
        <f t="shared" si="35"/>
        <v>是</v>
      </c>
      <c r="I559" s="312" t="str">
        <f t="shared" si="32"/>
        <v>项</v>
      </c>
    </row>
    <row r="560" s="372" customFormat="1" ht="24" customHeight="1" spans="1:9">
      <c r="A560" s="536">
        <v>2070807</v>
      </c>
      <c r="B560" s="379" t="s">
        <v>573</v>
      </c>
      <c r="C560" s="516">
        <v>110</v>
      </c>
      <c r="D560" s="516">
        <f>'04'!F560</f>
        <v>160</v>
      </c>
      <c r="E560" s="525">
        <v>152</v>
      </c>
      <c r="F560" s="526">
        <f t="shared" si="33"/>
        <v>0.381818181818182</v>
      </c>
      <c r="G560" s="470">
        <f t="shared" si="34"/>
        <v>-0.05</v>
      </c>
      <c r="H560" s="524" t="str">
        <f t="shared" si="35"/>
        <v>是</v>
      </c>
      <c r="I560" s="312" t="str">
        <f t="shared" si="32"/>
        <v>项</v>
      </c>
    </row>
    <row r="561" s="372" customFormat="1" ht="24" customHeight="1" spans="1:9">
      <c r="A561" s="536">
        <v>2070808</v>
      </c>
      <c r="B561" s="379" t="s">
        <v>574</v>
      </c>
      <c r="C561" s="516">
        <v>3815</v>
      </c>
      <c r="D561" s="516">
        <f>'04'!F561</f>
        <v>1582</v>
      </c>
      <c r="E561" s="525">
        <v>1685</v>
      </c>
      <c r="F561" s="526">
        <f t="shared" si="33"/>
        <v>-0.558322411533421</v>
      </c>
      <c r="G561" s="470">
        <f t="shared" si="34"/>
        <v>0.0651074589127686</v>
      </c>
      <c r="H561" s="524" t="str">
        <f t="shared" si="35"/>
        <v>是</v>
      </c>
      <c r="I561" s="312" t="str">
        <f t="shared" si="32"/>
        <v>项</v>
      </c>
    </row>
    <row r="562" s="372" customFormat="1" ht="24" customHeight="1" spans="1:9">
      <c r="A562" s="330">
        <v>2070899</v>
      </c>
      <c r="B562" s="379" t="s">
        <v>575</v>
      </c>
      <c r="C562" s="516">
        <v>310</v>
      </c>
      <c r="D562" s="516">
        <f>'04'!F562</f>
        <v>277</v>
      </c>
      <c r="E562" s="525">
        <v>245</v>
      </c>
      <c r="F562" s="526">
        <f t="shared" si="33"/>
        <v>-0.209677419354839</v>
      </c>
      <c r="G562" s="470">
        <f t="shared" si="34"/>
        <v>-0.115523465703971</v>
      </c>
      <c r="H562" s="524" t="str">
        <f t="shared" si="35"/>
        <v>是</v>
      </c>
      <c r="I562" s="312" t="str">
        <f t="shared" si="32"/>
        <v>项</v>
      </c>
    </row>
    <row r="563" s="372" customFormat="1" ht="24" customHeight="1" spans="1:9">
      <c r="A563" s="330">
        <v>20799</v>
      </c>
      <c r="B563" s="379" t="s">
        <v>576</v>
      </c>
      <c r="C563" s="515">
        <f>SUM(C564:C565)</f>
        <v>0</v>
      </c>
      <c r="D563" s="515">
        <f>SUM(D564:D565)</f>
        <v>119</v>
      </c>
      <c r="E563" s="515">
        <f>SUM(E564:E565)</f>
        <v>105</v>
      </c>
      <c r="F563" s="523" t="str">
        <f t="shared" si="33"/>
        <v/>
      </c>
      <c r="G563" s="467">
        <f t="shared" si="34"/>
        <v>-0.117647058823529</v>
      </c>
      <c r="H563" s="524" t="str">
        <f t="shared" si="35"/>
        <v>是</v>
      </c>
      <c r="I563" s="312" t="str">
        <f t="shared" si="32"/>
        <v>款</v>
      </c>
    </row>
    <row r="564" s="372" customFormat="1" ht="24" hidden="1" customHeight="1" spans="1:9">
      <c r="A564" s="330">
        <v>2079903</v>
      </c>
      <c r="B564" s="379" t="s">
        <v>578</v>
      </c>
      <c r="C564" s="516"/>
      <c r="D564" s="516">
        <f>'04'!F564</f>
        <v>0</v>
      </c>
      <c r="E564" s="525">
        <v>0</v>
      </c>
      <c r="F564" s="526" t="str">
        <f t="shared" si="33"/>
        <v/>
      </c>
      <c r="G564" s="470" t="str">
        <f t="shared" si="34"/>
        <v/>
      </c>
      <c r="H564" s="524" t="str">
        <f t="shared" si="35"/>
        <v>否</v>
      </c>
      <c r="I564" s="312" t="str">
        <f t="shared" si="32"/>
        <v>项</v>
      </c>
    </row>
    <row r="565" s="372" customFormat="1" ht="24" customHeight="1" spans="1:9">
      <c r="A565" s="330">
        <v>2079999</v>
      </c>
      <c r="B565" s="379" t="s">
        <v>579</v>
      </c>
      <c r="C565" s="516">
        <v>0</v>
      </c>
      <c r="D565" s="516">
        <f>'04'!F565</f>
        <v>119</v>
      </c>
      <c r="E565" s="525">
        <v>105</v>
      </c>
      <c r="F565" s="526" t="str">
        <f t="shared" si="33"/>
        <v/>
      </c>
      <c r="G565" s="470">
        <f t="shared" si="34"/>
        <v>-0.117647058823529</v>
      </c>
      <c r="H565" s="524" t="str">
        <f t="shared" si="35"/>
        <v>是</v>
      </c>
      <c r="I565" s="312" t="str">
        <f t="shared" si="32"/>
        <v>项</v>
      </c>
    </row>
    <row r="566" s="372" customFormat="1" ht="24" customHeight="1" spans="1:9">
      <c r="A566" s="329">
        <v>208</v>
      </c>
      <c r="B566" s="377" t="s">
        <v>182</v>
      </c>
      <c r="C566" s="515">
        <f>C567+C586+C594+C596+C605+C609+C619+C628+C635+C643+C652+C658+C661+C664+C667+C670+C673+C677+C681+C690+C693</f>
        <v>61422</v>
      </c>
      <c r="D566" s="515">
        <f>D567+D586+D594+D596+D605+D609+D619+D628+D635+D643+D652+D658+D661+D664+D667+D670+D673+D677+D681+D690+D693</f>
        <v>66109</v>
      </c>
      <c r="E566" s="515">
        <f>E567+E586+E594+E596+E605+E609+E619+E628+E635+E643+E652+E658+E661+E664+E667+E670+E673+E677+E681+E690+E693</f>
        <v>71261</v>
      </c>
      <c r="F566" s="523">
        <f t="shared" si="33"/>
        <v>0.160186903715281</v>
      </c>
      <c r="G566" s="467">
        <f t="shared" si="34"/>
        <v>0.0779319003463976</v>
      </c>
      <c r="H566" s="524" t="str">
        <f t="shared" si="35"/>
        <v>是</v>
      </c>
      <c r="I566" s="312" t="str">
        <f t="shared" si="32"/>
        <v>类</v>
      </c>
    </row>
    <row r="567" s="372" customFormat="1" ht="24" customHeight="1" spans="1:9">
      <c r="A567" s="330">
        <v>20801</v>
      </c>
      <c r="B567" s="379" t="s">
        <v>580</v>
      </c>
      <c r="C567" s="515">
        <f>SUM(C568:C585)</f>
        <v>1799</v>
      </c>
      <c r="D567" s="515">
        <f>SUM(D568:D585)</f>
        <v>1858</v>
      </c>
      <c r="E567" s="515">
        <f>SUM(E568:E585)</f>
        <v>1884</v>
      </c>
      <c r="F567" s="523">
        <f t="shared" si="33"/>
        <v>0.047248471372985</v>
      </c>
      <c r="G567" s="467">
        <f t="shared" si="34"/>
        <v>0.0139935414424112</v>
      </c>
      <c r="H567" s="524" t="str">
        <f t="shared" si="35"/>
        <v>是</v>
      </c>
      <c r="I567" s="312" t="str">
        <f t="shared" si="32"/>
        <v>款</v>
      </c>
    </row>
    <row r="568" s="372" customFormat="1" ht="24" customHeight="1" spans="1:9">
      <c r="A568" s="330">
        <v>2080101</v>
      </c>
      <c r="B568" s="379" t="s">
        <v>212</v>
      </c>
      <c r="C568" s="516">
        <v>765</v>
      </c>
      <c r="D568" s="516">
        <f>'04'!F568</f>
        <v>740</v>
      </c>
      <c r="E568" s="525">
        <v>758</v>
      </c>
      <c r="F568" s="526">
        <f t="shared" si="33"/>
        <v>-0.00915032679738562</v>
      </c>
      <c r="G568" s="470">
        <f t="shared" si="34"/>
        <v>0.0243243243243243</v>
      </c>
      <c r="H568" s="524" t="str">
        <f t="shared" si="35"/>
        <v>是</v>
      </c>
      <c r="I568" s="312" t="str">
        <f t="shared" si="32"/>
        <v>项</v>
      </c>
    </row>
    <row r="569" s="372" customFormat="1" ht="24" customHeight="1" spans="1:9">
      <c r="A569" s="330">
        <v>2080102</v>
      </c>
      <c r="B569" s="379" t="s">
        <v>213</v>
      </c>
      <c r="C569" s="516">
        <v>80</v>
      </c>
      <c r="D569" s="516">
        <f>'04'!F569</f>
        <v>135</v>
      </c>
      <c r="E569" s="525">
        <v>125</v>
      </c>
      <c r="F569" s="526">
        <f t="shared" si="33"/>
        <v>0.5625</v>
      </c>
      <c r="G569" s="470">
        <f t="shared" si="34"/>
        <v>-0.0740740740740741</v>
      </c>
      <c r="H569" s="524" t="str">
        <f t="shared" si="35"/>
        <v>是</v>
      </c>
      <c r="I569" s="312" t="str">
        <f t="shared" si="32"/>
        <v>项</v>
      </c>
    </row>
    <row r="570" s="372" customFormat="1" ht="24" hidden="1" customHeight="1" spans="1:9">
      <c r="A570" s="330">
        <v>2080103</v>
      </c>
      <c r="B570" s="379" t="s">
        <v>214</v>
      </c>
      <c r="C570" s="516">
        <v>0</v>
      </c>
      <c r="D570" s="516">
        <f>'04'!F570</f>
        <v>0</v>
      </c>
      <c r="E570" s="525">
        <v>0</v>
      </c>
      <c r="F570" s="526" t="str">
        <f t="shared" si="33"/>
        <v/>
      </c>
      <c r="G570" s="470" t="str">
        <f t="shared" si="34"/>
        <v/>
      </c>
      <c r="H570" s="524" t="str">
        <f t="shared" si="35"/>
        <v>否</v>
      </c>
      <c r="I570" s="312" t="str">
        <f t="shared" si="32"/>
        <v>项</v>
      </c>
    </row>
    <row r="571" s="372" customFormat="1" ht="24" customHeight="1" spans="1:9">
      <c r="A571" s="330">
        <v>2080104</v>
      </c>
      <c r="B571" s="379" t="s">
        <v>581</v>
      </c>
      <c r="C571" s="516">
        <v>10</v>
      </c>
      <c r="D571" s="516">
        <f>'04'!F571</f>
        <v>14</v>
      </c>
      <c r="E571" s="525">
        <v>15</v>
      </c>
      <c r="F571" s="526">
        <f t="shared" si="33"/>
        <v>0.5</v>
      </c>
      <c r="G571" s="470">
        <f t="shared" si="34"/>
        <v>0.0714285714285714</v>
      </c>
      <c r="H571" s="524" t="str">
        <f t="shared" si="35"/>
        <v>是</v>
      </c>
      <c r="I571" s="312" t="str">
        <f t="shared" si="32"/>
        <v>项</v>
      </c>
    </row>
    <row r="572" ht="24" customHeight="1" spans="1:9">
      <c r="A572" s="330">
        <v>2080105</v>
      </c>
      <c r="B572" s="379" t="s">
        <v>582</v>
      </c>
      <c r="C572" s="516">
        <v>0</v>
      </c>
      <c r="D572" s="516">
        <f>'04'!F572</f>
        <v>19</v>
      </c>
      <c r="E572" s="525">
        <v>21</v>
      </c>
      <c r="F572" s="526" t="str">
        <f t="shared" si="33"/>
        <v/>
      </c>
      <c r="G572" s="470">
        <f t="shared" si="34"/>
        <v>0.105263157894737</v>
      </c>
      <c r="H572" s="524" t="str">
        <f t="shared" si="35"/>
        <v>是</v>
      </c>
      <c r="I572" s="312" t="str">
        <f t="shared" si="32"/>
        <v>项</v>
      </c>
    </row>
    <row r="573" s="372" customFormat="1" ht="24" customHeight="1" spans="1:9">
      <c r="A573" s="330">
        <v>2080106</v>
      </c>
      <c r="B573" s="379" t="s">
        <v>583</v>
      </c>
      <c r="C573" s="516">
        <v>83</v>
      </c>
      <c r="D573" s="516">
        <f>'04'!F573</f>
        <v>1</v>
      </c>
      <c r="E573" s="525">
        <v>0</v>
      </c>
      <c r="F573" s="526">
        <f t="shared" si="33"/>
        <v>-1</v>
      </c>
      <c r="G573" s="470">
        <f t="shared" si="34"/>
        <v>-1</v>
      </c>
      <c r="H573" s="524" t="str">
        <f t="shared" si="35"/>
        <v>是</v>
      </c>
      <c r="I573" s="312" t="str">
        <f t="shared" si="32"/>
        <v>项</v>
      </c>
    </row>
    <row r="574" s="372" customFormat="1" ht="24" hidden="1" customHeight="1" spans="1:9">
      <c r="A574" s="330">
        <v>2080107</v>
      </c>
      <c r="B574" s="379" t="s">
        <v>584</v>
      </c>
      <c r="C574" s="516">
        <v>0</v>
      </c>
      <c r="D574" s="516">
        <f>'04'!F574</f>
        <v>0</v>
      </c>
      <c r="E574" s="525">
        <v>0</v>
      </c>
      <c r="F574" s="526" t="str">
        <f t="shared" si="33"/>
        <v/>
      </c>
      <c r="G574" s="470" t="str">
        <f t="shared" si="34"/>
        <v/>
      </c>
      <c r="H574" s="524" t="str">
        <f t="shared" si="35"/>
        <v>否</v>
      </c>
      <c r="I574" s="312" t="str">
        <f t="shared" si="32"/>
        <v>项</v>
      </c>
    </row>
    <row r="575" s="372" customFormat="1" ht="24" hidden="1" customHeight="1" spans="1:9">
      <c r="A575" s="330">
        <v>2080108</v>
      </c>
      <c r="B575" s="379" t="s">
        <v>252</v>
      </c>
      <c r="C575" s="516">
        <v>0</v>
      </c>
      <c r="D575" s="516">
        <f>'04'!F575</f>
        <v>0</v>
      </c>
      <c r="E575" s="525">
        <v>0</v>
      </c>
      <c r="F575" s="526" t="str">
        <f t="shared" si="33"/>
        <v/>
      </c>
      <c r="G575" s="470" t="str">
        <f t="shared" si="34"/>
        <v/>
      </c>
      <c r="H575" s="524" t="str">
        <f t="shared" si="35"/>
        <v>否</v>
      </c>
      <c r="I575" s="312" t="str">
        <f t="shared" si="32"/>
        <v>项</v>
      </c>
    </row>
    <row r="576" s="372" customFormat="1" ht="24" customHeight="1" spans="1:9">
      <c r="A576" s="330">
        <v>2080109</v>
      </c>
      <c r="B576" s="379" t="s">
        <v>585</v>
      </c>
      <c r="C576" s="516">
        <v>510</v>
      </c>
      <c r="D576" s="516">
        <f>'04'!F576</f>
        <v>565</v>
      </c>
      <c r="E576" s="525">
        <v>575</v>
      </c>
      <c r="F576" s="526">
        <f t="shared" si="33"/>
        <v>0.127450980392157</v>
      </c>
      <c r="G576" s="470">
        <f t="shared" si="34"/>
        <v>0.0176991150442478</v>
      </c>
      <c r="H576" s="524" t="str">
        <f t="shared" si="35"/>
        <v>是</v>
      </c>
      <c r="I576" s="312" t="str">
        <f t="shared" si="32"/>
        <v>项</v>
      </c>
    </row>
    <row r="577" s="372" customFormat="1" ht="24" hidden="1" customHeight="1" spans="1:9">
      <c r="A577" s="330">
        <v>2080110</v>
      </c>
      <c r="B577" s="379" t="s">
        <v>586</v>
      </c>
      <c r="C577" s="516">
        <v>0</v>
      </c>
      <c r="D577" s="516">
        <f>'04'!F577</f>
        <v>0</v>
      </c>
      <c r="E577" s="525">
        <v>0</v>
      </c>
      <c r="F577" s="526" t="str">
        <f t="shared" si="33"/>
        <v/>
      </c>
      <c r="G577" s="470" t="str">
        <f t="shared" si="34"/>
        <v/>
      </c>
      <c r="H577" s="524" t="str">
        <f t="shared" si="35"/>
        <v>否</v>
      </c>
      <c r="I577" s="312" t="str">
        <f t="shared" si="32"/>
        <v>项</v>
      </c>
    </row>
    <row r="578" s="372" customFormat="1" ht="24" hidden="1" customHeight="1" spans="1:9">
      <c r="A578" s="330">
        <v>2080111</v>
      </c>
      <c r="B578" s="379" t="s">
        <v>587</v>
      </c>
      <c r="C578" s="516">
        <v>0</v>
      </c>
      <c r="D578" s="516">
        <f>'04'!F578</f>
        <v>0</v>
      </c>
      <c r="E578" s="525">
        <v>0</v>
      </c>
      <c r="F578" s="526" t="str">
        <f t="shared" si="33"/>
        <v/>
      </c>
      <c r="G578" s="470" t="str">
        <f t="shared" si="34"/>
        <v/>
      </c>
      <c r="H578" s="524" t="str">
        <f t="shared" si="35"/>
        <v>否</v>
      </c>
      <c r="I578" s="312" t="str">
        <f t="shared" si="32"/>
        <v>项</v>
      </c>
    </row>
    <row r="579" s="372" customFormat="1" ht="24" hidden="1" customHeight="1" spans="1:9">
      <c r="A579" s="330">
        <v>2080112</v>
      </c>
      <c r="B579" s="379" t="s">
        <v>588</v>
      </c>
      <c r="C579" s="516">
        <v>0</v>
      </c>
      <c r="D579" s="516">
        <f>'04'!F579</f>
        <v>0</v>
      </c>
      <c r="E579" s="525">
        <v>0</v>
      </c>
      <c r="F579" s="526" t="str">
        <f t="shared" si="33"/>
        <v/>
      </c>
      <c r="G579" s="470" t="str">
        <f t="shared" si="34"/>
        <v/>
      </c>
      <c r="H579" s="524" t="str">
        <f t="shared" si="35"/>
        <v>否</v>
      </c>
      <c r="I579" s="312" t="str">
        <f t="shared" si="32"/>
        <v>项</v>
      </c>
    </row>
    <row r="580" ht="24" customHeight="1" spans="1:9">
      <c r="A580" s="527">
        <v>2080113</v>
      </c>
      <c r="B580" s="534" t="s">
        <v>589</v>
      </c>
      <c r="C580" s="516">
        <v>0</v>
      </c>
      <c r="D580" s="516">
        <f>'04'!F580</f>
        <v>3</v>
      </c>
      <c r="E580" s="525">
        <v>0</v>
      </c>
      <c r="F580" s="526" t="str">
        <f t="shared" si="33"/>
        <v/>
      </c>
      <c r="G580" s="470">
        <f t="shared" si="34"/>
        <v>-1</v>
      </c>
      <c r="H580" s="524" t="str">
        <f t="shared" si="35"/>
        <v>是</v>
      </c>
      <c r="I580" s="312" t="str">
        <f t="shared" si="32"/>
        <v>项</v>
      </c>
    </row>
    <row r="581" s="372" customFormat="1" ht="24" hidden="1" customHeight="1" spans="1:9">
      <c r="A581" s="527">
        <v>2080114</v>
      </c>
      <c r="B581" s="534" t="s">
        <v>590</v>
      </c>
      <c r="C581" s="516">
        <v>0</v>
      </c>
      <c r="D581" s="516">
        <f>'04'!F581</f>
        <v>0</v>
      </c>
      <c r="E581" s="525">
        <v>0</v>
      </c>
      <c r="F581" s="526" t="str">
        <f t="shared" si="33"/>
        <v/>
      </c>
      <c r="G581" s="470" t="str">
        <f t="shared" si="34"/>
        <v/>
      </c>
      <c r="H581" s="524" t="str">
        <f t="shared" si="35"/>
        <v>否</v>
      </c>
      <c r="I581" s="312" t="str">
        <f t="shared" ref="I581:I644" si="36">IF(LEN(A581)=3,"类",IF(LEN(A581)=5,"款","项"))</f>
        <v>项</v>
      </c>
    </row>
    <row r="582" s="372" customFormat="1" ht="24" hidden="1" customHeight="1" spans="1:9">
      <c r="A582" s="527">
        <v>2080115</v>
      </c>
      <c r="B582" s="534" t="s">
        <v>591</v>
      </c>
      <c r="C582" s="516">
        <v>0</v>
      </c>
      <c r="D582" s="516">
        <f>'04'!F582</f>
        <v>0</v>
      </c>
      <c r="E582" s="525">
        <v>0</v>
      </c>
      <c r="F582" s="526" t="str">
        <f t="shared" ref="F582:F645" si="37">IFERROR((E582-C582)/C582,"")</f>
        <v/>
      </c>
      <c r="G582" s="470" t="str">
        <f t="shared" ref="G582:G645" si="38">IFERROR((E582-D582)/D582,"")</f>
        <v/>
      </c>
      <c r="H582" s="524" t="str">
        <f t="shared" ref="H582:H645" si="39">IF(LEN(A582)=3,"是",IF(B582&lt;&gt;"",IF(SUM(C582:E582)&lt;&gt;0,"是","否"),"是"))</f>
        <v>否</v>
      </c>
      <c r="I582" s="312" t="str">
        <f t="shared" si="36"/>
        <v>项</v>
      </c>
    </row>
    <row r="583" s="372" customFormat="1" ht="24" hidden="1" customHeight="1" spans="1:9">
      <c r="A583" s="527">
        <v>2080116</v>
      </c>
      <c r="B583" s="534" t="s">
        <v>592</v>
      </c>
      <c r="C583" s="516">
        <v>0</v>
      </c>
      <c r="D583" s="516">
        <f>'04'!F583</f>
        <v>0</v>
      </c>
      <c r="E583" s="525">
        <v>0</v>
      </c>
      <c r="F583" s="526" t="str">
        <f t="shared" si="37"/>
        <v/>
      </c>
      <c r="G583" s="470" t="str">
        <f t="shared" si="38"/>
        <v/>
      </c>
      <c r="H583" s="524" t="str">
        <f t="shared" si="39"/>
        <v>否</v>
      </c>
      <c r="I583" s="312" t="str">
        <f t="shared" si="36"/>
        <v>项</v>
      </c>
    </row>
    <row r="584" ht="24" customHeight="1" spans="1:9">
      <c r="A584" s="527">
        <v>2080150</v>
      </c>
      <c r="B584" s="534" t="s">
        <v>221</v>
      </c>
      <c r="C584" s="516">
        <v>286</v>
      </c>
      <c r="D584" s="516">
        <f>'04'!F584</f>
        <v>292</v>
      </c>
      <c r="E584" s="525">
        <v>305</v>
      </c>
      <c r="F584" s="526">
        <f t="shared" si="37"/>
        <v>0.0664335664335664</v>
      </c>
      <c r="G584" s="470">
        <f t="shared" si="38"/>
        <v>0.0445205479452055</v>
      </c>
      <c r="H584" s="524" t="str">
        <f t="shared" si="39"/>
        <v>是</v>
      </c>
      <c r="I584" s="312" t="str">
        <f t="shared" si="36"/>
        <v>项</v>
      </c>
    </row>
    <row r="585" ht="24" customHeight="1" spans="1:9">
      <c r="A585" s="330">
        <v>2080199</v>
      </c>
      <c r="B585" s="379" t="s">
        <v>593</v>
      </c>
      <c r="C585" s="516">
        <v>65</v>
      </c>
      <c r="D585" s="516">
        <f>'04'!F585</f>
        <v>89</v>
      </c>
      <c r="E585" s="525">
        <v>85</v>
      </c>
      <c r="F585" s="526">
        <f t="shared" si="37"/>
        <v>0.307692307692308</v>
      </c>
      <c r="G585" s="470">
        <f t="shared" si="38"/>
        <v>-0.0449438202247191</v>
      </c>
      <c r="H585" s="524" t="str">
        <f t="shared" si="39"/>
        <v>是</v>
      </c>
      <c r="I585" s="312" t="str">
        <f t="shared" si="36"/>
        <v>项</v>
      </c>
    </row>
    <row r="586" s="372" customFormat="1" ht="24" customHeight="1" spans="1:9">
      <c r="A586" s="330">
        <v>20802</v>
      </c>
      <c r="B586" s="379" t="s">
        <v>594</v>
      </c>
      <c r="C586" s="515">
        <f>SUM(C587:C593)</f>
        <v>489</v>
      </c>
      <c r="D586" s="515">
        <f>SUM(D587:D593)</f>
        <v>486</v>
      </c>
      <c r="E586" s="515">
        <f>SUM(E587:E593)</f>
        <v>476</v>
      </c>
      <c r="F586" s="523">
        <f t="shared" si="37"/>
        <v>-0.0265848670756646</v>
      </c>
      <c r="G586" s="467">
        <f t="shared" si="38"/>
        <v>-0.0205761316872428</v>
      </c>
      <c r="H586" s="524" t="str">
        <f t="shared" si="39"/>
        <v>是</v>
      </c>
      <c r="I586" s="312" t="str">
        <f t="shared" si="36"/>
        <v>款</v>
      </c>
    </row>
    <row r="587" s="372" customFormat="1" ht="24" customHeight="1" spans="1:9">
      <c r="A587" s="330">
        <v>2080201</v>
      </c>
      <c r="B587" s="379" t="s">
        <v>212</v>
      </c>
      <c r="C587" s="516">
        <v>355</v>
      </c>
      <c r="D587" s="516">
        <f>'04'!F587</f>
        <v>371</v>
      </c>
      <c r="E587" s="525">
        <v>381</v>
      </c>
      <c r="F587" s="526">
        <f t="shared" si="37"/>
        <v>0.0732394366197183</v>
      </c>
      <c r="G587" s="470">
        <f t="shared" si="38"/>
        <v>0.0269541778975741</v>
      </c>
      <c r="H587" s="524" t="str">
        <f t="shared" si="39"/>
        <v>是</v>
      </c>
      <c r="I587" s="312" t="str">
        <f t="shared" si="36"/>
        <v>项</v>
      </c>
    </row>
    <row r="588" s="372" customFormat="1" ht="24" customHeight="1" spans="1:9">
      <c r="A588" s="330">
        <v>2080202</v>
      </c>
      <c r="B588" s="379" t="s">
        <v>213</v>
      </c>
      <c r="C588" s="516">
        <v>13</v>
      </c>
      <c r="D588" s="516">
        <f>'04'!F588</f>
        <v>0</v>
      </c>
      <c r="E588" s="525">
        <v>0</v>
      </c>
      <c r="F588" s="526">
        <f t="shared" si="37"/>
        <v>-1</v>
      </c>
      <c r="G588" s="470" t="str">
        <f t="shared" si="38"/>
        <v/>
      </c>
      <c r="H588" s="524" t="str">
        <f t="shared" si="39"/>
        <v>是</v>
      </c>
      <c r="I588" s="312" t="str">
        <f t="shared" si="36"/>
        <v>项</v>
      </c>
    </row>
    <row r="589" s="372" customFormat="1" ht="24" hidden="1" customHeight="1" spans="1:9">
      <c r="A589" s="330">
        <v>2080203</v>
      </c>
      <c r="B589" s="379" t="s">
        <v>214</v>
      </c>
      <c r="C589" s="516">
        <v>0</v>
      </c>
      <c r="D589" s="516">
        <f>'04'!F589</f>
        <v>0</v>
      </c>
      <c r="E589" s="525">
        <v>0</v>
      </c>
      <c r="F589" s="526" t="str">
        <f t="shared" si="37"/>
        <v/>
      </c>
      <c r="G589" s="470" t="str">
        <f t="shared" si="38"/>
        <v/>
      </c>
      <c r="H589" s="524" t="str">
        <f t="shared" si="39"/>
        <v>否</v>
      </c>
      <c r="I589" s="312" t="str">
        <f t="shared" si="36"/>
        <v>项</v>
      </c>
    </row>
    <row r="590" s="372" customFormat="1" ht="24" hidden="1" customHeight="1" spans="1:9">
      <c r="A590" s="330">
        <v>2080206</v>
      </c>
      <c r="B590" s="379" t="s">
        <v>595</v>
      </c>
      <c r="C590" s="516">
        <v>0</v>
      </c>
      <c r="D590" s="516">
        <f>'04'!F590</f>
        <v>0</v>
      </c>
      <c r="E590" s="525">
        <v>0</v>
      </c>
      <c r="F590" s="526" t="str">
        <f t="shared" si="37"/>
        <v/>
      </c>
      <c r="G590" s="470" t="str">
        <f t="shared" si="38"/>
        <v/>
      </c>
      <c r="H590" s="524" t="str">
        <f t="shared" si="39"/>
        <v>否</v>
      </c>
      <c r="I590" s="312" t="str">
        <f t="shared" si="36"/>
        <v>项</v>
      </c>
    </row>
    <row r="591" s="372" customFormat="1" ht="24" hidden="1" customHeight="1" spans="1:9">
      <c r="A591" s="330">
        <v>2080207</v>
      </c>
      <c r="B591" s="379" t="s">
        <v>596</v>
      </c>
      <c r="C591" s="516">
        <v>0</v>
      </c>
      <c r="D591" s="516">
        <f>'04'!F591</f>
        <v>0</v>
      </c>
      <c r="E591" s="525">
        <v>0</v>
      </c>
      <c r="F591" s="526" t="str">
        <f t="shared" si="37"/>
        <v/>
      </c>
      <c r="G591" s="470" t="str">
        <f t="shared" si="38"/>
        <v/>
      </c>
      <c r="H591" s="524" t="str">
        <f t="shared" si="39"/>
        <v>否</v>
      </c>
      <c r="I591" s="312" t="str">
        <f t="shared" si="36"/>
        <v>项</v>
      </c>
    </row>
    <row r="592" s="374" customFormat="1" ht="24" hidden="1" customHeight="1" spans="1:9">
      <c r="A592" s="354">
        <v>2080209</v>
      </c>
      <c r="B592" s="327" t="s">
        <v>598</v>
      </c>
      <c r="C592" s="516">
        <v>0</v>
      </c>
      <c r="D592" s="516">
        <f>'04'!F592</f>
        <v>0</v>
      </c>
      <c r="E592" s="525">
        <v>0</v>
      </c>
      <c r="F592" s="526" t="str">
        <f t="shared" si="37"/>
        <v/>
      </c>
      <c r="G592" s="470" t="str">
        <f t="shared" si="38"/>
        <v/>
      </c>
      <c r="H592" s="524" t="str">
        <f t="shared" si="39"/>
        <v>否</v>
      </c>
      <c r="I592" s="313" t="str">
        <f t="shared" si="36"/>
        <v>项</v>
      </c>
    </row>
    <row r="593" s="372" customFormat="1" ht="24" customHeight="1" spans="1:9">
      <c r="A593" s="330">
        <v>2080299</v>
      </c>
      <c r="B593" s="379" t="s">
        <v>599</v>
      </c>
      <c r="C593" s="516">
        <v>121</v>
      </c>
      <c r="D593" s="516">
        <f>'04'!F593</f>
        <v>115</v>
      </c>
      <c r="E593" s="525">
        <v>95</v>
      </c>
      <c r="F593" s="526">
        <f t="shared" si="37"/>
        <v>-0.214876033057851</v>
      </c>
      <c r="G593" s="470">
        <f t="shared" si="38"/>
        <v>-0.173913043478261</v>
      </c>
      <c r="H593" s="524" t="str">
        <f t="shared" si="39"/>
        <v>是</v>
      </c>
      <c r="I593" s="312" t="str">
        <f t="shared" si="36"/>
        <v>项</v>
      </c>
    </row>
    <row r="594" s="372" customFormat="1" ht="24" hidden="1" customHeight="1" spans="1:9">
      <c r="A594" s="330">
        <v>20804</v>
      </c>
      <c r="B594" s="379" t="s">
        <v>600</v>
      </c>
      <c r="C594" s="515">
        <f>C595</f>
        <v>0</v>
      </c>
      <c r="D594" s="515">
        <f>D595</f>
        <v>0</v>
      </c>
      <c r="E594" s="515">
        <f>E595</f>
        <v>0</v>
      </c>
      <c r="F594" s="523" t="str">
        <f t="shared" si="37"/>
        <v/>
      </c>
      <c r="G594" s="467" t="str">
        <f t="shared" si="38"/>
        <v/>
      </c>
      <c r="H594" s="524" t="str">
        <f t="shared" si="39"/>
        <v>否</v>
      </c>
      <c r="I594" s="312" t="str">
        <f t="shared" si="36"/>
        <v>款</v>
      </c>
    </row>
    <row r="595" s="372" customFormat="1" ht="24" hidden="1" customHeight="1" spans="1:9">
      <c r="A595" s="330">
        <v>2080402</v>
      </c>
      <c r="B595" s="379" t="s">
        <v>601</v>
      </c>
      <c r="C595" s="516"/>
      <c r="D595" s="516">
        <f>'04'!F595</f>
        <v>0</v>
      </c>
      <c r="E595" s="525">
        <v>0</v>
      </c>
      <c r="F595" s="526" t="str">
        <f t="shared" si="37"/>
        <v/>
      </c>
      <c r="G595" s="470" t="str">
        <f t="shared" si="38"/>
        <v/>
      </c>
      <c r="H595" s="524" t="str">
        <f t="shared" si="39"/>
        <v>否</v>
      </c>
      <c r="I595" s="312" t="str">
        <f t="shared" si="36"/>
        <v>项</v>
      </c>
    </row>
    <row r="596" s="372" customFormat="1" ht="24" customHeight="1" spans="1:9">
      <c r="A596" s="330">
        <v>20805</v>
      </c>
      <c r="B596" s="379" t="s">
        <v>602</v>
      </c>
      <c r="C596" s="515">
        <f>SUM(C597:C604)</f>
        <v>22912</v>
      </c>
      <c r="D596" s="515">
        <f>SUM(D597:D604)</f>
        <v>22047</v>
      </c>
      <c r="E596" s="515">
        <f>SUM(E597:E604)</f>
        <v>24827</v>
      </c>
      <c r="F596" s="523">
        <f t="shared" si="37"/>
        <v>0.083580656424581</v>
      </c>
      <c r="G596" s="467">
        <f t="shared" si="38"/>
        <v>0.126094253186375</v>
      </c>
      <c r="H596" s="524" t="str">
        <f t="shared" si="39"/>
        <v>是</v>
      </c>
      <c r="I596" s="312" t="str">
        <f t="shared" si="36"/>
        <v>款</v>
      </c>
    </row>
    <row r="597" s="372" customFormat="1" ht="24" customHeight="1" spans="1:9">
      <c r="A597" s="330">
        <v>2080501</v>
      </c>
      <c r="B597" s="379" t="s">
        <v>603</v>
      </c>
      <c r="C597" s="516">
        <v>3825</v>
      </c>
      <c r="D597" s="516">
        <f>'04'!F597</f>
        <v>4059</v>
      </c>
      <c r="E597" s="525">
        <v>4456</v>
      </c>
      <c r="F597" s="526">
        <f t="shared" si="37"/>
        <v>0.164967320261438</v>
      </c>
      <c r="G597" s="470">
        <f t="shared" si="38"/>
        <v>0.0978073417097807</v>
      </c>
      <c r="H597" s="524" t="str">
        <f t="shared" si="39"/>
        <v>是</v>
      </c>
      <c r="I597" s="312" t="str">
        <f t="shared" si="36"/>
        <v>项</v>
      </c>
    </row>
    <row r="598" s="372" customFormat="1" ht="24" customHeight="1" spans="1:9">
      <c r="A598" s="330">
        <v>2080502</v>
      </c>
      <c r="B598" s="379" t="s">
        <v>604</v>
      </c>
      <c r="C598" s="516">
        <v>3452</v>
      </c>
      <c r="D598" s="516">
        <f>'04'!F598</f>
        <v>3326</v>
      </c>
      <c r="E598" s="525">
        <v>3765</v>
      </c>
      <c r="F598" s="526">
        <f t="shared" si="37"/>
        <v>0.0906720741599073</v>
      </c>
      <c r="G598" s="470">
        <f t="shared" si="38"/>
        <v>0.131990378833434</v>
      </c>
      <c r="H598" s="524" t="str">
        <f t="shared" si="39"/>
        <v>是</v>
      </c>
      <c r="I598" s="312" t="str">
        <f t="shared" si="36"/>
        <v>项</v>
      </c>
    </row>
    <row r="599" s="372" customFormat="1" ht="24" customHeight="1" spans="1:9">
      <c r="A599" s="330">
        <v>2080503</v>
      </c>
      <c r="B599" s="379" t="s">
        <v>605</v>
      </c>
      <c r="C599" s="516">
        <v>178</v>
      </c>
      <c r="D599" s="516">
        <f>'04'!F599</f>
        <v>161</v>
      </c>
      <c r="E599" s="525">
        <v>175</v>
      </c>
      <c r="F599" s="526">
        <f t="shared" si="37"/>
        <v>-0.0168539325842697</v>
      </c>
      <c r="G599" s="470">
        <f t="shared" si="38"/>
        <v>0.0869565217391304</v>
      </c>
      <c r="H599" s="524" t="str">
        <f t="shared" si="39"/>
        <v>是</v>
      </c>
      <c r="I599" s="312" t="str">
        <f t="shared" si="36"/>
        <v>项</v>
      </c>
    </row>
    <row r="600" s="372" customFormat="1" ht="24" customHeight="1" spans="1:9">
      <c r="A600" s="330">
        <v>2080505</v>
      </c>
      <c r="B600" s="379" t="s">
        <v>606</v>
      </c>
      <c r="C600" s="516">
        <v>10885</v>
      </c>
      <c r="D600" s="516">
        <f>'04'!F600</f>
        <v>10188</v>
      </c>
      <c r="E600" s="525">
        <v>11268</v>
      </c>
      <c r="F600" s="526">
        <f t="shared" si="37"/>
        <v>0.0351860358291226</v>
      </c>
      <c r="G600" s="470">
        <f t="shared" si="38"/>
        <v>0.106007067137809</v>
      </c>
      <c r="H600" s="524" t="str">
        <f t="shared" si="39"/>
        <v>是</v>
      </c>
      <c r="I600" s="312" t="str">
        <f t="shared" si="36"/>
        <v>项</v>
      </c>
    </row>
    <row r="601" s="372" customFormat="1" ht="24" customHeight="1" spans="1:9">
      <c r="A601" s="330">
        <v>2080506</v>
      </c>
      <c r="B601" s="379" t="s">
        <v>607</v>
      </c>
      <c r="C601" s="516">
        <v>2156</v>
      </c>
      <c r="D601" s="516">
        <f>'04'!F601</f>
        <v>2037</v>
      </c>
      <c r="E601" s="525">
        <v>2515</v>
      </c>
      <c r="F601" s="526">
        <f t="shared" si="37"/>
        <v>0.166512059369202</v>
      </c>
      <c r="G601" s="470">
        <f t="shared" si="38"/>
        <v>0.2346588119784</v>
      </c>
      <c r="H601" s="524" t="str">
        <f t="shared" si="39"/>
        <v>是</v>
      </c>
      <c r="I601" s="312" t="str">
        <f t="shared" si="36"/>
        <v>项</v>
      </c>
    </row>
    <row r="602" s="372" customFormat="1" ht="24" customHeight="1" spans="1:9">
      <c r="A602" s="330">
        <v>2080507</v>
      </c>
      <c r="B602" s="379" t="s">
        <v>608</v>
      </c>
      <c r="C602" s="516">
        <v>2000</v>
      </c>
      <c r="D602" s="516">
        <f>'04'!F602</f>
        <v>1801</v>
      </c>
      <c r="E602" s="525">
        <v>2152</v>
      </c>
      <c r="F602" s="526">
        <f t="shared" si="37"/>
        <v>0.076</v>
      </c>
      <c r="G602" s="470">
        <f t="shared" si="38"/>
        <v>0.194891726818434</v>
      </c>
      <c r="H602" s="524" t="str">
        <f t="shared" si="39"/>
        <v>是</v>
      </c>
      <c r="I602" s="312" t="str">
        <f t="shared" si="36"/>
        <v>项</v>
      </c>
    </row>
    <row r="603" s="372" customFormat="1" ht="24" hidden="1" customHeight="1" spans="1:9">
      <c r="A603" s="527">
        <v>2080508</v>
      </c>
      <c r="B603" s="534" t="s">
        <v>609</v>
      </c>
      <c r="C603" s="516">
        <v>0</v>
      </c>
      <c r="D603" s="516">
        <f>'04'!F603</f>
        <v>0</v>
      </c>
      <c r="E603" s="525">
        <v>0</v>
      </c>
      <c r="F603" s="526" t="str">
        <f t="shared" si="37"/>
        <v/>
      </c>
      <c r="G603" s="470" t="str">
        <f t="shared" si="38"/>
        <v/>
      </c>
      <c r="H603" s="524" t="str">
        <f t="shared" si="39"/>
        <v>否</v>
      </c>
      <c r="I603" s="312" t="str">
        <f t="shared" si="36"/>
        <v>项</v>
      </c>
    </row>
    <row r="604" ht="24" customHeight="1" spans="1:9">
      <c r="A604" s="330">
        <v>2080599</v>
      </c>
      <c r="B604" s="379" t="s">
        <v>610</v>
      </c>
      <c r="C604" s="516">
        <v>416</v>
      </c>
      <c r="D604" s="516">
        <f>'04'!F604</f>
        <v>475</v>
      </c>
      <c r="E604" s="525">
        <v>496</v>
      </c>
      <c r="F604" s="526">
        <f t="shared" si="37"/>
        <v>0.192307692307692</v>
      </c>
      <c r="G604" s="470">
        <f t="shared" si="38"/>
        <v>0.0442105263157895</v>
      </c>
      <c r="H604" s="524" t="str">
        <f t="shared" si="39"/>
        <v>是</v>
      </c>
      <c r="I604" s="312" t="str">
        <f t="shared" si="36"/>
        <v>项</v>
      </c>
    </row>
    <row r="605" s="372" customFormat="1" ht="24" customHeight="1" spans="1:9">
      <c r="A605" s="330">
        <v>20806</v>
      </c>
      <c r="B605" s="379" t="s">
        <v>611</v>
      </c>
      <c r="C605" s="515">
        <f>SUM(C606:C608)</f>
        <v>0</v>
      </c>
      <c r="D605" s="515">
        <f>SUM(D606:D608)</f>
        <v>1</v>
      </c>
      <c r="E605" s="515">
        <f>SUM(E606:E608)</f>
        <v>1</v>
      </c>
      <c r="F605" s="523" t="str">
        <f t="shared" si="37"/>
        <v/>
      </c>
      <c r="G605" s="467">
        <f t="shared" si="38"/>
        <v>0</v>
      </c>
      <c r="H605" s="524" t="str">
        <f t="shared" si="39"/>
        <v>是</v>
      </c>
      <c r="I605" s="312" t="str">
        <f t="shared" si="36"/>
        <v>款</v>
      </c>
    </row>
    <row r="606" s="372" customFormat="1" ht="24" customHeight="1" spans="1:9">
      <c r="A606" s="330">
        <v>2080601</v>
      </c>
      <c r="B606" s="379" t="s">
        <v>612</v>
      </c>
      <c r="C606" s="516"/>
      <c r="D606" s="516">
        <f>'04'!F606</f>
        <v>1</v>
      </c>
      <c r="E606" s="525">
        <v>1</v>
      </c>
      <c r="F606" s="526" t="str">
        <f t="shared" si="37"/>
        <v/>
      </c>
      <c r="G606" s="470">
        <f t="shared" si="38"/>
        <v>0</v>
      </c>
      <c r="H606" s="524" t="str">
        <f t="shared" si="39"/>
        <v>是</v>
      </c>
      <c r="I606" s="312" t="str">
        <f t="shared" si="36"/>
        <v>项</v>
      </c>
    </row>
    <row r="607" s="372" customFormat="1" ht="24" hidden="1" customHeight="1" spans="1:9">
      <c r="A607" s="330">
        <v>2080602</v>
      </c>
      <c r="B607" s="379" t="s">
        <v>613</v>
      </c>
      <c r="C607" s="516"/>
      <c r="D607" s="516">
        <f>'04'!F607</f>
        <v>0</v>
      </c>
      <c r="E607" s="525">
        <v>0</v>
      </c>
      <c r="F607" s="526" t="str">
        <f t="shared" si="37"/>
        <v/>
      </c>
      <c r="G607" s="470" t="str">
        <f t="shared" si="38"/>
        <v/>
      </c>
      <c r="H607" s="524" t="str">
        <f t="shared" si="39"/>
        <v>否</v>
      </c>
      <c r="I607" s="312" t="str">
        <f t="shared" si="36"/>
        <v>项</v>
      </c>
    </row>
    <row r="608" s="372" customFormat="1" ht="24" hidden="1" customHeight="1" spans="1:9">
      <c r="A608" s="330">
        <v>2080699</v>
      </c>
      <c r="B608" s="379" t="s">
        <v>614</v>
      </c>
      <c r="C608" s="516"/>
      <c r="D608" s="516">
        <f>'04'!F608</f>
        <v>0</v>
      </c>
      <c r="E608" s="525">
        <v>0</v>
      </c>
      <c r="F608" s="526" t="str">
        <f t="shared" si="37"/>
        <v/>
      </c>
      <c r="G608" s="470" t="str">
        <f t="shared" si="38"/>
        <v/>
      </c>
      <c r="H608" s="524" t="str">
        <f t="shared" si="39"/>
        <v>否</v>
      </c>
      <c r="I608" s="312" t="str">
        <f t="shared" si="36"/>
        <v>项</v>
      </c>
    </row>
    <row r="609" s="372" customFormat="1" ht="24" customHeight="1" spans="1:9">
      <c r="A609" s="330">
        <v>20807</v>
      </c>
      <c r="B609" s="379" t="s">
        <v>615</v>
      </c>
      <c r="C609" s="515">
        <f>SUM(C610:C618)</f>
        <v>1186</v>
      </c>
      <c r="D609" s="515">
        <f>SUM(D610:D618)</f>
        <v>1282</v>
      </c>
      <c r="E609" s="515">
        <f>SUM(E610:E618)</f>
        <v>1242</v>
      </c>
      <c r="F609" s="523">
        <f t="shared" si="37"/>
        <v>0.0472175379426644</v>
      </c>
      <c r="G609" s="467">
        <f t="shared" si="38"/>
        <v>-0.031201248049922</v>
      </c>
      <c r="H609" s="524" t="str">
        <f t="shared" si="39"/>
        <v>是</v>
      </c>
      <c r="I609" s="312" t="str">
        <f t="shared" si="36"/>
        <v>款</v>
      </c>
    </row>
    <row r="610" s="374" customFormat="1" ht="24" customHeight="1" spans="1:9">
      <c r="A610" s="331">
        <v>2080701</v>
      </c>
      <c r="B610" s="327" t="s">
        <v>616</v>
      </c>
      <c r="C610" s="516">
        <v>50</v>
      </c>
      <c r="D610" s="516">
        <f>'04'!F610</f>
        <v>0</v>
      </c>
      <c r="E610" s="525">
        <v>0</v>
      </c>
      <c r="F610" s="526">
        <f t="shared" si="37"/>
        <v>-1</v>
      </c>
      <c r="G610" s="470" t="str">
        <f t="shared" si="38"/>
        <v/>
      </c>
      <c r="H610" s="524" t="str">
        <f t="shared" si="39"/>
        <v>是</v>
      </c>
      <c r="I610" s="313" t="str">
        <f t="shared" si="36"/>
        <v>项</v>
      </c>
    </row>
    <row r="611" s="372" customFormat="1" ht="24" hidden="1" customHeight="1" spans="1:9">
      <c r="A611" s="330">
        <v>2080702</v>
      </c>
      <c r="B611" s="379" t="s">
        <v>617</v>
      </c>
      <c r="C611" s="516">
        <v>0</v>
      </c>
      <c r="D611" s="516">
        <f>'04'!F611</f>
        <v>0</v>
      </c>
      <c r="E611" s="525">
        <v>0</v>
      </c>
      <c r="F611" s="526" t="str">
        <f t="shared" si="37"/>
        <v/>
      </c>
      <c r="G611" s="470" t="str">
        <f t="shared" si="38"/>
        <v/>
      </c>
      <c r="H611" s="524" t="str">
        <f t="shared" si="39"/>
        <v>否</v>
      </c>
      <c r="I611" s="312" t="str">
        <f t="shared" si="36"/>
        <v>项</v>
      </c>
    </row>
    <row r="612" s="372" customFormat="1" ht="24" customHeight="1" spans="1:9">
      <c r="A612" s="330">
        <v>2080704</v>
      </c>
      <c r="B612" s="379" t="s">
        <v>618</v>
      </c>
      <c r="C612" s="516">
        <v>50</v>
      </c>
      <c r="D612" s="516">
        <f>'04'!F612</f>
        <v>165</v>
      </c>
      <c r="E612" s="525">
        <v>158</v>
      </c>
      <c r="F612" s="526">
        <f t="shared" si="37"/>
        <v>2.16</v>
      </c>
      <c r="G612" s="470">
        <f t="shared" si="38"/>
        <v>-0.0424242424242424</v>
      </c>
      <c r="H612" s="524" t="str">
        <f t="shared" si="39"/>
        <v>是</v>
      </c>
      <c r="I612" s="312" t="str">
        <f t="shared" si="36"/>
        <v>项</v>
      </c>
    </row>
    <row r="613" s="372" customFormat="1" ht="24" customHeight="1" spans="1:9">
      <c r="A613" s="330">
        <v>2080705</v>
      </c>
      <c r="B613" s="379" t="s">
        <v>619</v>
      </c>
      <c r="C613" s="516">
        <v>665</v>
      </c>
      <c r="D613" s="516">
        <f>'04'!F613</f>
        <v>319</v>
      </c>
      <c r="E613" s="525">
        <v>285</v>
      </c>
      <c r="F613" s="526">
        <f t="shared" si="37"/>
        <v>-0.571428571428571</v>
      </c>
      <c r="G613" s="470">
        <f t="shared" si="38"/>
        <v>-0.106583072100313</v>
      </c>
      <c r="H613" s="524" t="str">
        <f t="shared" si="39"/>
        <v>是</v>
      </c>
      <c r="I613" s="312" t="str">
        <f t="shared" si="36"/>
        <v>项</v>
      </c>
    </row>
    <row r="614" s="313" customFormat="1" ht="24" hidden="1" customHeight="1" spans="1:10">
      <c r="A614" s="331">
        <v>2080709</v>
      </c>
      <c r="B614" s="327" t="s">
        <v>620</v>
      </c>
      <c r="C614" s="516">
        <v>0</v>
      </c>
      <c r="D614" s="516">
        <f>'04'!F614</f>
        <v>0</v>
      </c>
      <c r="E614" s="525">
        <v>0</v>
      </c>
      <c r="F614" s="526" t="str">
        <f t="shared" si="37"/>
        <v/>
      </c>
      <c r="G614" s="470" t="str">
        <f t="shared" si="38"/>
        <v/>
      </c>
      <c r="H614" s="524" t="str">
        <f t="shared" si="39"/>
        <v>否</v>
      </c>
      <c r="I614" s="313" t="str">
        <f t="shared" si="36"/>
        <v>项</v>
      </c>
      <c r="J614" s="374"/>
    </row>
    <row r="615" s="374" customFormat="1" ht="24" hidden="1" customHeight="1" spans="1:9">
      <c r="A615" s="331">
        <v>2080711</v>
      </c>
      <c r="B615" s="327" t="s">
        <v>621</v>
      </c>
      <c r="C615" s="516">
        <v>0</v>
      </c>
      <c r="D615" s="516">
        <f>'04'!F615</f>
        <v>0</v>
      </c>
      <c r="E615" s="525">
        <v>0</v>
      </c>
      <c r="F615" s="526" t="str">
        <f t="shared" si="37"/>
        <v/>
      </c>
      <c r="G615" s="470" t="str">
        <f t="shared" si="38"/>
        <v/>
      </c>
      <c r="H615" s="524" t="str">
        <f t="shared" si="39"/>
        <v>否</v>
      </c>
      <c r="I615" s="313" t="str">
        <f t="shared" si="36"/>
        <v>项</v>
      </c>
    </row>
    <row r="616" s="374" customFormat="1" ht="24" customHeight="1" spans="1:9">
      <c r="A616" s="331">
        <v>2080712</v>
      </c>
      <c r="B616" s="327" t="s">
        <v>622</v>
      </c>
      <c r="C616" s="516">
        <v>0</v>
      </c>
      <c r="D616" s="516">
        <f>'04'!F616</f>
        <v>266</v>
      </c>
      <c r="E616" s="525">
        <v>285</v>
      </c>
      <c r="F616" s="526" t="str">
        <f t="shared" si="37"/>
        <v/>
      </c>
      <c r="G616" s="470">
        <f t="shared" si="38"/>
        <v>0.0714285714285714</v>
      </c>
      <c r="H616" s="524" t="str">
        <f t="shared" si="39"/>
        <v>是</v>
      </c>
      <c r="I616" s="313" t="str">
        <f t="shared" si="36"/>
        <v>项</v>
      </c>
    </row>
    <row r="617" s="374" customFormat="1" ht="24" customHeight="1" spans="1:9">
      <c r="A617" s="331">
        <v>2080713</v>
      </c>
      <c r="B617" s="327" t="s">
        <v>623</v>
      </c>
      <c r="C617" s="516">
        <v>400</v>
      </c>
      <c r="D617" s="516">
        <f>'04'!F617</f>
        <v>426</v>
      </c>
      <c r="E617" s="525">
        <v>429</v>
      </c>
      <c r="F617" s="526">
        <f t="shared" si="37"/>
        <v>0.0725</v>
      </c>
      <c r="G617" s="470">
        <f t="shared" si="38"/>
        <v>0.00704225352112676</v>
      </c>
      <c r="H617" s="524" t="str">
        <f t="shared" si="39"/>
        <v>是</v>
      </c>
      <c r="I617" s="313" t="str">
        <f t="shared" si="36"/>
        <v>项</v>
      </c>
    </row>
    <row r="618" s="374" customFormat="1" ht="24" customHeight="1" spans="1:9">
      <c r="A618" s="331">
        <v>2080799</v>
      </c>
      <c r="B618" s="327" t="s">
        <v>624</v>
      </c>
      <c r="C618" s="516">
        <v>21</v>
      </c>
      <c r="D618" s="516">
        <f>'04'!F618</f>
        <v>106</v>
      </c>
      <c r="E618" s="525">
        <v>85</v>
      </c>
      <c r="F618" s="526">
        <f t="shared" si="37"/>
        <v>3.04761904761905</v>
      </c>
      <c r="G618" s="470">
        <f t="shared" si="38"/>
        <v>-0.19811320754717</v>
      </c>
      <c r="H618" s="524" t="str">
        <f t="shared" si="39"/>
        <v>是</v>
      </c>
      <c r="I618" s="313" t="str">
        <f t="shared" si="36"/>
        <v>项</v>
      </c>
    </row>
    <row r="619" s="372" customFormat="1" ht="24" customHeight="1" spans="1:9">
      <c r="A619" s="330">
        <v>20808</v>
      </c>
      <c r="B619" s="379" t="s">
        <v>625</v>
      </c>
      <c r="C619" s="515">
        <f>SUM(C620:C627)</f>
        <v>1336</v>
      </c>
      <c r="D619" s="515">
        <f>SUM(D620:D627)</f>
        <v>1133</v>
      </c>
      <c r="E619" s="515">
        <f>SUM(E620:E627)</f>
        <v>1089</v>
      </c>
      <c r="F619" s="523">
        <f t="shared" si="37"/>
        <v>-0.184880239520958</v>
      </c>
      <c r="G619" s="467">
        <f t="shared" si="38"/>
        <v>-0.0388349514563107</v>
      </c>
      <c r="H619" s="524" t="str">
        <f t="shared" si="39"/>
        <v>是</v>
      </c>
      <c r="I619" s="312" t="str">
        <f t="shared" si="36"/>
        <v>款</v>
      </c>
    </row>
    <row r="620" s="372" customFormat="1" ht="24" customHeight="1" spans="1:9">
      <c r="A620" s="330">
        <v>2080801</v>
      </c>
      <c r="B620" s="379" t="s">
        <v>626</v>
      </c>
      <c r="C620" s="516">
        <v>1215</v>
      </c>
      <c r="D620" s="516">
        <f>'04'!F620</f>
        <v>1061</v>
      </c>
      <c r="E620" s="525">
        <v>1041</v>
      </c>
      <c r="F620" s="526">
        <f t="shared" si="37"/>
        <v>-0.14320987654321</v>
      </c>
      <c r="G620" s="470">
        <f t="shared" si="38"/>
        <v>-0.0188501413760603</v>
      </c>
      <c r="H620" s="524" t="str">
        <f t="shared" si="39"/>
        <v>是</v>
      </c>
      <c r="I620" s="312" t="str">
        <f t="shared" si="36"/>
        <v>项</v>
      </c>
    </row>
    <row r="621" s="372" customFormat="1" ht="24" hidden="1" customHeight="1" spans="1:9">
      <c r="A621" s="330">
        <v>2080802</v>
      </c>
      <c r="B621" s="379" t="s">
        <v>627</v>
      </c>
      <c r="C621" s="516">
        <v>0</v>
      </c>
      <c r="D621" s="516">
        <f>'04'!F621</f>
        <v>0</v>
      </c>
      <c r="E621" s="525">
        <v>0</v>
      </c>
      <c r="F621" s="526" t="str">
        <f t="shared" si="37"/>
        <v/>
      </c>
      <c r="G621" s="470" t="str">
        <f t="shared" si="38"/>
        <v/>
      </c>
      <c r="H621" s="524" t="str">
        <f t="shared" si="39"/>
        <v>否</v>
      </c>
      <c r="I621" s="312" t="str">
        <f t="shared" si="36"/>
        <v>项</v>
      </c>
    </row>
    <row r="622" s="488" customFormat="1" ht="24" hidden="1" customHeight="1" spans="1:9">
      <c r="A622" s="330">
        <v>2080803</v>
      </c>
      <c r="B622" s="379" t="s">
        <v>628</v>
      </c>
      <c r="C622" s="516">
        <v>0</v>
      </c>
      <c r="D622" s="516">
        <f>'04'!F622</f>
        <v>0</v>
      </c>
      <c r="E622" s="525">
        <v>0</v>
      </c>
      <c r="F622" s="526" t="str">
        <f t="shared" si="37"/>
        <v/>
      </c>
      <c r="G622" s="470" t="str">
        <f t="shared" si="38"/>
        <v/>
      </c>
      <c r="H622" s="524" t="str">
        <f t="shared" si="39"/>
        <v>否</v>
      </c>
      <c r="I622" s="312" t="str">
        <f t="shared" si="36"/>
        <v>项</v>
      </c>
    </row>
    <row r="623" ht="24" customHeight="1" spans="1:9">
      <c r="A623" s="330">
        <v>2080805</v>
      </c>
      <c r="B623" s="379" t="s">
        <v>629</v>
      </c>
      <c r="C623" s="516">
        <v>101</v>
      </c>
      <c r="D623" s="516">
        <f>'04'!F623</f>
        <v>0</v>
      </c>
      <c r="E623" s="525">
        <v>0</v>
      </c>
      <c r="F623" s="526">
        <f t="shared" si="37"/>
        <v>-1</v>
      </c>
      <c r="G623" s="470" t="str">
        <f t="shared" si="38"/>
        <v/>
      </c>
      <c r="H623" s="524" t="str">
        <f t="shared" si="39"/>
        <v>是</v>
      </c>
      <c r="I623" s="312" t="str">
        <f t="shared" si="36"/>
        <v>项</v>
      </c>
    </row>
    <row r="624" s="372" customFormat="1" ht="24" hidden="1" customHeight="1" spans="1:9">
      <c r="A624" s="330">
        <v>2080806</v>
      </c>
      <c r="B624" s="379" t="s">
        <v>630</v>
      </c>
      <c r="C624" s="516"/>
      <c r="D624" s="516">
        <f>'04'!F624</f>
        <v>0</v>
      </c>
      <c r="E624" s="525">
        <v>0</v>
      </c>
      <c r="F624" s="526" t="str">
        <f t="shared" si="37"/>
        <v/>
      </c>
      <c r="G624" s="470" t="str">
        <f t="shared" si="38"/>
        <v/>
      </c>
      <c r="H624" s="524" t="str">
        <f t="shared" si="39"/>
        <v>否</v>
      </c>
      <c r="I624" s="312" t="str">
        <f t="shared" si="36"/>
        <v>项</v>
      </c>
    </row>
    <row r="625" s="372" customFormat="1" ht="24" hidden="1" customHeight="1" spans="1:9">
      <c r="A625" s="330">
        <v>2080807</v>
      </c>
      <c r="B625" s="405" t="s">
        <v>631</v>
      </c>
      <c r="C625" s="516">
        <v>0</v>
      </c>
      <c r="D625" s="516">
        <f>'04'!F625</f>
        <v>0</v>
      </c>
      <c r="E625" s="525">
        <v>0</v>
      </c>
      <c r="F625" s="526" t="str">
        <f t="shared" si="37"/>
        <v/>
      </c>
      <c r="G625" s="470" t="str">
        <f t="shared" si="38"/>
        <v/>
      </c>
      <c r="H625" s="524" t="str">
        <f t="shared" si="39"/>
        <v>否</v>
      </c>
      <c r="I625" s="312" t="str">
        <f t="shared" si="36"/>
        <v>项</v>
      </c>
    </row>
    <row r="626" s="372" customFormat="1" ht="24" customHeight="1" spans="1:9">
      <c r="A626" s="330">
        <v>2080808</v>
      </c>
      <c r="B626" s="405" t="s">
        <v>632</v>
      </c>
      <c r="C626" s="516">
        <v>20</v>
      </c>
      <c r="D626" s="516">
        <f>'04'!F626</f>
        <v>55</v>
      </c>
      <c r="E626" s="525">
        <v>48</v>
      </c>
      <c r="F626" s="526">
        <f t="shared" si="37"/>
        <v>1.4</v>
      </c>
      <c r="G626" s="470">
        <f t="shared" si="38"/>
        <v>-0.127272727272727</v>
      </c>
      <c r="H626" s="524" t="str">
        <f t="shared" si="39"/>
        <v>是</v>
      </c>
      <c r="I626" s="312" t="str">
        <f t="shared" si="36"/>
        <v>项</v>
      </c>
    </row>
    <row r="627" s="418" customFormat="1" ht="24" customHeight="1" spans="1:9">
      <c r="A627" s="330">
        <v>2080899</v>
      </c>
      <c r="B627" s="379" t="s">
        <v>633</v>
      </c>
      <c r="C627" s="516">
        <v>0</v>
      </c>
      <c r="D627" s="516">
        <f>'04'!F627</f>
        <v>17</v>
      </c>
      <c r="E627" s="525">
        <v>0</v>
      </c>
      <c r="F627" s="526" t="str">
        <f t="shared" si="37"/>
        <v/>
      </c>
      <c r="G627" s="470">
        <f t="shared" si="38"/>
        <v>-1</v>
      </c>
      <c r="H627" s="524" t="str">
        <f t="shared" si="39"/>
        <v>是</v>
      </c>
      <c r="I627" s="312" t="str">
        <f t="shared" si="36"/>
        <v>项</v>
      </c>
    </row>
    <row r="628" s="372" customFormat="1" ht="24" customHeight="1" spans="1:9">
      <c r="A628" s="330">
        <v>20809</v>
      </c>
      <c r="B628" s="379" t="s">
        <v>634</v>
      </c>
      <c r="C628" s="515">
        <f>SUM(C629:C634)</f>
        <v>360</v>
      </c>
      <c r="D628" s="515">
        <f>SUM(D629:D634)</f>
        <v>341</v>
      </c>
      <c r="E628" s="515">
        <f>SUM(E629:E634)</f>
        <v>316</v>
      </c>
      <c r="F628" s="523">
        <f t="shared" si="37"/>
        <v>-0.122222222222222</v>
      </c>
      <c r="G628" s="467">
        <f t="shared" si="38"/>
        <v>-0.0733137829912024</v>
      </c>
      <c r="H628" s="524" t="str">
        <f t="shared" si="39"/>
        <v>是</v>
      </c>
      <c r="I628" s="312" t="str">
        <f t="shared" si="36"/>
        <v>款</v>
      </c>
    </row>
    <row r="629" s="372" customFormat="1" ht="24" hidden="1" customHeight="1" spans="1:9">
      <c r="A629" s="330">
        <v>2080901</v>
      </c>
      <c r="B629" s="379" t="s">
        <v>635</v>
      </c>
      <c r="C629" s="516">
        <v>0</v>
      </c>
      <c r="D629" s="516">
        <f>'04'!F629</f>
        <v>0</v>
      </c>
      <c r="E629" s="525">
        <v>0</v>
      </c>
      <c r="F629" s="526" t="str">
        <f t="shared" si="37"/>
        <v/>
      </c>
      <c r="G629" s="470" t="str">
        <f t="shared" si="38"/>
        <v/>
      </c>
      <c r="H629" s="524" t="str">
        <f t="shared" si="39"/>
        <v>否</v>
      </c>
      <c r="I629" s="312" t="str">
        <f t="shared" si="36"/>
        <v>项</v>
      </c>
    </row>
    <row r="630" s="372" customFormat="1" ht="24" customHeight="1" spans="1:9">
      <c r="A630" s="330">
        <v>2080902</v>
      </c>
      <c r="B630" s="379" t="s">
        <v>636</v>
      </c>
      <c r="C630" s="516">
        <v>300</v>
      </c>
      <c r="D630" s="516">
        <f>'04'!F630</f>
        <v>317</v>
      </c>
      <c r="E630" s="525">
        <v>296</v>
      </c>
      <c r="F630" s="526">
        <f t="shared" si="37"/>
        <v>-0.0133333333333333</v>
      </c>
      <c r="G630" s="470">
        <f t="shared" si="38"/>
        <v>-0.0662460567823344</v>
      </c>
      <c r="H630" s="524" t="str">
        <f t="shared" si="39"/>
        <v>是</v>
      </c>
      <c r="I630" s="312" t="str">
        <f t="shared" si="36"/>
        <v>项</v>
      </c>
    </row>
    <row r="631" s="372" customFormat="1" ht="24" hidden="1" customHeight="1" spans="1:9">
      <c r="A631" s="330">
        <v>2080903</v>
      </c>
      <c r="B631" s="379" t="s">
        <v>637</v>
      </c>
      <c r="C631" s="516">
        <v>0</v>
      </c>
      <c r="D631" s="516">
        <f>'04'!F631</f>
        <v>0</v>
      </c>
      <c r="E631" s="525">
        <v>0</v>
      </c>
      <c r="F631" s="526" t="str">
        <f t="shared" si="37"/>
        <v/>
      </c>
      <c r="G631" s="470" t="str">
        <f t="shared" si="38"/>
        <v/>
      </c>
      <c r="H631" s="524" t="str">
        <f t="shared" si="39"/>
        <v>否</v>
      </c>
      <c r="I631" s="312" t="str">
        <f t="shared" si="36"/>
        <v>项</v>
      </c>
    </row>
    <row r="632" s="372" customFormat="1" ht="24" customHeight="1" spans="1:9">
      <c r="A632" s="330">
        <v>2080904</v>
      </c>
      <c r="B632" s="379" t="s">
        <v>638</v>
      </c>
      <c r="C632" s="516">
        <v>56</v>
      </c>
      <c r="D632" s="516">
        <f>'04'!F632</f>
        <v>17</v>
      </c>
      <c r="E632" s="525">
        <v>12</v>
      </c>
      <c r="F632" s="526">
        <f t="shared" si="37"/>
        <v>-0.785714285714286</v>
      </c>
      <c r="G632" s="470">
        <f t="shared" si="38"/>
        <v>-0.294117647058824</v>
      </c>
      <c r="H632" s="524" t="str">
        <f t="shared" si="39"/>
        <v>是</v>
      </c>
      <c r="I632" s="312" t="str">
        <f t="shared" si="36"/>
        <v>项</v>
      </c>
    </row>
    <row r="633" s="372" customFormat="1" ht="24" customHeight="1" spans="1:9">
      <c r="A633" s="330">
        <v>2080905</v>
      </c>
      <c r="B633" s="379" t="s">
        <v>639</v>
      </c>
      <c r="C633" s="516">
        <v>0</v>
      </c>
      <c r="D633" s="516">
        <f>'04'!F633</f>
        <v>3</v>
      </c>
      <c r="E633" s="525">
        <v>3</v>
      </c>
      <c r="F633" s="526" t="str">
        <f t="shared" si="37"/>
        <v/>
      </c>
      <c r="G633" s="470">
        <f t="shared" si="38"/>
        <v>0</v>
      </c>
      <c r="H633" s="524" t="str">
        <f t="shared" si="39"/>
        <v>是</v>
      </c>
      <c r="I633" s="312" t="str">
        <f t="shared" si="36"/>
        <v>项</v>
      </c>
    </row>
    <row r="634" s="372" customFormat="1" ht="24" customHeight="1" spans="1:9">
      <c r="A634" s="330">
        <v>2080999</v>
      </c>
      <c r="B634" s="379" t="s">
        <v>640</v>
      </c>
      <c r="C634" s="516">
        <v>4</v>
      </c>
      <c r="D634" s="516">
        <f>'04'!F634</f>
        <v>4</v>
      </c>
      <c r="E634" s="525">
        <v>5</v>
      </c>
      <c r="F634" s="526">
        <f t="shared" si="37"/>
        <v>0.25</v>
      </c>
      <c r="G634" s="470">
        <f t="shared" si="38"/>
        <v>0.25</v>
      </c>
      <c r="H634" s="524" t="str">
        <f t="shared" si="39"/>
        <v>是</v>
      </c>
      <c r="I634" s="312" t="str">
        <f t="shared" si="36"/>
        <v>项</v>
      </c>
    </row>
    <row r="635" s="372" customFormat="1" ht="24" customHeight="1" spans="1:9">
      <c r="A635" s="330">
        <v>20810</v>
      </c>
      <c r="B635" s="379" t="s">
        <v>641</v>
      </c>
      <c r="C635" s="515">
        <f>SUM(C636:C642)</f>
        <v>1812</v>
      </c>
      <c r="D635" s="515">
        <f>SUM(D636:D642)</f>
        <v>1200</v>
      </c>
      <c r="E635" s="515">
        <f>SUM(E636:E642)</f>
        <v>1264</v>
      </c>
      <c r="F635" s="523">
        <f t="shared" si="37"/>
        <v>-0.30242825607064</v>
      </c>
      <c r="G635" s="467">
        <f t="shared" si="38"/>
        <v>0.0533333333333333</v>
      </c>
      <c r="H635" s="524" t="str">
        <f t="shared" si="39"/>
        <v>是</v>
      </c>
      <c r="I635" s="312" t="str">
        <f t="shared" si="36"/>
        <v>款</v>
      </c>
    </row>
    <row r="636" s="372" customFormat="1" ht="24" customHeight="1" spans="1:9">
      <c r="A636" s="330">
        <v>2081001</v>
      </c>
      <c r="B636" s="379" t="s">
        <v>642</v>
      </c>
      <c r="C636" s="516">
        <v>1200</v>
      </c>
      <c r="D636" s="516">
        <f>'04'!F636</f>
        <v>596</v>
      </c>
      <c r="E636" s="525">
        <v>625</v>
      </c>
      <c r="F636" s="526">
        <f t="shared" si="37"/>
        <v>-0.479166666666667</v>
      </c>
      <c r="G636" s="470">
        <f t="shared" si="38"/>
        <v>0.0486577181208054</v>
      </c>
      <c r="H636" s="524" t="str">
        <f t="shared" si="39"/>
        <v>是</v>
      </c>
      <c r="I636" s="312" t="str">
        <f t="shared" si="36"/>
        <v>项</v>
      </c>
    </row>
    <row r="637" ht="24" hidden="1" customHeight="1" spans="1:9">
      <c r="A637" s="330">
        <v>2081002</v>
      </c>
      <c r="B637" s="379" t="s">
        <v>643</v>
      </c>
      <c r="C637" s="516">
        <v>0</v>
      </c>
      <c r="D637" s="516">
        <f>'04'!F637</f>
        <v>0</v>
      </c>
      <c r="E637" s="525">
        <v>0</v>
      </c>
      <c r="F637" s="526" t="str">
        <f t="shared" si="37"/>
        <v/>
      </c>
      <c r="G637" s="470" t="str">
        <f t="shared" si="38"/>
        <v/>
      </c>
      <c r="H637" s="524" t="str">
        <f t="shared" si="39"/>
        <v>否</v>
      </c>
      <c r="I637" s="312" t="str">
        <f t="shared" si="36"/>
        <v>项</v>
      </c>
    </row>
    <row r="638" s="372" customFormat="1" ht="24" hidden="1" customHeight="1" spans="1:9">
      <c r="A638" s="330">
        <v>2081003</v>
      </c>
      <c r="B638" s="379" t="s">
        <v>644</v>
      </c>
      <c r="C638" s="516">
        <v>0</v>
      </c>
      <c r="D638" s="516">
        <f>'04'!F638</f>
        <v>0</v>
      </c>
      <c r="E638" s="525">
        <v>0</v>
      </c>
      <c r="F638" s="526" t="str">
        <f t="shared" si="37"/>
        <v/>
      </c>
      <c r="G638" s="470" t="str">
        <f t="shared" si="38"/>
        <v/>
      </c>
      <c r="H638" s="524" t="str">
        <f t="shared" si="39"/>
        <v>否</v>
      </c>
      <c r="I638" s="312" t="str">
        <f t="shared" si="36"/>
        <v>项</v>
      </c>
    </row>
    <row r="639" s="372" customFormat="1" ht="24" customHeight="1" spans="1:9">
      <c r="A639" s="330">
        <v>2081004</v>
      </c>
      <c r="B639" s="379" t="s">
        <v>645</v>
      </c>
      <c r="C639" s="516">
        <v>50</v>
      </c>
      <c r="D639" s="516">
        <f>'04'!F639</f>
        <v>56</v>
      </c>
      <c r="E639" s="525">
        <v>54</v>
      </c>
      <c r="F639" s="526">
        <f t="shared" si="37"/>
        <v>0.08</v>
      </c>
      <c r="G639" s="470">
        <f t="shared" si="38"/>
        <v>-0.0357142857142857</v>
      </c>
      <c r="H639" s="524" t="str">
        <f t="shared" si="39"/>
        <v>是</v>
      </c>
      <c r="I639" s="312" t="str">
        <f t="shared" si="36"/>
        <v>项</v>
      </c>
    </row>
    <row r="640" s="372" customFormat="1" ht="24" customHeight="1" spans="1:9">
      <c r="A640" s="330">
        <v>2081005</v>
      </c>
      <c r="B640" s="379" t="s">
        <v>646</v>
      </c>
      <c r="C640" s="516">
        <v>452</v>
      </c>
      <c r="D640" s="516">
        <f>'04'!F640</f>
        <v>492</v>
      </c>
      <c r="E640" s="525">
        <v>523</v>
      </c>
      <c r="F640" s="526">
        <f t="shared" si="37"/>
        <v>0.157079646017699</v>
      </c>
      <c r="G640" s="470">
        <f t="shared" si="38"/>
        <v>0.0630081300813008</v>
      </c>
      <c r="H640" s="524" t="str">
        <f t="shared" si="39"/>
        <v>是</v>
      </c>
      <c r="I640" s="312" t="str">
        <f t="shared" si="36"/>
        <v>项</v>
      </c>
    </row>
    <row r="641" s="372" customFormat="1" ht="24" customHeight="1" spans="1:9">
      <c r="A641" s="330">
        <v>2081006</v>
      </c>
      <c r="B641" s="379" t="s">
        <v>647</v>
      </c>
      <c r="C641" s="516">
        <v>110</v>
      </c>
      <c r="D641" s="516">
        <f>'04'!F641</f>
        <v>56</v>
      </c>
      <c r="E641" s="525">
        <v>62</v>
      </c>
      <c r="F641" s="526">
        <f t="shared" si="37"/>
        <v>-0.436363636363636</v>
      </c>
      <c r="G641" s="470">
        <f t="shared" si="38"/>
        <v>0.107142857142857</v>
      </c>
      <c r="H641" s="524" t="str">
        <f t="shared" si="39"/>
        <v>是</v>
      </c>
      <c r="I641" s="312" t="str">
        <f t="shared" si="36"/>
        <v>项</v>
      </c>
    </row>
    <row r="642" s="372" customFormat="1" ht="24" hidden="1" customHeight="1" spans="1:9">
      <c r="A642" s="330">
        <v>2081099</v>
      </c>
      <c r="B642" s="379" t="s">
        <v>648</v>
      </c>
      <c r="C642" s="516">
        <v>0</v>
      </c>
      <c r="D642" s="516">
        <f>'04'!F642</f>
        <v>0</v>
      </c>
      <c r="E642" s="525">
        <v>0</v>
      </c>
      <c r="F642" s="526" t="str">
        <f t="shared" si="37"/>
        <v/>
      </c>
      <c r="G642" s="470" t="str">
        <f t="shared" si="38"/>
        <v/>
      </c>
      <c r="H642" s="524" t="str">
        <f t="shared" si="39"/>
        <v>否</v>
      </c>
      <c r="I642" s="312" t="str">
        <f t="shared" si="36"/>
        <v>项</v>
      </c>
    </row>
    <row r="643" s="372" customFormat="1" ht="24" customHeight="1" spans="1:9">
      <c r="A643" s="330">
        <v>20811</v>
      </c>
      <c r="B643" s="379" t="s">
        <v>649</v>
      </c>
      <c r="C643" s="515">
        <f>SUM(C644:C651)</f>
        <v>835</v>
      </c>
      <c r="D643" s="515">
        <f>SUM(D644:D651)</f>
        <v>440</v>
      </c>
      <c r="E643" s="515">
        <f>SUM(E644:E651)</f>
        <v>464</v>
      </c>
      <c r="F643" s="523">
        <f t="shared" si="37"/>
        <v>-0.444311377245509</v>
      </c>
      <c r="G643" s="467">
        <f t="shared" si="38"/>
        <v>0.0545454545454545</v>
      </c>
      <c r="H643" s="524" t="str">
        <f t="shared" si="39"/>
        <v>是</v>
      </c>
      <c r="I643" s="312" t="str">
        <f t="shared" si="36"/>
        <v>款</v>
      </c>
    </row>
    <row r="644" s="372" customFormat="1" ht="24" customHeight="1" spans="1:9">
      <c r="A644" s="330">
        <v>2081101</v>
      </c>
      <c r="B644" s="379" t="s">
        <v>212</v>
      </c>
      <c r="C644" s="516">
        <v>275</v>
      </c>
      <c r="D644" s="516">
        <f>'04'!F644</f>
        <v>263</v>
      </c>
      <c r="E644" s="525">
        <v>281</v>
      </c>
      <c r="F644" s="526">
        <f t="shared" si="37"/>
        <v>0.0218181818181818</v>
      </c>
      <c r="G644" s="470">
        <f t="shared" si="38"/>
        <v>0.0684410646387833</v>
      </c>
      <c r="H644" s="524" t="str">
        <f t="shared" si="39"/>
        <v>是</v>
      </c>
      <c r="I644" s="312" t="str">
        <f t="shared" si="36"/>
        <v>项</v>
      </c>
    </row>
    <row r="645" s="372" customFormat="1" ht="24" hidden="1" customHeight="1" spans="1:9">
      <c r="A645" s="330">
        <v>2081102</v>
      </c>
      <c r="B645" s="379" t="s">
        <v>213</v>
      </c>
      <c r="C645" s="516">
        <v>0</v>
      </c>
      <c r="D645" s="516">
        <f>'04'!F645</f>
        <v>0</v>
      </c>
      <c r="E645" s="525">
        <v>0</v>
      </c>
      <c r="F645" s="526" t="str">
        <f t="shared" si="37"/>
        <v/>
      </c>
      <c r="G645" s="470" t="str">
        <f t="shared" si="38"/>
        <v/>
      </c>
      <c r="H645" s="524" t="str">
        <f t="shared" si="39"/>
        <v>否</v>
      </c>
      <c r="I645" s="312" t="str">
        <f t="shared" ref="I645:I708" si="40">IF(LEN(A645)=3,"类",IF(LEN(A645)=5,"款","项"))</f>
        <v>项</v>
      </c>
    </row>
    <row r="646" s="372" customFormat="1" ht="24" hidden="1" customHeight="1" spans="1:9">
      <c r="A646" s="330">
        <v>2081103</v>
      </c>
      <c r="B646" s="379" t="s">
        <v>214</v>
      </c>
      <c r="C646" s="516">
        <v>0</v>
      </c>
      <c r="D646" s="516">
        <f>'04'!F646</f>
        <v>0</v>
      </c>
      <c r="E646" s="525">
        <v>0</v>
      </c>
      <c r="F646" s="526" t="str">
        <f t="shared" ref="F646:F709" si="41">IFERROR((E646-C646)/C646,"")</f>
        <v/>
      </c>
      <c r="G646" s="470" t="str">
        <f t="shared" ref="G646:G709" si="42">IFERROR((E646-D646)/D646,"")</f>
        <v/>
      </c>
      <c r="H646" s="524" t="str">
        <f t="shared" ref="H646:H709" si="43">IF(LEN(A646)=3,"是",IF(B646&lt;&gt;"",IF(SUM(C646:E646)&lt;&gt;0,"是","否"),"是"))</f>
        <v>否</v>
      </c>
      <c r="I646" s="312" t="str">
        <f t="shared" si="40"/>
        <v>项</v>
      </c>
    </row>
    <row r="647" ht="24" hidden="1" customHeight="1" spans="1:9">
      <c r="A647" s="330">
        <v>2081104</v>
      </c>
      <c r="B647" s="379" t="s">
        <v>650</v>
      </c>
      <c r="C647" s="516">
        <v>0</v>
      </c>
      <c r="D647" s="516">
        <f>'04'!F647</f>
        <v>0</v>
      </c>
      <c r="E647" s="525">
        <v>0</v>
      </c>
      <c r="F647" s="526" t="str">
        <f t="shared" si="41"/>
        <v/>
      </c>
      <c r="G647" s="470" t="str">
        <f t="shared" si="42"/>
        <v/>
      </c>
      <c r="H647" s="524" t="str">
        <f t="shared" si="43"/>
        <v>否</v>
      </c>
      <c r="I647" s="312" t="str">
        <f t="shared" si="40"/>
        <v>项</v>
      </c>
    </row>
    <row r="648" s="372" customFormat="1" ht="24" customHeight="1" spans="1:9">
      <c r="A648" s="330">
        <v>2081105</v>
      </c>
      <c r="B648" s="405" t="s">
        <v>651</v>
      </c>
      <c r="C648" s="516">
        <v>99</v>
      </c>
      <c r="D648" s="516">
        <f>'04'!F648</f>
        <v>61</v>
      </c>
      <c r="E648" s="525">
        <v>75</v>
      </c>
      <c r="F648" s="526">
        <f t="shared" si="41"/>
        <v>-0.242424242424242</v>
      </c>
      <c r="G648" s="470">
        <f t="shared" si="42"/>
        <v>0.229508196721311</v>
      </c>
      <c r="H648" s="524" t="str">
        <f t="shared" si="43"/>
        <v>是</v>
      </c>
      <c r="I648" s="312" t="str">
        <f t="shared" si="40"/>
        <v>项</v>
      </c>
    </row>
    <row r="649" s="372" customFormat="1" ht="24" hidden="1" customHeight="1" spans="1:9">
      <c r="A649" s="330">
        <v>2081106</v>
      </c>
      <c r="B649" s="379" t="s">
        <v>652</v>
      </c>
      <c r="C649" s="516">
        <v>0</v>
      </c>
      <c r="D649" s="516">
        <f>'04'!F649</f>
        <v>0</v>
      </c>
      <c r="E649" s="525">
        <v>0</v>
      </c>
      <c r="F649" s="526" t="str">
        <f t="shared" si="41"/>
        <v/>
      </c>
      <c r="G649" s="470" t="str">
        <f t="shared" si="42"/>
        <v/>
      </c>
      <c r="H649" s="524" t="str">
        <f t="shared" si="43"/>
        <v>否</v>
      </c>
      <c r="I649" s="312" t="str">
        <f t="shared" si="40"/>
        <v>项</v>
      </c>
    </row>
    <row r="650" s="372" customFormat="1" ht="24" customHeight="1" spans="1:9">
      <c r="A650" s="330">
        <v>2081107</v>
      </c>
      <c r="B650" s="379" t="s">
        <v>653</v>
      </c>
      <c r="C650" s="516">
        <v>381</v>
      </c>
      <c r="D650" s="516">
        <f>'04'!F650</f>
        <v>2</v>
      </c>
      <c r="E650" s="525">
        <v>0</v>
      </c>
      <c r="F650" s="526">
        <f t="shared" si="41"/>
        <v>-1</v>
      </c>
      <c r="G650" s="470">
        <f t="shared" si="42"/>
        <v>-1</v>
      </c>
      <c r="H650" s="524" t="str">
        <f t="shared" si="43"/>
        <v>是</v>
      </c>
      <c r="I650" s="312" t="str">
        <f t="shared" si="40"/>
        <v>项</v>
      </c>
    </row>
    <row r="651" s="372" customFormat="1" ht="24" customHeight="1" spans="1:9">
      <c r="A651" s="330">
        <v>2081199</v>
      </c>
      <c r="B651" s="379" t="s">
        <v>654</v>
      </c>
      <c r="C651" s="516">
        <v>80</v>
      </c>
      <c r="D651" s="516">
        <f>'04'!F651</f>
        <v>114</v>
      </c>
      <c r="E651" s="525">
        <v>108</v>
      </c>
      <c r="F651" s="526">
        <f t="shared" si="41"/>
        <v>0.35</v>
      </c>
      <c r="G651" s="470">
        <f t="shared" si="42"/>
        <v>-0.0526315789473684</v>
      </c>
      <c r="H651" s="524" t="str">
        <f t="shared" si="43"/>
        <v>是</v>
      </c>
      <c r="I651" s="312" t="str">
        <f t="shared" si="40"/>
        <v>项</v>
      </c>
    </row>
    <row r="652" s="372" customFormat="1" ht="24" customHeight="1" spans="1:9">
      <c r="A652" s="330">
        <v>20816</v>
      </c>
      <c r="B652" s="379" t="s">
        <v>655</v>
      </c>
      <c r="C652" s="515">
        <f>SUM(C653:C657)</f>
        <v>246</v>
      </c>
      <c r="D652" s="515">
        <f>SUM(D653:D657)</f>
        <v>282</v>
      </c>
      <c r="E652" s="515">
        <f>SUM(E653:E657)</f>
        <v>286</v>
      </c>
      <c r="F652" s="523">
        <f t="shared" si="41"/>
        <v>0.16260162601626</v>
      </c>
      <c r="G652" s="467">
        <f t="shared" si="42"/>
        <v>0.0141843971631206</v>
      </c>
      <c r="H652" s="524" t="str">
        <f t="shared" si="43"/>
        <v>是</v>
      </c>
      <c r="I652" s="312" t="str">
        <f t="shared" si="40"/>
        <v>款</v>
      </c>
    </row>
    <row r="653" s="372" customFormat="1" ht="24" customHeight="1" spans="1:9">
      <c r="A653" s="330">
        <v>2081601</v>
      </c>
      <c r="B653" s="379" t="s">
        <v>212</v>
      </c>
      <c r="C653" s="516">
        <v>221</v>
      </c>
      <c r="D653" s="516">
        <f>'04'!F653</f>
        <v>215</v>
      </c>
      <c r="E653" s="525">
        <v>223</v>
      </c>
      <c r="F653" s="526">
        <f t="shared" si="41"/>
        <v>0.00904977375565611</v>
      </c>
      <c r="G653" s="470">
        <f t="shared" si="42"/>
        <v>0.0372093023255814</v>
      </c>
      <c r="H653" s="524" t="str">
        <f t="shared" si="43"/>
        <v>是</v>
      </c>
      <c r="I653" s="312" t="str">
        <f t="shared" si="40"/>
        <v>项</v>
      </c>
    </row>
    <row r="654" ht="24" customHeight="1" spans="1:9">
      <c r="A654" s="330">
        <v>2081602</v>
      </c>
      <c r="B654" s="379" t="s">
        <v>213</v>
      </c>
      <c r="C654" s="516">
        <v>25</v>
      </c>
      <c r="D654" s="516">
        <f>'04'!F654</f>
        <v>37</v>
      </c>
      <c r="E654" s="525">
        <v>35</v>
      </c>
      <c r="F654" s="526">
        <f t="shared" si="41"/>
        <v>0.4</v>
      </c>
      <c r="G654" s="470">
        <f t="shared" si="42"/>
        <v>-0.0540540540540541</v>
      </c>
      <c r="H654" s="524" t="str">
        <f t="shared" si="43"/>
        <v>是</v>
      </c>
      <c r="I654" s="312" t="str">
        <f t="shared" si="40"/>
        <v>项</v>
      </c>
    </row>
    <row r="655" s="372" customFormat="1" ht="24" hidden="1" customHeight="1" spans="1:9">
      <c r="A655" s="330">
        <v>2081603</v>
      </c>
      <c r="B655" s="379" t="s">
        <v>214</v>
      </c>
      <c r="C655" s="516">
        <v>0</v>
      </c>
      <c r="D655" s="516">
        <f>'04'!F655</f>
        <v>0</v>
      </c>
      <c r="E655" s="525">
        <v>0</v>
      </c>
      <c r="F655" s="526" t="str">
        <f t="shared" si="41"/>
        <v/>
      </c>
      <c r="G655" s="470" t="str">
        <f t="shared" si="42"/>
        <v/>
      </c>
      <c r="H655" s="524" t="str">
        <f t="shared" si="43"/>
        <v>否</v>
      </c>
      <c r="I655" s="312" t="str">
        <f t="shared" si="40"/>
        <v>项</v>
      </c>
    </row>
    <row r="656" s="372" customFormat="1" ht="24" hidden="1" customHeight="1" spans="1:9">
      <c r="A656" s="339">
        <v>2081650</v>
      </c>
      <c r="B656" s="379" t="s">
        <v>221</v>
      </c>
      <c r="C656" s="516">
        <v>0</v>
      </c>
      <c r="D656" s="516">
        <f>'04'!F656</f>
        <v>0</v>
      </c>
      <c r="E656" s="525">
        <v>0</v>
      </c>
      <c r="F656" s="526" t="str">
        <f t="shared" si="41"/>
        <v/>
      </c>
      <c r="G656" s="470" t="str">
        <f t="shared" si="42"/>
        <v/>
      </c>
      <c r="H656" s="524" t="str">
        <f t="shared" si="43"/>
        <v>否</v>
      </c>
      <c r="I656" s="312" t="str">
        <f t="shared" si="40"/>
        <v>项</v>
      </c>
    </row>
    <row r="657" s="372" customFormat="1" ht="24" customHeight="1" spans="1:9">
      <c r="A657" s="330">
        <v>2081699</v>
      </c>
      <c r="B657" s="379" t="s">
        <v>656</v>
      </c>
      <c r="C657" s="516">
        <v>0</v>
      </c>
      <c r="D657" s="516">
        <f>'04'!F657</f>
        <v>30</v>
      </c>
      <c r="E657" s="525">
        <v>28</v>
      </c>
      <c r="F657" s="526" t="str">
        <f t="shared" si="41"/>
        <v/>
      </c>
      <c r="G657" s="470">
        <f t="shared" si="42"/>
        <v>-0.0666666666666667</v>
      </c>
      <c r="H657" s="524" t="str">
        <f t="shared" si="43"/>
        <v>是</v>
      </c>
      <c r="I657" s="312" t="str">
        <f t="shared" si="40"/>
        <v>项</v>
      </c>
    </row>
    <row r="658" s="372" customFormat="1" ht="24" hidden="1" customHeight="1" spans="1:9">
      <c r="A658" s="330">
        <v>20819</v>
      </c>
      <c r="B658" s="379" t="s">
        <v>657</v>
      </c>
      <c r="C658" s="515">
        <f>SUM(C659:C660)</f>
        <v>0</v>
      </c>
      <c r="D658" s="515">
        <f>SUM(D659:D660)</f>
        <v>0</v>
      </c>
      <c r="E658" s="515">
        <f>SUM(E659:E660)</f>
        <v>0</v>
      </c>
      <c r="F658" s="523" t="str">
        <f t="shared" si="41"/>
        <v/>
      </c>
      <c r="G658" s="467" t="str">
        <f t="shared" si="42"/>
        <v/>
      </c>
      <c r="H658" s="524" t="str">
        <f t="shared" si="43"/>
        <v>否</v>
      </c>
      <c r="I658" s="312" t="str">
        <f t="shared" si="40"/>
        <v>款</v>
      </c>
    </row>
    <row r="659" s="372" customFormat="1" ht="24" hidden="1" customHeight="1" spans="1:9">
      <c r="A659" s="330">
        <v>2081901</v>
      </c>
      <c r="B659" s="379" t="s">
        <v>658</v>
      </c>
      <c r="C659" s="516"/>
      <c r="D659" s="516">
        <f>'04'!F659</f>
        <v>0</v>
      </c>
      <c r="E659" s="525">
        <v>0</v>
      </c>
      <c r="F659" s="526" t="str">
        <f t="shared" si="41"/>
        <v/>
      </c>
      <c r="G659" s="470" t="str">
        <f t="shared" si="42"/>
        <v/>
      </c>
      <c r="H659" s="524" t="str">
        <f t="shared" si="43"/>
        <v>否</v>
      </c>
      <c r="I659" s="312" t="str">
        <f t="shared" si="40"/>
        <v>项</v>
      </c>
    </row>
    <row r="660" s="372" customFormat="1" ht="24" hidden="1" customHeight="1" spans="1:9">
      <c r="A660" s="330">
        <v>2081902</v>
      </c>
      <c r="B660" s="379" t="s">
        <v>659</v>
      </c>
      <c r="C660" s="516"/>
      <c r="D660" s="516">
        <f>'04'!F660</f>
        <v>0</v>
      </c>
      <c r="E660" s="525">
        <v>0</v>
      </c>
      <c r="F660" s="526" t="str">
        <f t="shared" si="41"/>
        <v/>
      </c>
      <c r="G660" s="470" t="str">
        <f t="shared" si="42"/>
        <v/>
      </c>
      <c r="H660" s="524" t="str">
        <f t="shared" si="43"/>
        <v>否</v>
      </c>
      <c r="I660" s="312" t="str">
        <f t="shared" si="40"/>
        <v>项</v>
      </c>
    </row>
    <row r="661" s="372" customFormat="1" ht="24" customHeight="1" spans="1:9">
      <c r="A661" s="330">
        <v>20820</v>
      </c>
      <c r="B661" s="379" t="s">
        <v>660</v>
      </c>
      <c r="C661" s="515">
        <f>SUM(C662:C663)</f>
        <v>173</v>
      </c>
      <c r="D661" s="515">
        <f>SUM(D662:D663)</f>
        <v>201</v>
      </c>
      <c r="E661" s="515">
        <f>SUM(E662:E663)</f>
        <v>186</v>
      </c>
      <c r="F661" s="523">
        <f t="shared" si="41"/>
        <v>0.0751445086705202</v>
      </c>
      <c r="G661" s="467">
        <f t="shared" si="42"/>
        <v>-0.0746268656716418</v>
      </c>
      <c r="H661" s="524" t="str">
        <f t="shared" si="43"/>
        <v>是</v>
      </c>
      <c r="I661" s="312" t="str">
        <f t="shared" si="40"/>
        <v>款</v>
      </c>
    </row>
    <row r="662" ht="24" customHeight="1" spans="1:9">
      <c r="A662" s="330">
        <v>2082001</v>
      </c>
      <c r="B662" s="379" t="s">
        <v>661</v>
      </c>
      <c r="C662" s="516">
        <v>35</v>
      </c>
      <c r="D662" s="516">
        <f>'04'!F662</f>
        <v>40</v>
      </c>
      <c r="E662" s="525">
        <v>35</v>
      </c>
      <c r="F662" s="526">
        <f t="shared" si="41"/>
        <v>0</v>
      </c>
      <c r="G662" s="470">
        <f t="shared" si="42"/>
        <v>-0.125</v>
      </c>
      <c r="H662" s="524" t="str">
        <f t="shared" si="43"/>
        <v>是</v>
      </c>
      <c r="I662" s="312" t="str">
        <f t="shared" si="40"/>
        <v>项</v>
      </c>
    </row>
    <row r="663" s="372" customFormat="1" ht="24" customHeight="1" spans="1:9">
      <c r="A663" s="330">
        <v>2082002</v>
      </c>
      <c r="B663" s="379" t="s">
        <v>662</v>
      </c>
      <c r="C663" s="516">
        <v>138</v>
      </c>
      <c r="D663" s="516">
        <f>'04'!F663</f>
        <v>161</v>
      </c>
      <c r="E663" s="525">
        <v>151</v>
      </c>
      <c r="F663" s="526">
        <f t="shared" si="41"/>
        <v>0.0942028985507246</v>
      </c>
      <c r="G663" s="470">
        <f t="shared" si="42"/>
        <v>-0.062111801242236</v>
      </c>
      <c r="H663" s="524" t="str">
        <f t="shared" si="43"/>
        <v>是</v>
      </c>
      <c r="I663" s="312" t="str">
        <f t="shared" si="40"/>
        <v>项</v>
      </c>
    </row>
    <row r="664" s="372" customFormat="1" ht="24" hidden="1" customHeight="1" spans="1:9">
      <c r="A664" s="330">
        <v>20821</v>
      </c>
      <c r="B664" s="379" t="s">
        <v>663</v>
      </c>
      <c r="C664" s="515">
        <f>SUM(C665:C666)</f>
        <v>0</v>
      </c>
      <c r="D664" s="515">
        <f>SUM(D665:D666)</f>
        <v>0</v>
      </c>
      <c r="E664" s="515">
        <f>SUM(E665:E666)</f>
        <v>0</v>
      </c>
      <c r="F664" s="523" t="str">
        <f t="shared" si="41"/>
        <v/>
      </c>
      <c r="G664" s="467" t="str">
        <f t="shared" si="42"/>
        <v/>
      </c>
      <c r="H664" s="524" t="str">
        <f t="shared" si="43"/>
        <v>否</v>
      </c>
      <c r="I664" s="312" t="str">
        <f t="shared" si="40"/>
        <v>款</v>
      </c>
    </row>
    <row r="665" s="372" customFormat="1" ht="24" hidden="1" customHeight="1" spans="1:9">
      <c r="A665" s="330">
        <v>2082101</v>
      </c>
      <c r="B665" s="379" t="s">
        <v>664</v>
      </c>
      <c r="C665" s="516"/>
      <c r="D665" s="516">
        <f>'04'!F665</f>
        <v>0</v>
      </c>
      <c r="E665" s="525">
        <v>0</v>
      </c>
      <c r="F665" s="526" t="str">
        <f t="shared" si="41"/>
        <v/>
      </c>
      <c r="G665" s="470" t="str">
        <f t="shared" si="42"/>
        <v/>
      </c>
      <c r="H665" s="524" t="str">
        <f t="shared" si="43"/>
        <v>否</v>
      </c>
      <c r="I665" s="312" t="str">
        <f t="shared" si="40"/>
        <v>项</v>
      </c>
    </row>
    <row r="666" s="372" customFormat="1" ht="24" hidden="1" customHeight="1" spans="1:9">
      <c r="A666" s="330">
        <v>2082102</v>
      </c>
      <c r="B666" s="379" t="s">
        <v>665</v>
      </c>
      <c r="C666" s="516"/>
      <c r="D666" s="516">
        <f>'04'!F666</f>
        <v>0</v>
      </c>
      <c r="E666" s="525">
        <v>0</v>
      </c>
      <c r="F666" s="526" t="str">
        <f t="shared" si="41"/>
        <v/>
      </c>
      <c r="G666" s="470" t="str">
        <f t="shared" si="42"/>
        <v/>
      </c>
      <c r="H666" s="524" t="str">
        <f t="shared" si="43"/>
        <v>否</v>
      </c>
      <c r="I666" s="312" t="str">
        <f t="shared" si="40"/>
        <v>项</v>
      </c>
    </row>
    <row r="667" s="372" customFormat="1" ht="24" hidden="1" customHeight="1" spans="1:9">
      <c r="A667" s="330">
        <v>20824</v>
      </c>
      <c r="B667" s="379" t="s">
        <v>666</v>
      </c>
      <c r="C667" s="515">
        <f>SUM(C668:C669)</f>
        <v>0</v>
      </c>
      <c r="D667" s="515">
        <f>SUM(D668:D669)</f>
        <v>0</v>
      </c>
      <c r="E667" s="515">
        <f>SUM(E668:E669)</f>
        <v>0</v>
      </c>
      <c r="F667" s="523" t="str">
        <f t="shared" si="41"/>
        <v/>
      </c>
      <c r="G667" s="467" t="str">
        <f t="shared" si="42"/>
        <v/>
      </c>
      <c r="H667" s="524" t="str">
        <f t="shared" si="43"/>
        <v>否</v>
      </c>
      <c r="I667" s="312" t="str">
        <f t="shared" si="40"/>
        <v>款</v>
      </c>
    </row>
    <row r="668" s="372" customFormat="1" ht="24" hidden="1" customHeight="1" spans="1:9">
      <c r="A668" s="330">
        <v>2082401</v>
      </c>
      <c r="B668" s="379" t="s">
        <v>667</v>
      </c>
      <c r="C668" s="516"/>
      <c r="D668" s="516">
        <f>'04'!F668</f>
        <v>0</v>
      </c>
      <c r="E668" s="525">
        <v>0</v>
      </c>
      <c r="F668" s="526" t="str">
        <f t="shared" si="41"/>
        <v/>
      </c>
      <c r="G668" s="470" t="str">
        <f t="shared" si="42"/>
        <v/>
      </c>
      <c r="H668" s="524" t="str">
        <f t="shared" si="43"/>
        <v>否</v>
      </c>
      <c r="I668" s="312" t="str">
        <f t="shared" si="40"/>
        <v>项</v>
      </c>
    </row>
    <row r="669" s="372" customFormat="1" ht="24" hidden="1" customHeight="1" spans="1:9">
      <c r="A669" s="330">
        <v>2082402</v>
      </c>
      <c r="B669" s="379" t="s">
        <v>668</v>
      </c>
      <c r="C669" s="516"/>
      <c r="D669" s="516">
        <f>'04'!F669</f>
        <v>0</v>
      </c>
      <c r="E669" s="525">
        <v>0</v>
      </c>
      <c r="F669" s="526" t="str">
        <f t="shared" si="41"/>
        <v/>
      </c>
      <c r="G669" s="470" t="str">
        <f t="shared" si="42"/>
        <v/>
      </c>
      <c r="H669" s="524" t="str">
        <f t="shared" si="43"/>
        <v>否</v>
      </c>
      <c r="I669" s="312" t="str">
        <f t="shared" si="40"/>
        <v>项</v>
      </c>
    </row>
    <row r="670" s="372" customFormat="1" ht="24" customHeight="1" spans="1:9">
      <c r="A670" s="330">
        <v>20825</v>
      </c>
      <c r="B670" s="379" t="s">
        <v>669</v>
      </c>
      <c r="C670" s="515">
        <f>SUM(C671:C672)</f>
        <v>6</v>
      </c>
      <c r="D670" s="515">
        <f>SUM(D671:D672)</f>
        <v>0</v>
      </c>
      <c r="E670" s="515">
        <f>SUM(E671:E672)</f>
        <v>0</v>
      </c>
      <c r="F670" s="523">
        <f t="shared" si="41"/>
        <v>-1</v>
      </c>
      <c r="G670" s="467" t="str">
        <f t="shared" si="42"/>
        <v/>
      </c>
      <c r="H670" s="524" t="str">
        <f t="shared" si="43"/>
        <v>是</v>
      </c>
      <c r="I670" s="312" t="str">
        <f t="shared" si="40"/>
        <v>款</v>
      </c>
    </row>
    <row r="671" ht="24" customHeight="1" spans="1:9">
      <c r="A671" s="330">
        <v>2082501</v>
      </c>
      <c r="B671" s="379" t="s">
        <v>670</v>
      </c>
      <c r="C671" s="516">
        <v>6</v>
      </c>
      <c r="D671" s="516">
        <f>'04'!F671</f>
        <v>0</v>
      </c>
      <c r="E671" s="525">
        <v>0</v>
      </c>
      <c r="F671" s="526">
        <f t="shared" si="41"/>
        <v>-1</v>
      </c>
      <c r="G671" s="470" t="str">
        <f t="shared" si="42"/>
        <v/>
      </c>
      <c r="H671" s="524" t="str">
        <f t="shared" si="43"/>
        <v>是</v>
      </c>
      <c r="I671" s="312" t="str">
        <f t="shared" si="40"/>
        <v>项</v>
      </c>
    </row>
    <row r="672" s="372" customFormat="1" ht="24" hidden="1" customHeight="1" spans="1:9">
      <c r="A672" s="330">
        <v>2082502</v>
      </c>
      <c r="B672" s="379" t="s">
        <v>671</v>
      </c>
      <c r="C672" s="516"/>
      <c r="D672" s="516">
        <f>'04'!F672</f>
        <v>0</v>
      </c>
      <c r="E672" s="525">
        <v>0</v>
      </c>
      <c r="F672" s="526" t="str">
        <f t="shared" si="41"/>
        <v/>
      </c>
      <c r="G672" s="470" t="str">
        <f t="shared" si="42"/>
        <v/>
      </c>
      <c r="H672" s="524" t="str">
        <f t="shared" si="43"/>
        <v>否</v>
      </c>
      <c r="I672" s="312" t="str">
        <f t="shared" si="40"/>
        <v>项</v>
      </c>
    </row>
    <row r="673" s="372" customFormat="1" ht="24" customHeight="1" spans="1:9">
      <c r="A673" s="330">
        <v>20826</v>
      </c>
      <c r="B673" s="379" t="s">
        <v>672</v>
      </c>
      <c r="C673" s="515">
        <f>SUM(C674:C676)</f>
        <v>29342</v>
      </c>
      <c r="D673" s="515">
        <f>SUM(D674:D676)</f>
        <v>35422</v>
      </c>
      <c r="E673" s="515">
        <f>SUM(E674:E676)</f>
        <v>37785</v>
      </c>
      <c r="F673" s="523">
        <f t="shared" si="41"/>
        <v>0.28774453002522</v>
      </c>
      <c r="G673" s="467">
        <f t="shared" si="42"/>
        <v>0.0667099542657106</v>
      </c>
      <c r="H673" s="524" t="str">
        <f t="shared" si="43"/>
        <v>是</v>
      </c>
      <c r="I673" s="312" t="str">
        <f t="shared" si="40"/>
        <v>款</v>
      </c>
    </row>
    <row r="674" s="372" customFormat="1" ht="24" hidden="1" customHeight="1" spans="1:9">
      <c r="A674" s="330">
        <v>2082601</v>
      </c>
      <c r="B674" s="379" t="s">
        <v>673</v>
      </c>
      <c r="C674" s="516"/>
      <c r="D674" s="516">
        <f>'04'!F674</f>
        <v>0</v>
      </c>
      <c r="E674" s="525">
        <v>0</v>
      </c>
      <c r="F674" s="526" t="str">
        <f t="shared" si="41"/>
        <v/>
      </c>
      <c r="G674" s="470" t="str">
        <f t="shared" si="42"/>
        <v/>
      </c>
      <c r="H674" s="524" t="str">
        <f t="shared" si="43"/>
        <v>否</v>
      </c>
      <c r="I674" s="312" t="str">
        <f t="shared" si="40"/>
        <v>项</v>
      </c>
    </row>
    <row r="675" s="372" customFormat="1" ht="24" customHeight="1" spans="1:9">
      <c r="A675" s="330">
        <v>2082602</v>
      </c>
      <c r="B675" s="379" t="s">
        <v>674</v>
      </c>
      <c r="C675" s="516">
        <v>29342</v>
      </c>
      <c r="D675" s="516">
        <f>'04'!F675</f>
        <v>35422</v>
      </c>
      <c r="E675" s="525">
        <v>37785</v>
      </c>
      <c r="F675" s="526">
        <f t="shared" si="41"/>
        <v>0.28774453002522</v>
      </c>
      <c r="G675" s="470">
        <f t="shared" si="42"/>
        <v>0.0667099542657106</v>
      </c>
      <c r="H675" s="524" t="str">
        <f t="shared" si="43"/>
        <v>是</v>
      </c>
      <c r="I675" s="312" t="str">
        <f t="shared" si="40"/>
        <v>项</v>
      </c>
    </row>
    <row r="676" ht="24" hidden="1" customHeight="1" spans="1:9">
      <c r="A676" s="330">
        <v>2082699</v>
      </c>
      <c r="B676" s="379" t="s">
        <v>675</v>
      </c>
      <c r="C676" s="516"/>
      <c r="D676" s="516">
        <f>'04'!F676</f>
        <v>0</v>
      </c>
      <c r="E676" s="525">
        <v>0</v>
      </c>
      <c r="F676" s="526" t="str">
        <f t="shared" si="41"/>
        <v/>
      </c>
      <c r="G676" s="470" t="str">
        <f t="shared" si="42"/>
        <v/>
      </c>
      <c r="H676" s="524" t="str">
        <f t="shared" si="43"/>
        <v>否</v>
      </c>
      <c r="I676" s="312" t="str">
        <f t="shared" si="40"/>
        <v>项</v>
      </c>
    </row>
    <row r="677" s="372" customFormat="1" ht="24" hidden="1" customHeight="1" spans="1:9">
      <c r="A677" s="330">
        <v>20827</v>
      </c>
      <c r="B677" s="379" t="s">
        <v>676</v>
      </c>
      <c r="C677" s="515">
        <f>SUM(C678:C680)</f>
        <v>0</v>
      </c>
      <c r="D677" s="515">
        <f>SUM(D678:D680)</f>
        <v>0</v>
      </c>
      <c r="E677" s="515">
        <f>SUM(E678:E680)</f>
        <v>0</v>
      </c>
      <c r="F677" s="523" t="str">
        <f t="shared" si="41"/>
        <v/>
      </c>
      <c r="G677" s="467" t="str">
        <f t="shared" si="42"/>
        <v/>
      </c>
      <c r="H677" s="524" t="str">
        <f t="shared" si="43"/>
        <v>否</v>
      </c>
      <c r="I677" s="312" t="str">
        <f t="shared" si="40"/>
        <v>款</v>
      </c>
    </row>
    <row r="678" s="372" customFormat="1" ht="24" hidden="1" customHeight="1" spans="1:9">
      <c r="A678" s="330">
        <v>2082701</v>
      </c>
      <c r="B678" s="379" t="s">
        <v>677</v>
      </c>
      <c r="C678" s="516"/>
      <c r="D678" s="516">
        <f>'04'!F678</f>
        <v>0</v>
      </c>
      <c r="E678" s="525">
        <v>0</v>
      </c>
      <c r="F678" s="526" t="str">
        <f t="shared" si="41"/>
        <v/>
      </c>
      <c r="G678" s="470" t="str">
        <f t="shared" si="42"/>
        <v/>
      </c>
      <c r="H678" s="524" t="str">
        <f t="shared" si="43"/>
        <v>否</v>
      </c>
      <c r="I678" s="312" t="str">
        <f t="shared" si="40"/>
        <v>项</v>
      </c>
    </row>
    <row r="679" ht="24" hidden="1" customHeight="1" spans="1:9">
      <c r="A679" s="330">
        <v>2082702</v>
      </c>
      <c r="B679" s="379" t="s">
        <v>678</v>
      </c>
      <c r="C679" s="516"/>
      <c r="D679" s="516">
        <f>'04'!F679</f>
        <v>0</v>
      </c>
      <c r="E679" s="525">
        <v>0</v>
      </c>
      <c r="F679" s="526" t="str">
        <f t="shared" si="41"/>
        <v/>
      </c>
      <c r="G679" s="470" t="str">
        <f t="shared" si="42"/>
        <v/>
      </c>
      <c r="H679" s="524" t="str">
        <f t="shared" si="43"/>
        <v>否</v>
      </c>
      <c r="I679" s="312" t="str">
        <f t="shared" si="40"/>
        <v>项</v>
      </c>
    </row>
    <row r="680" s="372" customFormat="1" ht="24" hidden="1" customHeight="1" spans="1:9">
      <c r="A680" s="330">
        <v>2082799</v>
      </c>
      <c r="B680" s="379" t="s">
        <v>679</v>
      </c>
      <c r="C680" s="516"/>
      <c r="D680" s="516">
        <f>'04'!F680</f>
        <v>0</v>
      </c>
      <c r="E680" s="525">
        <v>0</v>
      </c>
      <c r="F680" s="526" t="str">
        <f t="shared" si="41"/>
        <v/>
      </c>
      <c r="G680" s="470" t="str">
        <f t="shared" si="42"/>
        <v/>
      </c>
      <c r="H680" s="524" t="str">
        <f t="shared" si="43"/>
        <v>否</v>
      </c>
      <c r="I680" s="312" t="str">
        <f t="shared" si="40"/>
        <v>项</v>
      </c>
    </row>
    <row r="681" s="372" customFormat="1" ht="24" customHeight="1" spans="1:9">
      <c r="A681" s="330">
        <v>20828</v>
      </c>
      <c r="B681" s="379" t="s">
        <v>680</v>
      </c>
      <c r="C681" s="515">
        <f>SUM(C682:C689)</f>
        <v>806</v>
      </c>
      <c r="D681" s="515">
        <f>SUM(D682:D689)</f>
        <v>753</v>
      </c>
      <c r="E681" s="515">
        <f>SUM(E682:E689)</f>
        <v>768</v>
      </c>
      <c r="F681" s="523">
        <f t="shared" si="41"/>
        <v>-0.0471464019851117</v>
      </c>
      <c r="G681" s="467">
        <f t="shared" si="42"/>
        <v>0.0199203187250996</v>
      </c>
      <c r="H681" s="524" t="str">
        <f t="shared" si="43"/>
        <v>是</v>
      </c>
      <c r="I681" s="312" t="str">
        <f t="shared" si="40"/>
        <v>款</v>
      </c>
    </row>
    <row r="682" ht="24" customHeight="1" spans="1:9">
      <c r="A682" s="330">
        <v>2082801</v>
      </c>
      <c r="B682" s="379" t="s">
        <v>212</v>
      </c>
      <c r="C682" s="516">
        <v>295</v>
      </c>
      <c r="D682" s="516">
        <f>'04'!F682</f>
        <v>255</v>
      </c>
      <c r="E682" s="525">
        <v>263</v>
      </c>
      <c r="F682" s="526">
        <f t="shared" si="41"/>
        <v>-0.108474576271186</v>
      </c>
      <c r="G682" s="470">
        <f t="shared" si="42"/>
        <v>0.0313725490196078</v>
      </c>
      <c r="H682" s="524" t="str">
        <f t="shared" si="43"/>
        <v>是</v>
      </c>
      <c r="I682" s="312" t="str">
        <f t="shared" si="40"/>
        <v>项</v>
      </c>
    </row>
    <row r="683" s="372" customFormat="1" ht="24" customHeight="1" spans="1:9">
      <c r="A683" s="330">
        <v>2082802</v>
      </c>
      <c r="B683" s="379" t="s">
        <v>213</v>
      </c>
      <c r="C683" s="516">
        <v>5</v>
      </c>
      <c r="D683" s="516">
        <f>'04'!F683</f>
        <v>50</v>
      </c>
      <c r="E683" s="525">
        <v>45</v>
      </c>
      <c r="F683" s="526">
        <f t="shared" si="41"/>
        <v>8</v>
      </c>
      <c r="G683" s="470">
        <f t="shared" si="42"/>
        <v>-0.1</v>
      </c>
      <c r="H683" s="524" t="str">
        <f t="shared" si="43"/>
        <v>是</v>
      </c>
      <c r="I683" s="312" t="str">
        <f t="shared" si="40"/>
        <v>项</v>
      </c>
    </row>
    <row r="684" s="372" customFormat="1" ht="24" hidden="1" customHeight="1" spans="1:9">
      <c r="A684" s="330">
        <v>2082803</v>
      </c>
      <c r="B684" s="379" t="s">
        <v>214</v>
      </c>
      <c r="C684" s="516">
        <v>0</v>
      </c>
      <c r="D684" s="516">
        <f>'04'!F684</f>
        <v>0</v>
      </c>
      <c r="E684" s="525">
        <v>0</v>
      </c>
      <c r="F684" s="526" t="str">
        <f t="shared" si="41"/>
        <v/>
      </c>
      <c r="G684" s="470" t="str">
        <f t="shared" si="42"/>
        <v/>
      </c>
      <c r="H684" s="524" t="str">
        <f t="shared" si="43"/>
        <v>否</v>
      </c>
      <c r="I684" s="312" t="str">
        <f t="shared" si="40"/>
        <v>项</v>
      </c>
    </row>
    <row r="685" s="372" customFormat="1" ht="24" customHeight="1" spans="1:9">
      <c r="A685" s="330">
        <v>2082804</v>
      </c>
      <c r="B685" s="379" t="s">
        <v>681</v>
      </c>
      <c r="C685" s="516">
        <v>150</v>
      </c>
      <c r="D685" s="516">
        <f>'04'!F685</f>
        <v>105</v>
      </c>
      <c r="E685" s="525">
        <v>108</v>
      </c>
      <c r="F685" s="526">
        <f t="shared" si="41"/>
        <v>-0.28</v>
      </c>
      <c r="G685" s="470">
        <f t="shared" si="42"/>
        <v>0.0285714285714286</v>
      </c>
      <c r="H685" s="524" t="str">
        <f t="shared" si="43"/>
        <v>是</v>
      </c>
      <c r="I685" s="312" t="str">
        <f t="shared" si="40"/>
        <v>项</v>
      </c>
    </row>
    <row r="686" s="372" customFormat="1" ht="24" hidden="1" customHeight="1" spans="1:9">
      <c r="A686" s="330">
        <v>2082805</v>
      </c>
      <c r="B686" s="405" t="s">
        <v>682</v>
      </c>
      <c r="C686" s="516">
        <v>0</v>
      </c>
      <c r="D686" s="516">
        <f>'04'!F686</f>
        <v>0</v>
      </c>
      <c r="E686" s="525">
        <v>0</v>
      </c>
      <c r="F686" s="526" t="str">
        <f t="shared" si="41"/>
        <v/>
      </c>
      <c r="G686" s="470" t="str">
        <f t="shared" si="42"/>
        <v/>
      </c>
      <c r="H686" s="524" t="str">
        <f t="shared" si="43"/>
        <v>否</v>
      </c>
      <c r="I686" s="312" t="str">
        <f t="shared" si="40"/>
        <v>项</v>
      </c>
    </row>
    <row r="687" s="372" customFormat="1" ht="24" hidden="1" customHeight="1" spans="1:9">
      <c r="A687" s="330">
        <v>2082806</v>
      </c>
      <c r="B687" s="405" t="s">
        <v>252</v>
      </c>
      <c r="C687" s="516">
        <v>0</v>
      </c>
      <c r="D687" s="516">
        <f>'04'!F687</f>
        <v>0</v>
      </c>
      <c r="E687" s="525">
        <v>0</v>
      </c>
      <c r="F687" s="526" t="str">
        <f t="shared" si="41"/>
        <v/>
      </c>
      <c r="G687" s="470" t="str">
        <f t="shared" si="42"/>
        <v/>
      </c>
      <c r="H687" s="524" t="str">
        <f t="shared" si="43"/>
        <v>否</v>
      </c>
      <c r="I687" s="312" t="str">
        <f t="shared" si="40"/>
        <v>项</v>
      </c>
    </row>
    <row r="688" s="372" customFormat="1" ht="24" customHeight="1" spans="1:9">
      <c r="A688" s="330">
        <v>2082850</v>
      </c>
      <c r="B688" s="379" t="s">
        <v>221</v>
      </c>
      <c r="C688" s="516">
        <v>356</v>
      </c>
      <c r="D688" s="516">
        <f>'04'!F688</f>
        <v>343</v>
      </c>
      <c r="E688" s="525">
        <v>352</v>
      </c>
      <c r="F688" s="526">
        <f t="shared" si="41"/>
        <v>-0.0112359550561798</v>
      </c>
      <c r="G688" s="470">
        <f t="shared" si="42"/>
        <v>0.0262390670553936</v>
      </c>
      <c r="H688" s="524" t="str">
        <f t="shared" si="43"/>
        <v>是</v>
      </c>
      <c r="I688" s="312" t="str">
        <f t="shared" si="40"/>
        <v>项</v>
      </c>
    </row>
    <row r="689" ht="24" hidden="1" customHeight="1" spans="1:9">
      <c r="A689" s="330">
        <v>2082899</v>
      </c>
      <c r="B689" s="379" t="s">
        <v>683</v>
      </c>
      <c r="C689" s="516">
        <v>0</v>
      </c>
      <c r="D689" s="516">
        <f>'04'!F689</f>
        <v>0</v>
      </c>
      <c r="E689" s="525">
        <v>0</v>
      </c>
      <c r="F689" s="526" t="str">
        <f t="shared" si="41"/>
        <v/>
      </c>
      <c r="G689" s="470" t="str">
        <f t="shared" si="42"/>
        <v/>
      </c>
      <c r="H689" s="524" t="str">
        <f t="shared" si="43"/>
        <v>否</v>
      </c>
      <c r="I689" s="312" t="str">
        <f t="shared" si="40"/>
        <v>项</v>
      </c>
    </row>
    <row r="690" s="372" customFormat="1" ht="24" customHeight="1" spans="1:9">
      <c r="A690" s="330">
        <v>20830</v>
      </c>
      <c r="B690" s="379" t="s">
        <v>684</v>
      </c>
      <c r="C690" s="515">
        <f>SUM(C691:C692)</f>
        <v>35</v>
      </c>
      <c r="D690" s="515">
        <f>SUM(D691:D692)</f>
        <v>573</v>
      </c>
      <c r="E690" s="515">
        <f>SUM(E691:E692)</f>
        <v>598</v>
      </c>
      <c r="F690" s="523">
        <f t="shared" si="41"/>
        <v>16.0857142857143</v>
      </c>
      <c r="G690" s="467">
        <f t="shared" si="42"/>
        <v>0.043630017452007</v>
      </c>
      <c r="H690" s="524" t="str">
        <f t="shared" si="43"/>
        <v>是</v>
      </c>
      <c r="I690" s="312" t="str">
        <f t="shared" si="40"/>
        <v>款</v>
      </c>
    </row>
    <row r="691" s="372" customFormat="1" ht="24" customHeight="1" spans="1:9">
      <c r="A691" s="330">
        <v>2083001</v>
      </c>
      <c r="B691" s="379" t="s">
        <v>685</v>
      </c>
      <c r="C691" s="516">
        <v>35</v>
      </c>
      <c r="D691" s="516">
        <f>'04'!F691</f>
        <v>573</v>
      </c>
      <c r="E691" s="525">
        <v>598</v>
      </c>
      <c r="F691" s="526">
        <f t="shared" si="41"/>
        <v>16.0857142857143</v>
      </c>
      <c r="G691" s="470">
        <f t="shared" si="42"/>
        <v>0.043630017452007</v>
      </c>
      <c r="H691" s="524" t="str">
        <f t="shared" si="43"/>
        <v>是</v>
      </c>
      <c r="I691" s="312" t="str">
        <f t="shared" si="40"/>
        <v>项</v>
      </c>
    </row>
    <row r="692" ht="24" hidden="1" customHeight="1" spans="1:9">
      <c r="A692" s="330">
        <v>2083099</v>
      </c>
      <c r="B692" s="379" t="s">
        <v>686</v>
      </c>
      <c r="C692" s="516"/>
      <c r="D692" s="516">
        <f>'04'!F692</f>
        <v>0</v>
      </c>
      <c r="E692" s="525">
        <v>0</v>
      </c>
      <c r="F692" s="526" t="str">
        <f t="shared" si="41"/>
        <v/>
      </c>
      <c r="G692" s="470" t="str">
        <f t="shared" si="42"/>
        <v/>
      </c>
      <c r="H692" s="524" t="str">
        <f t="shared" si="43"/>
        <v>否</v>
      </c>
      <c r="I692" s="312" t="str">
        <f t="shared" si="40"/>
        <v>项</v>
      </c>
    </row>
    <row r="693" s="372" customFormat="1" ht="24" customHeight="1" spans="1:9">
      <c r="A693" s="330">
        <v>20899</v>
      </c>
      <c r="B693" s="379" t="s">
        <v>687</v>
      </c>
      <c r="C693" s="515">
        <f>C694</f>
        <v>85</v>
      </c>
      <c r="D693" s="515">
        <f>D694</f>
        <v>90</v>
      </c>
      <c r="E693" s="515">
        <f>E694</f>
        <v>75</v>
      </c>
      <c r="F693" s="523">
        <f t="shared" si="41"/>
        <v>-0.117647058823529</v>
      </c>
      <c r="G693" s="467">
        <f t="shared" si="42"/>
        <v>-0.166666666666667</v>
      </c>
      <c r="H693" s="524" t="str">
        <f t="shared" si="43"/>
        <v>是</v>
      </c>
      <c r="I693" s="312" t="str">
        <f t="shared" si="40"/>
        <v>款</v>
      </c>
    </row>
    <row r="694" s="372" customFormat="1" ht="24" customHeight="1" spans="1:9">
      <c r="A694" s="330">
        <v>2089999</v>
      </c>
      <c r="B694" s="379" t="s">
        <v>688</v>
      </c>
      <c r="C694" s="516">
        <v>85</v>
      </c>
      <c r="D694" s="516">
        <f>'04'!F694</f>
        <v>90</v>
      </c>
      <c r="E694" s="525">
        <v>75</v>
      </c>
      <c r="F694" s="526">
        <f t="shared" si="41"/>
        <v>-0.117647058823529</v>
      </c>
      <c r="G694" s="470">
        <f t="shared" si="42"/>
        <v>-0.166666666666667</v>
      </c>
      <c r="H694" s="524" t="str">
        <f t="shared" si="43"/>
        <v>是</v>
      </c>
      <c r="I694" s="312" t="str">
        <f t="shared" si="40"/>
        <v>项</v>
      </c>
    </row>
    <row r="695" s="372" customFormat="1" ht="24" customHeight="1" spans="1:9">
      <c r="A695" s="329">
        <v>210</v>
      </c>
      <c r="B695" s="377" t="s">
        <v>183</v>
      </c>
      <c r="C695" s="515">
        <f>C696+C701+C716+C720+C732+C736+C741+C745+C749+C752+C761+C768+C777+C773</f>
        <v>102400</v>
      </c>
      <c r="D695" s="515">
        <f>D696+D701+D716+D720+D732+D736+D741+D745+D749+D752+D761+D768+D777+D773</f>
        <v>102305</v>
      </c>
      <c r="E695" s="515">
        <f>E696+E701+E716+E720+E732+E736+E741+E745+E749+E752+E761+E768+E777+E773</f>
        <v>109897</v>
      </c>
      <c r="F695" s="523">
        <f t="shared" si="41"/>
        <v>0.073212890625</v>
      </c>
      <c r="G695" s="467">
        <f t="shared" si="42"/>
        <v>0.0742094716778261</v>
      </c>
      <c r="H695" s="524" t="str">
        <f t="shared" si="43"/>
        <v>是</v>
      </c>
      <c r="I695" s="312" t="str">
        <f t="shared" si="40"/>
        <v>类</v>
      </c>
    </row>
    <row r="696" ht="24" customHeight="1" spans="1:9">
      <c r="A696" s="330">
        <v>21001</v>
      </c>
      <c r="B696" s="379" t="s">
        <v>689</v>
      </c>
      <c r="C696" s="515">
        <f>SUM(C697:C700)</f>
        <v>1500</v>
      </c>
      <c r="D696" s="515">
        <f>SUM(D697:D700)</f>
        <v>1778</v>
      </c>
      <c r="E696" s="515">
        <f>SUM(E697:E700)</f>
        <v>1753</v>
      </c>
      <c r="F696" s="523">
        <f t="shared" si="41"/>
        <v>0.168666666666667</v>
      </c>
      <c r="G696" s="467">
        <f t="shared" si="42"/>
        <v>-0.0140607424071991</v>
      </c>
      <c r="H696" s="524" t="str">
        <f t="shared" si="43"/>
        <v>是</v>
      </c>
      <c r="I696" s="312" t="str">
        <f t="shared" si="40"/>
        <v>款</v>
      </c>
    </row>
    <row r="697" s="372" customFormat="1" ht="24" customHeight="1" spans="1:9">
      <c r="A697" s="330">
        <v>2100101</v>
      </c>
      <c r="B697" s="379" t="s">
        <v>212</v>
      </c>
      <c r="C697" s="516">
        <v>1158</v>
      </c>
      <c r="D697" s="516">
        <f>'04'!F697</f>
        <v>1037</v>
      </c>
      <c r="E697" s="525">
        <v>1065</v>
      </c>
      <c r="F697" s="526">
        <f t="shared" si="41"/>
        <v>-0.0803108808290155</v>
      </c>
      <c r="G697" s="470">
        <f t="shared" si="42"/>
        <v>0.0270009643201543</v>
      </c>
      <c r="H697" s="524" t="str">
        <f t="shared" si="43"/>
        <v>是</v>
      </c>
      <c r="I697" s="312" t="str">
        <f t="shared" si="40"/>
        <v>项</v>
      </c>
    </row>
    <row r="698" s="372" customFormat="1" ht="24" customHeight="1" spans="1:9">
      <c r="A698" s="330">
        <v>2100102</v>
      </c>
      <c r="B698" s="379" t="s">
        <v>213</v>
      </c>
      <c r="C698" s="516">
        <v>30</v>
      </c>
      <c r="D698" s="516">
        <f>'04'!F698</f>
        <v>3</v>
      </c>
      <c r="E698" s="525">
        <v>3</v>
      </c>
      <c r="F698" s="526">
        <f t="shared" si="41"/>
        <v>-0.9</v>
      </c>
      <c r="G698" s="470">
        <f t="shared" si="42"/>
        <v>0</v>
      </c>
      <c r="H698" s="524" t="str">
        <f t="shared" si="43"/>
        <v>是</v>
      </c>
      <c r="I698" s="312" t="str">
        <f t="shared" si="40"/>
        <v>项</v>
      </c>
    </row>
    <row r="699" s="372" customFormat="1" ht="24" hidden="1" customHeight="1" spans="1:9">
      <c r="A699" s="330">
        <v>2100103</v>
      </c>
      <c r="B699" s="379" t="s">
        <v>214</v>
      </c>
      <c r="C699" s="516">
        <v>0</v>
      </c>
      <c r="D699" s="516">
        <f>'04'!F699</f>
        <v>0</v>
      </c>
      <c r="E699" s="525">
        <v>0</v>
      </c>
      <c r="F699" s="526" t="str">
        <f t="shared" si="41"/>
        <v/>
      </c>
      <c r="G699" s="470" t="str">
        <f t="shared" si="42"/>
        <v/>
      </c>
      <c r="H699" s="524" t="str">
        <f t="shared" si="43"/>
        <v>否</v>
      </c>
      <c r="I699" s="312" t="str">
        <f t="shared" si="40"/>
        <v>项</v>
      </c>
    </row>
    <row r="700" s="372" customFormat="1" ht="24" customHeight="1" spans="1:9">
      <c r="A700" s="330">
        <v>2100199</v>
      </c>
      <c r="B700" s="379" t="s">
        <v>690</v>
      </c>
      <c r="C700" s="516">
        <v>312</v>
      </c>
      <c r="D700" s="516">
        <f>'04'!F700</f>
        <v>738</v>
      </c>
      <c r="E700" s="525">
        <v>685</v>
      </c>
      <c r="F700" s="526">
        <f t="shared" si="41"/>
        <v>1.19551282051282</v>
      </c>
      <c r="G700" s="470">
        <f t="shared" si="42"/>
        <v>-0.0718157181571816</v>
      </c>
      <c r="H700" s="524" t="str">
        <f t="shared" si="43"/>
        <v>是</v>
      </c>
      <c r="I700" s="312" t="str">
        <f t="shared" si="40"/>
        <v>项</v>
      </c>
    </row>
    <row r="701" ht="24" customHeight="1" spans="1:9">
      <c r="A701" s="330">
        <v>21002</v>
      </c>
      <c r="B701" s="379" t="s">
        <v>691</v>
      </c>
      <c r="C701" s="515">
        <f>SUM(C702:C715)</f>
        <v>15764</v>
      </c>
      <c r="D701" s="515">
        <f>SUM(D702:D715)</f>
        <v>10404</v>
      </c>
      <c r="E701" s="515">
        <f>SUM(E702:E715)</f>
        <v>11428</v>
      </c>
      <c r="F701" s="523">
        <f t="shared" si="41"/>
        <v>-0.275057092108602</v>
      </c>
      <c r="G701" s="467">
        <f t="shared" si="42"/>
        <v>0.0984236831987697</v>
      </c>
      <c r="H701" s="524" t="str">
        <f t="shared" si="43"/>
        <v>是</v>
      </c>
      <c r="I701" s="312" t="str">
        <f t="shared" si="40"/>
        <v>款</v>
      </c>
    </row>
    <row r="702" s="372" customFormat="1" ht="24" customHeight="1" spans="1:9">
      <c r="A702" s="330">
        <v>2100201</v>
      </c>
      <c r="B702" s="379" t="s">
        <v>692</v>
      </c>
      <c r="C702" s="516">
        <v>6458</v>
      </c>
      <c r="D702" s="516">
        <f>'04'!F702</f>
        <v>5549</v>
      </c>
      <c r="E702" s="525">
        <v>5925</v>
      </c>
      <c r="F702" s="526">
        <f t="shared" si="41"/>
        <v>-0.0825332920408795</v>
      </c>
      <c r="G702" s="470">
        <f t="shared" si="42"/>
        <v>0.0677599567489638</v>
      </c>
      <c r="H702" s="524" t="str">
        <f t="shared" si="43"/>
        <v>是</v>
      </c>
      <c r="I702" s="312" t="str">
        <f t="shared" si="40"/>
        <v>项</v>
      </c>
    </row>
    <row r="703" s="372" customFormat="1" ht="24" customHeight="1" spans="1:9">
      <c r="A703" s="330">
        <v>2100202</v>
      </c>
      <c r="B703" s="379" t="s">
        <v>693</v>
      </c>
      <c r="C703" s="516">
        <v>2562</v>
      </c>
      <c r="D703" s="516">
        <f>'04'!F703</f>
        <v>2740</v>
      </c>
      <c r="E703" s="525">
        <v>3058</v>
      </c>
      <c r="F703" s="526">
        <f t="shared" si="41"/>
        <v>0.1935987509758</v>
      </c>
      <c r="G703" s="470">
        <f t="shared" si="42"/>
        <v>0.116058394160584</v>
      </c>
      <c r="H703" s="524" t="str">
        <f t="shared" si="43"/>
        <v>是</v>
      </c>
      <c r="I703" s="312" t="str">
        <f t="shared" si="40"/>
        <v>项</v>
      </c>
    </row>
    <row r="704" s="372" customFormat="1" ht="24" customHeight="1" spans="1:9">
      <c r="A704" s="330">
        <v>2100203</v>
      </c>
      <c r="B704" s="379" t="s">
        <v>694</v>
      </c>
      <c r="C704" s="516">
        <v>5623</v>
      </c>
      <c r="D704" s="516">
        <f>'04'!F704</f>
        <v>1158</v>
      </c>
      <c r="E704" s="525">
        <v>1485</v>
      </c>
      <c r="F704" s="526">
        <f t="shared" si="41"/>
        <v>-0.735906099946648</v>
      </c>
      <c r="G704" s="470">
        <f t="shared" si="42"/>
        <v>0.282383419689119</v>
      </c>
      <c r="H704" s="524" t="str">
        <f t="shared" si="43"/>
        <v>是</v>
      </c>
      <c r="I704" s="312" t="str">
        <f t="shared" si="40"/>
        <v>项</v>
      </c>
    </row>
    <row r="705" s="372" customFormat="1" ht="24" hidden="1" customHeight="1" spans="1:9">
      <c r="A705" s="330">
        <v>2100204</v>
      </c>
      <c r="B705" s="379" t="s">
        <v>695</v>
      </c>
      <c r="C705" s="516">
        <v>0</v>
      </c>
      <c r="D705" s="516">
        <f>'04'!F705</f>
        <v>0</v>
      </c>
      <c r="E705" s="525">
        <v>0</v>
      </c>
      <c r="F705" s="526" t="str">
        <f t="shared" si="41"/>
        <v/>
      </c>
      <c r="G705" s="470" t="str">
        <f t="shared" si="42"/>
        <v/>
      </c>
      <c r="H705" s="524" t="str">
        <f t="shared" si="43"/>
        <v>否</v>
      </c>
      <c r="I705" s="312" t="str">
        <f t="shared" si="40"/>
        <v>项</v>
      </c>
    </row>
    <row r="706" s="372" customFormat="1" ht="24" customHeight="1" spans="1:9">
      <c r="A706" s="330">
        <v>2100205</v>
      </c>
      <c r="B706" s="379" t="s">
        <v>696</v>
      </c>
      <c r="C706" s="516">
        <v>756</v>
      </c>
      <c r="D706" s="516">
        <f>'04'!F706</f>
        <v>770</v>
      </c>
      <c r="E706" s="525">
        <v>785</v>
      </c>
      <c r="F706" s="526">
        <f t="shared" si="41"/>
        <v>0.0383597883597884</v>
      </c>
      <c r="G706" s="470">
        <f t="shared" si="42"/>
        <v>0.0194805194805195</v>
      </c>
      <c r="H706" s="524" t="str">
        <f t="shared" si="43"/>
        <v>是</v>
      </c>
      <c r="I706" s="312" t="str">
        <f t="shared" si="40"/>
        <v>项</v>
      </c>
    </row>
    <row r="707" s="372" customFormat="1" ht="24" hidden="1" customHeight="1" spans="1:9">
      <c r="A707" s="330">
        <v>2100206</v>
      </c>
      <c r="B707" s="379" t="s">
        <v>697</v>
      </c>
      <c r="C707" s="516">
        <v>0</v>
      </c>
      <c r="D707" s="516">
        <f>'04'!F707</f>
        <v>0</v>
      </c>
      <c r="E707" s="525">
        <v>0</v>
      </c>
      <c r="F707" s="526" t="str">
        <f t="shared" si="41"/>
        <v/>
      </c>
      <c r="G707" s="470" t="str">
        <f t="shared" si="42"/>
        <v/>
      </c>
      <c r="H707" s="524" t="str">
        <f t="shared" si="43"/>
        <v>否</v>
      </c>
      <c r="I707" s="312" t="str">
        <f t="shared" si="40"/>
        <v>项</v>
      </c>
    </row>
    <row r="708" s="372" customFormat="1" ht="24" hidden="1" customHeight="1" spans="1:9">
      <c r="A708" s="330">
        <v>2100207</v>
      </c>
      <c r="B708" s="379" t="s">
        <v>698</v>
      </c>
      <c r="C708" s="516">
        <v>0</v>
      </c>
      <c r="D708" s="516">
        <f>'04'!F708</f>
        <v>0</v>
      </c>
      <c r="E708" s="525">
        <v>0</v>
      </c>
      <c r="F708" s="526" t="str">
        <f t="shared" si="41"/>
        <v/>
      </c>
      <c r="G708" s="470" t="str">
        <f t="shared" si="42"/>
        <v/>
      </c>
      <c r="H708" s="524" t="str">
        <f t="shared" si="43"/>
        <v>否</v>
      </c>
      <c r="I708" s="312" t="str">
        <f t="shared" si="40"/>
        <v>项</v>
      </c>
    </row>
    <row r="709" ht="24" hidden="1" customHeight="1" spans="1:9">
      <c r="A709" s="330">
        <v>2100208</v>
      </c>
      <c r="B709" s="379" t="s">
        <v>699</v>
      </c>
      <c r="C709" s="516">
        <v>0</v>
      </c>
      <c r="D709" s="516">
        <f>'04'!F709</f>
        <v>0</v>
      </c>
      <c r="E709" s="525">
        <v>0</v>
      </c>
      <c r="F709" s="526" t="str">
        <f t="shared" si="41"/>
        <v/>
      </c>
      <c r="G709" s="470" t="str">
        <f t="shared" si="42"/>
        <v/>
      </c>
      <c r="H709" s="524" t="str">
        <f t="shared" si="43"/>
        <v>否</v>
      </c>
      <c r="I709" s="312" t="str">
        <f t="shared" ref="I709:I772" si="44">IF(LEN(A709)=3,"类",IF(LEN(A709)=5,"款","项"))</f>
        <v>项</v>
      </c>
    </row>
    <row r="710" s="372" customFormat="1" ht="24" hidden="1" customHeight="1" spans="1:9">
      <c r="A710" s="330">
        <v>2100209</v>
      </c>
      <c r="B710" s="379" t="s">
        <v>700</v>
      </c>
      <c r="C710" s="516">
        <v>0</v>
      </c>
      <c r="D710" s="516">
        <f>'04'!F710</f>
        <v>0</v>
      </c>
      <c r="E710" s="525">
        <v>0</v>
      </c>
      <c r="F710" s="526" t="str">
        <f t="shared" ref="F710:F773" si="45">IFERROR((E710-C710)/C710,"")</f>
        <v/>
      </c>
      <c r="G710" s="470" t="str">
        <f t="shared" ref="G710:G773" si="46">IFERROR((E710-D710)/D710,"")</f>
        <v/>
      </c>
      <c r="H710" s="524" t="str">
        <f t="shared" ref="H710:H773" si="47">IF(LEN(A710)=3,"是",IF(B710&lt;&gt;"",IF(SUM(C710:E710)&lt;&gt;0,"是","否"),"是"))</f>
        <v>否</v>
      </c>
      <c r="I710" s="312" t="str">
        <f t="shared" si="44"/>
        <v>项</v>
      </c>
    </row>
    <row r="711" s="372" customFormat="1" ht="24" hidden="1" customHeight="1" spans="1:9">
      <c r="A711" s="330">
        <v>2100210</v>
      </c>
      <c r="B711" s="379" t="s">
        <v>701</v>
      </c>
      <c r="C711" s="516">
        <v>0</v>
      </c>
      <c r="D711" s="516">
        <f>'04'!F711</f>
        <v>0</v>
      </c>
      <c r="E711" s="525">
        <v>0</v>
      </c>
      <c r="F711" s="526" t="str">
        <f t="shared" si="45"/>
        <v/>
      </c>
      <c r="G711" s="470" t="str">
        <f t="shared" si="46"/>
        <v/>
      </c>
      <c r="H711" s="524" t="str">
        <f t="shared" si="47"/>
        <v>否</v>
      </c>
      <c r="I711" s="312" t="str">
        <f t="shared" si="44"/>
        <v>项</v>
      </c>
    </row>
    <row r="712" ht="24" hidden="1" customHeight="1" spans="1:9">
      <c r="A712" s="330">
        <v>2100211</v>
      </c>
      <c r="B712" s="379" t="s">
        <v>702</v>
      </c>
      <c r="C712" s="516">
        <v>0</v>
      </c>
      <c r="D712" s="516">
        <f>'04'!F712</f>
        <v>0</v>
      </c>
      <c r="E712" s="525">
        <v>0</v>
      </c>
      <c r="F712" s="526" t="str">
        <f t="shared" si="45"/>
        <v/>
      </c>
      <c r="G712" s="470" t="str">
        <f t="shared" si="46"/>
        <v/>
      </c>
      <c r="H712" s="524" t="str">
        <f t="shared" si="47"/>
        <v>否</v>
      </c>
      <c r="I712" s="312" t="str">
        <f t="shared" si="44"/>
        <v>项</v>
      </c>
    </row>
    <row r="713" s="372" customFormat="1" ht="24" hidden="1" customHeight="1" spans="1:9">
      <c r="A713" s="330">
        <v>2100212</v>
      </c>
      <c r="B713" s="379" t="s">
        <v>703</v>
      </c>
      <c r="C713" s="516">
        <v>0</v>
      </c>
      <c r="D713" s="516">
        <f>'04'!F713</f>
        <v>0</v>
      </c>
      <c r="E713" s="525">
        <v>0</v>
      </c>
      <c r="F713" s="526" t="str">
        <f t="shared" si="45"/>
        <v/>
      </c>
      <c r="G713" s="470" t="str">
        <f t="shared" si="46"/>
        <v/>
      </c>
      <c r="H713" s="524" t="str">
        <f t="shared" si="47"/>
        <v>否</v>
      </c>
      <c r="I713" s="312" t="str">
        <f t="shared" si="44"/>
        <v>项</v>
      </c>
    </row>
    <row r="714" ht="24" hidden="1" customHeight="1" spans="1:9">
      <c r="A714" s="330">
        <v>2100213</v>
      </c>
      <c r="B714" s="405" t="s">
        <v>704</v>
      </c>
      <c r="C714" s="516">
        <v>0</v>
      </c>
      <c r="D714" s="516">
        <f>'04'!F714</f>
        <v>0</v>
      </c>
      <c r="E714" s="525">
        <v>0</v>
      </c>
      <c r="F714" s="526" t="str">
        <f t="shared" si="45"/>
        <v/>
      </c>
      <c r="G714" s="470" t="str">
        <f t="shared" si="46"/>
        <v/>
      </c>
      <c r="H714" s="524" t="str">
        <f t="shared" si="47"/>
        <v>否</v>
      </c>
      <c r="I714" s="312" t="str">
        <f t="shared" si="44"/>
        <v>项</v>
      </c>
    </row>
    <row r="715" ht="24" customHeight="1" spans="1:9">
      <c r="A715" s="330">
        <v>2100299</v>
      </c>
      <c r="B715" s="379" t="s">
        <v>705</v>
      </c>
      <c r="C715" s="516">
        <v>365</v>
      </c>
      <c r="D715" s="516">
        <f>'04'!F715</f>
        <v>187</v>
      </c>
      <c r="E715" s="525">
        <v>175</v>
      </c>
      <c r="F715" s="526">
        <f t="shared" si="45"/>
        <v>-0.520547945205479</v>
      </c>
      <c r="G715" s="470">
        <f t="shared" si="46"/>
        <v>-0.0641711229946524</v>
      </c>
      <c r="H715" s="524" t="str">
        <f t="shared" si="47"/>
        <v>是</v>
      </c>
      <c r="I715" s="312" t="str">
        <f t="shared" si="44"/>
        <v>项</v>
      </c>
    </row>
    <row r="716" s="372" customFormat="1" ht="24" customHeight="1" spans="1:9">
      <c r="A716" s="330">
        <v>21003</v>
      </c>
      <c r="B716" s="379" t="s">
        <v>706</v>
      </c>
      <c r="C716" s="515">
        <f>SUM(C717:C719)</f>
        <v>0</v>
      </c>
      <c r="D716" s="515">
        <f>SUM(D717:D719)</f>
        <v>6</v>
      </c>
      <c r="E716" s="515">
        <f>SUM(E717:E719)</f>
        <v>5</v>
      </c>
      <c r="F716" s="523" t="str">
        <f t="shared" si="45"/>
        <v/>
      </c>
      <c r="G716" s="467">
        <f t="shared" si="46"/>
        <v>-0.166666666666667</v>
      </c>
      <c r="H716" s="524" t="str">
        <f t="shared" si="47"/>
        <v>是</v>
      </c>
      <c r="I716" s="312" t="str">
        <f t="shared" si="44"/>
        <v>款</v>
      </c>
    </row>
    <row r="717" s="372" customFormat="1" ht="24" hidden="1" customHeight="1" spans="1:9">
      <c r="A717" s="330">
        <v>2100301</v>
      </c>
      <c r="B717" s="379" t="s">
        <v>707</v>
      </c>
      <c r="C717" s="516">
        <v>0</v>
      </c>
      <c r="D717" s="516">
        <f>'04'!F717</f>
        <v>0</v>
      </c>
      <c r="E717" s="525">
        <v>0</v>
      </c>
      <c r="F717" s="526" t="str">
        <f t="shared" si="45"/>
        <v/>
      </c>
      <c r="G717" s="470" t="str">
        <f t="shared" si="46"/>
        <v/>
      </c>
      <c r="H717" s="524" t="str">
        <f t="shared" si="47"/>
        <v>否</v>
      </c>
      <c r="I717" s="312" t="str">
        <f t="shared" si="44"/>
        <v>项</v>
      </c>
    </row>
    <row r="718" s="372" customFormat="1" ht="24" hidden="1" customHeight="1" spans="1:9">
      <c r="A718" s="330">
        <v>2100302</v>
      </c>
      <c r="B718" s="379" t="s">
        <v>708</v>
      </c>
      <c r="C718" s="516">
        <v>0</v>
      </c>
      <c r="D718" s="516">
        <f>'04'!F718</f>
        <v>0</v>
      </c>
      <c r="E718" s="525">
        <v>0</v>
      </c>
      <c r="F718" s="526" t="str">
        <f t="shared" si="45"/>
        <v/>
      </c>
      <c r="G718" s="470" t="str">
        <f t="shared" si="46"/>
        <v/>
      </c>
      <c r="H718" s="524" t="str">
        <f t="shared" si="47"/>
        <v>否</v>
      </c>
      <c r="I718" s="312" t="str">
        <f t="shared" si="44"/>
        <v>项</v>
      </c>
    </row>
    <row r="719" s="372" customFormat="1" ht="24" customHeight="1" spans="1:9">
      <c r="A719" s="330">
        <v>2100399</v>
      </c>
      <c r="B719" s="379" t="s">
        <v>709</v>
      </c>
      <c r="C719" s="516">
        <v>0</v>
      </c>
      <c r="D719" s="516">
        <f>'04'!F719</f>
        <v>6</v>
      </c>
      <c r="E719" s="525">
        <v>5</v>
      </c>
      <c r="F719" s="526" t="str">
        <f t="shared" si="45"/>
        <v/>
      </c>
      <c r="G719" s="470">
        <f t="shared" si="46"/>
        <v>-0.166666666666667</v>
      </c>
      <c r="H719" s="524" t="str">
        <f t="shared" si="47"/>
        <v>是</v>
      </c>
      <c r="I719" s="312" t="str">
        <f t="shared" si="44"/>
        <v>项</v>
      </c>
    </row>
    <row r="720" ht="24" customHeight="1" spans="1:9">
      <c r="A720" s="330">
        <v>21004</v>
      </c>
      <c r="B720" s="379" t="s">
        <v>710</v>
      </c>
      <c r="C720" s="515">
        <f>SUM(C721:C731)</f>
        <v>3986</v>
      </c>
      <c r="D720" s="515">
        <f>SUM(D721:D731)</f>
        <v>5861</v>
      </c>
      <c r="E720" s="515">
        <f>SUM(E721:E731)</f>
        <v>6428</v>
      </c>
      <c r="F720" s="523">
        <f t="shared" si="45"/>
        <v>0.612644254892122</v>
      </c>
      <c r="G720" s="467">
        <f t="shared" si="46"/>
        <v>0.0967411704487289</v>
      </c>
      <c r="H720" s="524" t="str">
        <f t="shared" si="47"/>
        <v>是</v>
      </c>
      <c r="I720" s="312" t="str">
        <f t="shared" si="44"/>
        <v>款</v>
      </c>
    </row>
    <row r="721" s="372" customFormat="1" ht="24" customHeight="1" spans="1:9">
      <c r="A721" s="330">
        <v>2100401</v>
      </c>
      <c r="B721" s="379" t="s">
        <v>711</v>
      </c>
      <c r="C721" s="516">
        <v>1020</v>
      </c>
      <c r="D721" s="516">
        <f>'04'!F721</f>
        <v>1331</v>
      </c>
      <c r="E721" s="525">
        <v>1465</v>
      </c>
      <c r="F721" s="526">
        <f t="shared" si="45"/>
        <v>0.436274509803922</v>
      </c>
      <c r="G721" s="470">
        <f t="shared" si="46"/>
        <v>0.100676183320811</v>
      </c>
      <c r="H721" s="524" t="str">
        <f t="shared" si="47"/>
        <v>是</v>
      </c>
      <c r="I721" s="312" t="str">
        <f t="shared" si="44"/>
        <v>项</v>
      </c>
    </row>
    <row r="722" s="372" customFormat="1" ht="24" hidden="1" customHeight="1" spans="1:9">
      <c r="A722" s="330">
        <v>2100402</v>
      </c>
      <c r="B722" s="379" t="s">
        <v>712</v>
      </c>
      <c r="C722" s="516">
        <v>0</v>
      </c>
      <c r="D722" s="516">
        <f>'04'!F722</f>
        <v>0</v>
      </c>
      <c r="E722" s="525">
        <v>0</v>
      </c>
      <c r="F722" s="526" t="str">
        <f t="shared" si="45"/>
        <v/>
      </c>
      <c r="G722" s="470" t="str">
        <f t="shared" si="46"/>
        <v/>
      </c>
      <c r="H722" s="524" t="str">
        <f t="shared" si="47"/>
        <v>否</v>
      </c>
      <c r="I722" s="312" t="str">
        <f t="shared" si="44"/>
        <v>项</v>
      </c>
    </row>
    <row r="723" s="372" customFormat="1" ht="24" customHeight="1" spans="1:9">
      <c r="A723" s="330">
        <v>2100403</v>
      </c>
      <c r="B723" s="379" t="s">
        <v>713</v>
      </c>
      <c r="C723" s="516">
        <v>2215</v>
      </c>
      <c r="D723" s="516">
        <f>'04'!F723</f>
        <v>2948</v>
      </c>
      <c r="E723" s="525">
        <v>3325</v>
      </c>
      <c r="F723" s="526">
        <f t="shared" si="45"/>
        <v>0.501128668171558</v>
      </c>
      <c r="G723" s="470">
        <f t="shared" si="46"/>
        <v>0.127883310719132</v>
      </c>
      <c r="H723" s="524" t="str">
        <f t="shared" si="47"/>
        <v>是</v>
      </c>
      <c r="I723" s="312" t="str">
        <f t="shared" si="44"/>
        <v>项</v>
      </c>
    </row>
    <row r="724" s="372" customFormat="1" ht="24" hidden="1" customHeight="1" spans="1:9">
      <c r="A724" s="330">
        <v>2100404</v>
      </c>
      <c r="B724" s="379" t="s">
        <v>714</v>
      </c>
      <c r="C724" s="516">
        <v>0</v>
      </c>
      <c r="D724" s="516">
        <f>'04'!F724</f>
        <v>0</v>
      </c>
      <c r="E724" s="525">
        <v>0</v>
      </c>
      <c r="F724" s="526" t="str">
        <f t="shared" si="45"/>
        <v/>
      </c>
      <c r="G724" s="470" t="str">
        <f t="shared" si="46"/>
        <v/>
      </c>
      <c r="H724" s="524" t="str">
        <f t="shared" si="47"/>
        <v>否</v>
      </c>
      <c r="I724" s="312" t="str">
        <f t="shared" si="44"/>
        <v>项</v>
      </c>
    </row>
    <row r="725" s="372" customFormat="1" ht="24" hidden="1" customHeight="1" spans="1:9">
      <c r="A725" s="330">
        <v>2100405</v>
      </c>
      <c r="B725" s="379" t="s">
        <v>715</v>
      </c>
      <c r="C725" s="516">
        <v>0</v>
      </c>
      <c r="D725" s="516">
        <f>'04'!F725</f>
        <v>0</v>
      </c>
      <c r="E725" s="525">
        <v>0</v>
      </c>
      <c r="F725" s="526" t="str">
        <f t="shared" si="45"/>
        <v/>
      </c>
      <c r="G725" s="470" t="str">
        <f t="shared" si="46"/>
        <v/>
      </c>
      <c r="H725" s="524" t="str">
        <f t="shared" si="47"/>
        <v>否</v>
      </c>
      <c r="I725" s="312" t="str">
        <f t="shared" si="44"/>
        <v>项</v>
      </c>
    </row>
    <row r="726" s="372" customFormat="1" ht="24" customHeight="1" spans="1:9">
      <c r="A726" s="330">
        <v>2100406</v>
      </c>
      <c r="B726" s="379" t="s">
        <v>716</v>
      </c>
      <c r="C726" s="516">
        <v>230</v>
      </c>
      <c r="D726" s="516">
        <f>'04'!F726</f>
        <v>1221</v>
      </c>
      <c r="E726" s="525">
        <v>1265</v>
      </c>
      <c r="F726" s="526">
        <f t="shared" si="45"/>
        <v>4.5</v>
      </c>
      <c r="G726" s="470">
        <f t="shared" si="46"/>
        <v>0.036036036036036</v>
      </c>
      <c r="H726" s="524" t="str">
        <f t="shared" si="47"/>
        <v>是</v>
      </c>
      <c r="I726" s="312" t="str">
        <f t="shared" si="44"/>
        <v>项</v>
      </c>
    </row>
    <row r="727" s="372" customFormat="1" ht="24" hidden="1" customHeight="1" spans="1:9">
      <c r="A727" s="330">
        <v>2100407</v>
      </c>
      <c r="B727" s="379" t="s">
        <v>717</v>
      </c>
      <c r="C727" s="516">
        <v>0</v>
      </c>
      <c r="D727" s="516">
        <f>'04'!F727</f>
        <v>0</v>
      </c>
      <c r="E727" s="525">
        <v>0</v>
      </c>
      <c r="F727" s="526" t="str">
        <f t="shared" si="45"/>
        <v/>
      </c>
      <c r="G727" s="470" t="str">
        <f t="shared" si="46"/>
        <v/>
      </c>
      <c r="H727" s="524" t="str">
        <f t="shared" si="47"/>
        <v>否</v>
      </c>
      <c r="I727" s="312" t="str">
        <f t="shared" si="44"/>
        <v>项</v>
      </c>
    </row>
    <row r="728" s="372" customFormat="1" ht="24" customHeight="1" spans="1:9">
      <c r="A728" s="330">
        <v>2100408</v>
      </c>
      <c r="B728" s="379" t="s">
        <v>718</v>
      </c>
      <c r="C728" s="516">
        <v>145</v>
      </c>
      <c r="D728" s="516">
        <f>'04'!F728</f>
        <v>97</v>
      </c>
      <c r="E728" s="525">
        <v>115</v>
      </c>
      <c r="F728" s="526">
        <f t="shared" si="45"/>
        <v>-0.206896551724138</v>
      </c>
      <c r="G728" s="470">
        <f t="shared" si="46"/>
        <v>0.185567010309278</v>
      </c>
      <c r="H728" s="524" t="str">
        <f t="shared" si="47"/>
        <v>是</v>
      </c>
      <c r="I728" s="312" t="str">
        <f t="shared" si="44"/>
        <v>项</v>
      </c>
    </row>
    <row r="729" s="372" customFormat="1" ht="24" customHeight="1" spans="1:9">
      <c r="A729" s="330">
        <v>2100409</v>
      </c>
      <c r="B729" s="379" t="s">
        <v>719</v>
      </c>
      <c r="C729" s="516">
        <v>350</v>
      </c>
      <c r="D729" s="516">
        <f>'04'!F729</f>
        <v>263</v>
      </c>
      <c r="E729" s="525">
        <v>258</v>
      </c>
      <c r="F729" s="526">
        <f t="shared" si="45"/>
        <v>-0.262857142857143</v>
      </c>
      <c r="G729" s="470">
        <f t="shared" si="46"/>
        <v>-0.0190114068441065</v>
      </c>
      <c r="H729" s="524" t="str">
        <f t="shared" si="47"/>
        <v>是</v>
      </c>
      <c r="I729" s="312" t="str">
        <f t="shared" si="44"/>
        <v>项</v>
      </c>
    </row>
    <row r="730" s="372" customFormat="1" ht="24" customHeight="1" spans="1:9">
      <c r="A730" s="330">
        <v>2100410</v>
      </c>
      <c r="B730" s="379" t="s">
        <v>720</v>
      </c>
      <c r="C730" s="516">
        <v>26</v>
      </c>
      <c r="D730" s="516">
        <f>'04'!F730</f>
        <v>0</v>
      </c>
      <c r="E730" s="525">
        <v>0</v>
      </c>
      <c r="F730" s="526">
        <f t="shared" si="45"/>
        <v>-1</v>
      </c>
      <c r="G730" s="470" t="str">
        <f t="shared" si="46"/>
        <v/>
      </c>
      <c r="H730" s="524" t="str">
        <f t="shared" si="47"/>
        <v>是</v>
      </c>
      <c r="I730" s="312" t="str">
        <f t="shared" si="44"/>
        <v>项</v>
      </c>
    </row>
    <row r="731" s="372" customFormat="1" ht="24" customHeight="1" spans="1:9">
      <c r="A731" s="330">
        <v>2100499</v>
      </c>
      <c r="B731" s="379" t="s">
        <v>721</v>
      </c>
      <c r="C731" s="516">
        <v>0</v>
      </c>
      <c r="D731" s="516">
        <f>'04'!F731</f>
        <v>1</v>
      </c>
      <c r="E731" s="525">
        <v>0</v>
      </c>
      <c r="F731" s="526" t="str">
        <f t="shared" si="45"/>
        <v/>
      </c>
      <c r="G731" s="470">
        <f t="shared" si="46"/>
        <v>-1</v>
      </c>
      <c r="H731" s="524" t="str">
        <f t="shared" si="47"/>
        <v>是</v>
      </c>
      <c r="I731" s="312" t="str">
        <f t="shared" si="44"/>
        <v>项</v>
      </c>
    </row>
    <row r="732" ht="24" customHeight="1" spans="1:9">
      <c r="A732" s="330">
        <v>21007</v>
      </c>
      <c r="B732" s="379" t="s">
        <v>722</v>
      </c>
      <c r="C732" s="515">
        <f>SUM(C733:C735)</f>
        <v>115</v>
      </c>
      <c r="D732" s="515">
        <f>SUM(D733:D735)</f>
        <v>78</v>
      </c>
      <c r="E732" s="515">
        <f>SUM(E733:E735)</f>
        <v>96</v>
      </c>
      <c r="F732" s="523">
        <f t="shared" si="45"/>
        <v>-0.165217391304348</v>
      </c>
      <c r="G732" s="467">
        <f t="shared" si="46"/>
        <v>0.230769230769231</v>
      </c>
      <c r="H732" s="524" t="str">
        <f t="shared" si="47"/>
        <v>是</v>
      </c>
      <c r="I732" s="312" t="str">
        <f t="shared" si="44"/>
        <v>款</v>
      </c>
    </row>
    <row r="733" s="372" customFormat="1" ht="24" customHeight="1" spans="1:9">
      <c r="A733" s="330">
        <v>2100716</v>
      </c>
      <c r="B733" s="379" t="s">
        <v>723</v>
      </c>
      <c r="C733" s="516">
        <v>90</v>
      </c>
      <c r="D733" s="516">
        <f>'04'!F733</f>
        <v>64</v>
      </c>
      <c r="E733" s="525">
        <v>75</v>
      </c>
      <c r="F733" s="526">
        <f t="shared" si="45"/>
        <v>-0.166666666666667</v>
      </c>
      <c r="G733" s="470">
        <f t="shared" si="46"/>
        <v>0.171875</v>
      </c>
      <c r="H733" s="524" t="str">
        <f t="shared" si="47"/>
        <v>是</v>
      </c>
      <c r="I733" s="312" t="str">
        <f t="shared" si="44"/>
        <v>项</v>
      </c>
    </row>
    <row r="734" s="372" customFormat="1" ht="24" hidden="1" customHeight="1" spans="1:9">
      <c r="A734" s="330">
        <v>2100717</v>
      </c>
      <c r="B734" s="379" t="s">
        <v>724</v>
      </c>
      <c r="C734" s="516">
        <v>0</v>
      </c>
      <c r="D734" s="516">
        <f>'04'!F734</f>
        <v>0</v>
      </c>
      <c r="E734" s="525">
        <v>0</v>
      </c>
      <c r="F734" s="526" t="str">
        <f t="shared" si="45"/>
        <v/>
      </c>
      <c r="G734" s="470" t="str">
        <f t="shared" si="46"/>
        <v/>
      </c>
      <c r="H734" s="524" t="str">
        <f t="shared" si="47"/>
        <v>否</v>
      </c>
      <c r="I734" s="312" t="str">
        <f t="shared" si="44"/>
        <v>项</v>
      </c>
    </row>
    <row r="735" s="372" customFormat="1" ht="24" customHeight="1" spans="1:9">
      <c r="A735" s="330">
        <v>2100799</v>
      </c>
      <c r="B735" s="379" t="s">
        <v>725</v>
      </c>
      <c r="C735" s="516">
        <v>25</v>
      </c>
      <c r="D735" s="516">
        <f>'04'!F735</f>
        <v>14</v>
      </c>
      <c r="E735" s="525">
        <v>21</v>
      </c>
      <c r="F735" s="526">
        <f t="shared" si="45"/>
        <v>-0.16</v>
      </c>
      <c r="G735" s="470">
        <f t="shared" si="46"/>
        <v>0.5</v>
      </c>
      <c r="H735" s="524" t="str">
        <f t="shared" si="47"/>
        <v>是</v>
      </c>
      <c r="I735" s="312" t="str">
        <f t="shared" si="44"/>
        <v>项</v>
      </c>
    </row>
    <row r="736" ht="24" customHeight="1" spans="1:9">
      <c r="A736" s="330">
        <v>21011</v>
      </c>
      <c r="B736" s="379" t="s">
        <v>726</v>
      </c>
      <c r="C736" s="515">
        <f>SUM(C737:C740)</f>
        <v>6427</v>
      </c>
      <c r="D736" s="515">
        <f>SUM(D737:D740)</f>
        <v>6195</v>
      </c>
      <c r="E736" s="515">
        <f>SUM(E737:E740)</f>
        <v>7868</v>
      </c>
      <c r="F736" s="523">
        <f t="shared" si="45"/>
        <v>0.224210362533064</v>
      </c>
      <c r="G736" s="467">
        <f t="shared" si="46"/>
        <v>0.270056497175141</v>
      </c>
      <c r="H736" s="524" t="str">
        <f t="shared" si="47"/>
        <v>是</v>
      </c>
      <c r="I736" s="312" t="str">
        <f t="shared" si="44"/>
        <v>款</v>
      </c>
    </row>
    <row r="737" s="372" customFormat="1" ht="24" customHeight="1" spans="1:9">
      <c r="A737" s="330">
        <v>2101101</v>
      </c>
      <c r="B737" s="379" t="s">
        <v>727</v>
      </c>
      <c r="C737" s="516">
        <v>2015</v>
      </c>
      <c r="D737" s="516">
        <f>'04'!F737</f>
        <v>1892</v>
      </c>
      <c r="E737" s="525">
        <v>2525</v>
      </c>
      <c r="F737" s="526">
        <f t="shared" si="45"/>
        <v>0.253101736972705</v>
      </c>
      <c r="G737" s="470">
        <f t="shared" si="46"/>
        <v>0.334566596194503</v>
      </c>
      <c r="H737" s="524" t="str">
        <f t="shared" si="47"/>
        <v>是</v>
      </c>
      <c r="I737" s="312" t="str">
        <f t="shared" si="44"/>
        <v>项</v>
      </c>
    </row>
    <row r="738" s="372" customFormat="1" ht="24" customHeight="1" spans="1:9">
      <c r="A738" s="330">
        <v>2101102</v>
      </c>
      <c r="B738" s="379" t="s">
        <v>728</v>
      </c>
      <c r="C738" s="516">
        <v>1945</v>
      </c>
      <c r="D738" s="516">
        <f>'04'!F738</f>
        <v>1840</v>
      </c>
      <c r="E738" s="525">
        <v>2416</v>
      </c>
      <c r="F738" s="526">
        <f t="shared" si="45"/>
        <v>0.242159383033419</v>
      </c>
      <c r="G738" s="470">
        <f t="shared" si="46"/>
        <v>0.31304347826087</v>
      </c>
      <c r="H738" s="524" t="str">
        <f t="shared" si="47"/>
        <v>是</v>
      </c>
      <c r="I738" s="312" t="str">
        <f t="shared" si="44"/>
        <v>项</v>
      </c>
    </row>
    <row r="739" s="372" customFormat="1" ht="24" customHeight="1" spans="1:9">
      <c r="A739" s="330">
        <v>2101103</v>
      </c>
      <c r="B739" s="379" t="s">
        <v>729</v>
      </c>
      <c r="C739" s="516">
        <v>2212</v>
      </c>
      <c r="D739" s="516">
        <f>'04'!F739</f>
        <v>2149</v>
      </c>
      <c r="E739" s="525">
        <v>2469</v>
      </c>
      <c r="F739" s="526">
        <f t="shared" si="45"/>
        <v>0.116184448462929</v>
      </c>
      <c r="G739" s="470">
        <f t="shared" si="46"/>
        <v>0.148906468124709</v>
      </c>
      <c r="H739" s="524" t="str">
        <f t="shared" si="47"/>
        <v>是</v>
      </c>
      <c r="I739" s="312" t="str">
        <f t="shared" si="44"/>
        <v>项</v>
      </c>
    </row>
    <row r="740" s="372" customFormat="1" ht="24" customHeight="1" spans="1:9">
      <c r="A740" s="330">
        <v>2101199</v>
      </c>
      <c r="B740" s="379" t="s">
        <v>730</v>
      </c>
      <c r="C740" s="516">
        <v>255</v>
      </c>
      <c r="D740" s="516">
        <f>'04'!F740</f>
        <v>314</v>
      </c>
      <c r="E740" s="525">
        <v>458</v>
      </c>
      <c r="F740" s="526">
        <f t="shared" si="45"/>
        <v>0.796078431372549</v>
      </c>
      <c r="G740" s="470">
        <f t="shared" si="46"/>
        <v>0.45859872611465</v>
      </c>
      <c r="H740" s="524" t="str">
        <f t="shared" si="47"/>
        <v>是</v>
      </c>
      <c r="I740" s="312" t="str">
        <f t="shared" si="44"/>
        <v>项</v>
      </c>
    </row>
    <row r="741" s="372" customFormat="1" ht="24" customHeight="1" spans="1:9">
      <c r="A741" s="330">
        <v>21012</v>
      </c>
      <c r="B741" s="379" t="s">
        <v>731</v>
      </c>
      <c r="C741" s="515">
        <f>SUM(C742:C744)</f>
        <v>68636</v>
      </c>
      <c r="D741" s="515">
        <f>SUM(D742:D744)</f>
        <v>68914</v>
      </c>
      <c r="E741" s="515">
        <f>SUM(E742:E744)</f>
        <v>72450</v>
      </c>
      <c r="F741" s="523">
        <f t="shared" si="45"/>
        <v>0.0555685063232123</v>
      </c>
      <c r="G741" s="467">
        <f t="shared" si="46"/>
        <v>0.0513103288156253</v>
      </c>
      <c r="H741" s="524" t="str">
        <f t="shared" si="47"/>
        <v>是</v>
      </c>
      <c r="I741" s="312" t="str">
        <f t="shared" si="44"/>
        <v>款</v>
      </c>
    </row>
    <row r="742" s="372" customFormat="1" ht="24" customHeight="1" spans="1:9">
      <c r="A742" s="330">
        <v>2101201</v>
      </c>
      <c r="B742" s="379" t="s">
        <v>732</v>
      </c>
      <c r="C742" s="516">
        <v>50</v>
      </c>
      <c r="D742" s="516">
        <f>'04'!F742</f>
        <v>21</v>
      </c>
      <c r="E742" s="525">
        <v>25</v>
      </c>
      <c r="F742" s="526">
        <f t="shared" si="45"/>
        <v>-0.5</v>
      </c>
      <c r="G742" s="470">
        <f t="shared" si="46"/>
        <v>0.19047619047619</v>
      </c>
      <c r="H742" s="524" t="str">
        <f t="shared" si="47"/>
        <v>是</v>
      </c>
      <c r="I742" s="312" t="str">
        <f t="shared" si="44"/>
        <v>项</v>
      </c>
    </row>
    <row r="743" s="372" customFormat="1" ht="24" customHeight="1" spans="1:9">
      <c r="A743" s="330">
        <v>2101202</v>
      </c>
      <c r="B743" s="379" t="s">
        <v>733</v>
      </c>
      <c r="C743" s="516">
        <v>68586</v>
      </c>
      <c r="D743" s="516">
        <f>'04'!F743</f>
        <v>68893</v>
      </c>
      <c r="E743" s="525">
        <v>72425</v>
      </c>
      <c r="F743" s="526">
        <f t="shared" si="45"/>
        <v>0.0559735222931794</v>
      </c>
      <c r="G743" s="470">
        <f t="shared" si="46"/>
        <v>0.0512679082054781</v>
      </c>
      <c r="H743" s="524" t="str">
        <f t="shared" si="47"/>
        <v>是</v>
      </c>
      <c r="I743" s="312" t="str">
        <f t="shared" si="44"/>
        <v>项</v>
      </c>
    </row>
    <row r="744" s="372" customFormat="1" ht="24" hidden="1" customHeight="1" spans="1:9">
      <c r="A744" s="330">
        <v>2101299</v>
      </c>
      <c r="B744" s="379" t="s">
        <v>734</v>
      </c>
      <c r="C744" s="516">
        <v>0</v>
      </c>
      <c r="D744" s="516">
        <f>'04'!F744</f>
        <v>0</v>
      </c>
      <c r="E744" s="525">
        <v>0</v>
      </c>
      <c r="F744" s="526" t="str">
        <f t="shared" si="45"/>
        <v/>
      </c>
      <c r="G744" s="470" t="str">
        <f t="shared" si="46"/>
        <v/>
      </c>
      <c r="H744" s="524" t="str">
        <f t="shared" si="47"/>
        <v>否</v>
      </c>
      <c r="I744" s="312" t="str">
        <f t="shared" si="44"/>
        <v>项</v>
      </c>
    </row>
    <row r="745" s="372" customFormat="1" ht="24" customHeight="1" spans="1:9">
      <c r="A745" s="330">
        <v>21013</v>
      </c>
      <c r="B745" s="379" t="s">
        <v>735</v>
      </c>
      <c r="C745" s="515">
        <f>SUM(C746:C748)</f>
        <v>4936</v>
      </c>
      <c r="D745" s="515">
        <f>SUM(D746:D748)</f>
        <v>8097</v>
      </c>
      <c r="E745" s="515">
        <f>SUM(E746:E748)</f>
        <v>8736</v>
      </c>
      <c r="F745" s="523">
        <f t="shared" si="45"/>
        <v>0.769854132901134</v>
      </c>
      <c r="G745" s="467">
        <f t="shared" si="46"/>
        <v>0.0789181178214153</v>
      </c>
      <c r="H745" s="524" t="str">
        <f t="shared" si="47"/>
        <v>是</v>
      </c>
      <c r="I745" s="312" t="str">
        <f t="shared" si="44"/>
        <v>款</v>
      </c>
    </row>
    <row r="746" s="372" customFormat="1" ht="24" customHeight="1" spans="1:9">
      <c r="A746" s="330">
        <v>2101301</v>
      </c>
      <c r="B746" s="379" t="s">
        <v>736</v>
      </c>
      <c r="C746" s="516">
        <v>4886</v>
      </c>
      <c r="D746" s="516">
        <f>'04'!F746</f>
        <v>7997</v>
      </c>
      <c r="E746" s="525">
        <v>8635</v>
      </c>
      <c r="F746" s="526">
        <f t="shared" si="45"/>
        <v>0.767294310274253</v>
      </c>
      <c r="G746" s="470">
        <f t="shared" si="46"/>
        <v>0.0797799174690509</v>
      </c>
      <c r="H746" s="524" t="str">
        <f t="shared" si="47"/>
        <v>是</v>
      </c>
      <c r="I746" s="312" t="str">
        <f t="shared" si="44"/>
        <v>项</v>
      </c>
    </row>
    <row r="747" s="372" customFormat="1" ht="24" customHeight="1" spans="1:9">
      <c r="A747" s="330">
        <v>2101302</v>
      </c>
      <c r="B747" s="379" t="s">
        <v>737</v>
      </c>
      <c r="C747" s="516">
        <v>50</v>
      </c>
      <c r="D747" s="516">
        <f>'04'!F747</f>
        <v>100</v>
      </c>
      <c r="E747" s="525">
        <v>101</v>
      </c>
      <c r="F747" s="526">
        <f t="shared" si="45"/>
        <v>1.02</v>
      </c>
      <c r="G747" s="470">
        <f t="shared" si="46"/>
        <v>0.01</v>
      </c>
      <c r="H747" s="524" t="str">
        <f t="shared" si="47"/>
        <v>是</v>
      </c>
      <c r="I747" s="312" t="str">
        <f t="shared" si="44"/>
        <v>项</v>
      </c>
    </row>
    <row r="748" ht="24" hidden="1" customHeight="1" spans="1:9">
      <c r="A748" s="330">
        <v>2101399</v>
      </c>
      <c r="B748" s="379" t="s">
        <v>738</v>
      </c>
      <c r="C748" s="516">
        <v>0</v>
      </c>
      <c r="D748" s="516">
        <f>'04'!F748</f>
        <v>0</v>
      </c>
      <c r="E748" s="525">
        <v>0</v>
      </c>
      <c r="F748" s="526" t="str">
        <f t="shared" si="45"/>
        <v/>
      </c>
      <c r="G748" s="470" t="str">
        <f t="shared" si="46"/>
        <v/>
      </c>
      <c r="H748" s="524" t="str">
        <f t="shared" si="47"/>
        <v>否</v>
      </c>
      <c r="I748" s="312" t="str">
        <f t="shared" si="44"/>
        <v>项</v>
      </c>
    </row>
    <row r="749" s="372" customFormat="1" ht="24" hidden="1" customHeight="1" spans="1:9">
      <c r="A749" s="330">
        <v>21014</v>
      </c>
      <c r="B749" s="379" t="s">
        <v>739</v>
      </c>
      <c r="C749" s="515">
        <f>SUM(C750:C751)</f>
        <v>0</v>
      </c>
      <c r="D749" s="515">
        <f>SUM(D750:D751)</f>
        <v>0</v>
      </c>
      <c r="E749" s="515">
        <f>SUM(E750:E751)</f>
        <v>0</v>
      </c>
      <c r="F749" s="523" t="str">
        <f t="shared" si="45"/>
        <v/>
      </c>
      <c r="G749" s="467" t="str">
        <f t="shared" si="46"/>
        <v/>
      </c>
      <c r="H749" s="524" t="str">
        <f t="shared" si="47"/>
        <v>否</v>
      </c>
      <c r="I749" s="312" t="str">
        <f t="shared" si="44"/>
        <v>款</v>
      </c>
    </row>
    <row r="750" s="372" customFormat="1" ht="24" hidden="1" customHeight="1" spans="1:9">
      <c r="A750" s="330">
        <v>2101401</v>
      </c>
      <c r="B750" s="379" t="s">
        <v>740</v>
      </c>
      <c r="C750" s="516"/>
      <c r="D750" s="516">
        <f>'04'!F750</f>
        <v>0</v>
      </c>
      <c r="E750" s="525">
        <v>0</v>
      </c>
      <c r="F750" s="526" t="str">
        <f t="shared" si="45"/>
        <v/>
      </c>
      <c r="G750" s="470" t="str">
        <f t="shared" si="46"/>
        <v/>
      </c>
      <c r="H750" s="524" t="str">
        <f t="shared" si="47"/>
        <v>否</v>
      </c>
      <c r="I750" s="312" t="str">
        <f t="shared" si="44"/>
        <v>项</v>
      </c>
    </row>
    <row r="751" ht="24" hidden="1" customHeight="1" spans="1:9">
      <c r="A751" s="330">
        <v>2101499</v>
      </c>
      <c r="B751" s="379" t="s">
        <v>741</v>
      </c>
      <c r="C751" s="516"/>
      <c r="D751" s="516">
        <f>'04'!F751</f>
        <v>0</v>
      </c>
      <c r="E751" s="525">
        <v>0</v>
      </c>
      <c r="F751" s="526" t="str">
        <f t="shared" si="45"/>
        <v/>
      </c>
      <c r="G751" s="470" t="str">
        <f t="shared" si="46"/>
        <v/>
      </c>
      <c r="H751" s="524" t="str">
        <f t="shared" si="47"/>
        <v>否</v>
      </c>
      <c r="I751" s="312" t="str">
        <f t="shared" si="44"/>
        <v>项</v>
      </c>
    </row>
    <row r="752" s="372" customFormat="1" ht="24" customHeight="1" spans="1:9">
      <c r="A752" s="330">
        <v>21015</v>
      </c>
      <c r="B752" s="379" t="s">
        <v>742</v>
      </c>
      <c r="C752" s="515">
        <f>SUM(C753:C760)</f>
        <v>674</v>
      </c>
      <c r="D752" s="515">
        <f>SUM(D753:D760)</f>
        <v>682</v>
      </c>
      <c r="E752" s="515">
        <f>SUM(E753:E760)</f>
        <v>681</v>
      </c>
      <c r="F752" s="523">
        <f t="shared" si="45"/>
        <v>0.0103857566765579</v>
      </c>
      <c r="G752" s="467">
        <f t="shared" si="46"/>
        <v>-0.00146627565982405</v>
      </c>
      <c r="H752" s="524" t="str">
        <f t="shared" si="47"/>
        <v>是</v>
      </c>
      <c r="I752" s="312" t="str">
        <f t="shared" si="44"/>
        <v>款</v>
      </c>
    </row>
    <row r="753" s="372" customFormat="1" ht="24" customHeight="1" spans="1:9">
      <c r="A753" s="330">
        <v>2101501</v>
      </c>
      <c r="B753" s="379" t="s">
        <v>212</v>
      </c>
      <c r="C753" s="516">
        <v>496</v>
      </c>
      <c r="D753" s="516">
        <f>'04'!F753</f>
        <v>475</v>
      </c>
      <c r="E753" s="525">
        <v>508</v>
      </c>
      <c r="F753" s="526">
        <f t="shared" si="45"/>
        <v>0.0241935483870968</v>
      </c>
      <c r="G753" s="470">
        <f t="shared" si="46"/>
        <v>0.0694736842105263</v>
      </c>
      <c r="H753" s="524" t="str">
        <f t="shared" si="47"/>
        <v>是</v>
      </c>
      <c r="I753" s="312" t="str">
        <f t="shared" si="44"/>
        <v>项</v>
      </c>
    </row>
    <row r="754" s="372" customFormat="1" ht="24" hidden="1" customHeight="1" spans="1:9">
      <c r="A754" s="330">
        <v>2101502</v>
      </c>
      <c r="B754" s="379" t="s">
        <v>213</v>
      </c>
      <c r="C754" s="516">
        <v>0</v>
      </c>
      <c r="D754" s="516">
        <f>'04'!F754</f>
        <v>0</v>
      </c>
      <c r="E754" s="525">
        <v>0</v>
      </c>
      <c r="F754" s="526" t="str">
        <f t="shared" si="45"/>
        <v/>
      </c>
      <c r="G754" s="470" t="str">
        <f t="shared" si="46"/>
        <v/>
      </c>
      <c r="H754" s="524" t="str">
        <f t="shared" si="47"/>
        <v>否</v>
      </c>
      <c r="I754" s="312" t="str">
        <f t="shared" si="44"/>
        <v>项</v>
      </c>
    </row>
    <row r="755" ht="24" hidden="1" customHeight="1" spans="1:9">
      <c r="A755" s="330">
        <v>2101503</v>
      </c>
      <c r="B755" s="379" t="s">
        <v>214</v>
      </c>
      <c r="C755" s="516">
        <v>0</v>
      </c>
      <c r="D755" s="516">
        <f>'04'!F755</f>
        <v>0</v>
      </c>
      <c r="E755" s="525">
        <v>0</v>
      </c>
      <c r="F755" s="526" t="str">
        <f t="shared" si="45"/>
        <v/>
      </c>
      <c r="G755" s="470" t="str">
        <f t="shared" si="46"/>
        <v/>
      </c>
      <c r="H755" s="524" t="str">
        <f t="shared" si="47"/>
        <v>否</v>
      </c>
      <c r="I755" s="312" t="str">
        <f t="shared" si="44"/>
        <v>项</v>
      </c>
    </row>
    <row r="756" s="372" customFormat="1" ht="24" customHeight="1" spans="1:9">
      <c r="A756" s="330">
        <v>2101504</v>
      </c>
      <c r="B756" s="379" t="s">
        <v>252</v>
      </c>
      <c r="C756" s="516">
        <v>34</v>
      </c>
      <c r="D756" s="516">
        <f>'04'!F756</f>
        <v>17</v>
      </c>
      <c r="E756" s="525">
        <v>21</v>
      </c>
      <c r="F756" s="526">
        <f t="shared" si="45"/>
        <v>-0.382352941176471</v>
      </c>
      <c r="G756" s="470">
        <f t="shared" si="46"/>
        <v>0.235294117647059</v>
      </c>
      <c r="H756" s="524" t="str">
        <f t="shared" si="47"/>
        <v>是</v>
      </c>
      <c r="I756" s="312" t="str">
        <f t="shared" si="44"/>
        <v>项</v>
      </c>
    </row>
    <row r="757" s="372" customFormat="1" ht="24" customHeight="1" spans="1:9">
      <c r="A757" s="330">
        <v>2101505</v>
      </c>
      <c r="B757" s="379" t="s">
        <v>743</v>
      </c>
      <c r="C757" s="516">
        <v>0</v>
      </c>
      <c r="D757" s="516">
        <f>'04'!F757</f>
        <v>26</v>
      </c>
      <c r="E757" s="525">
        <v>25</v>
      </c>
      <c r="F757" s="526" t="str">
        <f t="shared" si="45"/>
        <v/>
      </c>
      <c r="G757" s="470">
        <f t="shared" si="46"/>
        <v>-0.0384615384615385</v>
      </c>
      <c r="H757" s="524" t="str">
        <f t="shared" si="47"/>
        <v>是</v>
      </c>
      <c r="I757" s="312" t="str">
        <f t="shared" si="44"/>
        <v>项</v>
      </c>
    </row>
    <row r="758" s="372" customFormat="1" ht="24" customHeight="1" spans="1:9">
      <c r="A758" s="330">
        <v>2101506</v>
      </c>
      <c r="B758" s="379" t="s">
        <v>744</v>
      </c>
      <c r="C758" s="516">
        <v>105</v>
      </c>
      <c r="D758" s="516">
        <f>'04'!F758</f>
        <v>125</v>
      </c>
      <c r="E758" s="525">
        <v>85</v>
      </c>
      <c r="F758" s="526">
        <f t="shared" si="45"/>
        <v>-0.19047619047619</v>
      </c>
      <c r="G758" s="470">
        <f t="shared" si="46"/>
        <v>-0.32</v>
      </c>
      <c r="H758" s="524" t="str">
        <f t="shared" si="47"/>
        <v>是</v>
      </c>
      <c r="I758" s="312" t="str">
        <f t="shared" si="44"/>
        <v>项</v>
      </c>
    </row>
    <row r="759" s="372" customFormat="1" ht="24" customHeight="1" spans="1:9">
      <c r="A759" s="330">
        <v>2101550</v>
      </c>
      <c r="B759" s="379" t="s">
        <v>221</v>
      </c>
      <c r="C759" s="516">
        <v>39</v>
      </c>
      <c r="D759" s="516">
        <f>'04'!F759</f>
        <v>39</v>
      </c>
      <c r="E759" s="525">
        <v>42</v>
      </c>
      <c r="F759" s="526">
        <f t="shared" si="45"/>
        <v>0.0769230769230769</v>
      </c>
      <c r="G759" s="470">
        <f t="shared" si="46"/>
        <v>0.0769230769230769</v>
      </c>
      <c r="H759" s="524" t="str">
        <f t="shared" si="47"/>
        <v>是</v>
      </c>
      <c r="I759" s="312" t="str">
        <f t="shared" si="44"/>
        <v>项</v>
      </c>
    </row>
    <row r="760" ht="24" hidden="1" customHeight="1" spans="1:9">
      <c r="A760" s="330">
        <v>2101599</v>
      </c>
      <c r="B760" s="379" t="s">
        <v>745</v>
      </c>
      <c r="C760" s="516">
        <v>0</v>
      </c>
      <c r="D760" s="516">
        <f>'04'!F760</f>
        <v>0</v>
      </c>
      <c r="E760" s="525">
        <v>0</v>
      </c>
      <c r="F760" s="526" t="str">
        <f t="shared" si="45"/>
        <v/>
      </c>
      <c r="G760" s="470" t="str">
        <f t="shared" si="46"/>
        <v/>
      </c>
      <c r="H760" s="524" t="str">
        <f t="shared" si="47"/>
        <v>否</v>
      </c>
      <c r="I760" s="312" t="str">
        <f t="shared" si="44"/>
        <v>项</v>
      </c>
    </row>
    <row r="761" s="372" customFormat="1" ht="24" customHeight="1" spans="1:9">
      <c r="A761" s="330">
        <v>21017</v>
      </c>
      <c r="B761" s="379" t="s">
        <v>748</v>
      </c>
      <c r="C761" s="515">
        <f>SUM(C762:C767)</f>
        <v>9</v>
      </c>
      <c r="D761" s="515">
        <f>SUM(D762:D767)</f>
        <v>0</v>
      </c>
      <c r="E761" s="515">
        <f>SUM(E762:E767)</f>
        <v>0</v>
      </c>
      <c r="F761" s="523">
        <f t="shared" si="45"/>
        <v>-1</v>
      </c>
      <c r="G761" s="467" t="str">
        <f t="shared" si="46"/>
        <v/>
      </c>
      <c r="H761" s="524" t="str">
        <f t="shared" si="47"/>
        <v>是</v>
      </c>
      <c r="I761" s="312" t="str">
        <f t="shared" si="44"/>
        <v>款</v>
      </c>
    </row>
    <row r="762" s="372" customFormat="1" ht="24" hidden="1" customHeight="1" spans="1:9">
      <c r="A762" s="330">
        <v>2101701</v>
      </c>
      <c r="B762" s="379" t="s">
        <v>212</v>
      </c>
      <c r="C762" s="516"/>
      <c r="D762" s="516">
        <f>'04'!F762</f>
        <v>0</v>
      </c>
      <c r="E762" s="525">
        <v>0</v>
      </c>
      <c r="F762" s="526" t="str">
        <f t="shared" si="45"/>
        <v/>
      </c>
      <c r="G762" s="470" t="str">
        <f t="shared" si="46"/>
        <v/>
      </c>
      <c r="H762" s="524" t="str">
        <f t="shared" si="47"/>
        <v>否</v>
      </c>
      <c r="I762" s="312" t="str">
        <f t="shared" si="44"/>
        <v>项</v>
      </c>
    </row>
    <row r="763" s="372" customFormat="1" ht="24" hidden="1" customHeight="1" spans="1:9">
      <c r="A763" s="330">
        <v>2101702</v>
      </c>
      <c r="B763" s="379" t="s">
        <v>213</v>
      </c>
      <c r="C763" s="516"/>
      <c r="D763" s="516">
        <f>'04'!F763</f>
        <v>0</v>
      </c>
      <c r="E763" s="525">
        <v>0</v>
      </c>
      <c r="F763" s="526" t="str">
        <f t="shared" si="45"/>
        <v/>
      </c>
      <c r="G763" s="470" t="str">
        <f t="shared" si="46"/>
        <v/>
      </c>
      <c r="H763" s="524" t="str">
        <f t="shared" si="47"/>
        <v>否</v>
      </c>
      <c r="I763" s="312" t="str">
        <f t="shared" si="44"/>
        <v>项</v>
      </c>
    </row>
    <row r="764" s="372" customFormat="1" ht="24" hidden="1" customHeight="1" spans="1:9">
      <c r="A764" s="330">
        <v>2101703</v>
      </c>
      <c r="B764" s="379" t="s">
        <v>214</v>
      </c>
      <c r="C764" s="516"/>
      <c r="D764" s="516">
        <f>'04'!F764</f>
        <v>0</v>
      </c>
      <c r="E764" s="525">
        <v>0</v>
      </c>
      <c r="F764" s="526" t="str">
        <f t="shared" si="45"/>
        <v/>
      </c>
      <c r="G764" s="470" t="str">
        <f t="shared" si="46"/>
        <v/>
      </c>
      <c r="H764" s="524" t="str">
        <f t="shared" si="47"/>
        <v>否</v>
      </c>
      <c r="I764" s="312" t="str">
        <f t="shared" si="44"/>
        <v>项</v>
      </c>
    </row>
    <row r="765" s="506" customFormat="1" ht="24" customHeight="1" spans="1:9">
      <c r="A765" s="528">
        <v>2101704</v>
      </c>
      <c r="B765" s="327" t="s">
        <v>749</v>
      </c>
      <c r="C765" s="516">
        <v>9</v>
      </c>
      <c r="D765" s="516">
        <f>'04'!F765</f>
        <v>0</v>
      </c>
      <c r="E765" s="525">
        <v>0</v>
      </c>
      <c r="F765" s="526">
        <f t="shared" si="45"/>
        <v>-1</v>
      </c>
      <c r="G765" s="470" t="str">
        <f t="shared" si="46"/>
        <v/>
      </c>
      <c r="H765" s="524" t="str">
        <f t="shared" si="47"/>
        <v>是</v>
      </c>
      <c r="I765" s="309" t="str">
        <f t="shared" si="44"/>
        <v>项</v>
      </c>
    </row>
    <row r="766" s="374" customFormat="1" ht="24" hidden="1" customHeight="1" spans="1:9">
      <c r="A766" s="354">
        <v>2101750</v>
      </c>
      <c r="B766" s="327" t="s">
        <v>221</v>
      </c>
      <c r="C766" s="516"/>
      <c r="D766" s="516">
        <f>'04'!F766</f>
        <v>0</v>
      </c>
      <c r="E766" s="525">
        <v>0</v>
      </c>
      <c r="F766" s="526" t="str">
        <f t="shared" si="45"/>
        <v/>
      </c>
      <c r="G766" s="470" t="str">
        <f t="shared" si="46"/>
        <v/>
      </c>
      <c r="H766" s="524" t="str">
        <f t="shared" si="47"/>
        <v>否</v>
      </c>
      <c r="I766" s="313" t="str">
        <f t="shared" si="44"/>
        <v>项</v>
      </c>
    </row>
    <row r="767" s="372" customFormat="1" ht="24" hidden="1" customHeight="1" spans="1:9">
      <c r="A767" s="330">
        <v>2101799</v>
      </c>
      <c r="B767" s="379" t="s">
        <v>750</v>
      </c>
      <c r="C767" s="516"/>
      <c r="D767" s="516">
        <f>'04'!F767</f>
        <v>0</v>
      </c>
      <c r="E767" s="525">
        <v>0</v>
      </c>
      <c r="F767" s="526" t="str">
        <f t="shared" si="45"/>
        <v/>
      </c>
      <c r="G767" s="470" t="str">
        <f t="shared" si="46"/>
        <v/>
      </c>
      <c r="H767" s="524" t="str">
        <f t="shared" si="47"/>
        <v>否</v>
      </c>
      <c r="I767" s="312" t="str">
        <f t="shared" si="44"/>
        <v>项</v>
      </c>
    </row>
    <row r="768" s="372" customFormat="1" ht="24" hidden="1" customHeight="1" spans="1:9">
      <c r="A768" s="330">
        <v>21018</v>
      </c>
      <c r="B768" s="379" t="s">
        <v>751</v>
      </c>
      <c r="C768" s="515">
        <f>SUM(C769:C772)</f>
        <v>0</v>
      </c>
      <c r="D768" s="515">
        <f>SUM(D769:D772)</f>
        <v>0</v>
      </c>
      <c r="E768" s="515">
        <f>SUM(E769:E772)</f>
        <v>0</v>
      </c>
      <c r="F768" s="523" t="str">
        <f t="shared" si="45"/>
        <v/>
      </c>
      <c r="G768" s="467" t="str">
        <f t="shared" si="46"/>
        <v/>
      </c>
      <c r="H768" s="524" t="str">
        <f t="shared" si="47"/>
        <v>否</v>
      </c>
      <c r="I768" s="312" t="str">
        <f t="shared" si="44"/>
        <v>款</v>
      </c>
    </row>
    <row r="769" s="372" customFormat="1" ht="24" hidden="1" customHeight="1" spans="1:9">
      <c r="A769" s="330">
        <v>2101801</v>
      </c>
      <c r="B769" s="379" t="s">
        <v>212</v>
      </c>
      <c r="C769" s="516"/>
      <c r="D769" s="516">
        <f>'04'!F769</f>
        <v>0</v>
      </c>
      <c r="E769" s="525">
        <v>0</v>
      </c>
      <c r="F769" s="526" t="str">
        <f t="shared" si="45"/>
        <v/>
      </c>
      <c r="G769" s="470" t="str">
        <f t="shared" si="46"/>
        <v/>
      </c>
      <c r="H769" s="524" t="str">
        <f t="shared" si="47"/>
        <v>否</v>
      </c>
      <c r="I769" s="312" t="str">
        <f t="shared" si="44"/>
        <v>项</v>
      </c>
    </row>
    <row r="770" s="372" customFormat="1" ht="24" hidden="1" customHeight="1" spans="1:9">
      <c r="A770" s="330">
        <v>2101802</v>
      </c>
      <c r="B770" s="379" t="s">
        <v>213</v>
      </c>
      <c r="C770" s="516"/>
      <c r="D770" s="516">
        <f>'04'!F770</f>
        <v>0</v>
      </c>
      <c r="E770" s="525">
        <v>0</v>
      </c>
      <c r="F770" s="526" t="str">
        <f t="shared" si="45"/>
        <v/>
      </c>
      <c r="G770" s="470" t="str">
        <f t="shared" si="46"/>
        <v/>
      </c>
      <c r="H770" s="524" t="str">
        <f t="shared" si="47"/>
        <v>否</v>
      </c>
      <c r="I770" s="312" t="str">
        <f t="shared" si="44"/>
        <v>项</v>
      </c>
    </row>
    <row r="771" s="372" customFormat="1" ht="24" hidden="1" customHeight="1" spans="1:9">
      <c r="A771" s="330">
        <v>2101803</v>
      </c>
      <c r="B771" s="327" t="s">
        <v>214</v>
      </c>
      <c r="C771" s="516"/>
      <c r="D771" s="516">
        <f>'04'!F771</f>
        <v>0</v>
      </c>
      <c r="E771" s="525">
        <v>0</v>
      </c>
      <c r="F771" s="526" t="str">
        <f t="shared" si="45"/>
        <v/>
      </c>
      <c r="G771" s="470" t="str">
        <f t="shared" si="46"/>
        <v/>
      </c>
      <c r="H771" s="524" t="str">
        <f t="shared" si="47"/>
        <v>否</v>
      </c>
      <c r="I771" s="312" t="str">
        <f t="shared" si="44"/>
        <v>项</v>
      </c>
    </row>
    <row r="772" s="372" customFormat="1" ht="24" hidden="1" customHeight="1" spans="1:9">
      <c r="A772" s="330">
        <v>2101899</v>
      </c>
      <c r="B772" s="327" t="s">
        <v>752</v>
      </c>
      <c r="C772" s="516">
        <v>0</v>
      </c>
      <c r="D772" s="516">
        <f>'04'!F772</f>
        <v>0</v>
      </c>
      <c r="E772" s="525">
        <v>0</v>
      </c>
      <c r="F772" s="526" t="str">
        <f t="shared" si="45"/>
        <v/>
      </c>
      <c r="G772" s="470" t="str">
        <f t="shared" si="46"/>
        <v/>
      </c>
      <c r="H772" s="524" t="str">
        <f t="shared" si="47"/>
        <v>否</v>
      </c>
      <c r="I772" s="312" t="str">
        <f t="shared" si="44"/>
        <v>项</v>
      </c>
    </row>
    <row r="773" s="374" customFormat="1" ht="24" hidden="1" customHeight="1" spans="1:10">
      <c r="A773" s="537">
        <v>21019</v>
      </c>
      <c r="B773" s="350" t="s">
        <v>1756</v>
      </c>
      <c r="C773" s="529">
        <f>SUM(C774:C776)</f>
        <v>0</v>
      </c>
      <c r="D773" s="529">
        <f>SUM(D774:D776)</f>
        <v>0</v>
      </c>
      <c r="E773" s="529">
        <f>SUM(E774:E776)</f>
        <v>0</v>
      </c>
      <c r="F773" s="523" t="str">
        <f t="shared" si="45"/>
        <v/>
      </c>
      <c r="G773" s="467" t="str">
        <f t="shared" si="46"/>
        <v/>
      </c>
      <c r="H773" s="524" t="str">
        <f t="shared" si="47"/>
        <v>否</v>
      </c>
      <c r="I773" s="313" t="str">
        <f t="shared" ref="I773:I775" si="48">IF(LEN(A773)=3,"类",IF(LEN(A773)=5,"款","项"))</f>
        <v>款</v>
      </c>
      <c r="J773" s="539"/>
    </row>
    <row r="774" s="374" customFormat="1" ht="24" hidden="1" customHeight="1" spans="1:10">
      <c r="A774" s="538">
        <v>2101901</v>
      </c>
      <c r="B774" s="350" t="s">
        <v>754</v>
      </c>
      <c r="C774" s="516"/>
      <c r="D774" s="516">
        <f>'04'!F774</f>
        <v>0</v>
      </c>
      <c r="E774" s="525">
        <v>0</v>
      </c>
      <c r="F774" s="526" t="str">
        <f>IFERROR((E774-C774)/C774,"")</f>
        <v/>
      </c>
      <c r="G774" s="470" t="str">
        <f>IFERROR((E774-D774)/D774,"")</f>
        <v/>
      </c>
      <c r="H774" s="524" t="str">
        <f t="shared" ref="H774:H837" si="49">IF(LEN(A774)=3,"是",IF(B774&lt;&gt;"",IF(SUM(C774:E774)&lt;&gt;0,"是","否"),"是"))</f>
        <v>否</v>
      </c>
      <c r="I774" s="313" t="str">
        <f t="shared" si="48"/>
        <v>项</v>
      </c>
      <c r="J774" s="487"/>
    </row>
    <row r="775" s="374" customFormat="1" ht="24" hidden="1" customHeight="1" spans="1:10">
      <c r="A775" s="537">
        <v>2101902</v>
      </c>
      <c r="B775" s="350" t="s">
        <v>1757</v>
      </c>
      <c r="C775" s="516"/>
      <c r="D775" s="516"/>
      <c r="E775" s="525">
        <v>0</v>
      </c>
      <c r="F775" s="526" t="str">
        <f>IFERROR((E775-C775)/C775,"")</f>
        <v/>
      </c>
      <c r="G775" s="470" t="str">
        <f>IFERROR((E775-D775)/D775,"")</f>
        <v/>
      </c>
      <c r="H775" s="524" t="str">
        <f t="shared" si="49"/>
        <v>否</v>
      </c>
      <c r="I775" s="313" t="str">
        <f t="shared" si="48"/>
        <v>项</v>
      </c>
      <c r="J775" s="539"/>
    </row>
    <row r="776" s="374" customFormat="1" ht="24" hidden="1" customHeight="1" spans="1:10">
      <c r="A776" s="537">
        <v>2101999</v>
      </c>
      <c r="B776" s="350" t="s">
        <v>1758</v>
      </c>
      <c r="C776" s="516"/>
      <c r="D776" s="516">
        <f>'04'!F775</f>
        <v>0</v>
      </c>
      <c r="E776" s="525">
        <v>0</v>
      </c>
      <c r="F776" s="526" t="str">
        <f t="shared" ref="F776:F838" si="50">IFERROR((E776-C776)/C776,"")</f>
        <v/>
      </c>
      <c r="G776" s="470" t="str">
        <f t="shared" ref="G776:G838" si="51">IFERROR((E776-D776)/D776,"")</f>
        <v/>
      </c>
      <c r="H776" s="524" t="str">
        <f t="shared" si="49"/>
        <v>否</v>
      </c>
      <c r="I776" s="313" t="str">
        <f t="shared" ref="I776:I837" si="52">IF(LEN(A776)=3,"类",IF(LEN(A776)=5,"款","项"))</f>
        <v>项</v>
      </c>
      <c r="J776" s="539"/>
    </row>
    <row r="777" s="374" customFormat="1" ht="24" customHeight="1" spans="1:9">
      <c r="A777" s="331">
        <v>21099</v>
      </c>
      <c r="B777" s="327" t="s">
        <v>756</v>
      </c>
      <c r="C777" s="515">
        <f>C778</f>
        <v>353</v>
      </c>
      <c r="D777" s="515">
        <f>D778</f>
        <v>290</v>
      </c>
      <c r="E777" s="515">
        <f>E778</f>
        <v>452</v>
      </c>
      <c r="F777" s="523">
        <f t="shared" si="50"/>
        <v>0.280453257790368</v>
      </c>
      <c r="G777" s="467">
        <f t="shared" si="51"/>
        <v>0.558620689655172</v>
      </c>
      <c r="H777" s="524" t="str">
        <f t="shared" si="49"/>
        <v>是</v>
      </c>
      <c r="I777" s="313" t="str">
        <f t="shared" si="52"/>
        <v>款</v>
      </c>
    </row>
    <row r="778" ht="24" customHeight="1" spans="1:9">
      <c r="A778" s="326">
        <v>2109999</v>
      </c>
      <c r="B778" s="327" t="s">
        <v>757</v>
      </c>
      <c r="C778" s="516">
        <v>353</v>
      </c>
      <c r="D778" s="516">
        <f>'04'!F777</f>
        <v>290</v>
      </c>
      <c r="E778" s="525">
        <v>452</v>
      </c>
      <c r="F778" s="526">
        <f t="shared" si="50"/>
        <v>0.280453257790368</v>
      </c>
      <c r="G778" s="470">
        <f t="shared" si="51"/>
        <v>0.558620689655172</v>
      </c>
      <c r="H778" s="524" t="str">
        <f t="shared" si="49"/>
        <v>是</v>
      </c>
      <c r="I778" s="312" t="str">
        <f t="shared" si="52"/>
        <v>项</v>
      </c>
    </row>
    <row r="779" s="372" customFormat="1" ht="24" customHeight="1" spans="1:9">
      <c r="A779" s="329">
        <v>211</v>
      </c>
      <c r="B779" s="377" t="s">
        <v>184</v>
      </c>
      <c r="C779" s="515">
        <f>C780+C790+C794+C803+C810+C817+C820+C823+C825+C827+C833+C836+C838+C849</f>
        <v>60711</v>
      </c>
      <c r="D779" s="515">
        <f>D780+D790+D794+D803+D810+D817+D820+D823+D825+D827+D833+D836+D838+D849</f>
        <v>63120</v>
      </c>
      <c r="E779" s="515">
        <f>E780+E790+E794+E803+E810+E817+E820+E823+E825+E827+E833+E836+E838+E849</f>
        <v>67794</v>
      </c>
      <c r="F779" s="523">
        <f t="shared" si="50"/>
        <v>0.116667490240648</v>
      </c>
      <c r="G779" s="467">
        <f t="shared" si="51"/>
        <v>0.0740494296577947</v>
      </c>
      <c r="H779" s="524" t="str">
        <f t="shared" si="49"/>
        <v>是</v>
      </c>
      <c r="I779" s="312" t="str">
        <f t="shared" si="52"/>
        <v>类</v>
      </c>
    </row>
    <row r="780" s="372" customFormat="1" ht="24" customHeight="1" spans="1:9">
      <c r="A780" s="330">
        <v>21101</v>
      </c>
      <c r="B780" s="379" t="s">
        <v>758</v>
      </c>
      <c r="C780" s="515">
        <f>SUM(C781:C789)</f>
        <v>4493</v>
      </c>
      <c r="D780" s="515">
        <f>SUM(D781:D789)</f>
        <v>4887</v>
      </c>
      <c r="E780" s="515">
        <f>SUM(E781:E789)</f>
        <v>4816</v>
      </c>
      <c r="F780" s="523">
        <f t="shared" si="50"/>
        <v>0.0718896060538616</v>
      </c>
      <c r="G780" s="467">
        <f t="shared" si="51"/>
        <v>-0.0145283404951913</v>
      </c>
      <c r="H780" s="524" t="str">
        <f t="shared" si="49"/>
        <v>是</v>
      </c>
      <c r="I780" s="312" t="str">
        <f t="shared" si="52"/>
        <v>款</v>
      </c>
    </row>
    <row r="781" s="372" customFormat="1" ht="24" customHeight="1" spans="1:9">
      <c r="A781" s="330">
        <v>2110101</v>
      </c>
      <c r="B781" s="379" t="s">
        <v>212</v>
      </c>
      <c r="C781" s="516">
        <v>2205</v>
      </c>
      <c r="D781" s="516">
        <f>'04'!F780</f>
        <v>2250</v>
      </c>
      <c r="E781" s="525">
        <v>2295</v>
      </c>
      <c r="F781" s="526">
        <f t="shared" si="50"/>
        <v>0.0408163265306122</v>
      </c>
      <c r="G781" s="470">
        <f t="shared" si="51"/>
        <v>0.02</v>
      </c>
      <c r="H781" s="524" t="str">
        <f t="shared" si="49"/>
        <v>是</v>
      </c>
      <c r="I781" s="312" t="str">
        <f t="shared" si="52"/>
        <v>项</v>
      </c>
    </row>
    <row r="782" ht="24" customHeight="1" spans="1:9">
      <c r="A782" s="330">
        <v>2110102</v>
      </c>
      <c r="B782" s="379" t="s">
        <v>213</v>
      </c>
      <c r="C782" s="516">
        <v>78</v>
      </c>
      <c r="D782" s="516">
        <f>'04'!F781</f>
        <v>96</v>
      </c>
      <c r="E782" s="525">
        <v>85</v>
      </c>
      <c r="F782" s="526">
        <f t="shared" si="50"/>
        <v>0.0897435897435897</v>
      </c>
      <c r="G782" s="470">
        <f t="shared" si="51"/>
        <v>-0.114583333333333</v>
      </c>
      <c r="H782" s="524" t="str">
        <f t="shared" si="49"/>
        <v>是</v>
      </c>
      <c r="I782" s="312" t="str">
        <f t="shared" si="52"/>
        <v>项</v>
      </c>
    </row>
    <row r="783" s="372" customFormat="1" ht="24" hidden="1" customHeight="1" spans="1:9">
      <c r="A783" s="330">
        <v>2110103</v>
      </c>
      <c r="B783" s="379" t="s">
        <v>214</v>
      </c>
      <c r="C783" s="516">
        <v>0</v>
      </c>
      <c r="D783" s="516">
        <f>'04'!F782</f>
        <v>0</v>
      </c>
      <c r="E783" s="525">
        <v>0</v>
      </c>
      <c r="F783" s="526" t="str">
        <f t="shared" si="50"/>
        <v/>
      </c>
      <c r="G783" s="470" t="str">
        <f t="shared" si="51"/>
        <v/>
      </c>
      <c r="H783" s="524" t="str">
        <f t="shared" si="49"/>
        <v>否</v>
      </c>
      <c r="I783" s="312" t="str">
        <f t="shared" si="52"/>
        <v>项</v>
      </c>
    </row>
    <row r="784" s="372" customFormat="1" ht="24" hidden="1" customHeight="1" spans="1:9">
      <c r="A784" s="330">
        <v>2110104</v>
      </c>
      <c r="B784" s="379" t="s">
        <v>759</v>
      </c>
      <c r="C784" s="516">
        <v>0</v>
      </c>
      <c r="D784" s="516">
        <f>'04'!F783</f>
        <v>0</v>
      </c>
      <c r="E784" s="525">
        <v>0</v>
      </c>
      <c r="F784" s="526" t="str">
        <f t="shared" si="50"/>
        <v/>
      </c>
      <c r="G784" s="470" t="str">
        <f t="shared" si="51"/>
        <v/>
      </c>
      <c r="H784" s="524" t="str">
        <f t="shared" si="49"/>
        <v>否</v>
      </c>
      <c r="I784" s="312" t="str">
        <f t="shared" si="52"/>
        <v>项</v>
      </c>
    </row>
    <row r="785" ht="24" hidden="1" customHeight="1" spans="1:9">
      <c r="A785" s="330">
        <v>2110105</v>
      </c>
      <c r="B785" s="379" t="s">
        <v>760</v>
      </c>
      <c r="C785" s="516">
        <v>0</v>
      </c>
      <c r="D785" s="516">
        <f>'04'!F784</f>
        <v>0</v>
      </c>
      <c r="E785" s="525">
        <v>0</v>
      </c>
      <c r="F785" s="526" t="str">
        <f t="shared" si="50"/>
        <v/>
      </c>
      <c r="G785" s="470" t="str">
        <f t="shared" si="51"/>
        <v/>
      </c>
      <c r="H785" s="524" t="str">
        <f t="shared" si="49"/>
        <v>否</v>
      </c>
      <c r="I785" s="312" t="str">
        <f t="shared" si="52"/>
        <v>项</v>
      </c>
    </row>
    <row r="786" s="372" customFormat="1" ht="24" hidden="1" customHeight="1" spans="1:9">
      <c r="A786" s="330">
        <v>2110106</v>
      </c>
      <c r="B786" s="379" t="s">
        <v>761</v>
      </c>
      <c r="C786" s="516">
        <v>0</v>
      </c>
      <c r="D786" s="516">
        <f>'04'!F785</f>
        <v>0</v>
      </c>
      <c r="E786" s="525">
        <v>0</v>
      </c>
      <c r="F786" s="526" t="str">
        <f t="shared" si="50"/>
        <v/>
      </c>
      <c r="G786" s="470" t="str">
        <f t="shared" si="51"/>
        <v/>
      </c>
      <c r="H786" s="524" t="str">
        <f t="shared" si="49"/>
        <v>否</v>
      </c>
      <c r="I786" s="312" t="str">
        <f t="shared" si="52"/>
        <v>项</v>
      </c>
    </row>
    <row r="787" s="372" customFormat="1" ht="24" customHeight="1" spans="1:9">
      <c r="A787" s="330">
        <v>2110107</v>
      </c>
      <c r="B787" s="379" t="s">
        <v>762</v>
      </c>
      <c r="C787" s="516">
        <v>0</v>
      </c>
      <c r="D787" s="516">
        <f>'04'!F786</f>
        <v>39</v>
      </c>
      <c r="E787" s="525">
        <v>41</v>
      </c>
      <c r="F787" s="526" t="str">
        <f t="shared" si="50"/>
        <v/>
      </c>
      <c r="G787" s="470">
        <f t="shared" si="51"/>
        <v>0.0512820512820513</v>
      </c>
      <c r="H787" s="524" t="str">
        <f t="shared" si="49"/>
        <v>是</v>
      </c>
      <c r="I787" s="312" t="str">
        <f t="shared" si="52"/>
        <v>项</v>
      </c>
    </row>
    <row r="788" s="372" customFormat="1" ht="24" hidden="1" customHeight="1" spans="1:9">
      <c r="A788" s="330">
        <v>2110108</v>
      </c>
      <c r="B788" s="379" t="s">
        <v>763</v>
      </c>
      <c r="C788" s="516">
        <v>0</v>
      </c>
      <c r="D788" s="516">
        <f>'04'!F787</f>
        <v>0</v>
      </c>
      <c r="E788" s="525">
        <v>0</v>
      </c>
      <c r="F788" s="526" t="str">
        <f t="shared" si="50"/>
        <v/>
      </c>
      <c r="G788" s="470" t="str">
        <f t="shared" si="51"/>
        <v/>
      </c>
      <c r="H788" s="524" t="str">
        <f t="shared" si="49"/>
        <v>否</v>
      </c>
      <c r="I788" s="312" t="str">
        <f t="shared" si="52"/>
        <v>项</v>
      </c>
    </row>
    <row r="789" s="372" customFormat="1" ht="24" customHeight="1" spans="1:9">
      <c r="A789" s="330">
        <v>2110199</v>
      </c>
      <c r="B789" s="379" t="s">
        <v>764</v>
      </c>
      <c r="C789" s="516">
        <v>2210</v>
      </c>
      <c r="D789" s="516">
        <f>'04'!F788</f>
        <v>2502</v>
      </c>
      <c r="E789" s="525">
        <v>2395</v>
      </c>
      <c r="F789" s="526">
        <f t="shared" si="50"/>
        <v>0.083710407239819</v>
      </c>
      <c r="G789" s="470">
        <f t="shared" si="51"/>
        <v>-0.0427657873701039</v>
      </c>
      <c r="H789" s="524" t="str">
        <f t="shared" si="49"/>
        <v>是</v>
      </c>
      <c r="I789" s="312" t="str">
        <f t="shared" si="52"/>
        <v>项</v>
      </c>
    </row>
    <row r="790" s="372" customFormat="1" ht="24" customHeight="1" spans="1:9">
      <c r="A790" s="330">
        <v>21102</v>
      </c>
      <c r="B790" s="379" t="s">
        <v>765</v>
      </c>
      <c r="C790" s="515">
        <f>SUM(C791:C793)</f>
        <v>223</v>
      </c>
      <c r="D790" s="515">
        <f>SUM(D791:D793)</f>
        <v>338</v>
      </c>
      <c r="E790" s="515">
        <f>SUM(E791:E793)</f>
        <v>336</v>
      </c>
      <c r="F790" s="523">
        <f t="shared" si="50"/>
        <v>0.506726457399103</v>
      </c>
      <c r="G790" s="467">
        <f t="shared" si="51"/>
        <v>-0.00591715976331361</v>
      </c>
      <c r="H790" s="524" t="str">
        <f t="shared" si="49"/>
        <v>是</v>
      </c>
      <c r="I790" s="312" t="str">
        <f t="shared" si="52"/>
        <v>款</v>
      </c>
    </row>
    <row r="791" s="372" customFormat="1" ht="24" hidden="1" customHeight="1" spans="1:9">
      <c r="A791" s="330">
        <v>2110203</v>
      </c>
      <c r="B791" s="379" t="s">
        <v>766</v>
      </c>
      <c r="C791" s="516"/>
      <c r="D791" s="516">
        <f>'04'!F790</f>
        <v>0</v>
      </c>
      <c r="E791" s="525">
        <v>0</v>
      </c>
      <c r="F791" s="526" t="str">
        <f t="shared" si="50"/>
        <v/>
      </c>
      <c r="G791" s="470" t="str">
        <f t="shared" si="51"/>
        <v/>
      </c>
      <c r="H791" s="524" t="str">
        <f t="shared" si="49"/>
        <v>否</v>
      </c>
      <c r="I791" s="312" t="str">
        <f t="shared" si="52"/>
        <v>项</v>
      </c>
    </row>
    <row r="792" s="372" customFormat="1" ht="24" hidden="1" customHeight="1" spans="1:9">
      <c r="A792" s="330">
        <v>2110204</v>
      </c>
      <c r="B792" s="379" t="s">
        <v>767</v>
      </c>
      <c r="C792" s="516"/>
      <c r="D792" s="516">
        <f>'04'!F791</f>
        <v>0</v>
      </c>
      <c r="E792" s="525">
        <v>0</v>
      </c>
      <c r="F792" s="526" t="str">
        <f t="shared" si="50"/>
        <v/>
      </c>
      <c r="G792" s="470" t="str">
        <f t="shared" si="51"/>
        <v/>
      </c>
      <c r="H792" s="524" t="str">
        <f t="shared" si="49"/>
        <v>否</v>
      </c>
      <c r="I792" s="312" t="str">
        <f t="shared" si="52"/>
        <v>项</v>
      </c>
    </row>
    <row r="793" s="372" customFormat="1" ht="24" customHeight="1" spans="1:9">
      <c r="A793" s="330">
        <v>2110299</v>
      </c>
      <c r="B793" s="379" t="s">
        <v>768</v>
      </c>
      <c r="C793" s="516">
        <v>223</v>
      </c>
      <c r="D793" s="516">
        <f>'04'!F792</f>
        <v>338</v>
      </c>
      <c r="E793" s="525">
        <v>336</v>
      </c>
      <c r="F793" s="526">
        <f t="shared" si="50"/>
        <v>0.506726457399103</v>
      </c>
      <c r="G793" s="470">
        <f t="shared" si="51"/>
        <v>-0.00591715976331361</v>
      </c>
      <c r="H793" s="524" t="str">
        <f t="shared" si="49"/>
        <v>是</v>
      </c>
      <c r="I793" s="312" t="str">
        <f t="shared" si="52"/>
        <v>项</v>
      </c>
    </row>
    <row r="794" ht="24" customHeight="1" spans="1:9">
      <c r="A794" s="330">
        <v>21103</v>
      </c>
      <c r="B794" s="379" t="s">
        <v>769</v>
      </c>
      <c r="C794" s="515">
        <f>SUM(C795:C802)</f>
        <v>9776</v>
      </c>
      <c r="D794" s="515">
        <f>SUM(D795:D802)</f>
        <v>14167</v>
      </c>
      <c r="E794" s="515">
        <f>SUM(E795:E802)</f>
        <v>15893</v>
      </c>
      <c r="F794" s="523">
        <f t="shared" si="50"/>
        <v>0.625716039279869</v>
      </c>
      <c r="G794" s="467">
        <f t="shared" si="51"/>
        <v>0.121832427472295</v>
      </c>
      <c r="H794" s="524" t="str">
        <f t="shared" si="49"/>
        <v>是</v>
      </c>
      <c r="I794" s="312" t="str">
        <f t="shared" si="52"/>
        <v>款</v>
      </c>
    </row>
    <row r="795" s="372" customFormat="1" ht="24" customHeight="1" spans="1:9">
      <c r="A795" s="330">
        <v>2110301</v>
      </c>
      <c r="B795" s="379" t="s">
        <v>770</v>
      </c>
      <c r="C795" s="516">
        <v>100</v>
      </c>
      <c r="D795" s="516">
        <f>'04'!F794</f>
        <v>540</v>
      </c>
      <c r="E795" s="525">
        <v>515</v>
      </c>
      <c r="F795" s="526">
        <f t="shared" si="50"/>
        <v>4.15</v>
      </c>
      <c r="G795" s="470">
        <f t="shared" si="51"/>
        <v>-0.0462962962962963</v>
      </c>
      <c r="H795" s="524" t="str">
        <f t="shared" si="49"/>
        <v>是</v>
      </c>
      <c r="I795" s="312" t="str">
        <f t="shared" si="52"/>
        <v>项</v>
      </c>
    </row>
    <row r="796" ht="24" customHeight="1" spans="1:9">
      <c r="A796" s="330">
        <v>2110302</v>
      </c>
      <c r="B796" s="379" t="s">
        <v>771</v>
      </c>
      <c r="C796" s="516">
        <v>8956</v>
      </c>
      <c r="D796" s="516">
        <f>'04'!F795</f>
        <v>13150</v>
      </c>
      <c r="E796" s="525">
        <v>14958</v>
      </c>
      <c r="F796" s="526">
        <f t="shared" si="50"/>
        <v>0.670165252344797</v>
      </c>
      <c r="G796" s="470">
        <f t="shared" si="51"/>
        <v>0.137490494296578</v>
      </c>
      <c r="H796" s="524" t="str">
        <f t="shared" si="49"/>
        <v>是</v>
      </c>
      <c r="I796" s="312" t="str">
        <f t="shared" si="52"/>
        <v>项</v>
      </c>
    </row>
    <row r="797" s="372" customFormat="1" ht="24" hidden="1" customHeight="1" spans="1:9">
      <c r="A797" s="330">
        <v>2110303</v>
      </c>
      <c r="B797" s="379" t="s">
        <v>772</v>
      </c>
      <c r="C797" s="516">
        <v>0</v>
      </c>
      <c r="D797" s="516">
        <f>'04'!F796</f>
        <v>0</v>
      </c>
      <c r="E797" s="525">
        <v>0</v>
      </c>
      <c r="F797" s="526" t="str">
        <f t="shared" si="50"/>
        <v/>
      </c>
      <c r="G797" s="470" t="str">
        <f t="shared" si="51"/>
        <v/>
      </c>
      <c r="H797" s="524" t="str">
        <f t="shared" si="49"/>
        <v>否</v>
      </c>
      <c r="I797" s="312" t="str">
        <f t="shared" si="52"/>
        <v>项</v>
      </c>
    </row>
    <row r="798" ht="24" customHeight="1" spans="1:9">
      <c r="A798" s="330">
        <v>2110304</v>
      </c>
      <c r="B798" s="379" t="s">
        <v>773</v>
      </c>
      <c r="C798" s="516">
        <v>210</v>
      </c>
      <c r="D798" s="516">
        <f>'04'!F797</f>
        <v>0</v>
      </c>
      <c r="E798" s="525">
        <v>0</v>
      </c>
      <c r="F798" s="526">
        <f t="shared" si="50"/>
        <v>-1</v>
      </c>
      <c r="G798" s="470" t="str">
        <f t="shared" si="51"/>
        <v/>
      </c>
      <c r="H798" s="524" t="str">
        <f t="shared" si="49"/>
        <v>是</v>
      </c>
      <c r="I798" s="312" t="str">
        <f t="shared" si="52"/>
        <v>项</v>
      </c>
    </row>
    <row r="799" ht="24" hidden="1" customHeight="1" spans="1:9">
      <c r="A799" s="330">
        <v>2110305</v>
      </c>
      <c r="B799" s="379" t="s">
        <v>774</v>
      </c>
      <c r="C799" s="516">
        <v>0</v>
      </c>
      <c r="D799" s="516">
        <f>'04'!F798</f>
        <v>0</v>
      </c>
      <c r="E799" s="525">
        <v>0</v>
      </c>
      <c r="F799" s="526" t="str">
        <f t="shared" si="50"/>
        <v/>
      </c>
      <c r="G799" s="470" t="str">
        <f t="shared" si="51"/>
        <v/>
      </c>
      <c r="H799" s="524" t="str">
        <f t="shared" si="49"/>
        <v>否</v>
      </c>
      <c r="I799" s="312" t="str">
        <f t="shared" si="52"/>
        <v>项</v>
      </c>
    </row>
    <row r="800" s="372" customFormat="1" ht="24" hidden="1" customHeight="1" spans="1:9">
      <c r="A800" s="330">
        <v>2110306</v>
      </c>
      <c r="B800" s="379" t="s">
        <v>775</v>
      </c>
      <c r="C800" s="516">
        <v>0</v>
      </c>
      <c r="D800" s="516">
        <f>'04'!F799</f>
        <v>0</v>
      </c>
      <c r="E800" s="525">
        <v>0</v>
      </c>
      <c r="F800" s="526" t="str">
        <f t="shared" si="50"/>
        <v/>
      </c>
      <c r="G800" s="470" t="str">
        <f t="shared" si="51"/>
        <v/>
      </c>
      <c r="H800" s="524" t="str">
        <f t="shared" si="49"/>
        <v>否</v>
      </c>
      <c r="I800" s="312" t="str">
        <f t="shared" si="52"/>
        <v>项</v>
      </c>
    </row>
    <row r="801" s="372" customFormat="1" ht="24" customHeight="1" spans="1:9">
      <c r="A801" s="356">
        <v>2110307</v>
      </c>
      <c r="B801" s="379" t="s">
        <v>776</v>
      </c>
      <c r="C801" s="516">
        <v>415</v>
      </c>
      <c r="D801" s="516">
        <f>'04'!F800</f>
        <v>380</v>
      </c>
      <c r="E801" s="525">
        <v>420</v>
      </c>
      <c r="F801" s="526">
        <f t="shared" si="50"/>
        <v>0.0120481927710843</v>
      </c>
      <c r="G801" s="470">
        <f t="shared" si="51"/>
        <v>0.105263157894737</v>
      </c>
      <c r="H801" s="524" t="str">
        <f t="shared" si="49"/>
        <v>是</v>
      </c>
      <c r="I801" s="312" t="str">
        <f t="shared" si="52"/>
        <v>项</v>
      </c>
    </row>
    <row r="802" s="372" customFormat="1" ht="24" customHeight="1" spans="1:9">
      <c r="A802" s="330">
        <v>2110399</v>
      </c>
      <c r="B802" s="379" t="s">
        <v>777</v>
      </c>
      <c r="C802" s="516">
        <v>95</v>
      </c>
      <c r="D802" s="516">
        <f>'04'!F801</f>
        <v>97</v>
      </c>
      <c r="E802" s="525">
        <v>0</v>
      </c>
      <c r="F802" s="526">
        <f t="shared" si="50"/>
        <v>-1</v>
      </c>
      <c r="G802" s="470">
        <f t="shared" si="51"/>
        <v>-1</v>
      </c>
      <c r="H802" s="524" t="str">
        <f t="shared" si="49"/>
        <v>是</v>
      </c>
      <c r="I802" s="312" t="str">
        <f t="shared" si="52"/>
        <v>项</v>
      </c>
    </row>
    <row r="803" s="372" customFormat="1" ht="24" customHeight="1" spans="1:9">
      <c r="A803" s="330">
        <v>21104</v>
      </c>
      <c r="B803" s="379" t="s">
        <v>778</v>
      </c>
      <c r="C803" s="515">
        <f>SUM(C804:C809)</f>
        <v>45056</v>
      </c>
      <c r="D803" s="515">
        <f>SUM(D804:D809)</f>
        <v>42938</v>
      </c>
      <c r="E803" s="515">
        <f>SUM(E804:E809)</f>
        <v>46003</v>
      </c>
      <c r="F803" s="523">
        <f t="shared" si="50"/>
        <v>0.0210182883522727</v>
      </c>
      <c r="G803" s="467">
        <f t="shared" si="51"/>
        <v>0.0713819926405515</v>
      </c>
      <c r="H803" s="524" t="str">
        <f t="shared" si="49"/>
        <v>是</v>
      </c>
      <c r="I803" s="312" t="str">
        <f t="shared" si="52"/>
        <v>款</v>
      </c>
    </row>
    <row r="804" s="372" customFormat="1" ht="24" customHeight="1" spans="1:9">
      <c r="A804" s="330">
        <v>2110401</v>
      </c>
      <c r="B804" s="379" t="s">
        <v>779</v>
      </c>
      <c r="C804" s="516">
        <v>39856</v>
      </c>
      <c r="D804" s="516">
        <f>'04'!F803</f>
        <v>40270</v>
      </c>
      <c r="E804" s="525">
        <v>43427</v>
      </c>
      <c r="F804" s="526">
        <f t="shared" si="50"/>
        <v>0.0895975511842634</v>
      </c>
      <c r="G804" s="470">
        <f t="shared" si="51"/>
        <v>0.0783958281599205</v>
      </c>
      <c r="H804" s="524" t="str">
        <f t="shared" si="49"/>
        <v>是</v>
      </c>
      <c r="I804" s="312" t="str">
        <f t="shared" si="52"/>
        <v>项</v>
      </c>
    </row>
    <row r="805" s="372" customFormat="1" ht="24" customHeight="1" spans="1:9">
      <c r="A805" s="330">
        <v>2110402</v>
      </c>
      <c r="B805" s="379" t="s">
        <v>780</v>
      </c>
      <c r="C805" s="516">
        <v>11</v>
      </c>
      <c r="D805" s="516">
        <f>'04'!F804</f>
        <v>0</v>
      </c>
      <c r="E805" s="525" t="s">
        <v>3</v>
      </c>
      <c r="F805" s="526" t="str">
        <f t="shared" si="50"/>
        <v/>
      </c>
      <c r="G805" s="470" t="str">
        <f t="shared" si="51"/>
        <v/>
      </c>
      <c r="H805" s="524" t="str">
        <f t="shared" si="49"/>
        <v>是</v>
      </c>
      <c r="I805" s="312" t="str">
        <f t="shared" si="52"/>
        <v>项</v>
      </c>
    </row>
    <row r="806" s="372" customFormat="1" ht="24" customHeight="1" spans="1:9">
      <c r="A806" s="330">
        <v>2110404</v>
      </c>
      <c r="B806" s="379" t="s">
        <v>781</v>
      </c>
      <c r="C806" s="516">
        <v>4212</v>
      </c>
      <c r="D806" s="516">
        <f>'04'!F805</f>
        <v>697</v>
      </c>
      <c r="E806" s="525">
        <v>712</v>
      </c>
      <c r="F806" s="526">
        <f t="shared" si="50"/>
        <v>-0.830959164292498</v>
      </c>
      <c r="G806" s="470">
        <f t="shared" si="51"/>
        <v>0.0215208034433286</v>
      </c>
      <c r="H806" s="524" t="str">
        <f t="shared" si="49"/>
        <v>是</v>
      </c>
      <c r="I806" s="312" t="str">
        <f t="shared" si="52"/>
        <v>项</v>
      </c>
    </row>
    <row r="807" s="372" customFormat="1" ht="24" hidden="1" customHeight="1" spans="1:9">
      <c r="A807" s="330">
        <v>2110405</v>
      </c>
      <c r="B807" s="405" t="s">
        <v>782</v>
      </c>
      <c r="C807" s="516">
        <v>0</v>
      </c>
      <c r="D807" s="516">
        <f>'04'!F806</f>
        <v>0</v>
      </c>
      <c r="E807" s="525">
        <v>0</v>
      </c>
      <c r="F807" s="526" t="str">
        <f t="shared" si="50"/>
        <v/>
      </c>
      <c r="G807" s="470" t="str">
        <f t="shared" si="51"/>
        <v/>
      </c>
      <c r="H807" s="524" t="str">
        <f t="shared" si="49"/>
        <v>否</v>
      </c>
      <c r="I807" s="312" t="str">
        <f t="shared" si="52"/>
        <v>项</v>
      </c>
    </row>
    <row r="808" s="372" customFormat="1" ht="24" customHeight="1" spans="1:9">
      <c r="A808" s="330">
        <v>2110406</v>
      </c>
      <c r="B808" s="405" t="s">
        <v>783</v>
      </c>
      <c r="C808" s="516">
        <v>52</v>
      </c>
      <c r="D808" s="516">
        <f>'04'!F807</f>
        <v>52</v>
      </c>
      <c r="E808" s="525">
        <v>36</v>
      </c>
      <c r="F808" s="526">
        <f t="shared" si="50"/>
        <v>-0.307692307692308</v>
      </c>
      <c r="G808" s="470">
        <f t="shared" si="51"/>
        <v>-0.307692307692308</v>
      </c>
      <c r="H808" s="524" t="str">
        <f t="shared" si="49"/>
        <v>是</v>
      </c>
      <c r="I808" s="312" t="str">
        <f t="shared" si="52"/>
        <v>项</v>
      </c>
    </row>
    <row r="809" ht="24" customHeight="1" spans="1:9">
      <c r="A809" s="330">
        <v>2110499</v>
      </c>
      <c r="B809" s="379" t="s">
        <v>784</v>
      </c>
      <c r="C809" s="516">
        <v>925</v>
      </c>
      <c r="D809" s="516">
        <f>'04'!F808</f>
        <v>1919</v>
      </c>
      <c r="E809" s="525">
        <v>1828</v>
      </c>
      <c r="F809" s="526">
        <f t="shared" si="50"/>
        <v>0.976216216216216</v>
      </c>
      <c r="G809" s="470">
        <f t="shared" si="51"/>
        <v>-0.0474205315268369</v>
      </c>
      <c r="H809" s="524" t="str">
        <f t="shared" si="49"/>
        <v>是</v>
      </c>
      <c r="I809" s="312" t="str">
        <f t="shared" si="52"/>
        <v>项</v>
      </c>
    </row>
    <row r="810" s="372" customFormat="1" ht="24" customHeight="1" spans="1:9">
      <c r="A810" s="330">
        <v>21105</v>
      </c>
      <c r="B810" s="379" t="s">
        <v>785</v>
      </c>
      <c r="C810" s="515">
        <f>SUM(C811:C816)</f>
        <v>445</v>
      </c>
      <c r="D810" s="515">
        <f>SUM(D811:D816)</f>
        <v>513</v>
      </c>
      <c r="E810" s="515">
        <f>SUM(E811:E816)</f>
        <v>494</v>
      </c>
      <c r="F810" s="523">
        <f t="shared" si="50"/>
        <v>0.110112359550562</v>
      </c>
      <c r="G810" s="467">
        <f t="shared" si="51"/>
        <v>-0.037037037037037</v>
      </c>
      <c r="H810" s="524" t="str">
        <f t="shared" si="49"/>
        <v>是</v>
      </c>
      <c r="I810" s="312" t="str">
        <f t="shared" si="52"/>
        <v>款</v>
      </c>
    </row>
    <row r="811" s="372" customFormat="1" ht="24" customHeight="1" spans="1:9">
      <c r="A811" s="330">
        <v>2110501</v>
      </c>
      <c r="B811" s="379" t="s">
        <v>786</v>
      </c>
      <c r="C811" s="516">
        <v>80</v>
      </c>
      <c r="D811" s="516">
        <f>'04'!F810</f>
        <v>64</v>
      </c>
      <c r="E811" s="525">
        <v>69</v>
      </c>
      <c r="F811" s="526">
        <f t="shared" si="50"/>
        <v>-0.1375</v>
      </c>
      <c r="G811" s="470">
        <f t="shared" si="51"/>
        <v>0.078125</v>
      </c>
      <c r="H811" s="524" t="str">
        <f t="shared" si="49"/>
        <v>是</v>
      </c>
      <c r="I811" s="312" t="str">
        <f t="shared" si="52"/>
        <v>项</v>
      </c>
    </row>
    <row r="812" s="372" customFormat="1" ht="24" hidden="1" customHeight="1" spans="1:9">
      <c r="A812" s="330">
        <v>2110502</v>
      </c>
      <c r="B812" s="379" t="s">
        <v>787</v>
      </c>
      <c r="C812" s="516">
        <v>0</v>
      </c>
      <c r="D812" s="516">
        <f>'04'!F811</f>
        <v>0</v>
      </c>
      <c r="E812" s="525">
        <v>0</v>
      </c>
      <c r="F812" s="526" t="str">
        <f t="shared" si="50"/>
        <v/>
      </c>
      <c r="G812" s="470" t="str">
        <f t="shared" si="51"/>
        <v/>
      </c>
      <c r="H812" s="524" t="str">
        <f t="shared" si="49"/>
        <v>否</v>
      </c>
      <c r="I812" s="312" t="str">
        <f t="shared" si="52"/>
        <v>项</v>
      </c>
    </row>
    <row r="813" ht="24" hidden="1" customHeight="1" spans="1:9">
      <c r="A813" s="330">
        <v>2110503</v>
      </c>
      <c r="B813" s="379" t="s">
        <v>788</v>
      </c>
      <c r="C813" s="516">
        <v>0</v>
      </c>
      <c r="D813" s="516">
        <f>'04'!F812</f>
        <v>0</v>
      </c>
      <c r="E813" s="525">
        <v>0</v>
      </c>
      <c r="F813" s="526" t="str">
        <f t="shared" si="50"/>
        <v/>
      </c>
      <c r="G813" s="470" t="str">
        <f t="shared" si="51"/>
        <v/>
      </c>
      <c r="H813" s="524" t="str">
        <f t="shared" si="49"/>
        <v>否</v>
      </c>
      <c r="I813" s="312" t="str">
        <f t="shared" si="52"/>
        <v>项</v>
      </c>
    </row>
    <row r="814" s="372" customFormat="1" ht="24" hidden="1" customHeight="1" spans="1:9">
      <c r="A814" s="330">
        <v>2110506</v>
      </c>
      <c r="B814" s="379" t="s">
        <v>789</v>
      </c>
      <c r="C814" s="516">
        <v>0</v>
      </c>
      <c r="D814" s="516">
        <f>'04'!F813</f>
        <v>0</v>
      </c>
      <c r="E814" s="525">
        <v>0</v>
      </c>
      <c r="F814" s="526" t="str">
        <f t="shared" si="50"/>
        <v/>
      </c>
      <c r="G814" s="470" t="str">
        <f t="shared" si="51"/>
        <v/>
      </c>
      <c r="H814" s="524" t="str">
        <f t="shared" si="49"/>
        <v>否</v>
      </c>
      <c r="I814" s="312" t="str">
        <f t="shared" si="52"/>
        <v>项</v>
      </c>
    </row>
    <row r="815" s="372" customFormat="1" ht="24" hidden="1" customHeight="1" spans="1:9">
      <c r="A815" s="330">
        <v>2110507</v>
      </c>
      <c r="B815" s="379" t="s">
        <v>790</v>
      </c>
      <c r="C815" s="516">
        <v>0</v>
      </c>
      <c r="D815" s="516">
        <f>'04'!F814</f>
        <v>0</v>
      </c>
      <c r="E815" s="525">
        <v>0</v>
      </c>
      <c r="F815" s="526" t="str">
        <f t="shared" si="50"/>
        <v/>
      </c>
      <c r="G815" s="470" t="str">
        <f t="shared" si="51"/>
        <v/>
      </c>
      <c r="H815" s="524" t="str">
        <f t="shared" si="49"/>
        <v>否</v>
      </c>
      <c r="I815" s="312" t="str">
        <f t="shared" si="52"/>
        <v>项</v>
      </c>
    </row>
    <row r="816" s="372" customFormat="1" ht="24" customHeight="1" spans="1:9">
      <c r="A816" s="330">
        <v>2110599</v>
      </c>
      <c r="B816" s="379" t="s">
        <v>791</v>
      </c>
      <c r="C816" s="516">
        <v>365</v>
      </c>
      <c r="D816" s="516">
        <f>'04'!F815</f>
        <v>449</v>
      </c>
      <c r="E816" s="525">
        <v>425</v>
      </c>
      <c r="F816" s="526">
        <f t="shared" si="50"/>
        <v>0.164383561643836</v>
      </c>
      <c r="G816" s="470">
        <f t="shared" si="51"/>
        <v>-0.0534521158129176</v>
      </c>
      <c r="H816" s="524" t="str">
        <f t="shared" si="49"/>
        <v>是</v>
      </c>
      <c r="I816" s="312" t="str">
        <f t="shared" si="52"/>
        <v>项</v>
      </c>
    </row>
    <row r="817" s="372" customFormat="1" ht="24" hidden="1" customHeight="1" spans="1:9">
      <c r="A817" s="330">
        <v>21107</v>
      </c>
      <c r="B817" s="379" t="s">
        <v>792</v>
      </c>
      <c r="C817" s="515">
        <f>SUM(C818:C819)</f>
        <v>0</v>
      </c>
      <c r="D817" s="515">
        <f>SUM(D818:D819)</f>
        <v>0</v>
      </c>
      <c r="E817" s="515">
        <f>SUM(E818:E819)</f>
        <v>0</v>
      </c>
      <c r="F817" s="523" t="str">
        <f t="shared" si="50"/>
        <v/>
      </c>
      <c r="G817" s="467" t="str">
        <f t="shared" si="51"/>
        <v/>
      </c>
      <c r="H817" s="524" t="str">
        <f t="shared" si="49"/>
        <v>否</v>
      </c>
      <c r="I817" s="312" t="str">
        <f t="shared" si="52"/>
        <v>款</v>
      </c>
    </row>
    <row r="818" s="372" customFormat="1" ht="24" hidden="1" customHeight="1" spans="1:9">
      <c r="A818" s="330">
        <v>2110704</v>
      </c>
      <c r="B818" s="379" t="s">
        <v>793</v>
      </c>
      <c r="C818" s="516"/>
      <c r="D818" s="516">
        <f>'04'!F817</f>
        <v>0</v>
      </c>
      <c r="E818" s="525">
        <v>0</v>
      </c>
      <c r="F818" s="526" t="str">
        <f t="shared" si="50"/>
        <v/>
      </c>
      <c r="G818" s="470" t="str">
        <f t="shared" si="51"/>
        <v/>
      </c>
      <c r="H818" s="524" t="str">
        <f t="shared" si="49"/>
        <v>否</v>
      </c>
      <c r="I818" s="312" t="str">
        <f t="shared" si="52"/>
        <v>项</v>
      </c>
    </row>
    <row r="819" s="372" customFormat="1" ht="24" hidden="1" customHeight="1" spans="1:9">
      <c r="A819" s="330">
        <v>2110799</v>
      </c>
      <c r="B819" s="379" t="s">
        <v>794</v>
      </c>
      <c r="C819" s="516"/>
      <c r="D819" s="516">
        <f>'04'!F818</f>
        <v>0</v>
      </c>
      <c r="E819" s="525">
        <v>0</v>
      </c>
      <c r="F819" s="526" t="str">
        <f t="shared" si="50"/>
        <v/>
      </c>
      <c r="G819" s="470" t="str">
        <f t="shared" si="51"/>
        <v/>
      </c>
      <c r="H819" s="524" t="str">
        <f t="shared" si="49"/>
        <v>否</v>
      </c>
      <c r="I819" s="312" t="str">
        <f t="shared" si="52"/>
        <v>项</v>
      </c>
    </row>
    <row r="820" s="372" customFormat="1" ht="24" hidden="1" customHeight="1" spans="1:9">
      <c r="A820" s="330">
        <v>21108</v>
      </c>
      <c r="B820" s="379" t="s">
        <v>795</v>
      </c>
      <c r="C820" s="515">
        <f>SUM(C821:C822)</f>
        <v>0</v>
      </c>
      <c r="D820" s="515">
        <f>SUM(D821:D822)</f>
        <v>0</v>
      </c>
      <c r="E820" s="515">
        <f>SUM(E821:E822)</f>
        <v>0</v>
      </c>
      <c r="F820" s="523" t="str">
        <f t="shared" si="50"/>
        <v/>
      </c>
      <c r="G820" s="467" t="str">
        <f t="shared" si="51"/>
        <v/>
      </c>
      <c r="H820" s="524" t="str">
        <f t="shared" si="49"/>
        <v>否</v>
      </c>
      <c r="I820" s="312" t="str">
        <f t="shared" si="52"/>
        <v>款</v>
      </c>
    </row>
    <row r="821" s="372" customFormat="1" ht="24" hidden="1" customHeight="1" spans="1:9">
      <c r="A821" s="330">
        <v>2110804</v>
      </c>
      <c r="B821" s="379" t="s">
        <v>796</v>
      </c>
      <c r="C821" s="516"/>
      <c r="D821" s="516">
        <f>'04'!F820</f>
        <v>0</v>
      </c>
      <c r="E821" s="525">
        <v>0</v>
      </c>
      <c r="F821" s="526" t="str">
        <f t="shared" si="50"/>
        <v/>
      </c>
      <c r="G821" s="470" t="str">
        <f t="shared" si="51"/>
        <v/>
      </c>
      <c r="H821" s="524" t="str">
        <f t="shared" si="49"/>
        <v>否</v>
      </c>
      <c r="I821" s="312" t="str">
        <f t="shared" si="52"/>
        <v>项</v>
      </c>
    </row>
    <row r="822" s="372" customFormat="1" ht="24" hidden="1" customHeight="1" spans="1:9">
      <c r="A822" s="330">
        <v>2110899</v>
      </c>
      <c r="B822" s="379" t="s">
        <v>797</v>
      </c>
      <c r="C822" s="516"/>
      <c r="D822" s="516">
        <f>'04'!F821</f>
        <v>0</v>
      </c>
      <c r="E822" s="525">
        <v>0</v>
      </c>
      <c r="F822" s="526" t="str">
        <f t="shared" si="50"/>
        <v/>
      </c>
      <c r="G822" s="470" t="str">
        <f t="shared" si="51"/>
        <v/>
      </c>
      <c r="H822" s="524" t="str">
        <f t="shared" si="49"/>
        <v>否</v>
      </c>
      <c r="I822" s="312" t="str">
        <f t="shared" si="52"/>
        <v>项</v>
      </c>
    </row>
    <row r="823" ht="24" hidden="1" customHeight="1" spans="1:9">
      <c r="A823" s="330">
        <v>21109</v>
      </c>
      <c r="B823" s="379" t="s">
        <v>798</v>
      </c>
      <c r="C823" s="515">
        <f>C824</f>
        <v>0</v>
      </c>
      <c r="D823" s="515">
        <f>D824</f>
        <v>0</v>
      </c>
      <c r="E823" s="515">
        <f>E824</f>
        <v>0</v>
      </c>
      <c r="F823" s="523" t="str">
        <f t="shared" si="50"/>
        <v/>
      </c>
      <c r="G823" s="467" t="str">
        <f t="shared" si="51"/>
        <v/>
      </c>
      <c r="H823" s="524" t="str">
        <f t="shared" si="49"/>
        <v>否</v>
      </c>
      <c r="I823" s="312" t="str">
        <f t="shared" si="52"/>
        <v>款</v>
      </c>
    </row>
    <row r="824" s="372" customFormat="1" ht="24" hidden="1" customHeight="1" spans="1:9">
      <c r="A824" s="326">
        <v>2110901</v>
      </c>
      <c r="B824" s="534" t="s">
        <v>799</v>
      </c>
      <c r="C824" s="516"/>
      <c r="D824" s="516">
        <f>'04'!F823</f>
        <v>0</v>
      </c>
      <c r="E824" s="525">
        <v>0</v>
      </c>
      <c r="F824" s="526" t="str">
        <f t="shared" si="50"/>
        <v/>
      </c>
      <c r="G824" s="470" t="str">
        <f t="shared" si="51"/>
        <v/>
      </c>
      <c r="H824" s="524" t="str">
        <f t="shared" si="49"/>
        <v>否</v>
      </c>
      <c r="I824" s="312" t="str">
        <f t="shared" si="52"/>
        <v>项</v>
      </c>
    </row>
    <row r="825" s="372" customFormat="1" ht="24" hidden="1" customHeight="1" spans="1:9">
      <c r="A825" s="330">
        <v>21110</v>
      </c>
      <c r="B825" s="379" t="s">
        <v>800</v>
      </c>
      <c r="C825" s="515">
        <f>C826</f>
        <v>0</v>
      </c>
      <c r="D825" s="515">
        <f>D826</f>
        <v>0</v>
      </c>
      <c r="E825" s="515">
        <f>E826</f>
        <v>0</v>
      </c>
      <c r="F825" s="523" t="str">
        <f t="shared" si="50"/>
        <v/>
      </c>
      <c r="G825" s="467" t="str">
        <f t="shared" si="51"/>
        <v/>
      </c>
      <c r="H825" s="524" t="str">
        <f t="shared" si="49"/>
        <v>否</v>
      </c>
      <c r="I825" s="312" t="str">
        <f t="shared" si="52"/>
        <v>款</v>
      </c>
    </row>
    <row r="826" s="372" customFormat="1" ht="24" hidden="1" customHeight="1" spans="1:9">
      <c r="A826" s="326">
        <v>2111001</v>
      </c>
      <c r="B826" s="534" t="s">
        <v>801</v>
      </c>
      <c r="C826" s="516"/>
      <c r="D826" s="516">
        <f>'04'!F825</f>
        <v>0</v>
      </c>
      <c r="E826" s="525">
        <v>0</v>
      </c>
      <c r="F826" s="526" t="str">
        <f t="shared" si="50"/>
        <v/>
      </c>
      <c r="G826" s="470" t="str">
        <f t="shared" si="51"/>
        <v/>
      </c>
      <c r="H826" s="524" t="str">
        <f t="shared" si="49"/>
        <v>否</v>
      </c>
      <c r="I826" s="312" t="str">
        <f t="shared" si="52"/>
        <v>项</v>
      </c>
    </row>
    <row r="827" s="372" customFormat="1" ht="24" customHeight="1" spans="1:9">
      <c r="A827" s="330">
        <v>21111</v>
      </c>
      <c r="B827" s="379" t="s">
        <v>802</v>
      </c>
      <c r="C827" s="515">
        <f>SUM(C828:C832)</f>
        <v>703</v>
      </c>
      <c r="D827" s="515">
        <f>SUM(D828:D832)</f>
        <v>249</v>
      </c>
      <c r="E827" s="515">
        <f>SUM(E828:E832)</f>
        <v>252</v>
      </c>
      <c r="F827" s="523">
        <f t="shared" si="50"/>
        <v>-0.64153627311522</v>
      </c>
      <c r="G827" s="467">
        <f t="shared" si="51"/>
        <v>0.0120481927710843</v>
      </c>
      <c r="H827" s="524" t="str">
        <f t="shared" si="49"/>
        <v>是</v>
      </c>
      <c r="I827" s="312" t="str">
        <f t="shared" si="52"/>
        <v>款</v>
      </c>
    </row>
    <row r="828" s="372" customFormat="1" ht="24" customHeight="1" spans="1:9">
      <c r="A828" s="330">
        <v>2111101</v>
      </c>
      <c r="B828" s="379" t="s">
        <v>803</v>
      </c>
      <c r="C828" s="516">
        <v>408</v>
      </c>
      <c r="D828" s="516">
        <f>'04'!F827</f>
        <v>0</v>
      </c>
      <c r="E828" s="525">
        <v>0</v>
      </c>
      <c r="F828" s="526">
        <f t="shared" si="50"/>
        <v>-1</v>
      </c>
      <c r="G828" s="470" t="str">
        <f t="shared" si="51"/>
        <v/>
      </c>
      <c r="H828" s="524" t="str">
        <f t="shared" si="49"/>
        <v>是</v>
      </c>
      <c r="I828" s="312" t="str">
        <f t="shared" si="52"/>
        <v>项</v>
      </c>
    </row>
    <row r="829" s="372" customFormat="1" ht="24" customHeight="1" spans="1:9">
      <c r="A829" s="330">
        <v>2111102</v>
      </c>
      <c r="B829" s="379" t="s">
        <v>804</v>
      </c>
      <c r="C829" s="516">
        <v>295</v>
      </c>
      <c r="D829" s="516">
        <f>'04'!F828</f>
        <v>249</v>
      </c>
      <c r="E829" s="525">
        <v>252</v>
      </c>
      <c r="F829" s="526">
        <f t="shared" si="50"/>
        <v>-0.145762711864407</v>
      </c>
      <c r="G829" s="470">
        <f t="shared" si="51"/>
        <v>0.0120481927710843</v>
      </c>
      <c r="H829" s="524" t="str">
        <f t="shared" si="49"/>
        <v>是</v>
      </c>
      <c r="I829" s="312" t="str">
        <f t="shared" si="52"/>
        <v>项</v>
      </c>
    </row>
    <row r="830" ht="24" hidden="1" customHeight="1" spans="1:9">
      <c r="A830" s="330">
        <v>2111103</v>
      </c>
      <c r="B830" s="379" t="s">
        <v>805</v>
      </c>
      <c r="C830" s="516"/>
      <c r="D830" s="516">
        <f>'04'!F829</f>
        <v>0</v>
      </c>
      <c r="E830" s="525">
        <v>0</v>
      </c>
      <c r="F830" s="526" t="str">
        <f t="shared" si="50"/>
        <v/>
      </c>
      <c r="G830" s="470" t="str">
        <f t="shared" si="51"/>
        <v/>
      </c>
      <c r="H830" s="524" t="str">
        <f t="shared" si="49"/>
        <v>否</v>
      </c>
      <c r="I830" s="312" t="str">
        <f t="shared" si="52"/>
        <v>项</v>
      </c>
    </row>
    <row r="831" s="372" customFormat="1" ht="24" hidden="1" customHeight="1" spans="1:9">
      <c r="A831" s="330">
        <v>2111104</v>
      </c>
      <c r="B831" s="379" t="s">
        <v>806</v>
      </c>
      <c r="C831" s="516"/>
      <c r="D831" s="516">
        <f>'04'!F830</f>
        <v>0</v>
      </c>
      <c r="E831" s="525">
        <v>0</v>
      </c>
      <c r="F831" s="526" t="str">
        <f t="shared" si="50"/>
        <v/>
      </c>
      <c r="G831" s="470" t="str">
        <f t="shared" si="51"/>
        <v/>
      </c>
      <c r="H831" s="524" t="str">
        <f t="shared" si="49"/>
        <v>否</v>
      </c>
      <c r="I831" s="312" t="str">
        <f t="shared" si="52"/>
        <v>项</v>
      </c>
    </row>
    <row r="832" s="372" customFormat="1" ht="24" hidden="1" customHeight="1" spans="1:9">
      <c r="A832" s="330">
        <v>2111199</v>
      </c>
      <c r="B832" s="379" t="s">
        <v>807</v>
      </c>
      <c r="C832" s="516"/>
      <c r="D832" s="516">
        <f>'04'!F831</f>
        <v>0</v>
      </c>
      <c r="E832" s="525">
        <v>0</v>
      </c>
      <c r="F832" s="526" t="str">
        <f t="shared" si="50"/>
        <v/>
      </c>
      <c r="G832" s="470" t="str">
        <f t="shared" si="51"/>
        <v/>
      </c>
      <c r="H832" s="524" t="str">
        <f t="shared" si="49"/>
        <v>否</v>
      </c>
      <c r="I832" s="312" t="str">
        <f t="shared" si="52"/>
        <v>项</v>
      </c>
    </row>
    <row r="833" s="374" customFormat="1" ht="24" hidden="1" customHeight="1" spans="1:9">
      <c r="A833" s="331">
        <v>21112</v>
      </c>
      <c r="B833" s="327" t="s">
        <v>808</v>
      </c>
      <c r="C833" s="515">
        <f>C834</f>
        <v>0</v>
      </c>
      <c r="D833" s="515">
        <f>D834</f>
        <v>0</v>
      </c>
      <c r="E833" s="515">
        <f>E834</f>
        <v>0</v>
      </c>
      <c r="F833" s="523" t="str">
        <f t="shared" si="50"/>
        <v/>
      </c>
      <c r="G833" s="467" t="str">
        <f t="shared" si="51"/>
        <v/>
      </c>
      <c r="H833" s="524" t="str">
        <f t="shared" si="49"/>
        <v>否</v>
      </c>
      <c r="I833" s="313" t="str">
        <f t="shared" si="52"/>
        <v>款</v>
      </c>
    </row>
    <row r="834" s="372" customFormat="1" ht="24" hidden="1" customHeight="1" spans="1:9">
      <c r="A834" s="356">
        <v>2111201</v>
      </c>
      <c r="B834" s="379" t="s">
        <v>809</v>
      </c>
      <c r="C834" s="516"/>
      <c r="D834" s="516">
        <f>'04'!F833</f>
        <v>0</v>
      </c>
      <c r="E834" s="525">
        <v>0</v>
      </c>
      <c r="F834" s="526" t="str">
        <f t="shared" si="50"/>
        <v/>
      </c>
      <c r="G834" s="470" t="str">
        <f t="shared" si="51"/>
        <v/>
      </c>
      <c r="H834" s="524" t="str">
        <f t="shared" si="49"/>
        <v>否</v>
      </c>
      <c r="I834" s="312" t="str">
        <f t="shared" si="52"/>
        <v>项</v>
      </c>
    </row>
    <row r="835" s="374" customFormat="1" ht="24" hidden="1" customHeight="1" spans="1:9">
      <c r="A835" s="540">
        <v>2111299</v>
      </c>
      <c r="B835" s="327" t="s">
        <v>810</v>
      </c>
      <c r="C835" s="516"/>
      <c r="D835" s="516">
        <f>'04'!F834</f>
        <v>0</v>
      </c>
      <c r="E835" s="525">
        <v>0</v>
      </c>
      <c r="F835" s="526" t="str">
        <f t="shared" si="50"/>
        <v/>
      </c>
      <c r="G835" s="470" t="str">
        <f t="shared" si="51"/>
        <v/>
      </c>
      <c r="H835" s="524" t="str">
        <f t="shared" si="49"/>
        <v>否</v>
      </c>
      <c r="I835" s="313" t="str">
        <f t="shared" si="52"/>
        <v>项</v>
      </c>
    </row>
    <row r="836" s="372" customFormat="1" ht="24" hidden="1" customHeight="1" spans="1:9">
      <c r="A836" s="330">
        <v>21113</v>
      </c>
      <c r="B836" s="379" t="s">
        <v>811</v>
      </c>
      <c r="C836" s="515">
        <f>C837</f>
        <v>0</v>
      </c>
      <c r="D836" s="515">
        <f>D837</f>
        <v>0</v>
      </c>
      <c r="E836" s="515">
        <f>E837</f>
        <v>0</v>
      </c>
      <c r="F836" s="523" t="str">
        <f t="shared" si="50"/>
        <v/>
      </c>
      <c r="G836" s="467" t="str">
        <f t="shared" si="51"/>
        <v/>
      </c>
      <c r="H836" s="524" t="str">
        <f t="shared" si="49"/>
        <v>否</v>
      </c>
      <c r="I836" s="312" t="str">
        <f t="shared" si="52"/>
        <v>款</v>
      </c>
    </row>
    <row r="837" ht="24" hidden="1" customHeight="1" spans="1:9">
      <c r="A837" s="356">
        <v>2111301</v>
      </c>
      <c r="B837" s="379" t="s">
        <v>812</v>
      </c>
      <c r="C837" s="516"/>
      <c r="D837" s="516">
        <f>'04'!F836</f>
        <v>0</v>
      </c>
      <c r="E837" s="525">
        <v>0</v>
      </c>
      <c r="F837" s="526" t="str">
        <f t="shared" si="50"/>
        <v/>
      </c>
      <c r="G837" s="470" t="str">
        <f t="shared" si="51"/>
        <v/>
      </c>
      <c r="H837" s="524" t="str">
        <f t="shared" si="49"/>
        <v>否</v>
      </c>
      <c r="I837" s="312" t="str">
        <f t="shared" si="52"/>
        <v>项</v>
      </c>
    </row>
    <row r="838" s="372" customFormat="1" ht="24" hidden="1" customHeight="1" spans="1:9">
      <c r="A838" s="330">
        <v>21114</v>
      </c>
      <c r="B838" s="379" t="s">
        <v>813</v>
      </c>
      <c r="C838" s="515">
        <f>SUM(C839:C848)</f>
        <v>0</v>
      </c>
      <c r="D838" s="515">
        <f>SUM(D839:D848)</f>
        <v>0</v>
      </c>
      <c r="E838" s="515">
        <f>SUM(E839:E848)</f>
        <v>0</v>
      </c>
      <c r="F838" s="523" t="str">
        <f t="shared" si="50"/>
        <v/>
      </c>
      <c r="G838" s="467" t="str">
        <f t="shared" si="51"/>
        <v/>
      </c>
      <c r="H838" s="524" t="str">
        <f t="shared" ref="H838:H901" si="53">IF(LEN(A838)=3,"是",IF(B838&lt;&gt;"",IF(SUM(C838:E838)&lt;&gt;0,"是","否"),"是"))</f>
        <v>否</v>
      </c>
      <c r="I838" s="312" t="str">
        <f t="shared" ref="I838:I901" si="54">IF(LEN(A838)=3,"类",IF(LEN(A838)=5,"款","项"))</f>
        <v>款</v>
      </c>
    </row>
    <row r="839" s="372" customFormat="1" ht="24" hidden="1" customHeight="1" spans="1:9">
      <c r="A839" s="330">
        <v>2111401</v>
      </c>
      <c r="B839" s="379" t="s">
        <v>212</v>
      </c>
      <c r="C839" s="516"/>
      <c r="D839" s="516">
        <f>'04'!F838</f>
        <v>0</v>
      </c>
      <c r="E839" s="525">
        <v>0</v>
      </c>
      <c r="F839" s="526" t="str">
        <f t="shared" ref="F839:F902" si="55">IFERROR((E839-C839)/C839,"")</f>
        <v/>
      </c>
      <c r="G839" s="470" t="str">
        <f t="shared" ref="G839:G902" si="56">IFERROR((E839-D839)/D839,"")</f>
        <v/>
      </c>
      <c r="H839" s="524" t="str">
        <f t="shared" si="53"/>
        <v>否</v>
      </c>
      <c r="I839" s="312" t="str">
        <f t="shared" si="54"/>
        <v>项</v>
      </c>
    </row>
    <row r="840" ht="24" hidden="1" customHeight="1" spans="1:9">
      <c r="A840" s="330">
        <v>2111402</v>
      </c>
      <c r="B840" s="379" t="s">
        <v>213</v>
      </c>
      <c r="C840" s="516"/>
      <c r="D840" s="516">
        <f>'04'!F839</f>
        <v>0</v>
      </c>
      <c r="E840" s="525">
        <v>0</v>
      </c>
      <c r="F840" s="526" t="str">
        <f t="shared" si="55"/>
        <v/>
      </c>
      <c r="G840" s="470" t="str">
        <f t="shared" si="56"/>
        <v/>
      </c>
      <c r="H840" s="524" t="str">
        <f t="shared" si="53"/>
        <v>否</v>
      </c>
      <c r="I840" s="312" t="str">
        <f t="shared" si="54"/>
        <v>项</v>
      </c>
    </row>
    <row r="841" s="372" customFormat="1" ht="24" hidden="1" customHeight="1" spans="1:9">
      <c r="A841" s="330">
        <v>2111403</v>
      </c>
      <c r="B841" s="379" t="s">
        <v>214</v>
      </c>
      <c r="C841" s="516"/>
      <c r="D841" s="516">
        <f>'04'!F840</f>
        <v>0</v>
      </c>
      <c r="E841" s="525">
        <v>0</v>
      </c>
      <c r="F841" s="526" t="str">
        <f t="shared" si="55"/>
        <v/>
      </c>
      <c r="G841" s="470" t="str">
        <f t="shared" si="56"/>
        <v/>
      </c>
      <c r="H841" s="524" t="str">
        <f t="shared" si="53"/>
        <v>否</v>
      </c>
      <c r="I841" s="312" t="str">
        <f t="shared" si="54"/>
        <v>项</v>
      </c>
    </row>
    <row r="842" s="372" customFormat="1" ht="24" hidden="1" customHeight="1" spans="1:9">
      <c r="A842" s="330">
        <v>2111406</v>
      </c>
      <c r="B842" s="379" t="s">
        <v>814</v>
      </c>
      <c r="C842" s="516"/>
      <c r="D842" s="516">
        <f>'04'!F841</f>
        <v>0</v>
      </c>
      <c r="E842" s="525">
        <v>0</v>
      </c>
      <c r="F842" s="526" t="str">
        <f t="shared" si="55"/>
        <v/>
      </c>
      <c r="G842" s="470" t="str">
        <f t="shared" si="56"/>
        <v/>
      </c>
      <c r="H842" s="524" t="str">
        <f t="shared" si="53"/>
        <v>否</v>
      </c>
      <c r="I842" s="312" t="str">
        <f t="shared" si="54"/>
        <v>项</v>
      </c>
    </row>
    <row r="843" ht="24" hidden="1" customHeight="1" spans="1:9">
      <c r="A843" s="330">
        <v>2111407</v>
      </c>
      <c r="B843" s="379" t="s">
        <v>815</v>
      </c>
      <c r="C843" s="516"/>
      <c r="D843" s="516">
        <f>'04'!F842</f>
        <v>0</v>
      </c>
      <c r="E843" s="525">
        <v>0</v>
      </c>
      <c r="F843" s="526" t="str">
        <f t="shared" si="55"/>
        <v/>
      </c>
      <c r="G843" s="470" t="str">
        <f t="shared" si="56"/>
        <v/>
      </c>
      <c r="H843" s="524" t="str">
        <f t="shared" si="53"/>
        <v>否</v>
      </c>
      <c r="I843" s="312" t="str">
        <f t="shared" si="54"/>
        <v>项</v>
      </c>
    </row>
    <row r="844" s="372" customFormat="1" ht="24" hidden="1" customHeight="1" spans="1:9">
      <c r="A844" s="330">
        <v>2111408</v>
      </c>
      <c r="B844" s="379" t="s">
        <v>816</v>
      </c>
      <c r="C844" s="516"/>
      <c r="D844" s="516">
        <f>'04'!F843</f>
        <v>0</v>
      </c>
      <c r="E844" s="525">
        <v>0</v>
      </c>
      <c r="F844" s="526" t="str">
        <f t="shared" si="55"/>
        <v/>
      </c>
      <c r="G844" s="470" t="str">
        <f t="shared" si="56"/>
        <v/>
      </c>
      <c r="H844" s="524" t="str">
        <f t="shared" si="53"/>
        <v>否</v>
      </c>
      <c r="I844" s="312" t="str">
        <f t="shared" si="54"/>
        <v>项</v>
      </c>
    </row>
    <row r="845" ht="24" hidden="1" customHeight="1" spans="1:9">
      <c r="A845" s="330">
        <v>2111411</v>
      </c>
      <c r="B845" s="379" t="s">
        <v>252</v>
      </c>
      <c r="C845" s="516"/>
      <c r="D845" s="516">
        <f>'04'!F844</f>
        <v>0</v>
      </c>
      <c r="E845" s="525">
        <v>0</v>
      </c>
      <c r="F845" s="526" t="str">
        <f t="shared" si="55"/>
        <v/>
      </c>
      <c r="G845" s="470" t="str">
        <f t="shared" si="56"/>
        <v/>
      </c>
      <c r="H845" s="524" t="str">
        <f t="shared" si="53"/>
        <v>否</v>
      </c>
      <c r="I845" s="312" t="str">
        <f t="shared" si="54"/>
        <v>项</v>
      </c>
    </row>
    <row r="846" s="372" customFormat="1" ht="24" hidden="1" customHeight="1" spans="1:9">
      <c r="A846" s="330">
        <v>2111413</v>
      </c>
      <c r="B846" s="379" t="s">
        <v>817</v>
      </c>
      <c r="C846" s="516"/>
      <c r="D846" s="516">
        <f>'04'!F845</f>
        <v>0</v>
      </c>
      <c r="E846" s="525">
        <v>0</v>
      </c>
      <c r="F846" s="526" t="str">
        <f t="shared" si="55"/>
        <v/>
      </c>
      <c r="G846" s="470" t="str">
        <f t="shared" si="56"/>
        <v/>
      </c>
      <c r="H846" s="524" t="str">
        <f t="shared" si="53"/>
        <v>否</v>
      </c>
      <c r="I846" s="312" t="str">
        <f t="shared" si="54"/>
        <v>项</v>
      </c>
    </row>
    <row r="847" ht="24" hidden="1" customHeight="1" spans="1:9">
      <c r="A847" s="330">
        <v>2111450</v>
      </c>
      <c r="B847" s="379" t="s">
        <v>221</v>
      </c>
      <c r="C847" s="516"/>
      <c r="D847" s="516">
        <f>'04'!F846</f>
        <v>0</v>
      </c>
      <c r="E847" s="525">
        <v>0</v>
      </c>
      <c r="F847" s="526" t="str">
        <f t="shared" si="55"/>
        <v/>
      </c>
      <c r="G847" s="470" t="str">
        <f t="shared" si="56"/>
        <v/>
      </c>
      <c r="H847" s="524" t="str">
        <f t="shared" si="53"/>
        <v>否</v>
      </c>
      <c r="I847" s="312" t="str">
        <f t="shared" si="54"/>
        <v>项</v>
      </c>
    </row>
    <row r="848" s="372" customFormat="1" ht="24" hidden="1" customHeight="1" spans="1:9">
      <c r="A848" s="330">
        <v>2111499</v>
      </c>
      <c r="B848" s="379" t="s">
        <v>818</v>
      </c>
      <c r="C848" s="516"/>
      <c r="D848" s="516">
        <f>'04'!F847</f>
        <v>0</v>
      </c>
      <c r="E848" s="525">
        <v>0</v>
      </c>
      <c r="F848" s="526" t="str">
        <f t="shared" si="55"/>
        <v/>
      </c>
      <c r="G848" s="470" t="str">
        <f t="shared" si="56"/>
        <v/>
      </c>
      <c r="H848" s="524" t="str">
        <f t="shared" si="53"/>
        <v>否</v>
      </c>
      <c r="I848" s="312" t="str">
        <f t="shared" si="54"/>
        <v>项</v>
      </c>
    </row>
    <row r="849" s="372" customFormat="1" ht="24" customHeight="1" spans="1:9">
      <c r="A849" s="330">
        <v>21199</v>
      </c>
      <c r="B849" s="379" t="s">
        <v>819</v>
      </c>
      <c r="C849" s="515">
        <f>C850</f>
        <v>15</v>
      </c>
      <c r="D849" s="515">
        <f>D850</f>
        <v>28</v>
      </c>
      <c r="E849" s="515">
        <f>E850</f>
        <v>0</v>
      </c>
      <c r="F849" s="523">
        <f t="shared" si="55"/>
        <v>-1</v>
      </c>
      <c r="G849" s="467">
        <f t="shared" si="56"/>
        <v>-1</v>
      </c>
      <c r="H849" s="524" t="str">
        <f t="shared" si="53"/>
        <v>是</v>
      </c>
      <c r="I849" s="312" t="str">
        <f t="shared" si="54"/>
        <v>款</v>
      </c>
    </row>
    <row r="850" s="372" customFormat="1" ht="24" customHeight="1" spans="1:9">
      <c r="A850" s="541">
        <v>2119999</v>
      </c>
      <c r="B850" s="542" t="s">
        <v>820</v>
      </c>
      <c r="C850" s="516">
        <v>15</v>
      </c>
      <c r="D850" s="516">
        <f>'04'!F849</f>
        <v>28</v>
      </c>
      <c r="E850" s="525">
        <v>0</v>
      </c>
      <c r="F850" s="526">
        <f t="shared" si="55"/>
        <v>-1</v>
      </c>
      <c r="G850" s="470">
        <f t="shared" si="56"/>
        <v>-1</v>
      </c>
      <c r="H850" s="524" t="str">
        <f t="shared" si="53"/>
        <v>是</v>
      </c>
      <c r="I850" s="312" t="str">
        <f t="shared" si="54"/>
        <v>项</v>
      </c>
    </row>
    <row r="851" s="372" customFormat="1" ht="24" customHeight="1" spans="1:9">
      <c r="A851" s="329">
        <v>212</v>
      </c>
      <c r="B851" s="377" t="s">
        <v>185</v>
      </c>
      <c r="C851" s="515">
        <f>C852+C863+C865+C868+C870+C872</f>
        <v>13722</v>
      </c>
      <c r="D851" s="515">
        <f>D852+D863+D865+D868+D870+D872</f>
        <v>17917</v>
      </c>
      <c r="E851" s="515">
        <f>E852+E863+E865+E868+E870+E872</f>
        <v>19364</v>
      </c>
      <c r="F851" s="523">
        <f t="shared" si="55"/>
        <v>0.411164553272118</v>
      </c>
      <c r="G851" s="467">
        <f t="shared" si="56"/>
        <v>0.0807612881620807</v>
      </c>
      <c r="H851" s="524" t="str">
        <f t="shared" si="53"/>
        <v>是</v>
      </c>
      <c r="I851" s="312" t="str">
        <f t="shared" si="54"/>
        <v>类</v>
      </c>
    </row>
    <row r="852" s="372" customFormat="1" ht="24" customHeight="1" spans="1:9">
      <c r="A852" s="330">
        <v>21201</v>
      </c>
      <c r="B852" s="379" t="s">
        <v>821</v>
      </c>
      <c r="C852" s="515">
        <f>SUM(C853:C862)</f>
        <v>925</v>
      </c>
      <c r="D852" s="515">
        <f>SUM(D853:D862)</f>
        <v>1086</v>
      </c>
      <c r="E852" s="515">
        <f>SUM(E853:E862)</f>
        <v>1066</v>
      </c>
      <c r="F852" s="523">
        <f t="shared" si="55"/>
        <v>0.152432432432432</v>
      </c>
      <c r="G852" s="467">
        <f t="shared" si="56"/>
        <v>-0.0184162062615101</v>
      </c>
      <c r="H852" s="524" t="str">
        <f t="shared" si="53"/>
        <v>是</v>
      </c>
      <c r="I852" s="312" t="str">
        <f t="shared" si="54"/>
        <v>款</v>
      </c>
    </row>
    <row r="853" ht="24" customHeight="1" spans="1:9">
      <c r="A853" s="330">
        <v>2120101</v>
      </c>
      <c r="B853" s="379" t="s">
        <v>212</v>
      </c>
      <c r="C853" s="516">
        <v>675</v>
      </c>
      <c r="D853" s="516">
        <f>'04'!F852</f>
        <v>622</v>
      </c>
      <c r="E853" s="525">
        <v>642</v>
      </c>
      <c r="F853" s="526">
        <f t="shared" si="55"/>
        <v>-0.0488888888888889</v>
      </c>
      <c r="G853" s="470">
        <f t="shared" si="56"/>
        <v>0.0321543408360129</v>
      </c>
      <c r="H853" s="524" t="str">
        <f t="shared" si="53"/>
        <v>是</v>
      </c>
      <c r="I853" s="312" t="str">
        <f t="shared" si="54"/>
        <v>项</v>
      </c>
    </row>
    <row r="854" s="372" customFormat="1" ht="24" customHeight="1" spans="1:9">
      <c r="A854" s="330">
        <v>2120102</v>
      </c>
      <c r="B854" s="379" t="s">
        <v>213</v>
      </c>
      <c r="C854" s="516">
        <v>0</v>
      </c>
      <c r="D854" s="516">
        <f>'04'!F853</f>
        <v>120</v>
      </c>
      <c r="E854" s="525">
        <v>108</v>
      </c>
      <c r="F854" s="526" t="str">
        <f t="shared" si="55"/>
        <v/>
      </c>
      <c r="G854" s="470">
        <f t="shared" si="56"/>
        <v>-0.1</v>
      </c>
      <c r="H854" s="524" t="str">
        <f t="shared" si="53"/>
        <v>是</v>
      </c>
      <c r="I854" s="312" t="str">
        <f t="shared" si="54"/>
        <v>项</v>
      </c>
    </row>
    <row r="855" ht="24" hidden="1" customHeight="1" spans="1:9">
      <c r="A855" s="330">
        <v>2120103</v>
      </c>
      <c r="B855" s="379" t="s">
        <v>214</v>
      </c>
      <c r="C855" s="516">
        <v>0</v>
      </c>
      <c r="D855" s="516">
        <f>'04'!F854</f>
        <v>0</v>
      </c>
      <c r="E855" s="525">
        <v>0</v>
      </c>
      <c r="F855" s="526" t="str">
        <f t="shared" si="55"/>
        <v/>
      </c>
      <c r="G855" s="470" t="str">
        <f t="shared" si="56"/>
        <v/>
      </c>
      <c r="H855" s="524" t="str">
        <f t="shared" si="53"/>
        <v>否</v>
      </c>
      <c r="I855" s="312" t="str">
        <f t="shared" si="54"/>
        <v>项</v>
      </c>
    </row>
    <row r="856" s="372" customFormat="1" ht="24" hidden="1" customHeight="1" spans="1:9">
      <c r="A856" s="330">
        <v>2120104</v>
      </c>
      <c r="B856" s="379" t="s">
        <v>822</v>
      </c>
      <c r="C856" s="516">
        <v>0</v>
      </c>
      <c r="D856" s="516">
        <f>'04'!F855</f>
        <v>0</v>
      </c>
      <c r="E856" s="525">
        <v>0</v>
      </c>
      <c r="F856" s="526" t="str">
        <f t="shared" si="55"/>
        <v/>
      </c>
      <c r="G856" s="470" t="str">
        <f t="shared" si="56"/>
        <v/>
      </c>
      <c r="H856" s="524" t="str">
        <f t="shared" si="53"/>
        <v>否</v>
      </c>
      <c r="I856" s="312" t="str">
        <f t="shared" si="54"/>
        <v>项</v>
      </c>
    </row>
    <row r="857" ht="24" hidden="1" customHeight="1" spans="1:9">
      <c r="A857" s="330">
        <v>2120105</v>
      </c>
      <c r="B857" s="379" t="s">
        <v>823</v>
      </c>
      <c r="C857" s="516">
        <v>0</v>
      </c>
      <c r="D857" s="516">
        <f>'04'!F856</f>
        <v>0</v>
      </c>
      <c r="E857" s="525">
        <v>0</v>
      </c>
      <c r="F857" s="526" t="str">
        <f t="shared" si="55"/>
        <v/>
      </c>
      <c r="G857" s="470" t="str">
        <f t="shared" si="56"/>
        <v/>
      </c>
      <c r="H857" s="524" t="str">
        <f t="shared" si="53"/>
        <v>否</v>
      </c>
      <c r="I857" s="312" t="str">
        <f t="shared" si="54"/>
        <v>项</v>
      </c>
    </row>
    <row r="858" s="372" customFormat="1" ht="24" customHeight="1" spans="1:9">
      <c r="A858" s="330">
        <v>2120106</v>
      </c>
      <c r="B858" s="379" t="s">
        <v>824</v>
      </c>
      <c r="C858" s="516">
        <v>250</v>
      </c>
      <c r="D858" s="516">
        <f>'04'!F857</f>
        <v>279</v>
      </c>
      <c r="E858" s="525">
        <v>258</v>
      </c>
      <c r="F858" s="526">
        <f t="shared" si="55"/>
        <v>0.032</v>
      </c>
      <c r="G858" s="470">
        <f t="shared" si="56"/>
        <v>-0.0752688172043011</v>
      </c>
      <c r="H858" s="524" t="str">
        <f t="shared" si="53"/>
        <v>是</v>
      </c>
      <c r="I858" s="312" t="str">
        <f t="shared" si="54"/>
        <v>项</v>
      </c>
    </row>
    <row r="859" s="372" customFormat="1" ht="24" hidden="1" customHeight="1" spans="1:9">
      <c r="A859" s="330">
        <v>2120107</v>
      </c>
      <c r="B859" s="379" t="s">
        <v>825</v>
      </c>
      <c r="C859" s="516">
        <v>0</v>
      </c>
      <c r="D859" s="516">
        <f>'04'!F858</f>
        <v>0</v>
      </c>
      <c r="E859" s="525">
        <v>0</v>
      </c>
      <c r="F859" s="526" t="str">
        <f t="shared" si="55"/>
        <v/>
      </c>
      <c r="G859" s="470" t="str">
        <f t="shared" si="56"/>
        <v/>
      </c>
      <c r="H859" s="524" t="str">
        <f t="shared" si="53"/>
        <v>否</v>
      </c>
      <c r="I859" s="312" t="str">
        <f t="shared" si="54"/>
        <v>项</v>
      </c>
    </row>
    <row r="860" s="372" customFormat="1" ht="24" hidden="1" customHeight="1" spans="1:9">
      <c r="A860" s="330">
        <v>2120109</v>
      </c>
      <c r="B860" s="379" t="s">
        <v>826</v>
      </c>
      <c r="C860" s="516">
        <v>0</v>
      </c>
      <c r="D860" s="516">
        <f>'04'!F859</f>
        <v>0</v>
      </c>
      <c r="E860" s="525">
        <v>0</v>
      </c>
      <c r="F860" s="526" t="str">
        <f t="shared" si="55"/>
        <v/>
      </c>
      <c r="G860" s="470" t="str">
        <f t="shared" si="56"/>
        <v/>
      </c>
      <c r="H860" s="524" t="str">
        <f t="shared" si="53"/>
        <v>否</v>
      </c>
      <c r="I860" s="312" t="str">
        <f t="shared" si="54"/>
        <v>项</v>
      </c>
    </row>
    <row r="861" s="372" customFormat="1" ht="24" hidden="1" customHeight="1" spans="1:9">
      <c r="A861" s="330">
        <v>2120110</v>
      </c>
      <c r="B861" s="379" t="s">
        <v>827</v>
      </c>
      <c r="C861" s="516">
        <v>0</v>
      </c>
      <c r="D861" s="516">
        <f>'04'!F860</f>
        <v>0</v>
      </c>
      <c r="E861" s="525">
        <v>0</v>
      </c>
      <c r="F861" s="526" t="str">
        <f t="shared" si="55"/>
        <v/>
      </c>
      <c r="G861" s="470" t="str">
        <f t="shared" si="56"/>
        <v/>
      </c>
      <c r="H861" s="524" t="str">
        <f t="shared" si="53"/>
        <v>否</v>
      </c>
      <c r="I861" s="312" t="str">
        <f t="shared" si="54"/>
        <v>项</v>
      </c>
    </row>
    <row r="862" s="372" customFormat="1" ht="24" customHeight="1" spans="1:9">
      <c r="A862" s="330">
        <v>2120199</v>
      </c>
      <c r="B862" s="379" t="s">
        <v>828</v>
      </c>
      <c r="C862" s="516">
        <v>0</v>
      </c>
      <c r="D862" s="516">
        <f>'04'!F861</f>
        <v>65</v>
      </c>
      <c r="E862" s="525">
        <v>58</v>
      </c>
      <c r="F862" s="526" t="str">
        <f t="shared" si="55"/>
        <v/>
      </c>
      <c r="G862" s="470">
        <f t="shared" si="56"/>
        <v>-0.107692307692308</v>
      </c>
      <c r="H862" s="524" t="str">
        <f t="shared" si="53"/>
        <v>是</v>
      </c>
      <c r="I862" s="312" t="str">
        <f t="shared" si="54"/>
        <v>项</v>
      </c>
    </row>
    <row r="863" s="372" customFormat="1" ht="24" customHeight="1" spans="1:9">
      <c r="A863" s="330">
        <v>21202</v>
      </c>
      <c r="B863" s="379" t="s">
        <v>829</v>
      </c>
      <c r="C863" s="515">
        <f>C864</f>
        <v>9685</v>
      </c>
      <c r="D863" s="515">
        <f>D864</f>
        <v>12428</v>
      </c>
      <c r="E863" s="515">
        <f>E864</f>
        <v>13856</v>
      </c>
      <c r="F863" s="523">
        <f t="shared" si="55"/>
        <v>0.430665978316985</v>
      </c>
      <c r="G863" s="467">
        <f t="shared" si="56"/>
        <v>0.114901834567107</v>
      </c>
      <c r="H863" s="524" t="str">
        <f t="shared" si="53"/>
        <v>是</v>
      </c>
      <c r="I863" s="312" t="str">
        <f t="shared" si="54"/>
        <v>款</v>
      </c>
    </row>
    <row r="864" s="372" customFormat="1" ht="24" customHeight="1" spans="1:9">
      <c r="A864" s="326">
        <v>2120201</v>
      </c>
      <c r="B864" s="534" t="s">
        <v>830</v>
      </c>
      <c r="C864" s="516">
        <v>9685</v>
      </c>
      <c r="D864" s="516">
        <f>'04'!F863</f>
        <v>12428</v>
      </c>
      <c r="E864" s="525">
        <v>13856</v>
      </c>
      <c r="F864" s="526">
        <f t="shared" si="55"/>
        <v>0.430665978316985</v>
      </c>
      <c r="G864" s="470">
        <f t="shared" si="56"/>
        <v>0.114901834567107</v>
      </c>
      <c r="H864" s="524" t="str">
        <f t="shared" si="53"/>
        <v>是</v>
      </c>
      <c r="I864" s="312" t="str">
        <f t="shared" si="54"/>
        <v>项</v>
      </c>
    </row>
    <row r="865" s="372" customFormat="1" ht="24" customHeight="1" spans="1:9">
      <c r="A865" s="330">
        <v>21203</v>
      </c>
      <c r="B865" s="379" t="s">
        <v>831</v>
      </c>
      <c r="C865" s="515">
        <f>SUM(C866:C867)</f>
        <v>1586</v>
      </c>
      <c r="D865" s="515">
        <f>SUM(D866:D867)</f>
        <v>2837</v>
      </c>
      <c r="E865" s="515">
        <f>SUM(E866:E867)</f>
        <v>2879</v>
      </c>
      <c r="F865" s="523">
        <f t="shared" si="55"/>
        <v>0.815258511979823</v>
      </c>
      <c r="G865" s="467">
        <f t="shared" si="56"/>
        <v>0.0148043708142404</v>
      </c>
      <c r="H865" s="524" t="str">
        <f t="shared" si="53"/>
        <v>是</v>
      </c>
      <c r="I865" s="312" t="str">
        <f t="shared" si="54"/>
        <v>款</v>
      </c>
    </row>
    <row r="866" s="372" customFormat="1" ht="24" customHeight="1" spans="1:9">
      <c r="A866" s="330">
        <v>2120303</v>
      </c>
      <c r="B866" s="379" t="s">
        <v>832</v>
      </c>
      <c r="C866" s="516">
        <v>1586</v>
      </c>
      <c r="D866" s="516">
        <f>'04'!F865</f>
        <v>2087</v>
      </c>
      <c r="E866" s="525">
        <v>2097</v>
      </c>
      <c r="F866" s="526">
        <f t="shared" si="55"/>
        <v>0.32219419924338</v>
      </c>
      <c r="G866" s="470">
        <f t="shared" si="56"/>
        <v>0.00479156684235745</v>
      </c>
      <c r="H866" s="524" t="str">
        <f t="shared" si="53"/>
        <v>是</v>
      </c>
      <c r="I866" s="312" t="str">
        <f t="shared" si="54"/>
        <v>项</v>
      </c>
    </row>
    <row r="867" s="372" customFormat="1" ht="24" customHeight="1" spans="1:9">
      <c r="A867" s="330">
        <v>2120399</v>
      </c>
      <c r="B867" s="379" t="s">
        <v>833</v>
      </c>
      <c r="C867" s="516">
        <v>0</v>
      </c>
      <c r="D867" s="516">
        <f>'04'!F866</f>
        <v>750</v>
      </c>
      <c r="E867" s="525">
        <v>782</v>
      </c>
      <c r="F867" s="526" t="str">
        <f t="shared" si="55"/>
        <v/>
      </c>
      <c r="G867" s="470">
        <f t="shared" si="56"/>
        <v>0.0426666666666667</v>
      </c>
      <c r="H867" s="524" t="str">
        <f t="shared" si="53"/>
        <v>是</v>
      </c>
      <c r="I867" s="312" t="str">
        <f t="shared" si="54"/>
        <v>项</v>
      </c>
    </row>
    <row r="868" s="372" customFormat="1" ht="24" customHeight="1" spans="1:9">
      <c r="A868" s="330">
        <v>21205</v>
      </c>
      <c r="B868" s="379" t="s">
        <v>834</v>
      </c>
      <c r="C868" s="515">
        <f t="shared" ref="C868:C872" si="57">C869</f>
        <v>0</v>
      </c>
      <c r="D868" s="515">
        <f>D869</f>
        <v>33</v>
      </c>
      <c r="E868" s="515">
        <f>E869</f>
        <v>35</v>
      </c>
      <c r="F868" s="523" t="str">
        <f t="shared" si="55"/>
        <v/>
      </c>
      <c r="G868" s="467">
        <f t="shared" si="56"/>
        <v>0.0606060606060606</v>
      </c>
      <c r="H868" s="524" t="str">
        <f t="shared" si="53"/>
        <v>是</v>
      </c>
      <c r="I868" s="312" t="str">
        <f t="shared" si="54"/>
        <v>款</v>
      </c>
    </row>
    <row r="869" s="372" customFormat="1" ht="24" customHeight="1" spans="1:9">
      <c r="A869" s="326">
        <v>2120501</v>
      </c>
      <c r="B869" s="534" t="s">
        <v>835</v>
      </c>
      <c r="C869" s="516"/>
      <c r="D869" s="516">
        <f>'04'!F868</f>
        <v>33</v>
      </c>
      <c r="E869" s="525">
        <v>35</v>
      </c>
      <c r="F869" s="526" t="str">
        <f t="shared" si="55"/>
        <v/>
      </c>
      <c r="G869" s="470">
        <f t="shared" si="56"/>
        <v>0.0606060606060606</v>
      </c>
      <c r="H869" s="524" t="str">
        <f t="shared" si="53"/>
        <v>是</v>
      </c>
      <c r="I869" s="312" t="str">
        <f t="shared" si="54"/>
        <v>项</v>
      </c>
    </row>
    <row r="870" s="372" customFormat="1" ht="24" hidden="1" customHeight="1" spans="1:9">
      <c r="A870" s="330">
        <v>21206</v>
      </c>
      <c r="B870" s="379" t="s">
        <v>836</v>
      </c>
      <c r="C870" s="515">
        <f t="shared" si="57"/>
        <v>0</v>
      </c>
      <c r="D870" s="515">
        <f>D871</f>
        <v>0</v>
      </c>
      <c r="E870" s="515">
        <f>E871</f>
        <v>0</v>
      </c>
      <c r="F870" s="523" t="str">
        <f t="shared" si="55"/>
        <v/>
      </c>
      <c r="G870" s="467" t="str">
        <f t="shared" si="56"/>
        <v/>
      </c>
      <c r="H870" s="524" t="str">
        <f t="shared" si="53"/>
        <v>否</v>
      </c>
      <c r="I870" s="312" t="str">
        <f t="shared" si="54"/>
        <v>款</v>
      </c>
    </row>
    <row r="871" s="372" customFormat="1" ht="24" hidden="1" customHeight="1" spans="1:9">
      <c r="A871" s="326">
        <v>2120601</v>
      </c>
      <c r="B871" s="534" t="s">
        <v>837</v>
      </c>
      <c r="C871" s="516"/>
      <c r="D871" s="516">
        <f>'04'!F870</f>
        <v>0</v>
      </c>
      <c r="E871" s="525">
        <v>0</v>
      </c>
      <c r="F871" s="526" t="str">
        <f t="shared" si="55"/>
        <v/>
      </c>
      <c r="G871" s="470" t="str">
        <f t="shared" si="56"/>
        <v/>
      </c>
      <c r="H871" s="524" t="str">
        <f t="shared" si="53"/>
        <v>否</v>
      </c>
      <c r="I871" s="312" t="str">
        <f t="shared" si="54"/>
        <v>项</v>
      </c>
    </row>
    <row r="872" ht="24" customHeight="1" spans="1:9">
      <c r="A872" s="330">
        <v>21299</v>
      </c>
      <c r="B872" s="379" t="s">
        <v>838</v>
      </c>
      <c r="C872" s="515">
        <f t="shared" si="57"/>
        <v>1526</v>
      </c>
      <c r="D872" s="515">
        <f>D873</f>
        <v>1533</v>
      </c>
      <c r="E872" s="515">
        <f>E873</f>
        <v>1528</v>
      </c>
      <c r="F872" s="523">
        <f t="shared" si="55"/>
        <v>0.00131061598951507</v>
      </c>
      <c r="G872" s="467">
        <f t="shared" si="56"/>
        <v>-0.00326157860404436</v>
      </c>
      <c r="H872" s="524" t="str">
        <f t="shared" si="53"/>
        <v>是</v>
      </c>
      <c r="I872" s="312" t="str">
        <f t="shared" si="54"/>
        <v>款</v>
      </c>
    </row>
    <row r="873" s="372" customFormat="1" ht="24" customHeight="1" spans="1:9">
      <c r="A873" s="326">
        <v>2129999</v>
      </c>
      <c r="B873" s="534" t="s">
        <v>839</v>
      </c>
      <c r="C873" s="516">
        <v>1526</v>
      </c>
      <c r="D873" s="516">
        <f>'04'!F872</f>
        <v>1533</v>
      </c>
      <c r="E873" s="525">
        <v>1528</v>
      </c>
      <c r="F873" s="526">
        <f t="shared" si="55"/>
        <v>0.00131061598951507</v>
      </c>
      <c r="G873" s="470">
        <f t="shared" si="56"/>
        <v>-0.00326157860404436</v>
      </c>
      <c r="H873" s="524" t="str">
        <f t="shared" si="53"/>
        <v>是</v>
      </c>
      <c r="I873" s="312" t="str">
        <f t="shared" si="54"/>
        <v>项</v>
      </c>
    </row>
    <row r="874" ht="24" customHeight="1" spans="1:9">
      <c r="A874" s="329">
        <v>213</v>
      </c>
      <c r="B874" s="377" t="s">
        <v>186</v>
      </c>
      <c r="C874" s="515">
        <f>C875+C901+C924+C952+C959+C965+C971+C974</f>
        <v>82615</v>
      </c>
      <c r="D874" s="515">
        <f>D875+D901+D924+D952+D959+D965+D971+D974</f>
        <v>17832</v>
      </c>
      <c r="E874" s="515">
        <f>E875+E901+E924+E952+E959+E965+E971+E974</f>
        <v>18908</v>
      </c>
      <c r="F874" s="523">
        <f t="shared" si="55"/>
        <v>-0.771131150517461</v>
      </c>
      <c r="G874" s="467">
        <f t="shared" si="56"/>
        <v>0.0603409600717811</v>
      </c>
      <c r="H874" s="524" t="str">
        <f t="shared" si="53"/>
        <v>是</v>
      </c>
      <c r="I874" s="312" t="str">
        <f t="shared" si="54"/>
        <v>类</v>
      </c>
    </row>
    <row r="875" ht="24" customHeight="1" spans="1:9">
      <c r="A875" s="330">
        <v>21301</v>
      </c>
      <c r="B875" s="379" t="s">
        <v>840</v>
      </c>
      <c r="C875" s="515">
        <f>SUM(C876:C900)</f>
        <v>4557</v>
      </c>
      <c r="D875" s="515">
        <f>SUM(D876:D900)</f>
        <v>6498</v>
      </c>
      <c r="E875" s="515">
        <f>SUM(E876:E900)</f>
        <v>7143</v>
      </c>
      <c r="F875" s="523">
        <f t="shared" si="55"/>
        <v>0.567478604344964</v>
      </c>
      <c r="G875" s="467">
        <f t="shared" si="56"/>
        <v>0.0992613111726685</v>
      </c>
      <c r="H875" s="524" t="str">
        <f t="shared" si="53"/>
        <v>是</v>
      </c>
      <c r="I875" s="312" t="str">
        <f t="shared" si="54"/>
        <v>款</v>
      </c>
    </row>
    <row r="876" s="372" customFormat="1" ht="24" customHeight="1" spans="1:9">
      <c r="A876" s="330">
        <v>2130101</v>
      </c>
      <c r="B876" s="379" t="s">
        <v>212</v>
      </c>
      <c r="C876" s="516">
        <v>1012</v>
      </c>
      <c r="D876" s="516">
        <f>'04'!F875</f>
        <v>1085</v>
      </c>
      <c r="E876" s="525">
        <v>1115</v>
      </c>
      <c r="F876" s="526">
        <f t="shared" si="55"/>
        <v>0.101778656126482</v>
      </c>
      <c r="G876" s="470">
        <f t="shared" si="56"/>
        <v>0.0276497695852535</v>
      </c>
      <c r="H876" s="524" t="str">
        <f t="shared" si="53"/>
        <v>是</v>
      </c>
      <c r="I876" s="312" t="str">
        <f t="shared" si="54"/>
        <v>项</v>
      </c>
    </row>
    <row r="877" s="372" customFormat="1" ht="24" customHeight="1" spans="1:9">
      <c r="A877" s="330">
        <v>2130102</v>
      </c>
      <c r="B877" s="379" t="s">
        <v>213</v>
      </c>
      <c r="C877" s="516">
        <v>20</v>
      </c>
      <c r="D877" s="516">
        <f>'04'!F876</f>
        <v>102</v>
      </c>
      <c r="E877" s="525">
        <v>95</v>
      </c>
      <c r="F877" s="526">
        <f t="shared" si="55"/>
        <v>3.75</v>
      </c>
      <c r="G877" s="470">
        <f t="shared" si="56"/>
        <v>-0.0686274509803922</v>
      </c>
      <c r="H877" s="524" t="str">
        <f t="shared" si="53"/>
        <v>是</v>
      </c>
      <c r="I877" s="312" t="str">
        <f t="shared" si="54"/>
        <v>项</v>
      </c>
    </row>
    <row r="878" s="372" customFormat="1" ht="24" hidden="1" customHeight="1" spans="1:9">
      <c r="A878" s="330">
        <v>2130103</v>
      </c>
      <c r="B878" s="379" t="s">
        <v>214</v>
      </c>
      <c r="C878" s="516">
        <v>0</v>
      </c>
      <c r="D878" s="516">
        <f>'04'!F877</f>
        <v>0</v>
      </c>
      <c r="E878" s="525">
        <v>0</v>
      </c>
      <c r="F878" s="526" t="str">
        <f t="shared" si="55"/>
        <v/>
      </c>
      <c r="G878" s="470" t="str">
        <f t="shared" si="56"/>
        <v/>
      </c>
      <c r="H878" s="524" t="str">
        <f t="shared" si="53"/>
        <v>否</v>
      </c>
      <c r="I878" s="312" t="str">
        <f t="shared" si="54"/>
        <v>项</v>
      </c>
    </row>
    <row r="879" s="372" customFormat="1" ht="24" customHeight="1" spans="1:9">
      <c r="A879" s="330">
        <v>2130104</v>
      </c>
      <c r="B879" s="379" t="s">
        <v>221</v>
      </c>
      <c r="C879" s="516">
        <v>1864</v>
      </c>
      <c r="D879" s="516">
        <f>'04'!F878</f>
        <v>1769</v>
      </c>
      <c r="E879" s="525">
        <v>1828</v>
      </c>
      <c r="F879" s="526">
        <f t="shared" si="55"/>
        <v>-0.01931330472103</v>
      </c>
      <c r="G879" s="470">
        <f t="shared" si="56"/>
        <v>0.033352176370831</v>
      </c>
      <c r="H879" s="524" t="str">
        <f t="shared" si="53"/>
        <v>是</v>
      </c>
      <c r="I879" s="312" t="str">
        <f t="shared" si="54"/>
        <v>项</v>
      </c>
    </row>
    <row r="880" s="372" customFormat="1" ht="24" hidden="1" customHeight="1" spans="1:9">
      <c r="A880" s="330">
        <v>2130105</v>
      </c>
      <c r="B880" s="379" t="s">
        <v>841</v>
      </c>
      <c r="C880" s="516">
        <v>0</v>
      </c>
      <c r="D880" s="516">
        <f>'04'!F879</f>
        <v>0</v>
      </c>
      <c r="E880" s="525">
        <v>0</v>
      </c>
      <c r="F880" s="526" t="str">
        <f t="shared" si="55"/>
        <v/>
      </c>
      <c r="G880" s="470" t="str">
        <f t="shared" si="56"/>
        <v/>
      </c>
      <c r="H880" s="524" t="str">
        <f t="shared" si="53"/>
        <v>否</v>
      </c>
      <c r="I880" s="312" t="str">
        <f t="shared" si="54"/>
        <v>项</v>
      </c>
    </row>
    <row r="881" s="372" customFormat="1" ht="24" customHeight="1" spans="1:9">
      <c r="A881" s="330">
        <v>2130106</v>
      </c>
      <c r="B881" s="379" t="s">
        <v>842</v>
      </c>
      <c r="C881" s="516">
        <v>753</v>
      </c>
      <c r="D881" s="516">
        <f>'04'!F880</f>
        <v>998</v>
      </c>
      <c r="E881" s="525">
        <v>1008</v>
      </c>
      <c r="F881" s="526">
        <f t="shared" si="55"/>
        <v>0.338645418326693</v>
      </c>
      <c r="G881" s="470">
        <f t="shared" si="56"/>
        <v>0.0100200400801603</v>
      </c>
      <c r="H881" s="524" t="str">
        <f t="shared" si="53"/>
        <v>是</v>
      </c>
      <c r="I881" s="312" t="str">
        <f t="shared" si="54"/>
        <v>项</v>
      </c>
    </row>
    <row r="882" s="372" customFormat="1" ht="24" customHeight="1" spans="1:9">
      <c r="A882" s="330">
        <v>2130108</v>
      </c>
      <c r="B882" s="379" t="s">
        <v>843</v>
      </c>
      <c r="C882" s="516">
        <v>702</v>
      </c>
      <c r="D882" s="516">
        <f>'04'!F881</f>
        <v>568</v>
      </c>
      <c r="E882" s="525">
        <v>558</v>
      </c>
      <c r="F882" s="526">
        <f t="shared" si="55"/>
        <v>-0.205128205128205</v>
      </c>
      <c r="G882" s="470">
        <f t="shared" si="56"/>
        <v>-0.0176056338028169</v>
      </c>
      <c r="H882" s="524" t="str">
        <f t="shared" si="53"/>
        <v>是</v>
      </c>
      <c r="I882" s="312" t="str">
        <f t="shared" si="54"/>
        <v>项</v>
      </c>
    </row>
    <row r="883" s="372" customFormat="1" ht="24" customHeight="1" spans="1:9">
      <c r="A883" s="330">
        <v>2130109</v>
      </c>
      <c r="B883" s="379" t="s">
        <v>844</v>
      </c>
      <c r="C883" s="516">
        <v>31</v>
      </c>
      <c r="D883" s="516">
        <f>'04'!F882</f>
        <v>0</v>
      </c>
      <c r="E883" s="525">
        <v>0</v>
      </c>
      <c r="F883" s="526">
        <f t="shared" si="55"/>
        <v>-1</v>
      </c>
      <c r="G883" s="470" t="str">
        <f t="shared" si="56"/>
        <v/>
      </c>
      <c r="H883" s="524" t="str">
        <f t="shared" si="53"/>
        <v>是</v>
      </c>
      <c r="I883" s="312" t="str">
        <f t="shared" si="54"/>
        <v>项</v>
      </c>
    </row>
    <row r="884" s="372" customFormat="1" ht="24" hidden="1" customHeight="1" spans="1:9">
      <c r="A884" s="330">
        <v>2130110</v>
      </c>
      <c r="B884" s="379" t="s">
        <v>845</v>
      </c>
      <c r="C884" s="516">
        <v>0</v>
      </c>
      <c r="D884" s="516">
        <f>'04'!F883</f>
        <v>0</v>
      </c>
      <c r="E884" s="525">
        <v>0</v>
      </c>
      <c r="F884" s="526" t="str">
        <f t="shared" si="55"/>
        <v/>
      </c>
      <c r="G884" s="470" t="str">
        <f t="shared" si="56"/>
        <v/>
      </c>
      <c r="H884" s="524" t="str">
        <f t="shared" si="53"/>
        <v>否</v>
      </c>
      <c r="I884" s="312" t="str">
        <f t="shared" si="54"/>
        <v>项</v>
      </c>
    </row>
    <row r="885" s="372" customFormat="1" ht="24" customHeight="1" spans="1:9">
      <c r="A885" s="330">
        <v>2130111</v>
      </c>
      <c r="B885" s="379" t="s">
        <v>846</v>
      </c>
      <c r="C885" s="516">
        <v>4</v>
      </c>
      <c r="D885" s="516">
        <f>'04'!F884</f>
        <v>0</v>
      </c>
      <c r="E885" s="525">
        <v>0</v>
      </c>
      <c r="F885" s="526">
        <f t="shared" si="55"/>
        <v>-1</v>
      </c>
      <c r="G885" s="470" t="str">
        <f t="shared" si="56"/>
        <v/>
      </c>
      <c r="H885" s="524" t="str">
        <f t="shared" si="53"/>
        <v>是</v>
      </c>
      <c r="I885" s="312" t="str">
        <f t="shared" si="54"/>
        <v>项</v>
      </c>
    </row>
    <row r="886" ht="24" hidden="1" customHeight="1" spans="1:9">
      <c r="A886" s="330">
        <v>2130112</v>
      </c>
      <c r="B886" s="379" t="s">
        <v>847</v>
      </c>
      <c r="C886" s="516">
        <v>0</v>
      </c>
      <c r="D886" s="516">
        <f>'04'!F885</f>
        <v>0</v>
      </c>
      <c r="E886" s="525">
        <v>0</v>
      </c>
      <c r="F886" s="526" t="str">
        <f t="shared" si="55"/>
        <v/>
      </c>
      <c r="G886" s="470" t="str">
        <f t="shared" si="56"/>
        <v/>
      </c>
      <c r="H886" s="524" t="str">
        <f t="shared" si="53"/>
        <v>否</v>
      </c>
      <c r="I886" s="312" t="str">
        <f t="shared" si="54"/>
        <v>项</v>
      </c>
    </row>
    <row r="887" s="372" customFormat="1" ht="24" hidden="1" customHeight="1" spans="1:9">
      <c r="A887" s="330">
        <v>2130114</v>
      </c>
      <c r="B887" s="379" t="s">
        <v>848</v>
      </c>
      <c r="C887" s="516">
        <v>0</v>
      </c>
      <c r="D887" s="516">
        <f>'04'!F886</f>
        <v>0</v>
      </c>
      <c r="E887" s="525">
        <v>0</v>
      </c>
      <c r="F887" s="526" t="str">
        <f t="shared" si="55"/>
        <v/>
      </c>
      <c r="G887" s="470" t="str">
        <f t="shared" si="56"/>
        <v/>
      </c>
      <c r="H887" s="524" t="str">
        <f t="shared" si="53"/>
        <v>否</v>
      </c>
      <c r="I887" s="312" t="str">
        <f t="shared" si="54"/>
        <v>项</v>
      </c>
    </row>
    <row r="888" ht="24" customHeight="1" spans="1:9">
      <c r="A888" s="330">
        <v>2130119</v>
      </c>
      <c r="B888" s="379" t="s">
        <v>849</v>
      </c>
      <c r="C888" s="516">
        <v>145</v>
      </c>
      <c r="D888" s="516">
        <f>'04'!F887</f>
        <v>0</v>
      </c>
      <c r="E888" s="525">
        <v>0</v>
      </c>
      <c r="F888" s="526">
        <f t="shared" si="55"/>
        <v>-1</v>
      </c>
      <c r="G888" s="470" t="str">
        <f t="shared" si="56"/>
        <v/>
      </c>
      <c r="H888" s="524" t="str">
        <f t="shared" si="53"/>
        <v>是</v>
      </c>
      <c r="I888" s="312" t="str">
        <f t="shared" si="54"/>
        <v>项</v>
      </c>
    </row>
    <row r="889" s="372" customFormat="1" ht="24" hidden="1" customHeight="1" spans="1:9">
      <c r="A889" s="330">
        <v>2130120</v>
      </c>
      <c r="B889" s="379" t="s">
        <v>850</v>
      </c>
      <c r="C889" s="516">
        <v>0</v>
      </c>
      <c r="D889" s="516">
        <f>'04'!F888</f>
        <v>0</v>
      </c>
      <c r="E889" s="525">
        <v>0</v>
      </c>
      <c r="F889" s="526" t="str">
        <f t="shared" si="55"/>
        <v/>
      </c>
      <c r="G889" s="470" t="str">
        <f t="shared" si="56"/>
        <v/>
      </c>
      <c r="H889" s="524" t="str">
        <f t="shared" si="53"/>
        <v>否</v>
      </c>
      <c r="I889" s="312" t="str">
        <f t="shared" si="54"/>
        <v>项</v>
      </c>
    </row>
    <row r="890" s="372" customFormat="1" ht="24" hidden="1" customHeight="1" spans="1:9">
      <c r="A890" s="330">
        <v>2130121</v>
      </c>
      <c r="B890" s="379" t="s">
        <v>851</v>
      </c>
      <c r="C890" s="516">
        <v>0</v>
      </c>
      <c r="D890" s="516">
        <f>'04'!F889</f>
        <v>0</v>
      </c>
      <c r="E890" s="525">
        <v>0</v>
      </c>
      <c r="F890" s="526" t="str">
        <f t="shared" si="55"/>
        <v/>
      </c>
      <c r="G890" s="470" t="str">
        <f t="shared" si="56"/>
        <v/>
      </c>
      <c r="H890" s="524" t="str">
        <f t="shared" si="53"/>
        <v>否</v>
      </c>
      <c r="I890" s="312" t="str">
        <f t="shared" si="54"/>
        <v>项</v>
      </c>
    </row>
    <row r="891" ht="24" customHeight="1" spans="1:9">
      <c r="A891" s="330">
        <v>2130122</v>
      </c>
      <c r="B891" s="379" t="s">
        <v>852</v>
      </c>
      <c r="C891" s="516">
        <v>0</v>
      </c>
      <c r="D891" s="516">
        <f>'04'!F890</f>
        <v>1801</v>
      </c>
      <c r="E891" s="525">
        <v>2358</v>
      </c>
      <c r="F891" s="526" t="str">
        <f t="shared" si="55"/>
        <v/>
      </c>
      <c r="G891" s="470">
        <f t="shared" si="56"/>
        <v>0.309272626318712</v>
      </c>
      <c r="H891" s="524" t="str">
        <f t="shared" si="53"/>
        <v>是</v>
      </c>
      <c r="I891" s="312" t="str">
        <f t="shared" si="54"/>
        <v>项</v>
      </c>
    </row>
    <row r="892" s="372" customFormat="1" ht="24" customHeight="1" spans="1:9">
      <c r="A892" s="330">
        <v>2130124</v>
      </c>
      <c r="B892" s="379" t="s">
        <v>853</v>
      </c>
      <c r="C892" s="516">
        <v>0</v>
      </c>
      <c r="D892" s="516">
        <f>'04'!F891</f>
        <v>1</v>
      </c>
      <c r="E892" s="525">
        <v>2</v>
      </c>
      <c r="F892" s="526" t="str">
        <f t="shared" si="55"/>
        <v/>
      </c>
      <c r="G892" s="470">
        <f t="shared" si="56"/>
        <v>1</v>
      </c>
      <c r="H892" s="524" t="str">
        <f t="shared" si="53"/>
        <v>是</v>
      </c>
      <c r="I892" s="312" t="str">
        <f t="shared" si="54"/>
        <v>项</v>
      </c>
    </row>
    <row r="893" ht="24" customHeight="1" spans="1:9">
      <c r="A893" s="330">
        <v>2130125</v>
      </c>
      <c r="B893" s="379" t="s">
        <v>854</v>
      </c>
      <c r="C893" s="516">
        <v>0</v>
      </c>
      <c r="D893" s="516">
        <f>'04'!F892</f>
        <v>18</v>
      </c>
      <c r="E893" s="525">
        <v>19</v>
      </c>
      <c r="F893" s="526" t="str">
        <f t="shared" si="55"/>
        <v/>
      </c>
      <c r="G893" s="470">
        <f t="shared" si="56"/>
        <v>0.0555555555555556</v>
      </c>
      <c r="H893" s="524" t="str">
        <f t="shared" si="53"/>
        <v>是</v>
      </c>
      <c r="I893" s="312" t="str">
        <f t="shared" si="54"/>
        <v>项</v>
      </c>
    </row>
    <row r="894" s="372" customFormat="1" ht="24" hidden="1" customHeight="1" spans="1:9">
      <c r="A894" s="330">
        <v>2130126</v>
      </c>
      <c r="B894" s="379" t="s">
        <v>855</v>
      </c>
      <c r="C894" s="516">
        <v>0</v>
      </c>
      <c r="D894" s="516">
        <f>'04'!F893</f>
        <v>0</v>
      </c>
      <c r="E894" s="525">
        <v>0</v>
      </c>
      <c r="F894" s="526" t="str">
        <f t="shared" si="55"/>
        <v/>
      </c>
      <c r="G894" s="470" t="str">
        <f t="shared" si="56"/>
        <v/>
      </c>
      <c r="H894" s="524" t="str">
        <f t="shared" si="53"/>
        <v>否</v>
      </c>
      <c r="I894" s="312" t="str">
        <f t="shared" si="54"/>
        <v>项</v>
      </c>
    </row>
    <row r="895" ht="24" customHeight="1" spans="1:9">
      <c r="A895" s="330">
        <v>2130135</v>
      </c>
      <c r="B895" s="379" t="s">
        <v>856</v>
      </c>
      <c r="C895" s="516">
        <v>26</v>
      </c>
      <c r="D895" s="516">
        <f>'04'!F894</f>
        <v>132</v>
      </c>
      <c r="E895" s="525">
        <v>135</v>
      </c>
      <c r="F895" s="526">
        <f t="shared" si="55"/>
        <v>4.19230769230769</v>
      </c>
      <c r="G895" s="470">
        <f t="shared" si="56"/>
        <v>0.0227272727272727</v>
      </c>
      <c r="H895" s="524" t="str">
        <f t="shared" si="53"/>
        <v>是</v>
      </c>
      <c r="I895" s="312" t="str">
        <f t="shared" si="54"/>
        <v>项</v>
      </c>
    </row>
    <row r="896" s="372" customFormat="1" ht="24" hidden="1" customHeight="1" spans="1:9">
      <c r="A896" s="330">
        <v>2130142</v>
      </c>
      <c r="B896" s="379" t="s">
        <v>857</v>
      </c>
      <c r="C896" s="516">
        <v>0</v>
      </c>
      <c r="D896" s="516">
        <f>'04'!F895</f>
        <v>0</v>
      </c>
      <c r="E896" s="525">
        <v>0</v>
      </c>
      <c r="F896" s="526" t="str">
        <f t="shared" si="55"/>
        <v/>
      </c>
      <c r="G896" s="470" t="str">
        <f t="shared" si="56"/>
        <v/>
      </c>
      <c r="H896" s="524" t="str">
        <f t="shared" si="53"/>
        <v>否</v>
      </c>
      <c r="I896" s="312" t="str">
        <f t="shared" si="54"/>
        <v>项</v>
      </c>
    </row>
    <row r="897" ht="24" customHeight="1" spans="1:9">
      <c r="A897" s="330">
        <v>2130148</v>
      </c>
      <c r="B897" s="405" t="s">
        <v>858</v>
      </c>
      <c r="C897" s="516">
        <v>0</v>
      </c>
      <c r="D897" s="516">
        <f>'04'!F896</f>
        <v>1</v>
      </c>
      <c r="E897" s="525">
        <v>2</v>
      </c>
      <c r="F897" s="526" t="str">
        <f t="shared" si="55"/>
        <v/>
      </c>
      <c r="G897" s="470">
        <f t="shared" si="56"/>
        <v>1</v>
      </c>
      <c r="H897" s="524" t="str">
        <f t="shared" si="53"/>
        <v>是</v>
      </c>
      <c r="I897" s="312" t="str">
        <f t="shared" si="54"/>
        <v>项</v>
      </c>
    </row>
    <row r="898" ht="24" hidden="1" customHeight="1" spans="1:9">
      <c r="A898" s="330">
        <v>2130152</v>
      </c>
      <c r="B898" s="379" t="s">
        <v>859</v>
      </c>
      <c r="C898" s="516">
        <v>0</v>
      </c>
      <c r="D898" s="516">
        <f>'04'!F897</f>
        <v>0</v>
      </c>
      <c r="E898" s="525">
        <v>0</v>
      </c>
      <c r="F898" s="526" t="str">
        <f t="shared" si="55"/>
        <v/>
      </c>
      <c r="G898" s="470" t="str">
        <f t="shared" si="56"/>
        <v/>
      </c>
      <c r="H898" s="524" t="str">
        <f t="shared" si="53"/>
        <v>否</v>
      </c>
      <c r="I898" s="312" t="str">
        <f t="shared" si="54"/>
        <v>项</v>
      </c>
    </row>
    <row r="899" s="372" customFormat="1" ht="24" customHeight="1" spans="1:9">
      <c r="A899" s="330">
        <v>2130153</v>
      </c>
      <c r="B899" s="379" t="s">
        <v>860</v>
      </c>
      <c r="C899" s="516">
        <v>0</v>
      </c>
      <c r="D899" s="516">
        <f>'04'!F898</f>
        <v>9</v>
      </c>
      <c r="E899" s="525">
        <v>11</v>
      </c>
      <c r="F899" s="526" t="str">
        <f t="shared" si="55"/>
        <v/>
      </c>
      <c r="G899" s="470">
        <f t="shared" si="56"/>
        <v>0.222222222222222</v>
      </c>
      <c r="H899" s="524" t="str">
        <f t="shared" si="53"/>
        <v>是</v>
      </c>
      <c r="I899" s="312" t="str">
        <f t="shared" si="54"/>
        <v>项</v>
      </c>
    </row>
    <row r="900" s="372" customFormat="1" ht="24" customHeight="1" spans="1:9">
      <c r="A900" s="330">
        <v>2130199</v>
      </c>
      <c r="B900" s="379" t="s">
        <v>861</v>
      </c>
      <c r="C900" s="516">
        <v>0</v>
      </c>
      <c r="D900" s="516">
        <f>'04'!F899</f>
        <v>14</v>
      </c>
      <c r="E900" s="525">
        <v>12</v>
      </c>
      <c r="F900" s="526" t="str">
        <f t="shared" si="55"/>
        <v/>
      </c>
      <c r="G900" s="470">
        <f t="shared" si="56"/>
        <v>-0.142857142857143</v>
      </c>
      <c r="H900" s="524" t="str">
        <f t="shared" si="53"/>
        <v>是</v>
      </c>
      <c r="I900" s="312" t="str">
        <f t="shared" si="54"/>
        <v>项</v>
      </c>
    </row>
    <row r="901" s="372" customFormat="1" ht="24" customHeight="1" spans="1:9">
      <c r="A901" s="330">
        <v>21302</v>
      </c>
      <c r="B901" s="379" t="s">
        <v>862</v>
      </c>
      <c r="C901" s="515">
        <f>SUM(C902:C923)</f>
        <v>60520</v>
      </c>
      <c r="D901" s="515">
        <f>SUM(D902:D923)</f>
        <v>4044</v>
      </c>
      <c r="E901" s="515">
        <f>SUM(E902:E923)</f>
        <v>4118</v>
      </c>
      <c r="F901" s="523">
        <f t="shared" si="55"/>
        <v>-0.931956378056841</v>
      </c>
      <c r="G901" s="467">
        <f t="shared" si="56"/>
        <v>0.0182987141444115</v>
      </c>
      <c r="H901" s="524" t="str">
        <f t="shared" si="53"/>
        <v>是</v>
      </c>
      <c r="I901" s="312" t="str">
        <f t="shared" si="54"/>
        <v>款</v>
      </c>
    </row>
    <row r="902" s="372" customFormat="1" ht="24" customHeight="1" spans="1:9">
      <c r="A902" s="330">
        <v>2130201</v>
      </c>
      <c r="B902" s="379" t="s">
        <v>212</v>
      </c>
      <c r="C902" s="516">
        <v>742</v>
      </c>
      <c r="D902" s="516">
        <f>'04'!F901</f>
        <v>699</v>
      </c>
      <c r="E902" s="525">
        <v>722</v>
      </c>
      <c r="F902" s="526">
        <f t="shared" si="55"/>
        <v>-0.0269541778975741</v>
      </c>
      <c r="G902" s="470">
        <f t="shared" si="56"/>
        <v>0.0329041487839771</v>
      </c>
      <c r="H902" s="524" t="str">
        <f t="shared" ref="H902:H965" si="58">IF(LEN(A902)=3,"是",IF(B902&lt;&gt;"",IF(SUM(C902:E902)&lt;&gt;0,"是","否"),"是"))</f>
        <v>是</v>
      </c>
      <c r="I902" s="312" t="str">
        <f t="shared" ref="I902:I965" si="59">IF(LEN(A902)=3,"类",IF(LEN(A902)=5,"款","项"))</f>
        <v>项</v>
      </c>
    </row>
    <row r="903" s="372" customFormat="1" ht="24" hidden="1" customHeight="1" spans="1:9">
      <c r="A903" s="330">
        <v>2130202</v>
      </c>
      <c r="B903" s="379" t="s">
        <v>213</v>
      </c>
      <c r="C903" s="516">
        <v>0</v>
      </c>
      <c r="D903" s="516">
        <f>'04'!F902</f>
        <v>0</v>
      </c>
      <c r="E903" s="525">
        <v>0</v>
      </c>
      <c r="F903" s="526" t="str">
        <f t="shared" ref="F903:F966" si="60">IFERROR((E903-C903)/C903,"")</f>
        <v/>
      </c>
      <c r="G903" s="470" t="str">
        <f t="shared" ref="G903:G966" si="61">IFERROR((E903-D903)/D903,"")</f>
        <v/>
      </c>
      <c r="H903" s="524" t="str">
        <f t="shared" si="58"/>
        <v>否</v>
      </c>
      <c r="I903" s="312" t="str">
        <f t="shared" si="59"/>
        <v>项</v>
      </c>
    </row>
    <row r="904" s="372" customFormat="1" ht="24" hidden="1" customHeight="1" spans="1:9">
      <c r="A904" s="330">
        <v>2130203</v>
      </c>
      <c r="B904" s="379" t="s">
        <v>214</v>
      </c>
      <c r="C904" s="516">
        <v>0</v>
      </c>
      <c r="D904" s="516">
        <f>'04'!F903</f>
        <v>0</v>
      </c>
      <c r="E904" s="525">
        <v>0</v>
      </c>
      <c r="F904" s="526" t="str">
        <f t="shared" si="60"/>
        <v/>
      </c>
      <c r="G904" s="470" t="str">
        <f t="shared" si="61"/>
        <v/>
      </c>
      <c r="H904" s="524" t="str">
        <f t="shared" si="58"/>
        <v>否</v>
      </c>
      <c r="I904" s="312" t="str">
        <f t="shared" si="59"/>
        <v>项</v>
      </c>
    </row>
    <row r="905" s="372" customFormat="1" ht="24" customHeight="1" spans="1:9">
      <c r="A905" s="330">
        <v>2130204</v>
      </c>
      <c r="B905" s="379" t="s">
        <v>863</v>
      </c>
      <c r="C905" s="516">
        <v>665</v>
      </c>
      <c r="D905" s="516">
        <f>'04'!F904</f>
        <v>712</v>
      </c>
      <c r="E905" s="525">
        <v>745</v>
      </c>
      <c r="F905" s="526">
        <f t="shared" si="60"/>
        <v>0.120300751879699</v>
      </c>
      <c r="G905" s="470">
        <f t="shared" si="61"/>
        <v>0.0463483146067416</v>
      </c>
      <c r="H905" s="524" t="str">
        <f t="shared" si="58"/>
        <v>是</v>
      </c>
      <c r="I905" s="312" t="str">
        <f t="shared" si="59"/>
        <v>项</v>
      </c>
    </row>
    <row r="906" s="372" customFormat="1" ht="24" customHeight="1" spans="1:9">
      <c r="A906" s="330">
        <v>2130205</v>
      </c>
      <c r="B906" s="379" t="s">
        <v>864</v>
      </c>
      <c r="C906" s="516">
        <v>821</v>
      </c>
      <c r="D906" s="516">
        <f>'04'!F905</f>
        <v>364</v>
      </c>
      <c r="E906" s="525">
        <v>375</v>
      </c>
      <c r="F906" s="526">
        <f t="shared" si="60"/>
        <v>-0.543239951278928</v>
      </c>
      <c r="G906" s="470">
        <f t="shared" si="61"/>
        <v>0.0302197802197802</v>
      </c>
      <c r="H906" s="524" t="str">
        <f t="shared" si="58"/>
        <v>是</v>
      </c>
      <c r="I906" s="312" t="str">
        <f t="shared" si="59"/>
        <v>项</v>
      </c>
    </row>
    <row r="907" s="372" customFormat="1" ht="24" customHeight="1" spans="1:9">
      <c r="A907" s="330">
        <v>2130206</v>
      </c>
      <c r="B907" s="379" t="s">
        <v>865</v>
      </c>
      <c r="C907" s="516">
        <v>30</v>
      </c>
      <c r="D907" s="516">
        <f>'04'!F906</f>
        <v>77</v>
      </c>
      <c r="E907" s="525">
        <v>68</v>
      </c>
      <c r="F907" s="526">
        <f t="shared" si="60"/>
        <v>1.26666666666667</v>
      </c>
      <c r="G907" s="470">
        <f t="shared" si="61"/>
        <v>-0.116883116883117</v>
      </c>
      <c r="H907" s="524" t="str">
        <f t="shared" si="58"/>
        <v>是</v>
      </c>
      <c r="I907" s="312" t="str">
        <f t="shared" si="59"/>
        <v>项</v>
      </c>
    </row>
    <row r="908" s="372" customFormat="1" ht="24" customHeight="1" spans="1:9">
      <c r="A908" s="330">
        <v>2130207</v>
      </c>
      <c r="B908" s="379" t="s">
        <v>866</v>
      </c>
      <c r="C908" s="516">
        <v>50</v>
      </c>
      <c r="D908" s="516">
        <f>'04'!F907</f>
        <v>112</v>
      </c>
      <c r="E908" s="525">
        <v>115</v>
      </c>
      <c r="F908" s="526">
        <f t="shared" si="60"/>
        <v>1.3</v>
      </c>
      <c r="G908" s="470">
        <f t="shared" si="61"/>
        <v>0.0267857142857143</v>
      </c>
      <c r="H908" s="524" t="str">
        <f t="shared" si="58"/>
        <v>是</v>
      </c>
      <c r="I908" s="312" t="str">
        <f t="shared" si="59"/>
        <v>项</v>
      </c>
    </row>
    <row r="909" s="372" customFormat="1" ht="24" customHeight="1" spans="1:9">
      <c r="A909" s="330">
        <v>2130209</v>
      </c>
      <c r="B909" s="379" t="s">
        <v>867</v>
      </c>
      <c r="C909" s="516">
        <v>270</v>
      </c>
      <c r="D909" s="516">
        <f>'04'!F908</f>
        <v>41</v>
      </c>
      <c r="E909" s="525">
        <v>45</v>
      </c>
      <c r="F909" s="526">
        <f t="shared" si="60"/>
        <v>-0.833333333333333</v>
      </c>
      <c r="G909" s="470">
        <f t="shared" si="61"/>
        <v>0.0975609756097561</v>
      </c>
      <c r="H909" s="524" t="str">
        <f t="shared" si="58"/>
        <v>是</v>
      </c>
      <c r="I909" s="312" t="str">
        <f t="shared" si="59"/>
        <v>项</v>
      </c>
    </row>
    <row r="910" s="372" customFormat="1" ht="24" customHeight="1" spans="1:9">
      <c r="A910" s="330">
        <v>2130211</v>
      </c>
      <c r="B910" s="379" t="s">
        <v>868</v>
      </c>
      <c r="C910" s="516">
        <v>5</v>
      </c>
      <c r="D910" s="516">
        <f>'04'!F909</f>
        <v>9</v>
      </c>
      <c r="E910" s="525">
        <v>11</v>
      </c>
      <c r="F910" s="526">
        <f t="shared" si="60"/>
        <v>1.2</v>
      </c>
      <c r="G910" s="470">
        <f t="shared" si="61"/>
        <v>0.222222222222222</v>
      </c>
      <c r="H910" s="524" t="str">
        <f t="shared" si="58"/>
        <v>是</v>
      </c>
      <c r="I910" s="312" t="str">
        <f t="shared" si="59"/>
        <v>项</v>
      </c>
    </row>
    <row r="911" s="372" customFormat="1" ht="24" customHeight="1" spans="1:9">
      <c r="A911" s="330">
        <v>2130212</v>
      </c>
      <c r="B911" s="379" t="s">
        <v>869</v>
      </c>
      <c r="C911" s="516">
        <v>236</v>
      </c>
      <c r="D911" s="516">
        <f>'04'!F910</f>
        <v>761</v>
      </c>
      <c r="E911" s="525">
        <v>775</v>
      </c>
      <c r="F911" s="526">
        <f t="shared" si="60"/>
        <v>2.28389830508475</v>
      </c>
      <c r="G911" s="470">
        <f t="shared" si="61"/>
        <v>0.0183968462549277</v>
      </c>
      <c r="H911" s="524" t="str">
        <f t="shared" si="58"/>
        <v>是</v>
      </c>
      <c r="I911" s="312" t="str">
        <f t="shared" si="59"/>
        <v>项</v>
      </c>
    </row>
    <row r="912" s="372" customFormat="1" ht="24" hidden="1" customHeight="1" spans="1:9">
      <c r="A912" s="330">
        <v>2130213</v>
      </c>
      <c r="B912" s="379" t="s">
        <v>870</v>
      </c>
      <c r="C912" s="516">
        <v>0</v>
      </c>
      <c r="D912" s="516">
        <f>'04'!F911</f>
        <v>0</v>
      </c>
      <c r="E912" s="525">
        <v>0</v>
      </c>
      <c r="F912" s="526" t="str">
        <f t="shared" si="60"/>
        <v/>
      </c>
      <c r="G912" s="470" t="str">
        <f t="shared" si="61"/>
        <v/>
      </c>
      <c r="H912" s="524" t="str">
        <f t="shared" si="58"/>
        <v>否</v>
      </c>
      <c r="I912" s="312" t="str">
        <f t="shared" si="59"/>
        <v>项</v>
      </c>
    </row>
    <row r="913" s="372" customFormat="1" ht="24" hidden="1" customHeight="1" spans="1:9">
      <c r="A913" s="330">
        <v>2130217</v>
      </c>
      <c r="B913" s="379" t="s">
        <v>871</v>
      </c>
      <c r="C913" s="516">
        <v>0</v>
      </c>
      <c r="D913" s="516">
        <f>'04'!F912</f>
        <v>0</v>
      </c>
      <c r="E913" s="525">
        <v>0</v>
      </c>
      <c r="F913" s="526" t="str">
        <f t="shared" si="60"/>
        <v/>
      </c>
      <c r="G913" s="470" t="str">
        <f t="shared" si="61"/>
        <v/>
      </c>
      <c r="H913" s="524" t="str">
        <f t="shared" si="58"/>
        <v>否</v>
      </c>
      <c r="I913" s="312" t="str">
        <f t="shared" si="59"/>
        <v>项</v>
      </c>
    </row>
    <row r="914" s="372" customFormat="1" ht="24" hidden="1" customHeight="1" spans="1:9">
      <c r="A914" s="330">
        <v>2130220</v>
      </c>
      <c r="B914" s="379" t="s">
        <v>872</v>
      </c>
      <c r="C914" s="516">
        <v>0</v>
      </c>
      <c r="D914" s="516">
        <f>'04'!F913</f>
        <v>0</v>
      </c>
      <c r="E914" s="525">
        <v>0</v>
      </c>
      <c r="F914" s="526" t="str">
        <f t="shared" si="60"/>
        <v/>
      </c>
      <c r="G914" s="470" t="str">
        <f t="shared" si="61"/>
        <v/>
      </c>
      <c r="H914" s="524" t="str">
        <f t="shared" si="58"/>
        <v>否</v>
      </c>
      <c r="I914" s="312" t="str">
        <f t="shared" si="59"/>
        <v>项</v>
      </c>
    </row>
    <row r="915" s="372" customFormat="1" ht="24" hidden="1" customHeight="1" spans="1:9">
      <c r="A915" s="330">
        <v>2130221</v>
      </c>
      <c r="B915" s="379" t="s">
        <v>873</v>
      </c>
      <c r="C915" s="516">
        <v>0</v>
      </c>
      <c r="D915" s="516">
        <f>'04'!F914</f>
        <v>0</v>
      </c>
      <c r="E915" s="525">
        <v>0</v>
      </c>
      <c r="F915" s="526" t="str">
        <f t="shared" si="60"/>
        <v/>
      </c>
      <c r="G915" s="470" t="str">
        <f t="shared" si="61"/>
        <v/>
      </c>
      <c r="H915" s="524" t="str">
        <f t="shared" si="58"/>
        <v>否</v>
      </c>
      <c r="I915" s="312" t="str">
        <f t="shared" si="59"/>
        <v>项</v>
      </c>
    </row>
    <row r="916" s="372" customFormat="1" ht="24" hidden="1" customHeight="1" spans="1:9">
      <c r="A916" s="330">
        <v>2130223</v>
      </c>
      <c r="B916" s="379" t="s">
        <v>874</v>
      </c>
      <c r="C916" s="516">
        <v>0</v>
      </c>
      <c r="D916" s="516">
        <f>'04'!F915</f>
        <v>0</v>
      </c>
      <c r="E916" s="525">
        <v>0</v>
      </c>
      <c r="F916" s="526" t="str">
        <f t="shared" si="60"/>
        <v/>
      </c>
      <c r="G916" s="470" t="str">
        <f t="shared" si="61"/>
        <v/>
      </c>
      <c r="H916" s="524" t="str">
        <f t="shared" si="58"/>
        <v>否</v>
      </c>
      <c r="I916" s="312" t="str">
        <f t="shared" si="59"/>
        <v>项</v>
      </c>
    </row>
    <row r="917" s="372" customFormat="1" ht="24" hidden="1" customHeight="1" spans="1:9">
      <c r="A917" s="330">
        <v>2130226</v>
      </c>
      <c r="B917" s="379" t="s">
        <v>875</v>
      </c>
      <c r="C917" s="516">
        <v>0</v>
      </c>
      <c r="D917" s="516">
        <f>'04'!F916</f>
        <v>0</v>
      </c>
      <c r="E917" s="525">
        <v>0</v>
      </c>
      <c r="F917" s="526" t="str">
        <f t="shared" si="60"/>
        <v/>
      </c>
      <c r="G917" s="470" t="str">
        <f t="shared" si="61"/>
        <v/>
      </c>
      <c r="H917" s="524" t="str">
        <f t="shared" si="58"/>
        <v>否</v>
      </c>
      <c r="I917" s="312" t="str">
        <f t="shared" si="59"/>
        <v>项</v>
      </c>
    </row>
    <row r="918" s="372" customFormat="1" ht="24" hidden="1" customHeight="1" spans="1:9">
      <c r="A918" s="330">
        <v>2130227</v>
      </c>
      <c r="B918" s="379" t="s">
        <v>876</v>
      </c>
      <c r="C918" s="516">
        <v>0</v>
      </c>
      <c r="D918" s="516">
        <f>'04'!F917</f>
        <v>0</v>
      </c>
      <c r="E918" s="525">
        <v>0</v>
      </c>
      <c r="F918" s="526" t="str">
        <f t="shared" si="60"/>
        <v/>
      </c>
      <c r="G918" s="470" t="str">
        <f t="shared" si="61"/>
        <v/>
      </c>
      <c r="H918" s="524" t="str">
        <f t="shared" si="58"/>
        <v>否</v>
      </c>
      <c r="I918" s="312" t="str">
        <f t="shared" si="59"/>
        <v>项</v>
      </c>
    </row>
    <row r="919" s="372" customFormat="1" ht="24" customHeight="1" spans="1:9">
      <c r="A919" s="330">
        <v>2130234</v>
      </c>
      <c r="B919" s="379" t="s">
        <v>877</v>
      </c>
      <c r="C919" s="516">
        <v>57681</v>
      </c>
      <c r="D919" s="516">
        <f>'04'!F918</f>
        <v>727</v>
      </c>
      <c r="E919" s="525">
        <v>735</v>
      </c>
      <c r="F919" s="526">
        <f t="shared" si="60"/>
        <v>-0.987257502470484</v>
      </c>
      <c r="G919" s="470">
        <f t="shared" si="61"/>
        <v>0.0110041265474553</v>
      </c>
      <c r="H919" s="524" t="str">
        <f t="shared" si="58"/>
        <v>是</v>
      </c>
      <c r="I919" s="312" t="str">
        <f t="shared" si="59"/>
        <v>项</v>
      </c>
    </row>
    <row r="920" s="372" customFormat="1" ht="24" hidden="1" customHeight="1" spans="1:9">
      <c r="A920" s="330">
        <v>2130236</v>
      </c>
      <c r="B920" s="379" t="s">
        <v>878</v>
      </c>
      <c r="C920" s="516">
        <v>0</v>
      </c>
      <c r="D920" s="516">
        <f>'04'!F919</f>
        <v>0</v>
      </c>
      <c r="E920" s="525">
        <v>0</v>
      </c>
      <c r="F920" s="526" t="str">
        <f t="shared" si="60"/>
        <v/>
      </c>
      <c r="G920" s="470" t="str">
        <f t="shared" si="61"/>
        <v/>
      </c>
      <c r="H920" s="524" t="str">
        <f t="shared" si="58"/>
        <v>否</v>
      </c>
      <c r="I920" s="312" t="str">
        <f t="shared" si="59"/>
        <v>项</v>
      </c>
    </row>
    <row r="921" s="372" customFormat="1" ht="24" customHeight="1" spans="1:9">
      <c r="A921" s="330">
        <v>2130237</v>
      </c>
      <c r="B921" s="379" t="s">
        <v>847</v>
      </c>
      <c r="C921" s="516">
        <v>0</v>
      </c>
      <c r="D921" s="516">
        <f>'04'!F920</f>
        <v>30</v>
      </c>
      <c r="E921" s="525">
        <v>32</v>
      </c>
      <c r="F921" s="526" t="str">
        <f t="shared" si="60"/>
        <v/>
      </c>
      <c r="G921" s="470">
        <f t="shared" si="61"/>
        <v>0.0666666666666667</v>
      </c>
      <c r="H921" s="524" t="str">
        <f t="shared" si="58"/>
        <v>是</v>
      </c>
      <c r="I921" s="312" t="str">
        <f t="shared" si="59"/>
        <v>项</v>
      </c>
    </row>
    <row r="922" s="506" customFormat="1" ht="24" customHeight="1" spans="1:9">
      <c r="A922" s="326">
        <v>2130238</v>
      </c>
      <c r="B922" s="327" t="s">
        <v>879</v>
      </c>
      <c r="C922" s="516">
        <v>0</v>
      </c>
      <c r="D922" s="516">
        <f>'04'!F921</f>
        <v>1</v>
      </c>
      <c r="E922" s="525">
        <v>0</v>
      </c>
      <c r="F922" s="526" t="str">
        <f t="shared" si="60"/>
        <v/>
      </c>
      <c r="G922" s="470">
        <f t="shared" si="61"/>
        <v>-1</v>
      </c>
      <c r="H922" s="524" t="str">
        <f t="shared" si="58"/>
        <v>是</v>
      </c>
      <c r="I922" s="309" t="str">
        <f t="shared" si="59"/>
        <v>项</v>
      </c>
    </row>
    <row r="923" s="372" customFormat="1" ht="24" customHeight="1" spans="1:9">
      <c r="A923" s="330">
        <v>2130299</v>
      </c>
      <c r="B923" s="379" t="s">
        <v>880</v>
      </c>
      <c r="C923" s="516">
        <v>20</v>
      </c>
      <c r="D923" s="516">
        <f>'04'!F922</f>
        <v>511</v>
      </c>
      <c r="E923" s="525">
        <v>495</v>
      </c>
      <c r="F923" s="526">
        <f t="shared" si="60"/>
        <v>23.75</v>
      </c>
      <c r="G923" s="470">
        <f t="shared" si="61"/>
        <v>-0.0313111545988258</v>
      </c>
      <c r="H923" s="524" t="str">
        <f t="shared" si="58"/>
        <v>是</v>
      </c>
      <c r="I923" s="312" t="str">
        <f t="shared" si="59"/>
        <v>项</v>
      </c>
    </row>
    <row r="924" s="372" customFormat="1" ht="24" customHeight="1" spans="1:9">
      <c r="A924" s="330">
        <v>21303</v>
      </c>
      <c r="B924" s="379" t="s">
        <v>881</v>
      </c>
      <c r="C924" s="515">
        <f>SUM(C925:C951)</f>
        <v>14748</v>
      </c>
      <c r="D924" s="515">
        <f>SUM(D925:D951)</f>
        <v>3872</v>
      </c>
      <c r="E924" s="515">
        <f>SUM(E925:E951)</f>
        <v>3977</v>
      </c>
      <c r="F924" s="523">
        <f t="shared" si="60"/>
        <v>-0.730336316788717</v>
      </c>
      <c r="G924" s="467">
        <f t="shared" si="61"/>
        <v>0.0271177685950413</v>
      </c>
      <c r="H924" s="524" t="str">
        <f t="shared" si="58"/>
        <v>是</v>
      </c>
      <c r="I924" s="312" t="str">
        <f t="shared" si="59"/>
        <v>款</v>
      </c>
    </row>
    <row r="925" ht="24" customHeight="1" spans="1:9">
      <c r="A925" s="330">
        <v>2130301</v>
      </c>
      <c r="B925" s="379" t="s">
        <v>212</v>
      </c>
      <c r="C925" s="516">
        <v>615</v>
      </c>
      <c r="D925" s="516">
        <f>'04'!F924</f>
        <v>557</v>
      </c>
      <c r="E925" s="525">
        <v>581</v>
      </c>
      <c r="F925" s="526">
        <f t="shared" si="60"/>
        <v>-0.0552845528455285</v>
      </c>
      <c r="G925" s="470">
        <f t="shared" si="61"/>
        <v>0.0430879712746858</v>
      </c>
      <c r="H925" s="524" t="str">
        <f t="shared" si="58"/>
        <v>是</v>
      </c>
      <c r="I925" s="312" t="str">
        <f t="shared" si="59"/>
        <v>项</v>
      </c>
    </row>
    <row r="926" s="372" customFormat="1" ht="24" customHeight="1" spans="1:9">
      <c r="A926" s="330">
        <v>2130302</v>
      </c>
      <c r="B926" s="379" t="s">
        <v>213</v>
      </c>
      <c r="C926" s="516">
        <v>70</v>
      </c>
      <c r="D926" s="516">
        <f>'04'!F925</f>
        <v>45</v>
      </c>
      <c r="E926" s="525">
        <v>43</v>
      </c>
      <c r="F926" s="526">
        <f t="shared" si="60"/>
        <v>-0.385714285714286</v>
      </c>
      <c r="G926" s="470">
        <f t="shared" si="61"/>
        <v>-0.0444444444444444</v>
      </c>
      <c r="H926" s="524" t="str">
        <f t="shared" si="58"/>
        <v>是</v>
      </c>
      <c r="I926" s="312" t="str">
        <f t="shared" si="59"/>
        <v>项</v>
      </c>
    </row>
    <row r="927" s="372" customFormat="1" ht="24" hidden="1" customHeight="1" spans="1:9">
      <c r="A927" s="330">
        <v>2130303</v>
      </c>
      <c r="B927" s="379" t="s">
        <v>214</v>
      </c>
      <c r="C927" s="516">
        <v>0</v>
      </c>
      <c r="D927" s="516">
        <f>'04'!F926</f>
        <v>0</v>
      </c>
      <c r="E927" s="525">
        <v>0</v>
      </c>
      <c r="F927" s="526" t="str">
        <f t="shared" si="60"/>
        <v/>
      </c>
      <c r="G927" s="470" t="str">
        <f t="shared" si="61"/>
        <v/>
      </c>
      <c r="H927" s="524" t="str">
        <f t="shared" si="58"/>
        <v>否</v>
      </c>
      <c r="I927" s="312" t="str">
        <f t="shared" si="59"/>
        <v>项</v>
      </c>
    </row>
    <row r="928" s="372" customFormat="1" ht="24" customHeight="1" spans="1:9">
      <c r="A928" s="330">
        <v>2130304</v>
      </c>
      <c r="B928" s="379" t="s">
        <v>882</v>
      </c>
      <c r="C928" s="516">
        <v>290</v>
      </c>
      <c r="D928" s="516">
        <f>'04'!F927</f>
        <v>443</v>
      </c>
      <c r="E928" s="525">
        <v>435</v>
      </c>
      <c r="F928" s="526">
        <f t="shared" si="60"/>
        <v>0.5</v>
      </c>
      <c r="G928" s="470">
        <f t="shared" si="61"/>
        <v>-0.018058690744921</v>
      </c>
      <c r="H928" s="524" t="str">
        <f t="shared" si="58"/>
        <v>是</v>
      </c>
      <c r="I928" s="312" t="str">
        <f t="shared" si="59"/>
        <v>项</v>
      </c>
    </row>
    <row r="929" s="372" customFormat="1" ht="24" customHeight="1" spans="1:9">
      <c r="A929" s="330">
        <v>2130305</v>
      </c>
      <c r="B929" s="379" t="s">
        <v>883</v>
      </c>
      <c r="C929" s="516">
        <v>1800</v>
      </c>
      <c r="D929" s="516">
        <f>'04'!F928</f>
        <v>1437</v>
      </c>
      <c r="E929" s="525">
        <v>1525</v>
      </c>
      <c r="F929" s="526">
        <f t="shared" si="60"/>
        <v>-0.152777777777778</v>
      </c>
      <c r="G929" s="470">
        <f t="shared" si="61"/>
        <v>0.0612386917188587</v>
      </c>
      <c r="H929" s="524" t="str">
        <f t="shared" si="58"/>
        <v>是</v>
      </c>
      <c r="I929" s="312" t="str">
        <f t="shared" si="59"/>
        <v>项</v>
      </c>
    </row>
    <row r="930" s="372" customFormat="1" ht="24" hidden="1" customHeight="1" spans="1:9">
      <c r="A930" s="330">
        <v>2130306</v>
      </c>
      <c r="B930" s="379" t="s">
        <v>884</v>
      </c>
      <c r="C930" s="516">
        <v>0</v>
      </c>
      <c r="D930" s="516">
        <f>'04'!F929</f>
        <v>0</v>
      </c>
      <c r="E930" s="525">
        <v>0</v>
      </c>
      <c r="F930" s="526" t="str">
        <f t="shared" si="60"/>
        <v/>
      </c>
      <c r="G930" s="470" t="str">
        <f t="shared" si="61"/>
        <v/>
      </c>
      <c r="H930" s="524" t="str">
        <f t="shared" si="58"/>
        <v>否</v>
      </c>
      <c r="I930" s="312" t="str">
        <f t="shared" si="59"/>
        <v>项</v>
      </c>
    </row>
    <row r="931" s="372" customFormat="1" ht="24" hidden="1" customHeight="1" spans="1:9">
      <c r="A931" s="330">
        <v>2130307</v>
      </c>
      <c r="B931" s="379" t="s">
        <v>885</v>
      </c>
      <c r="C931" s="516">
        <v>0</v>
      </c>
      <c r="D931" s="516">
        <f>'04'!F930</f>
        <v>0</v>
      </c>
      <c r="E931" s="525">
        <v>0</v>
      </c>
      <c r="F931" s="526" t="str">
        <f t="shared" si="60"/>
        <v/>
      </c>
      <c r="G931" s="470" t="str">
        <f t="shared" si="61"/>
        <v/>
      </c>
      <c r="H931" s="524" t="str">
        <f t="shared" si="58"/>
        <v>否</v>
      </c>
      <c r="I931" s="312" t="str">
        <f t="shared" si="59"/>
        <v>项</v>
      </c>
    </row>
    <row r="932" s="372" customFormat="1" ht="24" customHeight="1" spans="1:9">
      <c r="A932" s="330">
        <v>2130308</v>
      </c>
      <c r="B932" s="379" t="s">
        <v>886</v>
      </c>
      <c r="C932" s="516">
        <v>165</v>
      </c>
      <c r="D932" s="516">
        <f>'04'!F931</f>
        <v>644</v>
      </c>
      <c r="E932" s="525">
        <v>632</v>
      </c>
      <c r="F932" s="526">
        <f t="shared" si="60"/>
        <v>2.83030303030303</v>
      </c>
      <c r="G932" s="470">
        <f t="shared" si="61"/>
        <v>-0.0186335403726708</v>
      </c>
      <c r="H932" s="524" t="str">
        <f t="shared" si="58"/>
        <v>是</v>
      </c>
      <c r="I932" s="312" t="str">
        <f t="shared" si="59"/>
        <v>项</v>
      </c>
    </row>
    <row r="933" s="372" customFormat="1" ht="24" hidden="1" customHeight="1" spans="1:9">
      <c r="A933" s="330">
        <v>2130309</v>
      </c>
      <c r="B933" s="379" t="s">
        <v>887</v>
      </c>
      <c r="C933" s="516">
        <v>0</v>
      </c>
      <c r="D933" s="516">
        <f>'04'!F932</f>
        <v>0</v>
      </c>
      <c r="E933" s="525">
        <v>0</v>
      </c>
      <c r="F933" s="526" t="str">
        <f t="shared" si="60"/>
        <v/>
      </c>
      <c r="G933" s="470" t="str">
        <f t="shared" si="61"/>
        <v/>
      </c>
      <c r="H933" s="524" t="str">
        <f t="shared" si="58"/>
        <v>否</v>
      </c>
      <c r="I933" s="312" t="str">
        <f t="shared" si="59"/>
        <v>项</v>
      </c>
    </row>
    <row r="934" s="372" customFormat="1" ht="24" customHeight="1" spans="1:9">
      <c r="A934" s="330">
        <v>2130310</v>
      </c>
      <c r="B934" s="379" t="s">
        <v>888</v>
      </c>
      <c r="C934" s="516">
        <v>152</v>
      </c>
      <c r="D934" s="516">
        <f>'04'!F933</f>
        <v>15</v>
      </c>
      <c r="E934" s="525">
        <v>16</v>
      </c>
      <c r="F934" s="526">
        <f t="shared" si="60"/>
        <v>-0.894736842105263</v>
      </c>
      <c r="G934" s="470">
        <f t="shared" si="61"/>
        <v>0.0666666666666667</v>
      </c>
      <c r="H934" s="524" t="str">
        <f t="shared" si="58"/>
        <v>是</v>
      </c>
      <c r="I934" s="312" t="str">
        <f t="shared" si="59"/>
        <v>项</v>
      </c>
    </row>
    <row r="935" s="372" customFormat="1" ht="24" customHeight="1" spans="1:9">
      <c r="A935" s="330">
        <v>2130311</v>
      </c>
      <c r="B935" s="379" t="s">
        <v>889</v>
      </c>
      <c r="C935" s="516">
        <v>20</v>
      </c>
      <c r="D935" s="516">
        <f>'04'!F934</f>
        <v>10</v>
      </c>
      <c r="E935" s="525">
        <v>11</v>
      </c>
      <c r="F935" s="526">
        <f t="shared" si="60"/>
        <v>-0.45</v>
      </c>
      <c r="G935" s="470">
        <f t="shared" si="61"/>
        <v>0.1</v>
      </c>
      <c r="H935" s="524" t="str">
        <f t="shared" si="58"/>
        <v>是</v>
      </c>
      <c r="I935" s="312" t="str">
        <f t="shared" si="59"/>
        <v>项</v>
      </c>
    </row>
    <row r="936" s="372" customFormat="1" ht="24" hidden="1" customHeight="1" spans="1:9">
      <c r="A936" s="330">
        <v>2130312</v>
      </c>
      <c r="B936" s="379" t="s">
        <v>890</v>
      </c>
      <c r="C936" s="516">
        <v>0</v>
      </c>
      <c r="D936" s="516">
        <f>'04'!F935</f>
        <v>0</v>
      </c>
      <c r="E936" s="525">
        <v>0</v>
      </c>
      <c r="F936" s="526" t="str">
        <f t="shared" si="60"/>
        <v/>
      </c>
      <c r="G936" s="470" t="str">
        <f t="shared" si="61"/>
        <v/>
      </c>
      <c r="H936" s="524" t="str">
        <f t="shared" si="58"/>
        <v>否</v>
      </c>
      <c r="I936" s="312" t="str">
        <f t="shared" si="59"/>
        <v>项</v>
      </c>
    </row>
    <row r="937" s="372" customFormat="1" ht="24" customHeight="1" spans="1:9">
      <c r="A937" s="330">
        <v>2130313</v>
      </c>
      <c r="B937" s="379" t="s">
        <v>891</v>
      </c>
      <c r="C937" s="516">
        <v>10</v>
      </c>
      <c r="D937" s="516">
        <f>'04'!F936</f>
        <v>25</v>
      </c>
      <c r="E937" s="525">
        <v>26</v>
      </c>
      <c r="F937" s="526">
        <f t="shared" si="60"/>
        <v>1.6</v>
      </c>
      <c r="G937" s="470">
        <f t="shared" si="61"/>
        <v>0.04</v>
      </c>
      <c r="H937" s="524" t="str">
        <f t="shared" si="58"/>
        <v>是</v>
      </c>
      <c r="I937" s="312" t="str">
        <f t="shared" si="59"/>
        <v>项</v>
      </c>
    </row>
    <row r="938" s="372" customFormat="1" ht="24" customHeight="1" spans="1:9">
      <c r="A938" s="330">
        <v>2130314</v>
      </c>
      <c r="B938" s="379" t="s">
        <v>892</v>
      </c>
      <c r="C938" s="516">
        <v>45</v>
      </c>
      <c r="D938" s="516">
        <f>'04'!F937</f>
        <v>34</v>
      </c>
      <c r="E938" s="525">
        <v>50</v>
      </c>
      <c r="F938" s="526">
        <f t="shared" si="60"/>
        <v>0.111111111111111</v>
      </c>
      <c r="G938" s="470">
        <f t="shared" si="61"/>
        <v>0.470588235294118</v>
      </c>
      <c r="H938" s="524" t="str">
        <f t="shared" si="58"/>
        <v>是</v>
      </c>
      <c r="I938" s="312" t="str">
        <f t="shared" si="59"/>
        <v>项</v>
      </c>
    </row>
    <row r="939" s="372" customFormat="1" ht="24" customHeight="1" spans="1:9">
      <c r="A939" s="330">
        <v>2130315</v>
      </c>
      <c r="B939" s="379" t="s">
        <v>893</v>
      </c>
      <c r="C939" s="516">
        <v>18</v>
      </c>
      <c r="D939" s="516">
        <f>'04'!F938</f>
        <v>0</v>
      </c>
      <c r="E939" s="525">
        <v>0</v>
      </c>
      <c r="F939" s="526">
        <f t="shared" si="60"/>
        <v>-1</v>
      </c>
      <c r="G939" s="470" t="str">
        <f t="shared" si="61"/>
        <v/>
      </c>
      <c r="H939" s="524" t="str">
        <f t="shared" si="58"/>
        <v>是</v>
      </c>
      <c r="I939" s="312" t="str">
        <f t="shared" si="59"/>
        <v>项</v>
      </c>
    </row>
    <row r="940" s="372" customFormat="1" ht="24" hidden="1" customHeight="1" spans="1:9">
      <c r="A940" s="330">
        <v>2130316</v>
      </c>
      <c r="B940" s="379" t="s">
        <v>894</v>
      </c>
      <c r="C940" s="516">
        <v>0</v>
      </c>
      <c r="D940" s="516">
        <f>'04'!F939</f>
        <v>0</v>
      </c>
      <c r="E940" s="525">
        <v>0</v>
      </c>
      <c r="F940" s="526" t="str">
        <f t="shared" si="60"/>
        <v/>
      </c>
      <c r="G940" s="470" t="str">
        <f t="shared" si="61"/>
        <v/>
      </c>
      <c r="H940" s="524" t="str">
        <f t="shared" si="58"/>
        <v>否</v>
      </c>
      <c r="I940" s="312" t="str">
        <f t="shared" si="59"/>
        <v>项</v>
      </c>
    </row>
    <row r="941" s="372" customFormat="1" ht="24" hidden="1" customHeight="1" spans="1:9">
      <c r="A941" s="330">
        <v>2130317</v>
      </c>
      <c r="B941" s="379" t="s">
        <v>895</v>
      </c>
      <c r="C941" s="516">
        <v>0</v>
      </c>
      <c r="D941" s="516">
        <f>'04'!F940</f>
        <v>0</v>
      </c>
      <c r="E941" s="525">
        <v>0</v>
      </c>
      <c r="F941" s="526" t="str">
        <f t="shared" si="60"/>
        <v/>
      </c>
      <c r="G941" s="470" t="str">
        <f t="shared" si="61"/>
        <v/>
      </c>
      <c r="H941" s="524" t="str">
        <f t="shared" si="58"/>
        <v>否</v>
      </c>
      <c r="I941" s="312" t="str">
        <f t="shared" si="59"/>
        <v>项</v>
      </c>
    </row>
    <row r="942" s="372" customFormat="1" ht="24" hidden="1" customHeight="1" spans="1:9">
      <c r="A942" s="330">
        <v>2130318</v>
      </c>
      <c r="B942" s="379" t="s">
        <v>896</v>
      </c>
      <c r="C942" s="516">
        <v>0</v>
      </c>
      <c r="D942" s="516">
        <f>'04'!F941</f>
        <v>0</v>
      </c>
      <c r="E942" s="525">
        <v>0</v>
      </c>
      <c r="F942" s="526" t="str">
        <f t="shared" si="60"/>
        <v/>
      </c>
      <c r="G942" s="470" t="str">
        <f t="shared" si="61"/>
        <v/>
      </c>
      <c r="H942" s="524" t="str">
        <f t="shared" si="58"/>
        <v>否</v>
      </c>
      <c r="I942" s="312" t="str">
        <f t="shared" si="59"/>
        <v>项</v>
      </c>
    </row>
    <row r="943" s="372" customFormat="1" ht="24" customHeight="1" spans="1:9">
      <c r="A943" s="330">
        <v>2130319</v>
      </c>
      <c r="B943" s="379" t="s">
        <v>897</v>
      </c>
      <c r="C943" s="516">
        <v>0</v>
      </c>
      <c r="D943" s="516">
        <f>'04'!F942</f>
        <v>10</v>
      </c>
      <c r="E943" s="525">
        <v>13</v>
      </c>
      <c r="F943" s="526" t="str">
        <f t="shared" si="60"/>
        <v/>
      </c>
      <c r="G943" s="470">
        <f t="shared" si="61"/>
        <v>0.3</v>
      </c>
      <c r="H943" s="524" t="str">
        <f t="shared" si="58"/>
        <v>是</v>
      </c>
      <c r="I943" s="312" t="str">
        <f t="shared" si="59"/>
        <v>项</v>
      </c>
    </row>
    <row r="944" s="372" customFormat="1" ht="24" hidden="1" customHeight="1" spans="1:9">
      <c r="A944" s="330">
        <v>2130321</v>
      </c>
      <c r="B944" s="379" t="s">
        <v>898</v>
      </c>
      <c r="C944" s="516">
        <v>0</v>
      </c>
      <c r="D944" s="516">
        <f>'04'!F943</f>
        <v>0</v>
      </c>
      <c r="E944" s="525">
        <v>0</v>
      </c>
      <c r="F944" s="526" t="str">
        <f t="shared" si="60"/>
        <v/>
      </c>
      <c r="G944" s="470" t="str">
        <f t="shared" si="61"/>
        <v/>
      </c>
      <c r="H944" s="524" t="str">
        <f t="shared" si="58"/>
        <v>否</v>
      </c>
      <c r="I944" s="312" t="str">
        <f t="shared" si="59"/>
        <v>项</v>
      </c>
    </row>
    <row r="945" s="372" customFormat="1" ht="24" hidden="1" customHeight="1" spans="1:9">
      <c r="A945" s="330">
        <v>2130322</v>
      </c>
      <c r="B945" s="379" t="s">
        <v>899</v>
      </c>
      <c r="C945" s="516">
        <v>0</v>
      </c>
      <c r="D945" s="516">
        <f>'04'!F944</f>
        <v>0</v>
      </c>
      <c r="E945" s="525">
        <v>0</v>
      </c>
      <c r="F945" s="526" t="str">
        <f t="shared" si="60"/>
        <v/>
      </c>
      <c r="G945" s="470" t="str">
        <f t="shared" si="61"/>
        <v/>
      </c>
      <c r="H945" s="524" t="str">
        <f t="shared" si="58"/>
        <v>否</v>
      </c>
      <c r="I945" s="312" t="str">
        <f t="shared" si="59"/>
        <v>项</v>
      </c>
    </row>
    <row r="946" s="372" customFormat="1" ht="24" hidden="1" customHeight="1" spans="1:9">
      <c r="A946" s="330">
        <v>2130333</v>
      </c>
      <c r="B946" s="379" t="s">
        <v>874</v>
      </c>
      <c r="C946" s="516">
        <v>0</v>
      </c>
      <c r="D946" s="516">
        <f>'04'!F945</f>
        <v>0</v>
      </c>
      <c r="E946" s="525">
        <v>0</v>
      </c>
      <c r="F946" s="526" t="str">
        <f t="shared" si="60"/>
        <v/>
      </c>
      <c r="G946" s="470" t="str">
        <f t="shared" si="61"/>
        <v/>
      </c>
      <c r="H946" s="524" t="str">
        <f t="shared" si="58"/>
        <v>否</v>
      </c>
      <c r="I946" s="312" t="str">
        <f t="shared" si="59"/>
        <v>项</v>
      </c>
    </row>
    <row r="947" s="372" customFormat="1" ht="24" hidden="1" customHeight="1" spans="1:9">
      <c r="A947" s="330">
        <v>2130334</v>
      </c>
      <c r="B947" s="379" t="s">
        <v>900</v>
      </c>
      <c r="C947" s="516">
        <v>0</v>
      </c>
      <c r="D947" s="516">
        <f>'04'!F946</f>
        <v>0</v>
      </c>
      <c r="E947" s="525">
        <v>0</v>
      </c>
      <c r="F947" s="526" t="str">
        <f t="shared" si="60"/>
        <v/>
      </c>
      <c r="G947" s="470" t="str">
        <f t="shared" si="61"/>
        <v/>
      </c>
      <c r="H947" s="524" t="str">
        <f t="shared" si="58"/>
        <v>否</v>
      </c>
      <c r="I947" s="312" t="str">
        <f t="shared" si="59"/>
        <v>项</v>
      </c>
    </row>
    <row r="948" s="372" customFormat="1" ht="24" hidden="1" customHeight="1" spans="1:9">
      <c r="A948" s="330">
        <v>2130335</v>
      </c>
      <c r="B948" s="379" t="s">
        <v>901</v>
      </c>
      <c r="C948" s="516">
        <v>0</v>
      </c>
      <c r="D948" s="516">
        <f>'04'!F947</f>
        <v>0</v>
      </c>
      <c r="E948" s="525">
        <v>0</v>
      </c>
      <c r="F948" s="526" t="str">
        <f t="shared" si="60"/>
        <v/>
      </c>
      <c r="G948" s="470" t="str">
        <f t="shared" si="61"/>
        <v/>
      </c>
      <c r="H948" s="524" t="str">
        <f t="shared" si="58"/>
        <v>否</v>
      </c>
      <c r="I948" s="312" t="str">
        <f t="shared" si="59"/>
        <v>项</v>
      </c>
    </row>
    <row r="949" s="372" customFormat="1" ht="24" hidden="1" customHeight="1" spans="1:9">
      <c r="A949" s="330">
        <v>2130336</v>
      </c>
      <c r="B949" s="379" t="s">
        <v>902</v>
      </c>
      <c r="C949" s="516">
        <v>0</v>
      </c>
      <c r="D949" s="516">
        <f>'04'!F948</f>
        <v>0</v>
      </c>
      <c r="E949" s="525">
        <v>0</v>
      </c>
      <c r="F949" s="526" t="str">
        <f t="shared" si="60"/>
        <v/>
      </c>
      <c r="G949" s="470" t="str">
        <f t="shared" si="61"/>
        <v/>
      </c>
      <c r="H949" s="524" t="str">
        <f t="shared" si="58"/>
        <v>否</v>
      </c>
      <c r="I949" s="312" t="str">
        <f t="shared" si="59"/>
        <v>项</v>
      </c>
    </row>
    <row r="950" ht="24" hidden="1" customHeight="1" spans="1:9">
      <c r="A950" s="330">
        <v>2130337</v>
      </c>
      <c r="B950" s="379" t="s">
        <v>903</v>
      </c>
      <c r="C950" s="516">
        <v>0</v>
      </c>
      <c r="D950" s="516">
        <f>'04'!F949</f>
        <v>0</v>
      </c>
      <c r="E950" s="525">
        <v>0</v>
      </c>
      <c r="F950" s="526" t="str">
        <f t="shared" si="60"/>
        <v/>
      </c>
      <c r="G950" s="470" t="str">
        <f t="shared" si="61"/>
        <v/>
      </c>
      <c r="H950" s="524" t="str">
        <f t="shared" si="58"/>
        <v>否</v>
      </c>
      <c r="I950" s="312" t="str">
        <f t="shared" si="59"/>
        <v>项</v>
      </c>
    </row>
    <row r="951" s="372" customFormat="1" ht="24" customHeight="1" spans="1:9">
      <c r="A951" s="330">
        <v>2130399</v>
      </c>
      <c r="B951" s="379" t="s">
        <v>904</v>
      </c>
      <c r="C951" s="516">
        <v>11563</v>
      </c>
      <c r="D951" s="516">
        <f>'04'!F950</f>
        <v>652</v>
      </c>
      <c r="E951" s="525">
        <v>645</v>
      </c>
      <c r="F951" s="526">
        <f t="shared" si="60"/>
        <v>-0.944218628383637</v>
      </c>
      <c r="G951" s="470">
        <f t="shared" si="61"/>
        <v>-0.0107361963190184</v>
      </c>
      <c r="H951" s="524" t="str">
        <f t="shared" si="58"/>
        <v>是</v>
      </c>
      <c r="I951" s="312" t="str">
        <f t="shared" si="59"/>
        <v>项</v>
      </c>
    </row>
    <row r="952" s="372" customFormat="1" ht="24" customHeight="1" spans="1:9">
      <c r="A952" s="330">
        <v>21305</v>
      </c>
      <c r="B952" s="405" t="s">
        <v>905</v>
      </c>
      <c r="C952" s="515">
        <f>SUM(C953:C958)</f>
        <v>775</v>
      </c>
      <c r="D952" s="515">
        <f>SUM(D953:D958)</f>
        <v>1240</v>
      </c>
      <c r="E952" s="515">
        <f>SUM(E953:E958)</f>
        <v>1352</v>
      </c>
      <c r="F952" s="523">
        <f t="shared" si="60"/>
        <v>0.744516129032258</v>
      </c>
      <c r="G952" s="467">
        <f t="shared" si="61"/>
        <v>0.0903225806451613</v>
      </c>
      <c r="H952" s="524" t="str">
        <f t="shared" si="58"/>
        <v>是</v>
      </c>
      <c r="I952" s="312" t="str">
        <f t="shared" si="59"/>
        <v>款</v>
      </c>
    </row>
    <row r="953" s="372" customFormat="1" ht="24" hidden="1" customHeight="1" spans="1:9">
      <c r="A953" s="330">
        <v>2130504</v>
      </c>
      <c r="B953" s="379" t="s">
        <v>906</v>
      </c>
      <c r="C953" s="516">
        <v>0</v>
      </c>
      <c r="D953" s="516">
        <f>'04'!F952</f>
        <v>0</v>
      </c>
      <c r="E953" s="525">
        <v>0</v>
      </c>
      <c r="F953" s="526" t="str">
        <f t="shared" si="60"/>
        <v/>
      </c>
      <c r="G953" s="470" t="str">
        <f t="shared" si="61"/>
        <v/>
      </c>
      <c r="H953" s="524" t="str">
        <f t="shared" si="58"/>
        <v>否</v>
      </c>
      <c r="I953" s="312" t="str">
        <f t="shared" si="59"/>
        <v>项</v>
      </c>
    </row>
    <row r="954" s="372" customFormat="1" ht="24" customHeight="1" spans="1:9">
      <c r="A954" s="330">
        <v>2130505</v>
      </c>
      <c r="B954" s="379" t="s">
        <v>907</v>
      </c>
      <c r="C954" s="516">
        <v>65</v>
      </c>
      <c r="D954" s="516">
        <f>'04'!F953</f>
        <v>368</v>
      </c>
      <c r="E954" s="525">
        <v>425</v>
      </c>
      <c r="F954" s="526">
        <f t="shared" si="60"/>
        <v>5.53846153846154</v>
      </c>
      <c r="G954" s="470">
        <f t="shared" si="61"/>
        <v>0.154891304347826</v>
      </c>
      <c r="H954" s="524" t="str">
        <f t="shared" si="58"/>
        <v>是</v>
      </c>
      <c r="I954" s="312" t="str">
        <f t="shared" si="59"/>
        <v>项</v>
      </c>
    </row>
    <row r="955" s="372" customFormat="1" ht="24" customHeight="1" spans="1:9">
      <c r="A955" s="330">
        <v>2130506</v>
      </c>
      <c r="B955" s="379" t="s">
        <v>908</v>
      </c>
      <c r="C955" s="516">
        <v>354</v>
      </c>
      <c r="D955" s="516">
        <f>'04'!F954</f>
        <v>450</v>
      </c>
      <c r="E955" s="525">
        <v>492</v>
      </c>
      <c r="F955" s="526">
        <f t="shared" si="60"/>
        <v>0.389830508474576</v>
      </c>
      <c r="G955" s="470">
        <f t="shared" si="61"/>
        <v>0.0933333333333333</v>
      </c>
      <c r="H955" s="524" t="str">
        <f t="shared" si="58"/>
        <v>是</v>
      </c>
      <c r="I955" s="312" t="str">
        <f t="shared" si="59"/>
        <v>项</v>
      </c>
    </row>
    <row r="956" s="372" customFormat="1" ht="24" customHeight="1" spans="1:9">
      <c r="A956" s="330">
        <v>2130507</v>
      </c>
      <c r="B956" s="405" t="s">
        <v>909</v>
      </c>
      <c r="C956" s="516">
        <v>100</v>
      </c>
      <c r="D956" s="516">
        <f>'04'!F955</f>
        <v>-3</v>
      </c>
      <c r="E956" s="525">
        <v>0</v>
      </c>
      <c r="F956" s="526">
        <f t="shared" si="60"/>
        <v>-1</v>
      </c>
      <c r="G956" s="470">
        <f>-IFERROR((E956-D956)/D956,"")</f>
        <v>1</v>
      </c>
      <c r="H956" s="524" t="str">
        <f t="shared" si="58"/>
        <v>是</v>
      </c>
      <c r="I956" s="312" t="str">
        <f t="shared" si="59"/>
        <v>项</v>
      </c>
    </row>
    <row r="957" s="372" customFormat="1" ht="24" hidden="1" customHeight="1" spans="1:9">
      <c r="A957" s="330">
        <v>2130508</v>
      </c>
      <c r="B957" s="379" t="s">
        <v>910</v>
      </c>
      <c r="C957" s="516">
        <v>0</v>
      </c>
      <c r="D957" s="516">
        <f>'04'!F956</f>
        <v>0</v>
      </c>
      <c r="E957" s="525">
        <v>0</v>
      </c>
      <c r="F957" s="526" t="str">
        <f t="shared" si="60"/>
        <v/>
      </c>
      <c r="G957" s="470" t="str">
        <f t="shared" si="61"/>
        <v/>
      </c>
      <c r="H957" s="524" t="str">
        <f t="shared" si="58"/>
        <v>否</v>
      </c>
      <c r="I957" s="312" t="str">
        <f t="shared" si="59"/>
        <v>项</v>
      </c>
    </row>
    <row r="958" s="372" customFormat="1" ht="24" customHeight="1" spans="1:9">
      <c r="A958" s="330">
        <v>2130599</v>
      </c>
      <c r="B958" s="405" t="s">
        <v>911</v>
      </c>
      <c r="C958" s="516">
        <v>256</v>
      </c>
      <c r="D958" s="516">
        <f>'04'!F957</f>
        <v>425</v>
      </c>
      <c r="E958" s="525">
        <v>435</v>
      </c>
      <c r="F958" s="526">
        <f t="shared" si="60"/>
        <v>0.69921875</v>
      </c>
      <c r="G958" s="470">
        <f t="shared" si="61"/>
        <v>0.0235294117647059</v>
      </c>
      <c r="H958" s="524" t="str">
        <f t="shared" si="58"/>
        <v>是</v>
      </c>
      <c r="I958" s="312" t="str">
        <f t="shared" si="59"/>
        <v>项</v>
      </c>
    </row>
    <row r="959" s="372" customFormat="1" ht="24" hidden="1" customHeight="1" spans="1:9">
      <c r="A959" s="330">
        <v>21307</v>
      </c>
      <c r="B959" s="379" t="s">
        <v>912</v>
      </c>
      <c r="C959" s="515">
        <f>SUM(C960:C964)</f>
        <v>0</v>
      </c>
      <c r="D959" s="515">
        <f>SUM(D960:D964)</f>
        <v>0</v>
      </c>
      <c r="E959" s="515">
        <f>SUM(E960:E964)</f>
        <v>0</v>
      </c>
      <c r="F959" s="523" t="str">
        <f t="shared" si="60"/>
        <v/>
      </c>
      <c r="G959" s="467" t="str">
        <f t="shared" si="61"/>
        <v/>
      </c>
      <c r="H959" s="524" t="str">
        <f t="shared" si="58"/>
        <v>否</v>
      </c>
      <c r="I959" s="312" t="str">
        <f t="shared" si="59"/>
        <v>款</v>
      </c>
    </row>
    <row r="960" s="372" customFormat="1" ht="24" hidden="1" customHeight="1" spans="1:9">
      <c r="A960" s="330">
        <v>2130701</v>
      </c>
      <c r="B960" s="379" t="s">
        <v>913</v>
      </c>
      <c r="C960" s="516"/>
      <c r="D960" s="516">
        <f>'04'!F959</f>
        <v>0</v>
      </c>
      <c r="E960" s="525">
        <v>0</v>
      </c>
      <c r="F960" s="526" t="str">
        <f t="shared" si="60"/>
        <v/>
      </c>
      <c r="G960" s="470" t="str">
        <f t="shared" si="61"/>
        <v/>
      </c>
      <c r="H960" s="524" t="str">
        <f t="shared" si="58"/>
        <v>否</v>
      </c>
      <c r="I960" s="312" t="str">
        <f t="shared" si="59"/>
        <v>项</v>
      </c>
    </row>
    <row r="961" s="372" customFormat="1" ht="24" hidden="1" customHeight="1" spans="1:9">
      <c r="A961" s="330">
        <v>2130705</v>
      </c>
      <c r="B961" s="379" t="s">
        <v>914</v>
      </c>
      <c r="C961" s="516"/>
      <c r="D961" s="516">
        <f>'04'!F960</f>
        <v>0</v>
      </c>
      <c r="E961" s="525">
        <v>0</v>
      </c>
      <c r="F961" s="526" t="str">
        <f t="shared" si="60"/>
        <v/>
      </c>
      <c r="G961" s="470" t="str">
        <f t="shared" si="61"/>
        <v/>
      </c>
      <c r="H961" s="524" t="str">
        <f t="shared" si="58"/>
        <v>否</v>
      </c>
      <c r="I961" s="312" t="str">
        <f t="shared" si="59"/>
        <v>项</v>
      </c>
    </row>
    <row r="962" s="372" customFormat="1" ht="24" hidden="1" customHeight="1" spans="1:9">
      <c r="A962" s="330">
        <v>2130706</v>
      </c>
      <c r="B962" s="379" t="s">
        <v>915</v>
      </c>
      <c r="C962" s="516"/>
      <c r="D962" s="516">
        <f>'04'!F961</f>
        <v>0</v>
      </c>
      <c r="E962" s="525">
        <v>0</v>
      </c>
      <c r="F962" s="526" t="str">
        <f t="shared" si="60"/>
        <v/>
      </c>
      <c r="G962" s="470" t="str">
        <f t="shared" si="61"/>
        <v/>
      </c>
      <c r="H962" s="524" t="str">
        <f t="shared" si="58"/>
        <v>否</v>
      </c>
      <c r="I962" s="312" t="str">
        <f t="shared" si="59"/>
        <v>项</v>
      </c>
    </row>
    <row r="963" s="372" customFormat="1" ht="24" hidden="1" customHeight="1" spans="1:9">
      <c r="A963" s="330">
        <v>2130707</v>
      </c>
      <c r="B963" s="379" t="s">
        <v>916</v>
      </c>
      <c r="C963" s="516"/>
      <c r="D963" s="516">
        <f>'04'!F962</f>
        <v>0</v>
      </c>
      <c r="E963" s="525">
        <v>0</v>
      </c>
      <c r="F963" s="526" t="str">
        <f t="shared" si="60"/>
        <v/>
      </c>
      <c r="G963" s="470" t="str">
        <f t="shared" si="61"/>
        <v/>
      </c>
      <c r="H963" s="524" t="str">
        <f t="shared" si="58"/>
        <v>否</v>
      </c>
      <c r="I963" s="312" t="str">
        <f t="shared" si="59"/>
        <v>项</v>
      </c>
    </row>
    <row r="964" s="372" customFormat="1" ht="24" hidden="1" customHeight="1" spans="1:9">
      <c r="A964" s="330">
        <v>2130799</v>
      </c>
      <c r="B964" s="379" t="s">
        <v>917</v>
      </c>
      <c r="C964" s="516"/>
      <c r="D964" s="516">
        <f>'04'!F963</f>
        <v>0</v>
      </c>
      <c r="E964" s="525">
        <v>0</v>
      </c>
      <c r="F964" s="526" t="str">
        <f t="shared" si="60"/>
        <v/>
      </c>
      <c r="G964" s="470" t="str">
        <f t="shared" si="61"/>
        <v/>
      </c>
      <c r="H964" s="524" t="str">
        <f t="shared" si="58"/>
        <v>否</v>
      </c>
      <c r="I964" s="312" t="str">
        <f t="shared" ref="I964:I1027" si="62">IF(LEN(A964)=3,"类",IF(LEN(A964)=5,"款","项"))</f>
        <v>项</v>
      </c>
    </row>
    <row r="965" s="372" customFormat="1" ht="24" customHeight="1" spans="1:9">
      <c r="A965" s="330">
        <v>21308</v>
      </c>
      <c r="B965" s="379" t="s">
        <v>918</v>
      </c>
      <c r="C965" s="515">
        <f>SUM(C966:C970)</f>
        <v>2015</v>
      </c>
      <c r="D965" s="515">
        <f>SUM(D966:D970)</f>
        <v>2116</v>
      </c>
      <c r="E965" s="515">
        <f>SUM(E966:E970)</f>
        <v>2273</v>
      </c>
      <c r="F965" s="523">
        <f t="shared" ref="F965:F1028" si="63">IFERROR((E965-C965)/C965,"")</f>
        <v>0.128039702233251</v>
      </c>
      <c r="G965" s="467">
        <f t="shared" ref="G965:G1028" si="64">IFERROR((E965-D965)/D965,"")</f>
        <v>0.0741965973534972</v>
      </c>
      <c r="H965" s="524" t="str">
        <f t="shared" si="58"/>
        <v>是</v>
      </c>
      <c r="I965" s="312" t="str">
        <f t="shared" si="62"/>
        <v>款</v>
      </c>
    </row>
    <row r="966" s="372" customFormat="1" ht="24" hidden="1" customHeight="1" spans="1:9">
      <c r="A966" s="330">
        <v>2130801</v>
      </c>
      <c r="B966" s="379" t="s">
        <v>919</v>
      </c>
      <c r="C966" s="516"/>
      <c r="D966" s="516">
        <f>'04'!F965</f>
        <v>0</v>
      </c>
      <c r="E966" s="525">
        <v>0</v>
      </c>
      <c r="F966" s="526" t="str">
        <f t="shared" si="63"/>
        <v/>
      </c>
      <c r="G966" s="470" t="str">
        <f t="shared" si="64"/>
        <v/>
      </c>
      <c r="H966" s="524" t="str">
        <f t="shared" ref="H966:H1029" si="65">IF(LEN(A966)=3,"是",IF(B966&lt;&gt;"",IF(SUM(C966:E966)&lt;&gt;0,"是","否"),"是"))</f>
        <v>否</v>
      </c>
      <c r="I966" s="312" t="str">
        <f t="shared" si="62"/>
        <v>项</v>
      </c>
    </row>
    <row r="967" s="372" customFormat="1" ht="24" customHeight="1" spans="1:9">
      <c r="A967" s="330">
        <v>2130803</v>
      </c>
      <c r="B967" s="379" t="s">
        <v>920</v>
      </c>
      <c r="C967" s="516"/>
      <c r="D967" s="516">
        <f>'04'!F966</f>
        <v>303</v>
      </c>
      <c r="E967" s="525">
        <v>315</v>
      </c>
      <c r="F967" s="526" t="str">
        <f t="shared" si="63"/>
        <v/>
      </c>
      <c r="G967" s="470">
        <f t="shared" si="64"/>
        <v>0.0396039603960396</v>
      </c>
      <c r="H967" s="524" t="str">
        <f t="shared" si="65"/>
        <v>是</v>
      </c>
      <c r="I967" s="312" t="str">
        <f t="shared" si="62"/>
        <v>项</v>
      </c>
    </row>
    <row r="968" s="372" customFormat="1" ht="24" customHeight="1" spans="1:9">
      <c r="A968" s="330">
        <v>2130804</v>
      </c>
      <c r="B968" s="405" t="s">
        <v>921</v>
      </c>
      <c r="C968" s="516">
        <v>2015</v>
      </c>
      <c r="D968" s="516">
        <f>'04'!F967</f>
        <v>1813</v>
      </c>
      <c r="E968" s="525">
        <v>1958</v>
      </c>
      <c r="F968" s="526">
        <f t="shared" si="63"/>
        <v>-0.028287841191067</v>
      </c>
      <c r="G968" s="470">
        <f t="shared" si="64"/>
        <v>0.0799779371207943</v>
      </c>
      <c r="H968" s="524" t="str">
        <f t="shared" si="65"/>
        <v>是</v>
      </c>
      <c r="I968" s="312" t="str">
        <f t="shared" si="62"/>
        <v>项</v>
      </c>
    </row>
    <row r="969" s="372" customFormat="1" ht="24" hidden="1" customHeight="1" spans="1:9">
      <c r="A969" s="330">
        <v>2130805</v>
      </c>
      <c r="B969" s="379" t="s">
        <v>922</v>
      </c>
      <c r="C969" s="516"/>
      <c r="D969" s="516">
        <f>'04'!F968</f>
        <v>0</v>
      </c>
      <c r="E969" s="525">
        <v>0</v>
      </c>
      <c r="F969" s="526" t="str">
        <f t="shared" si="63"/>
        <v/>
      </c>
      <c r="G969" s="470" t="str">
        <f t="shared" si="64"/>
        <v/>
      </c>
      <c r="H969" s="524" t="str">
        <f t="shared" si="65"/>
        <v>否</v>
      </c>
      <c r="I969" s="312" t="str">
        <f t="shared" si="62"/>
        <v>项</v>
      </c>
    </row>
    <row r="970" s="372" customFormat="1" ht="24" hidden="1" customHeight="1" spans="1:9">
      <c r="A970" s="330">
        <v>2130899</v>
      </c>
      <c r="B970" s="379" t="s">
        <v>923</v>
      </c>
      <c r="C970" s="516"/>
      <c r="D970" s="516">
        <f>'04'!F969</f>
        <v>0</v>
      </c>
      <c r="E970" s="525">
        <v>0</v>
      </c>
      <c r="F970" s="526" t="str">
        <f t="shared" si="63"/>
        <v/>
      </c>
      <c r="G970" s="470" t="str">
        <f t="shared" si="64"/>
        <v/>
      </c>
      <c r="H970" s="524" t="str">
        <f t="shared" si="65"/>
        <v>否</v>
      </c>
      <c r="I970" s="312" t="str">
        <f t="shared" si="62"/>
        <v>项</v>
      </c>
    </row>
    <row r="971" s="372" customFormat="1" ht="24" hidden="1" customHeight="1" spans="1:9">
      <c r="A971" s="330">
        <v>21309</v>
      </c>
      <c r="B971" s="379" t="s">
        <v>924</v>
      </c>
      <c r="C971" s="515">
        <f>SUM(C972:C973)</f>
        <v>0</v>
      </c>
      <c r="D971" s="515">
        <f>SUM(D972:D973)</f>
        <v>0</v>
      </c>
      <c r="E971" s="515">
        <f>SUM(E972:E973)</f>
        <v>0</v>
      </c>
      <c r="F971" s="523" t="str">
        <f t="shared" si="63"/>
        <v/>
      </c>
      <c r="G971" s="467" t="str">
        <f t="shared" si="64"/>
        <v/>
      </c>
      <c r="H971" s="524" t="str">
        <f t="shared" si="65"/>
        <v>否</v>
      </c>
      <c r="I971" s="312" t="str">
        <f t="shared" si="62"/>
        <v>款</v>
      </c>
    </row>
    <row r="972" s="372" customFormat="1" ht="24" hidden="1" customHeight="1" spans="1:9">
      <c r="A972" s="330">
        <v>2130901</v>
      </c>
      <c r="B972" s="379" t="s">
        <v>925</v>
      </c>
      <c r="C972" s="516"/>
      <c r="D972" s="516">
        <f>'04'!F971</f>
        <v>0</v>
      </c>
      <c r="E972" s="525">
        <v>0</v>
      </c>
      <c r="F972" s="526" t="str">
        <f t="shared" si="63"/>
        <v/>
      </c>
      <c r="G972" s="470" t="str">
        <f t="shared" si="64"/>
        <v/>
      </c>
      <c r="H972" s="524" t="str">
        <f t="shared" si="65"/>
        <v>否</v>
      </c>
      <c r="I972" s="312" t="str">
        <f t="shared" si="62"/>
        <v>项</v>
      </c>
    </row>
    <row r="973" ht="24" hidden="1" customHeight="1" spans="1:9">
      <c r="A973" s="330">
        <v>2130999</v>
      </c>
      <c r="B973" s="379" t="s">
        <v>926</v>
      </c>
      <c r="C973" s="516"/>
      <c r="D973" s="516">
        <f>'04'!F972</f>
        <v>0</v>
      </c>
      <c r="E973" s="525">
        <v>0</v>
      </c>
      <c r="F973" s="526" t="str">
        <f t="shared" si="63"/>
        <v/>
      </c>
      <c r="G973" s="470" t="str">
        <f t="shared" si="64"/>
        <v/>
      </c>
      <c r="H973" s="524" t="str">
        <f t="shared" si="65"/>
        <v>否</v>
      </c>
      <c r="I973" s="312" t="str">
        <f t="shared" si="62"/>
        <v>项</v>
      </c>
    </row>
    <row r="974" s="372" customFormat="1" ht="24" customHeight="1" spans="1:9">
      <c r="A974" s="330">
        <v>21399</v>
      </c>
      <c r="B974" s="379" t="s">
        <v>927</v>
      </c>
      <c r="C974" s="515">
        <f>SUM(C975:C976)</f>
        <v>0</v>
      </c>
      <c r="D974" s="515">
        <f>SUM(D975:D976)</f>
        <v>62</v>
      </c>
      <c r="E974" s="515">
        <f>SUM(E975:E976)</f>
        <v>45</v>
      </c>
      <c r="F974" s="523" t="str">
        <f t="shared" si="63"/>
        <v/>
      </c>
      <c r="G974" s="467">
        <f t="shared" si="64"/>
        <v>-0.274193548387097</v>
      </c>
      <c r="H974" s="524" t="str">
        <f t="shared" si="65"/>
        <v>是</v>
      </c>
      <c r="I974" s="312" t="str">
        <f t="shared" si="62"/>
        <v>款</v>
      </c>
    </row>
    <row r="975" s="372" customFormat="1" ht="24" hidden="1" customHeight="1" spans="1:9">
      <c r="A975" s="330">
        <v>2139901</v>
      </c>
      <c r="B975" s="379" t="s">
        <v>928</v>
      </c>
      <c r="C975" s="516"/>
      <c r="D975" s="516">
        <f>'04'!F974</f>
        <v>0</v>
      </c>
      <c r="E975" s="525">
        <v>0</v>
      </c>
      <c r="F975" s="526" t="str">
        <f t="shared" si="63"/>
        <v/>
      </c>
      <c r="G975" s="470" t="str">
        <f t="shared" si="64"/>
        <v/>
      </c>
      <c r="H975" s="524" t="str">
        <f t="shared" si="65"/>
        <v>否</v>
      </c>
      <c r="I975" s="312" t="str">
        <f t="shared" si="62"/>
        <v>项</v>
      </c>
    </row>
    <row r="976" s="372" customFormat="1" ht="24" customHeight="1" spans="1:9">
      <c r="A976" s="330">
        <v>2139999</v>
      </c>
      <c r="B976" s="379" t="s">
        <v>929</v>
      </c>
      <c r="C976" s="516">
        <v>0</v>
      </c>
      <c r="D976" s="516">
        <f>'04'!F975</f>
        <v>62</v>
      </c>
      <c r="E976" s="525">
        <v>45</v>
      </c>
      <c r="F976" s="526" t="str">
        <f t="shared" si="63"/>
        <v/>
      </c>
      <c r="G976" s="470">
        <f t="shared" si="64"/>
        <v>-0.274193548387097</v>
      </c>
      <c r="H976" s="524" t="str">
        <f t="shared" si="65"/>
        <v>是</v>
      </c>
      <c r="I976" s="312" t="str">
        <f t="shared" si="62"/>
        <v>项</v>
      </c>
    </row>
    <row r="977" s="372" customFormat="1" ht="24" customHeight="1" spans="1:9">
      <c r="A977" s="329">
        <v>214</v>
      </c>
      <c r="B977" s="377" t="s">
        <v>187</v>
      </c>
      <c r="C977" s="515">
        <f>C978+C999+C1009+C1019+C1026</f>
        <v>22433</v>
      </c>
      <c r="D977" s="515">
        <f>D978+D999+D1009+D1019+D1026</f>
        <v>28594</v>
      </c>
      <c r="E977" s="515">
        <f>E978+E999+E1009+E1019+E1026</f>
        <v>30432</v>
      </c>
      <c r="F977" s="523">
        <f t="shared" si="63"/>
        <v>0.356572905986716</v>
      </c>
      <c r="G977" s="467">
        <f t="shared" si="64"/>
        <v>0.0642792194166608</v>
      </c>
      <c r="H977" s="524" t="str">
        <f t="shared" si="65"/>
        <v>是</v>
      </c>
      <c r="I977" s="312" t="str">
        <f t="shared" si="62"/>
        <v>类</v>
      </c>
    </row>
    <row r="978" s="372" customFormat="1" ht="24" customHeight="1" spans="1:9">
      <c r="A978" s="330">
        <v>21401</v>
      </c>
      <c r="B978" s="379" t="s">
        <v>930</v>
      </c>
      <c r="C978" s="515">
        <f>SUM(C979:C998)</f>
        <v>14203</v>
      </c>
      <c r="D978" s="515">
        <f>SUM(D979:D998)</f>
        <v>16506</v>
      </c>
      <c r="E978" s="515">
        <f>SUM(E979:E998)</f>
        <v>19034</v>
      </c>
      <c r="F978" s="523">
        <f t="shared" si="63"/>
        <v>0.3401394071675</v>
      </c>
      <c r="G978" s="467">
        <f t="shared" si="64"/>
        <v>0.153156427965588</v>
      </c>
      <c r="H978" s="524" t="str">
        <f t="shared" si="65"/>
        <v>是</v>
      </c>
      <c r="I978" s="312" t="str">
        <f t="shared" si="62"/>
        <v>款</v>
      </c>
    </row>
    <row r="979" s="372" customFormat="1" ht="24" customHeight="1" spans="1:9">
      <c r="A979" s="330">
        <v>2140101</v>
      </c>
      <c r="B979" s="379" t="s">
        <v>212</v>
      </c>
      <c r="C979" s="516">
        <v>986</v>
      </c>
      <c r="D979" s="516">
        <f>'04'!F978</f>
        <v>3610</v>
      </c>
      <c r="E979" s="525">
        <v>3665</v>
      </c>
      <c r="F979" s="526">
        <f t="shared" si="63"/>
        <v>2.71703853955375</v>
      </c>
      <c r="G979" s="470">
        <f t="shared" si="64"/>
        <v>0.0152354570637119</v>
      </c>
      <c r="H979" s="524" t="str">
        <f t="shared" si="65"/>
        <v>是</v>
      </c>
      <c r="I979" s="312" t="str">
        <f t="shared" si="62"/>
        <v>项</v>
      </c>
    </row>
    <row r="980" s="372" customFormat="1" ht="24" hidden="1" customHeight="1" spans="1:9">
      <c r="A980" s="330">
        <v>2140102</v>
      </c>
      <c r="B980" s="379" t="s">
        <v>213</v>
      </c>
      <c r="C980" s="516">
        <v>0</v>
      </c>
      <c r="D980" s="516">
        <f>'04'!F979</f>
        <v>0</v>
      </c>
      <c r="E980" s="525">
        <v>0</v>
      </c>
      <c r="F980" s="526" t="str">
        <f t="shared" si="63"/>
        <v/>
      </c>
      <c r="G980" s="470" t="str">
        <f t="shared" si="64"/>
        <v/>
      </c>
      <c r="H980" s="524" t="str">
        <f t="shared" si="65"/>
        <v>否</v>
      </c>
      <c r="I980" s="312" t="str">
        <f t="shared" si="62"/>
        <v>项</v>
      </c>
    </row>
    <row r="981" s="372" customFormat="1" ht="24" hidden="1" customHeight="1" spans="1:9">
      <c r="A981" s="330">
        <v>2140103</v>
      </c>
      <c r="B981" s="379" t="s">
        <v>214</v>
      </c>
      <c r="C981" s="516">
        <v>0</v>
      </c>
      <c r="D981" s="516">
        <f>'04'!F980</f>
        <v>0</v>
      </c>
      <c r="E981" s="525">
        <v>0</v>
      </c>
      <c r="F981" s="526" t="str">
        <f t="shared" si="63"/>
        <v/>
      </c>
      <c r="G981" s="470" t="str">
        <f t="shared" si="64"/>
        <v/>
      </c>
      <c r="H981" s="524" t="str">
        <f t="shared" si="65"/>
        <v>否</v>
      </c>
      <c r="I981" s="312" t="str">
        <f t="shared" si="62"/>
        <v>项</v>
      </c>
    </row>
    <row r="982" s="372" customFormat="1" ht="24" customHeight="1" spans="1:9">
      <c r="A982" s="330">
        <v>2140104</v>
      </c>
      <c r="B982" s="379" t="s">
        <v>931</v>
      </c>
      <c r="C982" s="516">
        <v>10723</v>
      </c>
      <c r="D982" s="516">
        <f>'04'!F981</f>
        <v>9729</v>
      </c>
      <c r="E982" s="525">
        <v>12458</v>
      </c>
      <c r="F982" s="526">
        <f t="shared" si="63"/>
        <v>0.161801734589201</v>
      </c>
      <c r="G982" s="470">
        <f t="shared" si="64"/>
        <v>0.280501593175044</v>
      </c>
      <c r="H982" s="524" t="str">
        <f t="shared" si="65"/>
        <v>是</v>
      </c>
      <c r="I982" s="312" t="str">
        <f t="shared" si="62"/>
        <v>项</v>
      </c>
    </row>
    <row r="983" s="372" customFormat="1" ht="24" customHeight="1" spans="1:9">
      <c r="A983" s="330">
        <v>2140106</v>
      </c>
      <c r="B983" s="379" t="s">
        <v>932</v>
      </c>
      <c r="C983" s="516">
        <v>359</v>
      </c>
      <c r="D983" s="516">
        <f>'04'!F982</f>
        <v>561</v>
      </c>
      <c r="E983" s="525">
        <v>578</v>
      </c>
      <c r="F983" s="526">
        <f t="shared" si="63"/>
        <v>0.610027855153203</v>
      </c>
      <c r="G983" s="470">
        <f t="shared" si="64"/>
        <v>0.0303030303030303</v>
      </c>
      <c r="H983" s="524" t="str">
        <f t="shared" si="65"/>
        <v>是</v>
      </c>
      <c r="I983" s="312" t="str">
        <f t="shared" si="62"/>
        <v>项</v>
      </c>
    </row>
    <row r="984" ht="24" hidden="1" customHeight="1" spans="1:9">
      <c r="A984" s="330">
        <v>2140109</v>
      </c>
      <c r="B984" s="379" t="s">
        <v>933</v>
      </c>
      <c r="C984" s="516">
        <v>0</v>
      </c>
      <c r="D984" s="516">
        <f>'04'!F983</f>
        <v>0</v>
      </c>
      <c r="E984" s="525">
        <v>0</v>
      </c>
      <c r="F984" s="526" t="str">
        <f t="shared" si="63"/>
        <v/>
      </c>
      <c r="G984" s="470" t="str">
        <f t="shared" si="64"/>
        <v/>
      </c>
      <c r="H984" s="524" t="str">
        <f t="shared" si="65"/>
        <v>否</v>
      </c>
      <c r="I984" s="312" t="str">
        <f t="shared" si="62"/>
        <v>项</v>
      </c>
    </row>
    <row r="985" s="372" customFormat="1" ht="24" hidden="1" customHeight="1" spans="1:9">
      <c r="A985" s="330">
        <v>2140110</v>
      </c>
      <c r="B985" s="379" t="s">
        <v>934</v>
      </c>
      <c r="C985" s="516">
        <v>0</v>
      </c>
      <c r="D985" s="516">
        <f>'04'!F984</f>
        <v>0</v>
      </c>
      <c r="E985" s="525">
        <v>0</v>
      </c>
      <c r="F985" s="526" t="str">
        <f t="shared" si="63"/>
        <v/>
      </c>
      <c r="G985" s="470" t="str">
        <f t="shared" si="64"/>
        <v/>
      </c>
      <c r="H985" s="524" t="str">
        <f t="shared" si="65"/>
        <v>否</v>
      </c>
      <c r="I985" s="312" t="str">
        <f t="shared" si="62"/>
        <v>项</v>
      </c>
    </row>
    <row r="986" s="372" customFormat="1" ht="24" customHeight="1" spans="1:9">
      <c r="A986" s="330">
        <v>2140112</v>
      </c>
      <c r="B986" s="379" t="s">
        <v>935</v>
      </c>
      <c r="C986" s="516">
        <v>2015</v>
      </c>
      <c r="D986" s="516">
        <f>'04'!F985</f>
        <v>2332</v>
      </c>
      <c r="E986" s="525">
        <v>2053</v>
      </c>
      <c r="F986" s="526">
        <f t="shared" si="63"/>
        <v>0.0188585607940447</v>
      </c>
      <c r="G986" s="470">
        <f t="shared" si="64"/>
        <v>-0.119639794168096</v>
      </c>
      <c r="H986" s="524" t="str">
        <f t="shared" si="65"/>
        <v>是</v>
      </c>
      <c r="I986" s="312" t="str">
        <f t="shared" si="62"/>
        <v>项</v>
      </c>
    </row>
    <row r="987" s="372" customFormat="1" ht="24" hidden="1" customHeight="1" spans="1:9">
      <c r="A987" s="330">
        <v>2140114</v>
      </c>
      <c r="B987" s="379" t="s">
        <v>936</v>
      </c>
      <c r="C987" s="516">
        <v>0</v>
      </c>
      <c r="D987" s="516">
        <f>'04'!F986</f>
        <v>0</v>
      </c>
      <c r="E987" s="525">
        <v>0</v>
      </c>
      <c r="F987" s="526" t="str">
        <f t="shared" si="63"/>
        <v/>
      </c>
      <c r="G987" s="470" t="str">
        <f t="shared" si="64"/>
        <v/>
      </c>
      <c r="H987" s="524" t="str">
        <f t="shared" si="65"/>
        <v>否</v>
      </c>
      <c r="I987" s="312" t="str">
        <f t="shared" si="62"/>
        <v>项</v>
      </c>
    </row>
    <row r="988" s="372" customFormat="1" ht="24" hidden="1" customHeight="1" spans="1:9">
      <c r="A988" s="330">
        <v>2140122</v>
      </c>
      <c r="B988" s="379" t="s">
        <v>937</v>
      </c>
      <c r="C988" s="516">
        <v>0</v>
      </c>
      <c r="D988" s="516">
        <f>'04'!F987</f>
        <v>0</v>
      </c>
      <c r="E988" s="525">
        <v>0</v>
      </c>
      <c r="F988" s="526" t="str">
        <f t="shared" si="63"/>
        <v/>
      </c>
      <c r="G988" s="470" t="str">
        <f t="shared" si="64"/>
        <v/>
      </c>
      <c r="H988" s="524" t="str">
        <f t="shared" si="65"/>
        <v>否</v>
      </c>
      <c r="I988" s="312" t="str">
        <f t="shared" si="62"/>
        <v>项</v>
      </c>
    </row>
    <row r="989" s="372" customFormat="1" ht="24" hidden="1" customHeight="1" spans="1:9">
      <c r="A989" s="330">
        <v>2140123</v>
      </c>
      <c r="B989" s="379" t="s">
        <v>938</v>
      </c>
      <c r="C989" s="516">
        <v>0</v>
      </c>
      <c r="D989" s="516">
        <f>'04'!F988</f>
        <v>0</v>
      </c>
      <c r="E989" s="525">
        <v>0</v>
      </c>
      <c r="F989" s="526" t="str">
        <f t="shared" si="63"/>
        <v/>
      </c>
      <c r="G989" s="470" t="str">
        <f t="shared" si="64"/>
        <v/>
      </c>
      <c r="H989" s="524" t="str">
        <f t="shared" si="65"/>
        <v>否</v>
      </c>
      <c r="I989" s="312" t="str">
        <f t="shared" si="62"/>
        <v>项</v>
      </c>
    </row>
    <row r="990" ht="24" hidden="1" customHeight="1" spans="1:9">
      <c r="A990" s="330">
        <v>2140127</v>
      </c>
      <c r="B990" s="379" t="s">
        <v>939</v>
      </c>
      <c r="C990" s="516">
        <v>0</v>
      </c>
      <c r="D990" s="516">
        <f>'04'!F989</f>
        <v>0</v>
      </c>
      <c r="E990" s="525">
        <v>0</v>
      </c>
      <c r="F990" s="526" t="str">
        <f t="shared" si="63"/>
        <v/>
      </c>
      <c r="G990" s="470" t="str">
        <f t="shared" si="64"/>
        <v/>
      </c>
      <c r="H990" s="524" t="str">
        <f t="shared" si="65"/>
        <v>否</v>
      </c>
      <c r="I990" s="312" t="str">
        <f t="shared" si="62"/>
        <v>项</v>
      </c>
    </row>
    <row r="991" s="372" customFormat="1" ht="24" hidden="1" customHeight="1" spans="1:9">
      <c r="A991" s="330">
        <v>2140128</v>
      </c>
      <c r="B991" s="379" t="s">
        <v>940</v>
      </c>
      <c r="C991" s="516">
        <v>0</v>
      </c>
      <c r="D991" s="516">
        <f>'04'!F990</f>
        <v>0</v>
      </c>
      <c r="E991" s="525">
        <v>0</v>
      </c>
      <c r="F991" s="526" t="str">
        <f t="shared" si="63"/>
        <v/>
      </c>
      <c r="G991" s="470" t="str">
        <f t="shared" si="64"/>
        <v/>
      </c>
      <c r="H991" s="524" t="str">
        <f t="shared" si="65"/>
        <v>否</v>
      </c>
      <c r="I991" s="312" t="str">
        <f t="shared" si="62"/>
        <v>项</v>
      </c>
    </row>
    <row r="992" s="372" customFormat="1" ht="24" hidden="1" customHeight="1" spans="1:9">
      <c r="A992" s="330">
        <v>2140129</v>
      </c>
      <c r="B992" s="379" t="s">
        <v>941</v>
      </c>
      <c r="C992" s="516">
        <v>0</v>
      </c>
      <c r="D992" s="516">
        <f>'04'!F991</f>
        <v>0</v>
      </c>
      <c r="E992" s="525">
        <v>0</v>
      </c>
      <c r="F992" s="526" t="str">
        <f t="shared" si="63"/>
        <v/>
      </c>
      <c r="G992" s="470" t="str">
        <f t="shared" si="64"/>
        <v/>
      </c>
      <c r="H992" s="524" t="str">
        <f t="shared" si="65"/>
        <v>否</v>
      </c>
      <c r="I992" s="312" t="str">
        <f t="shared" si="62"/>
        <v>项</v>
      </c>
    </row>
    <row r="993" s="372" customFormat="1" ht="24" hidden="1" customHeight="1" spans="1:9">
      <c r="A993" s="330">
        <v>2140130</v>
      </c>
      <c r="B993" s="379" t="s">
        <v>942</v>
      </c>
      <c r="C993" s="516">
        <v>0</v>
      </c>
      <c r="D993" s="516">
        <f>'04'!F992</f>
        <v>0</v>
      </c>
      <c r="E993" s="525">
        <v>0</v>
      </c>
      <c r="F993" s="526" t="str">
        <f t="shared" si="63"/>
        <v/>
      </c>
      <c r="G993" s="470" t="str">
        <f t="shared" si="64"/>
        <v/>
      </c>
      <c r="H993" s="524" t="str">
        <f t="shared" si="65"/>
        <v>否</v>
      </c>
      <c r="I993" s="312" t="str">
        <f t="shared" si="62"/>
        <v>项</v>
      </c>
    </row>
    <row r="994" s="372" customFormat="1" ht="24" customHeight="1" spans="1:9">
      <c r="A994" s="330">
        <v>2140131</v>
      </c>
      <c r="B994" s="379" t="s">
        <v>943</v>
      </c>
      <c r="C994" s="516">
        <v>70</v>
      </c>
      <c r="D994" s="516">
        <f>'04'!F993</f>
        <v>16</v>
      </c>
      <c r="E994" s="525">
        <v>18</v>
      </c>
      <c r="F994" s="526">
        <f t="shared" si="63"/>
        <v>-0.742857142857143</v>
      </c>
      <c r="G994" s="470">
        <f t="shared" si="64"/>
        <v>0.125</v>
      </c>
      <c r="H994" s="524" t="str">
        <f t="shared" si="65"/>
        <v>是</v>
      </c>
      <c r="I994" s="312" t="str">
        <f t="shared" si="62"/>
        <v>项</v>
      </c>
    </row>
    <row r="995" s="372" customFormat="1" ht="24" hidden="1" customHeight="1" spans="1:9">
      <c r="A995" s="330">
        <v>2140133</v>
      </c>
      <c r="B995" s="379" t="s">
        <v>944</v>
      </c>
      <c r="C995" s="516">
        <v>0</v>
      </c>
      <c r="D995" s="516">
        <f>'04'!F994</f>
        <v>0</v>
      </c>
      <c r="E995" s="525">
        <v>0</v>
      </c>
      <c r="F995" s="526" t="str">
        <f t="shared" si="63"/>
        <v/>
      </c>
      <c r="G995" s="470" t="str">
        <f t="shared" si="64"/>
        <v/>
      </c>
      <c r="H995" s="524" t="str">
        <f t="shared" si="65"/>
        <v>否</v>
      </c>
      <c r="I995" s="312" t="str">
        <f t="shared" si="62"/>
        <v>项</v>
      </c>
    </row>
    <row r="996" s="372" customFormat="1" ht="24" hidden="1" customHeight="1" spans="1:9">
      <c r="A996" s="330">
        <v>2140136</v>
      </c>
      <c r="B996" s="379" t="s">
        <v>945</v>
      </c>
      <c r="C996" s="516">
        <v>0</v>
      </c>
      <c r="D996" s="516">
        <f>'04'!F995</f>
        <v>0</v>
      </c>
      <c r="E996" s="525">
        <v>0</v>
      </c>
      <c r="F996" s="526" t="str">
        <f t="shared" si="63"/>
        <v/>
      </c>
      <c r="G996" s="470" t="str">
        <f t="shared" si="64"/>
        <v/>
      </c>
      <c r="H996" s="524" t="str">
        <f t="shared" si="65"/>
        <v>否</v>
      </c>
      <c r="I996" s="312" t="str">
        <f t="shared" si="62"/>
        <v>项</v>
      </c>
    </row>
    <row r="997" ht="24" customHeight="1" spans="1:9">
      <c r="A997" s="330">
        <v>2140138</v>
      </c>
      <c r="B997" s="379" t="s">
        <v>946</v>
      </c>
      <c r="C997" s="516">
        <v>50</v>
      </c>
      <c r="D997" s="516">
        <f>'04'!F996</f>
        <v>156</v>
      </c>
      <c r="E997" s="525">
        <v>162</v>
      </c>
      <c r="F997" s="526">
        <f t="shared" si="63"/>
        <v>2.24</v>
      </c>
      <c r="G997" s="470">
        <f t="shared" si="64"/>
        <v>0.0384615384615385</v>
      </c>
      <c r="H997" s="524" t="str">
        <f t="shared" si="65"/>
        <v>是</v>
      </c>
      <c r="I997" s="312" t="str">
        <f t="shared" si="62"/>
        <v>项</v>
      </c>
    </row>
    <row r="998" s="372" customFormat="1" ht="24" customHeight="1" spans="1:9">
      <c r="A998" s="330">
        <v>2140199</v>
      </c>
      <c r="B998" s="379" t="s">
        <v>947</v>
      </c>
      <c r="C998" s="516">
        <v>0</v>
      </c>
      <c r="D998" s="516">
        <f>'04'!F997</f>
        <v>102</v>
      </c>
      <c r="E998" s="525">
        <v>100</v>
      </c>
      <c r="F998" s="526" t="str">
        <f t="shared" si="63"/>
        <v/>
      </c>
      <c r="G998" s="470">
        <f t="shared" si="64"/>
        <v>-0.0196078431372549</v>
      </c>
      <c r="H998" s="524" t="str">
        <f t="shared" si="65"/>
        <v>是</v>
      </c>
      <c r="I998" s="312" t="str">
        <f t="shared" si="62"/>
        <v>项</v>
      </c>
    </row>
    <row r="999" s="372" customFormat="1" ht="24" customHeight="1" spans="1:9">
      <c r="A999" s="330">
        <v>21402</v>
      </c>
      <c r="B999" s="379" t="s">
        <v>948</v>
      </c>
      <c r="C999" s="515">
        <f>SUM(C1000:C1008)</f>
        <v>185</v>
      </c>
      <c r="D999" s="515">
        <f>SUM(D1000:D1008)</f>
        <v>150</v>
      </c>
      <c r="E999" s="515">
        <f>SUM(E1000:E1008)</f>
        <v>135</v>
      </c>
      <c r="F999" s="523">
        <f t="shared" si="63"/>
        <v>-0.27027027027027</v>
      </c>
      <c r="G999" s="467">
        <f t="shared" si="64"/>
        <v>-0.1</v>
      </c>
      <c r="H999" s="524" t="str">
        <f t="shared" si="65"/>
        <v>是</v>
      </c>
      <c r="I999" s="312" t="str">
        <f t="shared" si="62"/>
        <v>款</v>
      </c>
    </row>
    <row r="1000" ht="24" hidden="1" customHeight="1" spans="1:9">
      <c r="A1000" s="330">
        <v>2140201</v>
      </c>
      <c r="B1000" s="379" t="s">
        <v>212</v>
      </c>
      <c r="C1000" s="516"/>
      <c r="D1000" s="516">
        <f>'04'!F999</f>
        <v>0</v>
      </c>
      <c r="E1000" s="525">
        <v>0</v>
      </c>
      <c r="F1000" s="526" t="str">
        <f t="shared" si="63"/>
        <v/>
      </c>
      <c r="G1000" s="470" t="str">
        <f t="shared" si="64"/>
        <v/>
      </c>
      <c r="H1000" s="524" t="str">
        <f t="shared" si="65"/>
        <v>否</v>
      </c>
      <c r="I1000" s="312" t="str">
        <f t="shared" si="62"/>
        <v>项</v>
      </c>
    </row>
    <row r="1001" s="372" customFormat="1" ht="24" hidden="1" customHeight="1" spans="1:9">
      <c r="A1001" s="330">
        <v>2140202</v>
      </c>
      <c r="B1001" s="379" t="s">
        <v>213</v>
      </c>
      <c r="C1001" s="516"/>
      <c r="D1001" s="516">
        <f>'04'!F1000</f>
        <v>0</v>
      </c>
      <c r="E1001" s="525">
        <v>0</v>
      </c>
      <c r="F1001" s="526" t="str">
        <f t="shared" si="63"/>
        <v/>
      </c>
      <c r="G1001" s="470" t="str">
        <f t="shared" si="64"/>
        <v/>
      </c>
      <c r="H1001" s="524" t="str">
        <f t="shared" si="65"/>
        <v>否</v>
      </c>
      <c r="I1001" s="312" t="str">
        <f t="shared" si="62"/>
        <v>项</v>
      </c>
    </row>
    <row r="1002" s="372" customFormat="1" ht="24" hidden="1" customHeight="1" spans="1:9">
      <c r="A1002" s="330">
        <v>2140203</v>
      </c>
      <c r="B1002" s="379" t="s">
        <v>214</v>
      </c>
      <c r="C1002" s="516"/>
      <c r="D1002" s="516">
        <f>'04'!F1001</f>
        <v>0</v>
      </c>
      <c r="E1002" s="525">
        <v>0</v>
      </c>
      <c r="F1002" s="526" t="str">
        <f t="shared" si="63"/>
        <v/>
      </c>
      <c r="G1002" s="470" t="str">
        <f t="shared" si="64"/>
        <v/>
      </c>
      <c r="H1002" s="524" t="str">
        <f t="shared" si="65"/>
        <v>否</v>
      </c>
      <c r="I1002" s="312" t="str">
        <f t="shared" si="62"/>
        <v>项</v>
      </c>
    </row>
    <row r="1003" ht="24" hidden="1" customHeight="1" spans="1:9">
      <c r="A1003" s="330">
        <v>2140204</v>
      </c>
      <c r="B1003" s="379" t="s">
        <v>949</v>
      </c>
      <c r="C1003" s="516"/>
      <c r="D1003" s="516">
        <f>'04'!F1002</f>
        <v>0</v>
      </c>
      <c r="E1003" s="525">
        <v>0</v>
      </c>
      <c r="F1003" s="526" t="str">
        <f t="shared" si="63"/>
        <v/>
      </c>
      <c r="G1003" s="470" t="str">
        <f t="shared" si="64"/>
        <v/>
      </c>
      <c r="H1003" s="524" t="str">
        <f t="shared" si="65"/>
        <v>否</v>
      </c>
      <c r="I1003" s="312" t="str">
        <f t="shared" si="62"/>
        <v>项</v>
      </c>
    </row>
    <row r="1004" ht="24" hidden="1" customHeight="1" spans="1:9">
      <c r="A1004" s="330">
        <v>2140205</v>
      </c>
      <c r="B1004" s="379" t="s">
        <v>950</v>
      </c>
      <c r="C1004" s="516"/>
      <c r="D1004" s="516">
        <f>'04'!F1003</f>
        <v>0</v>
      </c>
      <c r="E1004" s="525">
        <v>0</v>
      </c>
      <c r="F1004" s="526" t="str">
        <f t="shared" si="63"/>
        <v/>
      </c>
      <c r="G1004" s="470" t="str">
        <f t="shared" si="64"/>
        <v/>
      </c>
      <c r="H1004" s="524" t="str">
        <f t="shared" si="65"/>
        <v>否</v>
      </c>
      <c r="I1004" s="312" t="str">
        <f t="shared" si="62"/>
        <v>项</v>
      </c>
    </row>
    <row r="1005" s="372" customFormat="1" ht="24" hidden="1" customHeight="1" spans="1:9">
      <c r="A1005" s="330">
        <v>2140206</v>
      </c>
      <c r="B1005" s="379" t="s">
        <v>951</v>
      </c>
      <c r="C1005" s="516"/>
      <c r="D1005" s="516">
        <f>'04'!F1004</f>
        <v>0</v>
      </c>
      <c r="E1005" s="525">
        <v>0</v>
      </c>
      <c r="F1005" s="526" t="str">
        <f t="shared" si="63"/>
        <v/>
      </c>
      <c r="G1005" s="470" t="str">
        <f t="shared" si="64"/>
        <v/>
      </c>
      <c r="H1005" s="524" t="str">
        <f t="shared" si="65"/>
        <v>否</v>
      </c>
      <c r="I1005" s="312" t="str">
        <f t="shared" si="62"/>
        <v>项</v>
      </c>
    </row>
    <row r="1006" s="372" customFormat="1" ht="24" hidden="1" customHeight="1" spans="1:9">
      <c r="A1006" s="330">
        <v>2140207</v>
      </c>
      <c r="B1006" s="379" t="s">
        <v>952</v>
      </c>
      <c r="C1006" s="516"/>
      <c r="D1006" s="516">
        <f>'04'!F1005</f>
        <v>0</v>
      </c>
      <c r="E1006" s="525">
        <v>0</v>
      </c>
      <c r="F1006" s="526" t="str">
        <f t="shared" si="63"/>
        <v/>
      </c>
      <c r="G1006" s="470" t="str">
        <f t="shared" si="64"/>
        <v/>
      </c>
      <c r="H1006" s="524" t="str">
        <f t="shared" si="65"/>
        <v>否</v>
      </c>
      <c r="I1006" s="312" t="str">
        <f t="shared" si="62"/>
        <v>项</v>
      </c>
    </row>
    <row r="1007" s="372" customFormat="1" ht="24" hidden="1" customHeight="1" spans="1:9">
      <c r="A1007" s="330">
        <v>2140208</v>
      </c>
      <c r="B1007" s="379" t="s">
        <v>953</v>
      </c>
      <c r="C1007" s="516"/>
      <c r="D1007" s="516">
        <f>'04'!F1006</f>
        <v>0</v>
      </c>
      <c r="E1007" s="525">
        <v>0</v>
      </c>
      <c r="F1007" s="526" t="str">
        <f t="shared" si="63"/>
        <v/>
      </c>
      <c r="G1007" s="470" t="str">
        <f t="shared" si="64"/>
        <v/>
      </c>
      <c r="H1007" s="524" t="str">
        <f t="shared" si="65"/>
        <v>否</v>
      </c>
      <c r="I1007" s="312" t="str">
        <f t="shared" si="62"/>
        <v>项</v>
      </c>
    </row>
    <row r="1008" s="372" customFormat="1" ht="24" customHeight="1" spans="1:9">
      <c r="A1008" s="330">
        <v>2140299</v>
      </c>
      <c r="B1008" s="379" t="s">
        <v>954</v>
      </c>
      <c r="C1008" s="516">
        <v>185</v>
      </c>
      <c r="D1008" s="516">
        <f>'04'!F1007</f>
        <v>150</v>
      </c>
      <c r="E1008" s="525">
        <v>135</v>
      </c>
      <c r="F1008" s="526">
        <f t="shared" si="63"/>
        <v>-0.27027027027027</v>
      </c>
      <c r="G1008" s="470">
        <f t="shared" si="64"/>
        <v>-0.1</v>
      </c>
      <c r="H1008" s="524" t="str">
        <f t="shared" si="65"/>
        <v>是</v>
      </c>
      <c r="I1008" s="312" t="str">
        <f t="shared" si="62"/>
        <v>项</v>
      </c>
    </row>
    <row r="1009" s="372" customFormat="1" ht="24" customHeight="1" spans="1:9">
      <c r="A1009" s="330">
        <v>21403</v>
      </c>
      <c r="B1009" s="379" t="s">
        <v>955</v>
      </c>
      <c r="C1009" s="515">
        <f>SUM(C1010:C1018)</f>
        <v>7623</v>
      </c>
      <c r="D1009" s="515">
        <f>SUM(D1010:D1018)</f>
        <v>10802</v>
      </c>
      <c r="E1009" s="515">
        <f>SUM(E1010:E1018)</f>
        <v>10258</v>
      </c>
      <c r="F1009" s="523">
        <f t="shared" si="63"/>
        <v>0.345664436573527</v>
      </c>
      <c r="G1009" s="467">
        <f t="shared" si="64"/>
        <v>-0.0503610442510646</v>
      </c>
      <c r="H1009" s="524" t="str">
        <f t="shared" si="65"/>
        <v>是</v>
      </c>
      <c r="I1009" s="312" t="str">
        <f t="shared" si="62"/>
        <v>款</v>
      </c>
    </row>
    <row r="1010" s="372" customFormat="1" ht="24" hidden="1" customHeight="1" spans="1:9">
      <c r="A1010" s="330">
        <v>2140301</v>
      </c>
      <c r="B1010" s="379" t="s">
        <v>212</v>
      </c>
      <c r="C1010" s="516"/>
      <c r="D1010" s="516">
        <f>'04'!F1009</f>
        <v>0</v>
      </c>
      <c r="E1010" s="525">
        <v>0</v>
      </c>
      <c r="F1010" s="526" t="str">
        <f t="shared" si="63"/>
        <v/>
      </c>
      <c r="G1010" s="470" t="str">
        <f t="shared" si="64"/>
        <v/>
      </c>
      <c r="H1010" s="524" t="str">
        <f t="shared" si="65"/>
        <v>否</v>
      </c>
      <c r="I1010" s="312" t="str">
        <f t="shared" si="62"/>
        <v>项</v>
      </c>
    </row>
    <row r="1011" s="372" customFormat="1" ht="24" hidden="1" customHeight="1" spans="1:9">
      <c r="A1011" s="330">
        <v>2140302</v>
      </c>
      <c r="B1011" s="379" t="s">
        <v>213</v>
      </c>
      <c r="C1011" s="516"/>
      <c r="D1011" s="516">
        <f>'04'!F1010</f>
        <v>0</v>
      </c>
      <c r="E1011" s="525">
        <v>0</v>
      </c>
      <c r="F1011" s="526" t="str">
        <f t="shared" si="63"/>
        <v/>
      </c>
      <c r="G1011" s="470" t="str">
        <f t="shared" si="64"/>
        <v/>
      </c>
      <c r="H1011" s="524" t="str">
        <f t="shared" si="65"/>
        <v>否</v>
      </c>
      <c r="I1011" s="312" t="str">
        <f t="shared" si="62"/>
        <v>项</v>
      </c>
    </row>
    <row r="1012" s="372" customFormat="1" ht="24" hidden="1" customHeight="1" spans="1:9">
      <c r="A1012" s="330">
        <v>2140303</v>
      </c>
      <c r="B1012" s="379" t="s">
        <v>214</v>
      </c>
      <c r="C1012" s="516"/>
      <c r="D1012" s="516">
        <f>'04'!F1011</f>
        <v>0</v>
      </c>
      <c r="E1012" s="525">
        <v>0</v>
      </c>
      <c r="F1012" s="526" t="str">
        <f t="shared" si="63"/>
        <v/>
      </c>
      <c r="G1012" s="470" t="str">
        <f t="shared" si="64"/>
        <v/>
      </c>
      <c r="H1012" s="524" t="str">
        <f t="shared" si="65"/>
        <v>否</v>
      </c>
      <c r="I1012" s="312" t="str">
        <f t="shared" si="62"/>
        <v>项</v>
      </c>
    </row>
    <row r="1013" s="372" customFormat="1" ht="24" customHeight="1" spans="1:9">
      <c r="A1013" s="330">
        <v>2140304</v>
      </c>
      <c r="B1013" s="379" t="s">
        <v>956</v>
      </c>
      <c r="C1013" s="516"/>
      <c r="D1013" s="516">
        <f>'04'!F1012</f>
        <v>30</v>
      </c>
      <c r="E1013" s="525">
        <v>0</v>
      </c>
      <c r="F1013" s="526" t="str">
        <f t="shared" si="63"/>
        <v/>
      </c>
      <c r="G1013" s="470">
        <f t="shared" si="64"/>
        <v>-1</v>
      </c>
      <c r="H1013" s="524" t="str">
        <f t="shared" si="65"/>
        <v>是</v>
      </c>
      <c r="I1013" s="312" t="str">
        <f t="shared" si="62"/>
        <v>项</v>
      </c>
    </row>
    <row r="1014" s="372" customFormat="1" ht="24" hidden="1" customHeight="1" spans="1:9">
      <c r="A1014" s="330">
        <v>2140305</v>
      </c>
      <c r="B1014" s="379" t="s">
        <v>957</v>
      </c>
      <c r="C1014" s="516"/>
      <c r="D1014" s="516">
        <f>'04'!F1013</f>
        <v>0</v>
      </c>
      <c r="E1014" s="525">
        <v>0</v>
      </c>
      <c r="F1014" s="526" t="str">
        <f t="shared" si="63"/>
        <v/>
      </c>
      <c r="G1014" s="470" t="str">
        <f t="shared" si="64"/>
        <v/>
      </c>
      <c r="H1014" s="524" t="str">
        <f t="shared" si="65"/>
        <v>否</v>
      </c>
      <c r="I1014" s="312" t="str">
        <f t="shared" si="62"/>
        <v>项</v>
      </c>
    </row>
    <row r="1015" s="372" customFormat="1" ht="24" hidden="1" customHeight="1" spans="1:9">
      <c r="A1015" s="330">
        <v>2140306</v>
      </c>
      <c r="B1015" s="379" t="s">
        <v>958</v>
      </c>
      <c r="C1015" s="516"/>
      <c r="D1015" s="516">
        <f>'04'!F1014</f>
        <v>0</v>
      </c>
      <c r="E1015" s="525">
        <v>0</v>
      </c>
      <c r="F1015" s="526" t="str">
        <f t="shared" si="63"/>
        <v/>
      </c>
      <c r="G1015" s="470" t="str">
        <f t="shared" si="64"/>
        <v/>
      </c>
      <c r="H1015" s="524" t="str">
        <f t="shared" si="65"/>
        <v>否</v>
      </c>
      <c r="I1015" s="312" t="str">
        <f t="shared" si="62"/>
        <v>项</v>
      </c>
    </row>
    <row r="1016" s="372" customFormat="1" ht="24" hidden="1" customHeight="1" spans="1:9">
      <c r="A1016" s="330">
        <v>2140307</v>
      </c>
      <c r="B1016" s="379" t="s">
        <v>959</v>
      </c>
      <c r="C1016" s="516"/>
      <c r="D1016" s="516">
        <f>'04'!F1015</f>
        <v>0</v>
      </c>
      <c r="E1016" s="525">
        <v>0</v>
      </c>
      <c r="F1016" s="526" t="str">
        <f t="shared" si="63"/>
        <v/>
      </c>
      <c r="G1016" s="470" t="str">
        <f t="shared" si="64"/>
        <v/>
      </c>
      <c r="H1016" s="524" t="str">
        <f t="shared" si="65"/>
        <v>否</v>
      </c>
      <c r="I1016" s="312" t="str">
        <f t="shared" si="62"/>
        <v>项</v>
      </c>
    </row>
    <row r="1017" s="372" customFormat="1" ht="24" hidden="1" customHeight="1" spans="1:9">
      <c r="A1017" s="330">
        <v>2140308</v>
      </c>
      <c r="B1017" s="379" t="s">
        <v>960</v>
      </c>
      <c r="C1017" s="516"/>
      <c r="D1017" s="516">
        <f>'04'!F1016</f>
        <v>0</v>
      </c>
      <c r="E1017" s="525">
        <v>0</v>
      </c>
      <c r="F1017" s="526" t="str">
        <f t="shared" si="63"/>
        <v/>
      </c>
      <c r="G1017" s="470" t="str">
        <f t="shared" si="64"/>
        <v/>
      </c>
      <c r="H1017" s="524" t="str">
        <f t="shared" si="65"/>
        <v>否</v>
      </c>
      <c r="I1017" s="312" t="str">
        <f t="shared" si="62"/>
        <v>项</v>
      </c>
    </row>
    <row r="1018" s="372" customFormat="1" ht="24" customHeight="1" spans="1:9">
      <c r="A1018" s="330">
        <v>2140399</v>
      </c>
      <c r="B1018" s="379" t="s">
        <v>961</v>
      </c>
      <c r="C1018" s="516">
        <v>7623</v>
      </c>
      <c r="D1018" s="516">
        <f>'04'!F1017</f>
        <v>10772</v>
      </c>
      <c r="E1018" s="525">
        <v>10258</v>
      </c>
      <c r="F1018" s="526">
        <f t="shared" si="63"/>
        <v>0.345664436573527</v>
      </c>
      <c r="G1018" s="470">
        <f t="shared" si="64"/>
        <v>-0.0477163015224656</v>
      </c>
      <c r="H1018" s="524" t="str">
        <f t="shared" si="65"/>
        <v>是</v>
      </c>
      <c r="I1018" s="312" t="str">
        <f t="shared" si="62"/>
        <v>项</v>
      </c>
    </row>
    <row r="1019" s="372" customFormat="1" ht="24" customHeight="1" spans="1:9">
      <c r="A1019" s="330">
        <v>21405</v>
      </c>
      <c r="B1019" s="379" t="s">
        <v>962</v>
      </c>
      <c r="C1019" s="515">
        <f>SUM(C1020:C1025)</f>
        <v>171</v>
      </c>
      <c r="D1019" s="515">
        <f>SUM(D1020:D1025)</f>
        <v>240</v>
      </c>
      <c r="E1019" s="515">
        <f>SUM(E1020:E1025)</f>
        <v>180</v>
      </c>
      <c r="F1019" s="523">
        <f t="shared" si="63"/>
        <v>0.0526315789473684</v>
      </c>
      <c r="G1019" s="467">
        <f t="shared" si="64"/>
        <v>-0.25</v>
      </c>
      <c r="H1019" s="524" t="str">
        <f t="shared" si="65"/>
        <v>是</v>
      </c>
      <c r="I1019" s="312" t="str">
        <f t="shared" si="62"/>
        <v>款</v>
      </c>
    </row>
    <row r="1020" s="372" customFormat="1" ht="24" customHeight="1" spans="1:9">
      <c r="A1020" s="330">
        <v>2140501</v>
      </c>
      <c r="B1020" s="379" t="s">
        <v>212</v>
      </c>
      <c r="C1020" s="516">
        <v>141</v>
      </c>
      <c r="D1020" s="516">
        <f>'04'!F1019</f>
        <v>240</v>
      </c>
      <c r="E1020" s="525">
        <v>180</v>
      </c>
      <c r="F1020" s="526">
        <f t="shared" si="63"/>
        <v>0.276595744680851</v>
      </c>
      <c r="G1020" s="470">
        <f t="shared" si="64"/>
        <v>-0.25</v>
      </c>
      <c r="H1020" s="524" t="str">
        <f t="shared" si="65"/>
        <v>是</v>
      </c>
      <c r="I1020" s="312" t="str">
        <f t="shared" si="62"/>
        <v>项</v>
      </c>
    </row>
    <row r="1021" s="372" customFormat="1" ht="24" hidden="1" customHeight="1" spans="1:9">
      <c r="A1021" s="330">
        <v>2140502</v>
      </c>
      <c r="B1021" s="379" t="s">
        <v>213</v>
      </c>
      <c r="C1021" s="516"/>
      <c r="D1021" s="516">
        <f>'04'!F1020</f>
        <v>0</v>
      </c>
      <c r="E1021" s="525">
        <v>0</v>
      </c>
      <c r="F1021" s="526" t="str">
        <f t="shared" si="63"/>
        <v/>
      </c>
      <c r="G1021" s="470" t="str">
        <f t="shared" si="64"/>
        <v/>
      </c>
      <c r="H1021" s="524" t="str">
        <f t="shared" si="65"/>
        <v>否</v>
      </c>
      <c r="I1021" s="312" t="str">
        <f t="shared" si="62"/>
        <v>项</v>
      </c>
    </row>
    <row r="1022" s="372" customFormat="1" ht="24" hidden="1" customHeight="1" spans="1:9">
      <c r="A1022" s="330">
        <v>2140503</v>
      </c>
      <c r="B1022" s="379" t="s">
        <v>214</v>
      </c>
      <c r="C1022" s="516"/>
      <c r="D1022" s="516">
        <f>'04'!F1021</f>
        <v>0</v>
      </c>
      <c r="E1022" s="525">
        <v>0</v>
      </c>
      <c r="F1022" s="526" t="str">
        <f t="shared" si="63"/>
        <v/>
      </c>
      <c r="G1022" s="470" t="str">
        <f t="shared" si="64"/>
        <v/>
      </c>
      <c r="H1022" s="524" t="str">
        <f t="shared" si="65"/>
        <v>否</v>
      </c>
      <c r="I1022" s="312" t="str">
        <f t="shared" si="62"/>
        <v>项</v>
      </c>
    </row>
    <row r="1023" s="372" customFormat="1" ht="24" hidden="1" customHeight="1" spans="1:9">
      <c r="A1023" s="330">
        <v>2140504</v>
      </c>
      <c r="B1023" s="379" t="s">
        <v>953</v>
      </c>
      <c r="C1023" s="516"/>
      <c r="D1023" s="516">
        <f>'04'!F1022</f>
        <v>0</v>
      </c>
      <c r="E1023" s="525">
        <v>0</v>
      </c>
      <c r="F1023" s="526" t="str">
        <f t="shared" si="63"/>
        <v/>
      </c>
      <c r="G1023" s="470" t="str">
        <f t="shared" si="64"/>
        <v/>
      </c>
      <c r="H1023" s="524" t="str">
        <f t="shared" si="65"/>
        <v>否</v>
      </c>
      <c r="I1023" s="312" t="str">
        <f t="shared" si="62"/>
        <v>项</v>
      </c>
    </row>
    <row r="1024" s="372" customFormat="1" ht="24" hidden="1" customHeight="1" spans="1:9">
      <c r="A1024" s="330">
        <v>2140505</v>
      </c>
      <c r="B1024" s="379" t="s">
        <v>963</v>
      </c>
      <c r="C1024" s="516"/>
      <c r="D1024" s="516">
        <f>'04'!F1023</f>
        <v>0</v>
      </c>
      <c r="E1024" s="525">
        <v>0</v>
      </c>
      <c r="F1024" s="526" t="str">
        <f t="shared" si="63"/>
        <v/>
      </c>
      <c r="G1024" s="470" t="str">
        <f t="shared" si="64"/>
        <v/>
      </c>
      <c r="H1024" s="524" t="str">
        <f t="shared" si="65"/>
        <v>否</v>
      </c>
      <c r="I1024" s="312" t="str">
        <f t="shared" si="62"/>
        <v>项</v>
      </c>
    </row>
    <row r="1025" s="372" customFormat="1" ht="24" customHeight="1" spans="1:9">
      <c r="A1025" s="330">
        <v>2140599</v>
      </c>
      <c r="B1025" s="379" t="s">
        <v>964</v>
      </c>
      <c r="C1025" s="516">
        <v>30</v>
      </c>
      <c r="D1025" s="516">
        <f>'04'!F1024</f>
        <v>0</v>
      </c>
      <c r="E1025" s="525">
        <v>0</v>
      </c>
      <c r="F1025" s="526">
        <f t="shared" si="63"/>
        <v>-1</v>
      </c>
      <c r="G1025" s="470" t="str">
        <f t="shared" si="64"/>
        <v/>
      </c>
      <c r="H1025" s="524" t="str">
        <f t="shared" si="65"/>
        <v>是</v>
      </c>
      <c r="I1025" s="312" t="str">
        <f t="shared" si="62"/>
        <v>项</v>
      </c>
    </row>
    <row r="1026" s="372" customFormat="1" ht="24" customHeight="1" spans="1:9">
      <c r="A1026" s="330">
        <v>21499</v>
      </c>
      <c r="B1026" s="379" t="s">
        <v>965</v>
      </c>
      <c r="C1026" s="515">
        <f>SUM(C1027:C1028)</f>
        <v>251</v>
      </c>
      <c r="D1026" s="515">
        <f>SUM(D1027:D1028)</f>
        <v>896</v>
      </c>
      <c r="E1026" s="515">
        <f>SUM(E1027:E1028)</f>
        <v>825</v>
      </c>
      <c r="F1026" s="523">
        <f t="shared" si="63"/>
        <v>2.28685258964143</v>
      </c>
      <c r="G1026" s="467">
        <f t="shared" si="64"/>
        <v>-0.0792410714285714</v>
      </c>
      <c r="H1026" s="524" t="str">
        <f t="shared" si="65"/>
        <v>是</v>
      </c>
      <c r="I1026" s="312" t="str">
        <f t="shared" si="62"/>
        <v>款</v>
      </c>
    </row>
    <row r="1027" s="372" customFormat="1" ht="24" customHeight="1" spans="1:9">
      <c r="A1027" s="330">
        <v>2149901</v>
      </c>
      <c r="B1027" s="379" t="s">
        <v>966</v>
      </c>
      <c r="C1027" s="516">
        <v>0</v>
      </c>
      <c r="D1027" s="516">
        <f>'04'!F1026</f>
        <v>492</v>
      </c>
      <c r="E1027" s="525">
        <v>500</v>
      </c>
      <c r="F1027" s="526" t="str">
        <f t="shared" si="63"/>
        <v/>
      </c>
      <c r="G1027" s="470">
        <f t="shared" si="64"/>
        <v>0.016260162601626</v>
      </c>
      <c r="H1027" s="524" t="str">
        <f t="shared" si="65"/>
        <v>是</v>
      </c>
      <c r="I1027" s="312" t="str">
        <f t="shared" si="62"/>
        <v>项</v>
      </c>
    </row>
    <row r="1028" s="372" customFormat="1" ht="24" customHeight="1" spans="1:9">
      <c r="A1028" s="330">
        <v>2149999</v>
      </c>
      <c r="B1028" s="379" t="s">
        <v>967</v>
      </c>
      <c r="C1028" s="516">
        <v>251</v>
      </c>
      <c r="D1028" s="516">
        <f>'04'!F1027</f>
        <v>404</v>
      </c>
      <c r="E1028" s="525">
        <v>325</v>
      </c>
      <c r="F1028" s="526">
        <f t="shared" si="63"/>
        <v>0.294820717131474</v>
      </c>
      <c r="G1028" s="470">
        <f t="shared" si="64"/>
        <v>-0.195544554455446</v>
      </c>
      <c r="H1028" s="524" t="str">
        <f t="shared" si="65"/>
        <v>是</v>
      </c>
      <c r="I1028" s="312" t="str">
        <f t="shared" ref="I1028:I1091" si="66">IF(LEN(A1028)=3,"类",IF(LEN(A1028)=5,"款","项"))</f>
        <v>项</v>
      </c>
    </row>
    <row r="1029" s="372" customFormat="1" ht="24" customHeight="1" spans="1:9">
      <c r="A1029" s="329">
        <v>215</v>
      </c>
      <c r="B1029" s="377" t="s">
        <v>188</v>
      </c>
      <c r="C1029" s="515">
        <f>C1030+C1040+C1056+C1061+C1072+C1079+C1087</f>
        <v>68152</v>
      </c>
      <c r="D1029" s="515">
        <f>D1030+D1040+D1056+D1061+D1072+D1079+D1087</f>
        <v>44782</v>
      </c>
      <c r="E1029" s="515">
        <f>E1030+E1040+E1056+E1061+E1072+E1079+E1087</f>
        <v>44394</v>
      </c>
      <c r="F1029" s="523">
        <f t="shared" ref="F1029:F1092" si="67">IFERROR((E1029-C1029)/C1029,"")</f>
        <v>-0.34860312243221</v>
      </c>
      <c r="G1029" s="467">
        <f t="shared" ref="G1029:G1092" si="68">IFERROR((E1029-D1029)/D1029,"")</f>
        <v>-0.00866419543566612</v>
      </c>
      <c r="H1029" s="524" t="str">
        <f t="shared" si="65"/>
        <v>是</v>
      </c>
      <c r="I1029" s="312" t="str">
        <f t="shared" si="66"/>
        <v>类</v>
      </c>
    </row>
    <row r="1030" s="372" customFormat="1" ht="24" customHeight="1" spans="1:9">
      <c r="A1030" s="330">
        <v>21501</v>
      </c>
      <c r="B1030" s="379" t="s">
        <v>968</v>
      </c>
      <c r="C1030" s="515">
        <f>SUM(C1031:C1039)</f>
        <v>5</v>
      </c>
      <c r="D1030" s="515">
        <f>SUM(D1031:D1039)</f>
        <v>0</v>
      </c>
      <c r="E1030" s="515">
        <f>SUM(E1031:E1039)</f>
        <v>0</v>
      </c>
      <c r="F1030" s="523">
        <f t="shared" si="67"/>
        <v>-1</v>
      </c>
      <c r="G1030" s="467" t="str">
        <f t="shared" si="68"/>
        <v/>
      </c>
      <c r="H1030" s="524" t="str">
        <f t="shared" ref="H1030:H1093" si="69">IF(LEN(A1030)=3,"是",IF(B1030&lt;&gt;"",IF(SUM(C1030:E1030)&lt;&gt;0,"是","否"),"是"))</f>
        <v>是</v>
      </c>
      <c r="I1030" s="312" t="str">
        <f t="shared" si="66"/>
        <v>款</v>
      </c>
    </row>
    <row r="1031" s="372" customFormat="1" ht="24" customHeight="1" spans="1:9">
      <c r="A1031" s="330">
        <v>2150101</v>
      </c>
      <c r="B1031" s="379" t="s">
        <v>212</v>
      </c>
      <c r="C1031" s="516">
        <v>5</v>
      </c>
      <c r="D1031" s="516">
        <f>'04'!F1030</f>
        <v>0</v>
      </c>
      <c r="E1031" s="525">
        <v>0</v>
      </c>
      <c r="F1031" s="526">
        <f t="shared" si="67"/>
        <v>-1</v>
      </c>
      <c r="G1031" s="470" t="str">
        <f t="shared" si="68"/>
        <v/>
      </c>
      <c r="H1031" s="524" t="str">
        <f t="shared" si="69"/>
        <v>是</v>
      </c>
      <c r="I1031" s="312" t="str">
        <f t="shared" si="66"/>
        <v>项</v>
      </c>
    </row>
    <row r="1032" ht="24" hidden="1" customHeight="1" spans="1:9">
      <c r="A1032" s="330">
        <v>2150102</v>
      </c>
      <c r="B1032" s="379" t="s">
        <v>213</v>
      </c>
      <c r="C1032" s="516"/>
      <c r="D1032" s="516">
        <f>'04'!F1031</f>
        <v>0</v>
      </c>
      <c r="E1032" s="525">
        <v>0</v>
      </c>
      <c r="F1032" s="526" t="str">
        <f t="shared" si="67"/>
        <v/>
      </c>
      <c r="G1032" s="470" t="str">
        <f t="shared" si="68"/>
        <v/>
      </c>
      <c r="H1032" s="524" t="str">
        <f t="shared" si="69"/>
        <v>否</v>
      </c>
      <c r="I1032" s="312" t="str">
        <f t="shared" si="66"/>
        <v>项</v>
      </c>
    </row>
    <row r="1033" s="372" customFormat="1" ht="24" hidden="1" customHeight="1" spans="1:9">
      <c r="A1033" s="330">
        <v>2150103</v>
      </c>
      <c r="B1033" s="379" t="s">
        <v>214</v>
      </c>
      <c r="C1033" s="516"/>
      <c r="D1033" s="516">
        <f>'04'!F1032</f>
        <v>0</v>
      </c>
      <c r="E1033" s="525">
        <v>0</v>
      </c>
      <c r="F1033" s="526" t="str">
        <f t="shared" si="67"/>
        <v/>
      </c>
      <c r="G1033" s="470" t="str">
        <f t="shared" si="68"/>
        <v/>
      </c>
      <c r="H1033" s="524" t="str">
        <f t="shared" si="69"/>
        <v>否</v>
      </c>
      <c r="I1033" s="312" t="str">
        <f t="shared" si="66"/>
        <v>项</v>
      </c>
    </row>
    <row r="1034" s="372" customFormat="1" ht="24" hidden="1" customHeight="1" spans="1:9">
      <c r="A1034" s="330">
        <v>2150104</v>
      </c>
      <c r="B1034" s="379" t="s">
        <v>969</v>
      </c>
      <c r="C1034" s="516"/>
      <c r="D1034" s="516">
        <f>'04'!F1033</f>
        <v>0</v>
      </c>
      <c r="E1034" s="525">
        <v>0</v>
      </c>
      <c r="F1034" s="526" t="str">
        <f t="shared" si="67"/>
        <v/>
      </c>
      <c r="G1034" s="470" t="str">
        <f t="shared" si="68"/>
        <v/>
      </c>
      <c r="H1034" s="524" t="str">
        <f t="shared" si="69"/>
        <v>否</v>
      </c>
      <c r="I1034" s="312" t="str">
        <f t="shared" si="66"/>
        <v>项</v>
      </c>
    </row>
    <row r="1035" s="372" customFormat="1" ht="24" hidden="1" customHeight="1" spans="1:9">
      <c r="A1035" s="330">
        <v>2150105</v>
      </c>
      <c r="B1035" s="379" t="s">
        <v>970</v>
      </c>
      <c r="C1035" s="516"/>
      <c r="D1035" s="516">
        <f>'04'!F1034</f>
        <v>0</v>
      </c>
      <c r="E1035" s="525">
        <v>0</v>
      </c>
      <c r="F1035" s="526" t="str">
        <f t="shared" si="67"/>
        <v/>
      </c>
      <c r="G1035" s="470" t="str">
        <f t="shared" si="68"/>
        <v/>
      </c>
      <c r="H1035" s="524" t="str">
        <f t="shared" si="69"/>
        <v>否</v>
      </c>
      <c r="I1035" s="312" t="str">
        <f t="shared" si="66"/>
        <v>项</v>
      </c>
    </row>
    <row r="1036" s="372" customFormat="1" ht="24" hidden="1" customHeight="1" spans="1:9">
      <c r="A1036" s="330">
        <v>2150106</v>
      </c>
      <c r="B1036" s="379" t="s">
        <v>971</v>
      </c>
      <c r="C1036" s="516"/>
      <c r="D1036" s="516">
        <f>'04'!F1035</f>
        <v>0</v>
      </c>
      <c r="E1036" s="525">
        <v>0</v>
      </c>
      <c r="F1036" s="526" t="str">
        <f t="shared" si="67"/>
        <v/>
      </c>
      <c r="G1036" s="470" t="str">
        <f t="shared" si="68"/>
        <v/>
      </c>
      <c r="H1036" s="524" t="str">
        <f t="shared" si="69"/>
        <v>否</v>
      </c>
      <c r="I1036" s="312" t="str">
        <f t="shared" si="66"/>
        <v>项</v>
      </c>
    </row>
    <row r="1037" s="372" customFormat="1" ht="24" hidden="1" customHeight="1" spans="1:9">
      <c r="A1037" s="330">
        <v>2150107</v>
      </c>
      <c r="B1037" s="379" t="s">
        <v>972</v>
      </c>
      <c r="C1037" s="516"/>
      <c r="D1037" s="516">
        <f>'04'!F1036</f>
        <v>0</v>
      </c>
      <c r="E1037" s="525">
        <v>0</v>
      </c>
      <c r="F1037" s="526" t="str">
        <f t="shared" si="67"/>
        <v/>
      </c>
      <c r="G1037" s="470" t="str">
        <f t="shared" si="68"/>
        <v/>
      </c>
      <c r="H1037" s="524" t="str">
        <f t="shared" si="69"/>
        <v>否</v>
      </c>
      <c r="I1037" s="312" t="str">
        <f t="shared" si="66"/>
        <v>项</v>
      </c>
    </row>
    <row r="1038" s="372" customFormat="1" ht="24" hidden="1" customHeight="1" spans="1:9">
      <c r="A1038" s="330">
        <v>2150108</v>
      </c>
      <c r="B1038" s="379" t="s">
        <v>973</v>
      </c>
      <c r="C1038" s="516"/>
      <c r="D1038" s="516">
        <f>'04'!F1037</f>
        <v>0</v>
      </c>
      <c r="E1038" s="525">
        <v>0</v>
      </c>
      <c r="F1038" s="526" t="str">
        <f t="shared" si="67"/>
        <v/>
      </c>
      <c r="G1038" s="470" t="str">
        <f t="shared" si="68"/>
        <v/>
      </c>
      <c r="H1038" s="524" t="str">
        <f t="shared" si="69"/>
        <v>否</v>
      </c>
      <c r="I1038" s="312" t="str">
        <f t="shared" si="66"/>
        <v>项</v>
      </c>
    </row>
    <row r="1039" s="372" customFormat="1" ht="24" hidden="1" customHeight="1" spans="1:9">
      <c r="A1039" s="330">
        <v>2150199</v>
      </c>
      <c r="B1039" s="379" t="s">
        <v>974</v>
      </c>
      <c r="C1039" s="516"/>
      <c r="D1039" s="516">
        <f>'04'!F1038</f>
        <v>0</v>
      </c>
      <c r="E1039" s="525">
        <v>0</v>
      </c>
      <c r="F1039" s="526" t="str">
        <f t="shared" si="67"/>
        <v/>
      </c>
      <c r="G1039" s="470" t="str">
        <f t="shared" si="68"/>
        <v/>
      </c>
      <c r="H1039" s="524" t="str">
        <f t="shared" si="69"/>
        <v>否</v>
      </c>
      <c r="I1039" s="312" t="str">
        <f t="shared" si="66"/>
        <v>项</v>
      </c>
    </row>
    <row r="1040" s="372" customFormat="1" ht="24" hidden="1" customHeight="1" spans="1:9">
      <c r="A1040" s="330">
        <v>21502</v>
      </c>
      <c r="B1040" s="379" t="s">
        <v>975</v>
      </c>
      <c r="C1040" s="515">
        <f>SUM(C1041:C1055)</f>
        <v>0</v>
      </c>
      <c r="D1040" s="515">
        <f>SUM(D1041:D1055)</f>
        <v>0</v>
      </c>
      <c r="E1040" s="515">
        <f>SUM(E1041:E1055)</f>
        <v>0</v>
      </c>
      <c r="F1040" s="523" t="str">
        <f t="shared" si="67"/>
        <v/>
      </c>
      <c r="G1040" s="467" t="str">
        <f t="shared" si="68"/>
        <v/>
      </c>
      <c r="H1040" s="524" t="str">
        <f t="shared" si="69"/>
        <v>否</v>
      </c>
      <c r="I1040" s="312" t="str">
        <f t="shared" si="66"/>
        <v>款</v>
      </c>
    </row>
    <row r="1041" s="372" customFormat="1" ht="24" hidden="1" customHeight="1" spans="1:9">
      <c r="A1041" s="330">
        <v>2150201</v>
      </c>
      <c r="B1041" s="379" t="s">
        <v>212</v>
      </c>
      <c r="C1041" s="516"/>
      <c r="D1041" s="516">
        <f>'04'!F1040</f>
        <v>0</v>
      </c>
      <c r="E1041" s="525">
        <v>0</v>
      </c>
      <c r="F1041" s="526" t="str">
        <f t="shared" si="67"/>
        <v/>
      </c>
      <c r="G1041" s="470" t="str">
        <f t="shared" si="68"/>
        <v/>
      </c>
      <c r="H1041" s="524" t="str">
        <f t="shared" si="69"/>
        <v>否</v>
      </c>
      <c r="I1041" s="312" t="str">
        <f t="shared" si="66"/>
        <v>项</v>
      </c>
    </row>
    <row r="1042" ht="24" hidden="1" customHeight="1" spans="1:9">
      <c r="A1042" s="330">
        <v>2150202</v>
      </c>
      <c r="B1042" s="379" t="s">
        <v>213</v>
      </c>
      <c r="C1042" s="516"/>
      <c r="D1042" s="516">
        <f>'04'!F1041</f>
        <v>0</v>
      </c>
      <c r="E1042" s="525">
        <v>0</v>
      </c>
      <c r="F1042" s="526" t="str">
        <f t="shared" si="67"/>
        <v/>
      </c>
      <c r="G1042" s="470" t="str">
        <f t="shared" si="68"/>
        <v/>
      </c>
      <c r="H1042" s="524" t="str">
        <f t="shared" si="69"/>
        <v>否</v>
      </c>
      <c r="I1042" s="312" t="str">
        <f t="shared" si="66"/>
        <v>项</v>
      </c>
    </row>
    <row r="1043" s="372" customFormat="1" ht="24" hidden="1" customHeight="1" spans="1:9">
      <c r="A1043" s="330">
        <v>2150203</v>
      </c>
      <c r="B1043" s="379" t="s">
        <v>214</v>
      </c>
      <c r="C1043" s="516"/>
      <c r="D1043" s="516">
        <f>'04'!F1042</f>
        <v>0</v>
      </c>
      <c r="E1043" s="525">
        <v>0</v>
      </c>
      <c r="F1043" s="526" t="str">
        <f t="shared" si="67"/>
        <v/>
      </c>
      <c r="G1043" s="470" t="str">
        <f t="shared" si="68"/>
        <v/>
      </c>
      <c r="H1043" s="524" t="str">
        <f t="shared" si="69"/>
        <v>否</v>
      </c>
      <c r="I1043" s="312" t="str">
        <f t="shared" si="66"/>
        <v>项</v>
      </c>
    </row>
    <row r="1044" s="372" customFormat="1" ht="24" hidden="1" customHeight="1" spans="1:9">
      <c r="A1044" s="330">
        <v>2150204</v>
      </c>
      <c r="B1044" s="379" t="s">
        <v>976</v>
      </c>
      <c r="C1044" s="516"/>
      <c r="D1044" s="516">
        <f>'04'!F1043</f>
        <v>0</v>
      </c>
      <c r="E1044" s="525">
        <v>0</v>
      </c>
      <c r="F1044" s="526" t="str">
        <f t="shared" si="67"/>
        <v/>
      </c>
      <c r="G1044" s="470" t="str">
        <f t="shared" si="68"/>
        <v/>
      </c>
      <c r="H1044" s="524" t="str">
        <f t="shared" si="69"/>
        <v>否</v>
      </c>
      <c r="I1044" s="312" t="str">
        <f t="shared" si="66"/>
        <v>项</v>
      </c>
    </row>
    <row r="1045" s="372" customFormat="1" ht="24" hidden="1" customHeight="1" spans="1:9">
      <c r="A1045" s="330">
        <v>2150205</v>
      </c>
      <c r="B1045" s="379" t="s">
        <v>977</v>
      </c>
      <c r="C1045" s="516"/>
      <c r="D1045" s="516">
        <f>'04'!F1044</f>
        <v>0</v>
      </c>
      <c r="E1045" s="525">
        <v>0</v>
      </c>
      <c r="F1045" s="526" t="str">
        <f t="shared" si="67"/>
        <v/>
      </c>
      <c r="G1045" s="470" t="str">
        <f t="shared" si="68"/>
        <v/>
      </c>
      <c r="H1045" s="524" t="str">
        <f t="shared" si="69"/>
        <v>否</v>
      </c>
      <c r="I1045" s="312" t="str">
        <f t="shared" si="66"/>
        <v>项</v>
      </c>
    </row>
    <row r="1046" s="372" customFormat="1" ht="24" hidden="1" customHeight="1" spans="1:9">
      <c r="A1046" s="330">
        <v>2150206</v>
      </c>
      <c r="B1046" s="379" t="s">
        <v>978</v>
      </c>
      <c r="C1046" s="516"/>
      <c r="D1046" s="516">
        <f>'04'!F1045</f>
        <v>0</v>
      </c>
      <c r="E1046" s="525">
        <v>0</v>
      </c>
      <c r="F1046" s="526" t="str">
        <f t="shared" si="67"/>
        <v/>
      </c>
      <c r="G1046" s="470" t="str">
        <f t="shared" si="68"/>
        <v/>
      </c>
      <c r="H1046" s="524" t="str">
        <f t="shared" si="69"/>
        <v>否</v>
      </c>
      <c r="I1046" s="312" t="str">
        <f t="shared" si="66"/>
        <v>项</v>
      </c>
    </row>
    <row r="1047" ht="24" hidden="1" customHeight="1" spans="1:9">
      <c r="A1047" s="330">
        <v>2150207</v>
      </c>
      <c r="B1047" s="379" t="s">
        <v>979</v>
      </c>
      <c r="C1047" s="516"/>
      <c r="D1047" s="516">
        <f>'04'!F1046</f>
        <v>0</v>
      </c>
      <c r="E1047" s="525">
        <v>0</v>
      </c>
      <c r="F1047" s="526" t="str">
        <f t="shared" si="67"/>
        <v/>
      </c>
      <c r="G1047" s="470" t="str">
        <f t="shared" si="68"/>
        <v/>
      </c>
      <c r="H1047" s="524" t="str">
        <f t="shared" si="69"/>
        <v>否</v>
      </c>
      <c r="I1047" s="312" t="str">
        <f t="shared" si="66"/>
        <v>项</v>
      </c>
    </row>
    <row r="1048" s="372" customFormat="1" ht="24" hidden="1" customHeight="1" spans="1:9">
      <c r="A1048" s="330">
        <v>2150208</v>
      </c>
      <c r="B1048" s="379" t="s">
        <v>980</v>
      </c>
      <c r="C1048" s="516"/>
      <c r="D1048" s="516">
        <f>'04'!F1047</f>
        <v>0</v>
      </c>
      <c r="E1048" s="525">
        <v>0</v>
      </c>
      <c r="F1048" s="526" t="str">
        <f t="shared" si="67"/>
        <v/>
      </c>
      <c r="G1048" s="470" t="str">
        <f t="shared" si="68"/>
        <v/>
      </c>
      <c r="H1048" s="524" t="str">
        <f t="shared" si="69"/>
        <v>否</v>
      </c>
      <c r="I1048" s="312" t="str">
        <f t="shared" si="66"/>
        <v>项</v>
      </c>
    </row>
    <row r="1049" s="372" customFormat="1" ht="24" hidden="1" customHeight="1" spans="1:9">
      <c r="A1049" s="330">
        <v>2150209</v>
      </c>
      <c r="B1049" s="379" t="s">
        <v>981</v>
      </c>
      <c r="C1049" s="516"/>
      <c r="D1049" s="516">
        <f>'04'!F1048</f>
        <v>0</v>
      </c>
      <c r="E1049" s="525">
        <v>0</v>
      </c>
      <c r="F1049" s="526" t="str">
        <f t="shared" si="67"/>
        <v/>
      </c>
      <c r="G1049" s="470" t="str">
        <f t="shared" si="68"/>
        <v/>
      </c>
      <c r="H1049" s="524" t="str">
        <f t="shared" si="69"/>
        <v>否</v>
      </c>
      <c r="I1049" s="312" t="str">
        <f t="shared" si="66"/>
        <v>项</v>
      </c>
    </row>
    <row r="1050" s="372" customFormat="1" ht="24" hidden="1" customHeight="1" spans="1:9">
      <c r="A1050" s="330">
        <v>2150210</v>
      </c>
      <c r="B1050" s="379" t="s">
        <v>982</v>
      </c>
      <c r="C1050" s="516"/>
      <c r="D1050" s="516">
        <f>'04'!F1049</f>
        <v>0</v>
      </c>
      <c r="E1050" s="525">
        <v>0</v>
      </c>
      <c r="F1050" s="526" t="str">
        <f t="shared" si="67"/>
        <v/>
      </c>
      <c r="G1050" s="470" t="str">
        <f t="shared" si="68"/>
        <v/>
      </c>
      <c r="H1050" s="524" t="str">
        <f t="shared" si="69"/>
        <v>否</v>
      </c>
      <c r="I1050" s="312" t="str">
        <f t="shared" si="66"/>
        <v>项</v>
      </c>
    </row>
    <row r="1051" s="372" customFormat="1" ht="24" hidden="1" customHeight="1" spans="1:9">
      <c r="A1051" s="330">
        <v>2150212</v>
      </c>
      <c r="B1051" s="379" t="s">
        <v>983</v>
      </c>
      <c r="C1051" s="516"/>
      <c r="D1051" s="516">
        <f>'04'!F1050</f>
        <v>0</v>
      </c>
      <c r="E1051" s="525">
        <v>0</v>
      </c>
      <c r="F1051" s="526" t="str">
        <f t="shared" si="67"/>
        <v/>
      </c>
      <c r="G1051" s="470" t="str">
        <f t="shared" si="68"/>
        <v/>
      </c>
      <c r="H1051" s="524" t="str">
        <f t="shared" si="69"/>
        <v>否</v>
      </c>
      <c r="I1051" s="312" t="str">
        <f t="shared" si="66"/>
        <v>项</v>
      </c>
    </row>
    <row r="1052" s="372" customFormat="1" ht="24" hidden="1" customHeight="1" spans="1:9">
      <c r="A1052" s="330">
        <v>2150213</v>
      </c>
      <c r="B1052" s="379" t="s">
        <v>984</v>
      </c>
      <c r="C1052" s="516"/>
      <c r="D1052" s="516">
        <f>'04'!F1051</f>
        <v>0</v>
      </c>
      <c r="E1052" s="525">
        <v>0</v>
      </c>
      <c r="F1052" s="526" t="str">
        <f t="shared" si="67"/>
        <v/>
      </c>
      <c r="G1052" s="470" t="str">
        <f t="shared" si="68"/>
        <v/>
      </c>
      <c r="H1052" s="524" t="str">
        <f t="shared" si="69"/>
        <v>否</v>
      </c>
      <c r="I1052" s="312" t="str">
        <f t="shared" si="66"/>
        <v>项</v>
      </c>
    </row>
    <row r="1053" s="372" customFormat="1" ht="24" hidden="1" customHeight="1" spans="1:9">
      <c r="A1053" s="330">
        <v>2150214</v>
      </c>
      <c r="B1053" s="379" t="s">
        <v>985</v>
      </c>
      <c r="C1053" s="516"/>
      <c r="D1053" s="516">
        <f>'04'!F1052</f>
        <v>0</v>
      </c>
      <c r="E1053" s="525">
        <v>0</v>
      </c>
      <c r="F1053" s="526" t="str">
        <f t="shared" si="67"/>
        <v/>
      </c>
      <c r="G1053" s="470" t="str">
        <f t="shared" si="68"/>
        <v/>
      </c>
      <c r="H1053" s="524" t="str">
        <f t="shared" si="69"/>
        <v>否</v>
      </c>
      <c r="I1053" s="312" t="str">
        <f t="shared" si="66"/>
        <v>项</v>
      </c>
    </row>
    <row r="1054" ht="24" hidden="1" customHeight="1" spans="1:9">
      <c r="A1054" s="330">
        <v>2150215</v>
      </c>
      <c r="B1054" s="379" t="s">
        <v>986</v>
      </c>
      <c r="C1054" s="516"/>
      <c r="D1054" s="516">
        <f>'04'!F1053</f>
        <v>0</v>
      </c>
      <c r="E1054" s="525">
        <v>0</v>
      </c>
      <c r="F1054" s="526" t="str">
        <f t="shared" si="67"/>
        <v/>
      </c>
      <c r="G1054" s="470" t="str">
        <f t="shared" si="68"/>
        <v/>
      </c>
      <c r="H1054" s="524" t="str">
        <f t="shared" si="69"/>
        <v>否</v>
      </c>
      <c r="I1054" s="312" t="str">
        <f t="shared" si="66"/>
        <v>项</v>
      </c>
    </row>
    <row r="1055" s="372" customFormat="1" ht="24" hidden="1" customHeight="1" spans="1:9">
      <c r="A1055" s="330">
        <v>2150299</v>
      </c>
      <c r="B1055" s="379" t="s">
        <v>987</v>
      </c>
      <c r="C1055" s="516"/>
      <c r="D1055" s="516">
        <f>'04'!F1054</f>
        <v>0</v>
      </c>
      <c r="E1055" s="525">
        <v>0</v>
      </c>
      <c r="F1055" s="526" t="str">
        <f t="shared" si="67"/>
        <v/>
      </c>
      <c r="G1055" s="470" t="str">
        <f t="shared" si="68"/>
        <v/>
      </c>
      <c r="H1055" s="524" t="str">
        <f t="shared" si="69"/>
        <v>否</v>
      </c>
      <c r="I1055" s="312" t="str">
        <f t="shared" si="66"/>
        <v>项</v>
      </c>
    </row>
    <row r="1056" s="372" customFormat="1" ht="24" hidden="1" customHeight="1" spans="1:9">
      <c r="A1056" s="330">
        <v>21503</v>
      </c>
      <c r="B1056" s="379" t="s">
        <v>988</v>
      </c>
      <c r="C1056" s="515">
        <f>SUM(C1057:C1060)</f>
        <v>0</v>
      </c>
      <c r="D1056" s="515">
        <f>SUM(D1057:D1060)</f>
        <v>0</v>
      </c>
      <c r="E1056" s="515">
        <f>SUM(E1057:E1060)</f>
        <v>0</v>
      </c>
      <c r="F1056" s="523" t="str">
        <f t="shared" si="67"/>
        <v/>
      </c>
      <c r="G1056" s="467" t="str">
        <f t="shared" si="68"/>
        <v/>
      </c>
      <c r="H1056" s="524" t="str">
        <f t="shared" si="69"/>
        <v>否</v>
      </c>
      <c r="I1056" s="312" t="str">
        <f t="shared" si="66"/>
        <v>款</v>
      </c>
    </row>
    <row r="1057" s="372" customFormat="1" ht="24" hidden="1" customHeight="1" spans="1:9">
      <c r="A1057" s="330">
        <v>2150301</v>
      </c>
      <c r="B1057" s="379" t="s">
        <v>212</v>
      </c>
      <c r="C1057" s="516"/>
      <c r="D1057" s="516">
        <f>'04'!F1056</f>
        <v>0</v>
      </c>
      <c r="E1057" s="525">
        <v>0</v>
      </c>
      <c r="F1057" s="526" t="str">
        <f t="shared" si="67"/>
        <v/>
      </c>
      <c r="G1057" s="470" t="str">
        <f t="shared" si="68"/>
        <v/>
      </c>
      <c r="H1057" s="524" t="str">
        <f t="shared" si="69"/>
        <v>否</v>
      </c>
      <c r="I1057" s="312" t="str">
        <f t="shared" si="66"/>
        <v>项</v>
      </c>
    </row>
    <row r="1058" s="372" customFormat="1" ht="24" hidden="1" customHeight="1" spans="1:9">
      <c r="A1058" s="330">
        <v>2150302</v>
      </c>
      <c r="B1058" s="379" t="s">
        <v>213</v>
      </c>
      <c r="C1058" s="516"/>
      <c r="D1058" s="516">
        <f>'04'!F1057</f>
        <v>0</v>
      </c>
      <c r="E1058" s="525">
        <v>0</v>
      </c>
      <c r="F1058" s="526" t="str">
        <f t="shared" si="67"/>
        <v/>
      </c>
      <c r="G1058" s="470" t="str">
        <f t="shared" si="68"/>
        <v/>
      </c>
      <c r="H1058" s="524" t="str">
        <f t="shared" si="69"/>
        <v>否</v>
      </c>
      <c r="I1058" s="312" t="str">
        <f t="shared" si="66"/>
        <v>项</v>
      </c>
    </row>
    <row r="1059" ht="24" hidden="1" customHeight="1" spans="1:9">
      <c r="A1059" s="330">
        <v>2150303</v>
      </c>
      <c r="B1059" s="379" t="s">
        <v>214</v>
      </c>
      <c r="C1059" s="516"/>
      <c r="D1059" s="516">
        <f>'04'!F1058</f>
        <v>0</v>
      </c>
      <c r="E1059" s="525">
        <v>0</v>
      </c>
      <c r="F1059" s="526" t="str">
        <f t="shared" si="67"/>
        <v/>
      </c>
      <c r="G1059" s="470" t="str">
        <f t="shared" si="68"/>
        <v/>
      </c>
      <c r="H1059" s="524" t="str">
        <f t="shared" si="69"/>
        <v>否</v>
      </c>
      <c r="I1059" s="312" t="str">
        <f t="shared" si="66"/>
        <v>项</v>
      </c>
    </row>
    <row r="1060" s="372" customFormat="1" ht="24" hidden="1" customHeight="1" spans="1:9">
      <c r="A1060" s="330">
        <v>2150399</v>
      </c>
      <c r="B1060" s="379" t="s">
        <v>989</v>
      </c>
      <c r="C1060" s="516">
        <v>0</v>
      </c>
      <c r="D1060" s="516">
        <f>'04'!F1059</f>
        <v>0</v>
      </c>
      <c r="E1060" s="525">
        <v>0</v>
      </c>
      <c r="F1060" s="526" t="str">
        <f t="shared" si="67"/>
        <v/>
      </c>
      <c r="G1060" s="470" t="str">
        <f t="shared" si="68"/>
        <v/>
      </c>
      <c r="H1060" s="524" t="str">
        <f t="shared" si="69"/>
        <v>否</v>
      </c>
      <c r="I1060" s="312" t="str">
        <f t="shared" si="66"/>
        <v>项</v>
      </c>
    </row>
    <row r="1061" s="374" customFormat="1" ht="24" customHeight="1" spans="1:9">
      <c r="A1061" s="331">
        <v>21505</v>
      </c>
      <c r="B1061" s="327" t="s">
        <v>990</v>
      </c>
      <c r="C1061" s="515">
        <f>SUM(C1062:C1071)</f>
        <v>6981</v>
      </c>
      <c r="D1061" s="515">
        <f>SUM(D1062:D1071)</f>
        <v>2111</v>
      </c>
      <c r="E1061" s="515">
        <f>SUM(E1062:E1071)</f>
        <v>2127</v>
      </c>
      <c r="F1061" s="523">
        <f t="shared" si="67"/>
        <v>-0.69531585732703</v>
      </c>
      <c r="G1061" s="467">
        <f t="shared" si="68"/>
        <v>0.00757934628138323</v>
      </c>
      <c r="H1061" s="524" t="str">
        <f t="shared" si="69"/>
        <v>是</v>
      </c>
      <c r="I1061" s="313" t="str">
        <f t="shared" si="66"/>
        <v>款</v>
      </c>
    </row>
    <row r="1062" ht="24" customHeight="1" spans="1:9">
      <c r="A1062" s="330">
        <v>2150501</v>
      </c>
      <c r="B1062" s="379" t="s">
        <v>212</v>
      </c>
      <c r="C1062" s="516">
        <v>665</v>
      </c>
      <c r="D1062" s="516">
        <f>'04'!F1061</f>
        <v>594</v>
      </c>
      <c r="E1062" s="525">
        <v>615</v>
      </c>
      <c r="F1062" s="526">
        <f t="shared" si="67"/>
        <v>-0.075187969924812</v>
      </c>
      <c r="G1062" s="470">
        <f t="shared" si="68"/>
        <v>0.0353535353535354</v>
      </c>
      <c r="H1062" s="524" t="str">
        <f t="shared" si="69"/>
        <v>是</v>
      </c>
      <c r="I1062" s="312" t="str">
        <f t="shared" si="66"/>
        <v>项</v>
      </c>
    </row>
    <row r="1063" ht="24" customHeight="1" spans="1:9">
      <c r="A1063" s="330">
        <v>2150502</v>
      </c>
      <c r="B1063" s="379" t="s">
        <v>213</v>
      </c>
      <c r="C1063" s="516">
        <v>8</v>
      </c>
      <c r="D1063" s="516">
        <f>'04'!F1062</f>
        <v>0</v>
      </c>
      <c r="E1063" s="525">
        <v>0</v>
      </c>
      <c r="F1063" s="526">
        <f t="shared" si="67"/>
        <v>-1</v>
      </c>
      <c r="G1063" s="470" t="str">
        <f t="shared" si="68"/>
        <v/>
      </c>
      <c r="H1063" s="524" t="str">
        <f t="shared" si="69"/>
        <v>是</v>
      </c>
      <c r="I1063" s="312" t="str">
        <f t="shared" si="66"/>
        <v>项</v>
      </c>
    </row>
    <row r="1064" s="372" customFormat="1" ht="24" hidden="1" customHeight="1" spans="1:9">
      <c r="A1064" s="330">
        <v>2150503</v>
      </c>
      <c r="B1064" s="379" t="s">
        <v>214</v>
      </c>
      <c r="C1064" s="516">
        <v>0</v>
      </c>
      <c r="D1064" s="516">
        <f>'04'!F1063</f>
        <v>0</v>
      </c>
      <c r="E1064" s="525">
        <v>0</v>
      </c>
      <c r="F1064" s="526" t="str">
        <f t="shared" si="67"/>
        <v/>
      </c>
      <c r="G1064" s="470" t="str">
        <f t="shared" si="68"/>
        <v/>
      </c>
      <c r="H1064" s="524" t="str">
        <f t="shared" si="69"/>
        <v>否</v>
      </c>
      <c r="I1064" s="312" t="str">
        <f t="shared" si="66"/>
        <v>项</v>
      </c>
    </row>
    <row r="1065" s="372" customFormat="1" ht="24" hidden="1" customHeight="1" spans="1:9">
      <c r="A1065" s="330">
        <v>2150505</v>
      </c>
      <c r="B1065" s="379" t="s">
        <v>991</v>
      </c>
      <c r="C1065" s="516">
        <v>0</v>
      </c>
      <c r="D1065" s="516">
        <f>'04'!F1064</f>
        <v>0</v>
      </c>
      <c r="E1065" s="525">
        <v>0</v>
      </c>
      <c r="F1065" s="526" t="str">
        <f t="shared" si="67"/>
        <v/>
      </c>
      <c r="G1065" s="470" t="str">
        <f t="shared" si="68"/>
        <v/>
      </c>
      <c r="H1065" s="524" t="str">
        <f t="shared" si="69"/>
        <v>否</v>
      </c>
      <c r="I1065" s="312" t="str">
        <f t="shared" si="66"/>
        <v>项</v>
      </c>
    </row>
    <row r="1066" s="372" customFormat="1" ht="24" hidden="1" customHeight="1" spans="1:9">
      <c r="A1066" s="330">
        <v>2150507</v>
      </c>
      <c r="B1066" s="379" t="s">
        <v>992</v>
      </c>
      <c r="C1066" s="516">
        <v>0</v>
      </c>
      <c r="D1066" s="516">
        <f>'04'!F1065</f>
        <v>0</v>
      </c>
      <c r="E1066" s="525">
        <v>0</v>
      </c>
      <c r="F1066" s="526" t="str">
        <f t="shared" si="67"/>
        <v/>
      </c>
      <c r="G1066" s="470" t="str">
        <f t="shared" si="68"/>
        <v/>
      </c>
      <c r="H1066" s="524" t="str">
        <f t="shared" si="69"/>
        <v>否</v>
      </c>
      <c r="I1066" s="312" t="str">
        <f t="shared" si="66"/>
        <v>项</v>
      </c>
    </row>
    <row r="1067" s="372" customFormat="1" ht="24" customHeight="1" spans="1:9">
      <c r="A1067" s="330">
        <v>2150508</v>
      </c>
      <c r="B1067" s="379" t="s">
        <v>993</v>
      </c>
      <c r="C1067" s="516">
        <v>485</v>
      </c>
      <c r="D1067" s="516">
        <f>'04'!F1066</f>
        <v>87</v>
      </c>
      <c r="E1067" s="525">
        <v>108</v>
      </c>
      <c r="F1067" s="526">
        <f t="shared" si="67"/>
        <v>-0.777319587628866</v>
      </c>
      <c r="G1067" s="470">
        <f t="shared" si="68"/>
        <v>0.241379310344828</v>
      </c>
      <c r="H1067" s="524" t="str">
        <f t="shared" si="69"/>
        <v>是</v>
      </c>
      <c r="I1067" s="312" t="str">
        <f t="shared" si="66"/>
        <v>项</v>
      </c>
    </row>
    <row r="1068" s="372" customFormat="1" ht="24" customHeight="1" spans="1:9">
      <c r="A1068" s="527">
        <v>2150516</v>
      </c>
      <c r="B1068" s="543" t="s">
        <v>994</v>
      </c>
      <c r="C1068" s="516">
        <v>5658</v>
      </c>
      <c r="D1068" s="516">
        <f>'04'!F1067</f>
        <v>585</v>
      </c>
      <c r="E1068" s="525">
        <v>568</v>
      </c>
      <c r="F1068" s="526">
        <f t="shared" si="67"/>
        <v>-0.899611170024744</v>
      </c>
      <c r="G1068" s="470">
        <f t="shared" si="68"/>
        <v>-0.0290598290598291</v>
      </c>
      <c r="H1068" s="524" t="str">
        <f t="shared" si="69"/>
        <v>是</v>
      </c>
      <c r="I1068" s="312" t="str">
        <f t="shared" si="66"/>
        <v>项</v>
      </c>
    </row>
    <row r="1069" s="372" customFormat="1" ht="24" customHeight="1" spans="1:9">
      <c r="A1069" s="527">
        <v>2150517</v>
      </c>
      <c r="B1069" s="543" t="s">
        <v>995</v>
      </c>
      <c r="C1069" s="516">
        <v>0</v>
      </c>
      <c r="D1069" s="516">
        <f>'04'!F1068</f>
        <v>685</v>
      </c>
      <c r="E1069" s="525">
        <v>668</v>
      </c>
      <c r="F1069" s="526" t="str">
        <f t="shared" si="67"/>
        <v/>
      </c>
      <c r="G1069" s="470">
        <f t="shared" si="68"/>
        <v>-0.0248175182481752</v>
      </c>
      <c r="H1069" s="524" t="str">
        <f t="shared" si="69"/>
        <v>是</v>
      </c>
      <c r="I1069" s="312" t="str">
        <f t="shared" si="66"/>
        <v>项</v>
      </c>
    </row>
    <row r="1070" s="372" customFormat="1" ht="24" customHeight="1" spans="1:9">
      <c r="A1070" s="527">
        <v>2150550</v>
      </c>
      <c r="B1070" s="543" t="s">
        <v>221</v>
      </c>
      <c r="C1070" s="516">
        <v>165</v>
      </c>
      <c r="D1070" s="516">
        <f>'04'!F1069</f>
        <v>160</v>
      </c>
      <c r="E1070" s="525">
        <v>168</v>
      </c>
      <c r="F1070" s="526">
        <f t="shared" si="67"/>
        <v>0.0181818181818182</v>
      </c>
      <c r="G1070" s="470">
        <f t="shared" si="68"/>
        <v>0.05</v>
      </c>
      <c r="H1070" s="524" t="str">
        <f t="shared" si="69"/>
        <v>是</v>
      </c>
      <c r="I1070" s="312" t="str">
        <f t="shared" si="66"/>
        <v>项</v>
      </c>
    </row>
    <row r="1071" s="374" customFormat="1" ht="24" hidden="1" customHeight="1" spans="1:9">
      <c r="A1071" s="331">
        <v>2150599</v>
      </c>
      <c r="B1071" s="327" t="s">
        <v>996</v>
      </c>
      <c r="C1071" s="516">
        <v>0</v>
      </c>
      <c r="D1071" s="516">
        <f>'04'!F1070</f>
        <v>0</v>
      </c>
      <c r="E1071" s="525">
        <v>0</v>
      </c>
      <c r="F1071" s="526" t="str">
        <f t="shared" si="67"/>
        <v/>
      </c>
      <c r="G1071" s="470" t="str">
        <f t="shared" si="68"/>
        <v/>
      </c>
      <c r="H1071" s="524" t="str">
        <f t="shared" si="69"/>
        <v>否</v>
      </c>
      <c r="I1071" s="313" t="str">
        <f t="shared" si="66"/>
        <v>项</v>
      </c>
    </row>
    <row r="1072" s="372" customFormat="1" ht="24" customHeight="1" spans="1:9">
      <c r="A1072" s="330">
        <v>21507</v>
      </c>
      <c r="B1072" s="379" t="s">
        <v>997</v>
      </c>
      <c r="C1072" s="515">
        <f>SUM(C1073:C1078)</f>
        <v>61166</v>
      </c>
      <c r="D1072" s="515">
        <f>SUM(D1073:D1078)</f>
        <v>42004</v>
      </c>
      <c r="E1072" s="515">
        <f>SUM(E1073:E1078)</f>
        <v>41899</v>
      </c>
      <c r="F1072" s="523">
        <f t="shared" si="67"/>
        <v>-0.314995258803911</v>
      </c>
      <c r="G1072" s="467">
        <f t="shared" si="68"/>
        <v>-0.00249976192743548</v>
      </c>
      <c r="H1072" s="524" t="str">
        <f t="shared" si="69"/>
        <v>是</v>
      </c>
      <c r="I1072" s="312" t="str">
        <f t="shared" si="66"/>
        <v>款</v>
      </c>
    </row>
    <row r="1073" ht="24" customHeight="1" spans="1:9">
      <c r="A1073" s="330">
        <v>2150701</v>
      </c>
      <c r="B1073" s="379" t="s">
        <v>212</v>
      </c>
      <c r="C1073" s="516">
        <v>302</v>
      </c>
      <c r="D1073" s="516">
        <f>'04'!F1072</f>
        <v>325</v>
      </c>
      <c r="E1073" s="525">
        <v>331</v>
      </c>
      <c r="F1073" s="526">
        <f t="shared" si="67"/>
        <v>0.0960264900662252</v>
      </c>
      <c r="G1073" s="470">
        <f t="shared" si="68"/>
        <v>0.0184615384615385</v>
      </c>
      <c r="H1073" s="524" t="str">
        <f t="shared" si="69"/>
        <v>是</v>
      </c>
      <c r="I1073" s="312" t="str">
        <f t="shared" si="66"/>
        <v>项</v>
      </c>
    </row>
    <row r="1074" s="372" customFormat="1" ht="24" customHeight="1" spans="1:9">
      <c r="A1074" s="330">
        <v>2150702</v>
      </c>
      <c r="B1074" s="379" t="s">
        <v>213</v>
      </c>
      <c r="C1074" s="516">
        <v>5</v>
      </c>
      <c r="D1074" s="516">
        <f>'04'!F1073</f>
        <v>0</v>
      </c>
      <c r="E1074" s="525">
        <v>0</v>
      </c>
      <c r="F1074" s="526">
        <f t="shared" si="67"/>
        <v>-1</v>
      </c>
      <c r="G1074" s="470" t="str">
        <f t="shared" si="68"/>
        <v/>
      </c>
      <c r="H1074" s="524" t="str">
        <f t="shared" si="69"/>
        <v>是</v>
      </c>
      <c r="I1074" s="312" t="str">
        <f t="shared" si="66"/>
        <v>项</v>
      </c>
    </row>
    <row r="1075" s="372" customFormat="1" ht="24" hidden="1" customHeight="1" spans="1:9">
      <c r="A1075" s="330">
        <v>2150703</v>
      </c>
      <c r="B1075" s="379" t="s">
        <v>214</v>
      </c>
      <c r="C1075" s="516">
        <v>0</v>
      </c>
      <c r="D1075" s="516">
        <f>'04'!F1074</f>
        <v>0</v>
      </c>
      <c r="E1075" s="525">
        <v>0</v>
      </c>
      <c r="F1075" s="526" t="str">
        <f t="shared" si="67"/>
        <v/>
      </c>
      <c r="G1075" s="470" t="str">
        <f t="shared" si="68"/>
        <v/>
      </c>
      <c r="H1075" s="524" t="str">
        <f t="shared" si="69"/>
        <v>否</v>
      </c>
      <c r="I1075" s="312" t="str">
        <f t="shared" si="66"/>
        <v>项</v>
      </c>
    </row>
    <row r="1076" s="372" customFormat="1" ht="24" hidden="1" customHeight="1" spans="1:9">
      <c r="A1076" s="330">
        <v>2150704</v>
      </c>
      <c r="B1076" s="379" t="s">
        <v>998</v>
      </c>
      <c r="C1076" s="516">
        <v>0</v>
      </c>
      <c r="D1076" s="516">
        <f>'04'!F1075</f>
        <v>0</v>
      </c>
      <c r="E1076" s="525">
        <v>0</v>
      </c>
      <c r="F1076" s="526" t="str">
        <f t="shared" si="67"/>
        <v/>
      </c>
      <c r="G1076" s="470" t="str">
        <f t="shared" si="68"/>
        <v/>
      </c>
      <c r="H1076" s="524" t="str">
        <f t="shared" si="69"/>
        <v>否</v>
      </c>
      <c r="I1076" s="312" t="str">
        <f t="shared" si="66"/>
        <v>项</v>
      </c>
    </row>
    <row r="1077" s="372" customFormat="1" ht="24" hidden="1" customHeight="1" spans="1:9">
      <c r="A1077" s="330">
        <v>2150705</v>
      </c>
      <c r="B1077" s="379" t="s">
        <v>999</v>
      </c>
      <c r="C1077" s="516">
        <v>0</v>
      </c>
      <c r="D1077" s="516">
        <f>'04'!F1076</f>
        <v>0</v>
      </c>
      <c r="E1077" s="525">
        <v>0</v>
      </c>
      <c r="F1077" s="526" t="str">
        <f t="shared" si="67"/>
        <v/>
      </c>
      <c r="G1077" s="470" t="str">
        <f t="shared" si="68"/>
        <v/>
      </c>
      <c r="H1077" s="524" t="str">
        <f t="shared" si="69"/>
        <v>否</v>
      </c>
      <c r="I1077" s="312" t="str">
        <f t="shared" si="66"/>
        <v>项</v>
      </c>
    </row>
    <row r="1078" s="372" customFormat="1" ht="24" customHeight="1" spans="1:9">
      <c r="A1078" s="330">
        <v>2150799</v>
      </c>
      <c r="B1078" s="379" t="s">
        <v>1000</v>
      </c>
      <c r="C1078" s="516">
        <v>60859</v>
      </c>
      <c r="D1078" s="516">
        <f>'04'!F1077</f>
        <v>41679</v>
      </c>
      <c r="E1078" s="525">
        <v>41568</v>
      </c>
      <c r="F1078" s="526">
        <f t="shared" si="67"/>
        <v>-0.316978589855239</v>
      </c>
      <c r="G1078" s="470">
        <f t="shared" si="68"/>
        <v>-0.00266321168933996</v>
      </c>
      <c r="H1078" s="524" t="str">
        <f t="shared" si="69"/>
        <v>是</v>
      </c>
      <c r="I1078" s="312" t="str">
        <f t="shared" si="66"/>
        <v>项</v>
      </c>
    </row>
    <row r="1079" s="372" customFormat="1" ht="24" customHeight="1" spans="1:9">
      <c r="A1079" s="330">
        <v>21508</v>
      </c>
      <c r="B1079" s="379" t="s">
        <v>1001</v>
      </c>
      <c r="C1079" s="515">
        <f>SUM(C1080:C1086)</f>
        <v>0</v>
      </c>
      <c r="D1079" s="515">
        <f>SUM(D1080:D1086)</f>
        <v>-141</v>
      </c>
      <c r="E1079" s="515">
        <f>SUM(E1080:E1086)</f>
        <v>368</v>
      </c>
      <c r="F1079" s="523" t="str">
        <f t="shared" si="67"/>
        <v/>
      </c>
      <c r="G1079" s="467">
        <f>-IFERROR((E1079-D1079)/D1079,"")</f>
        <v>3.60992907801418</v>
      </c>
      <c r="H1079" s="524" t="str">
        <f t="shared" si="69"/>
        <v>是</v>
      </c>
      <c r="I1079" s="312" t="str">
        <f t="shared" si="66"/>
        <v>款</v>
      </c>
    </row>
    <row r="1080" s="372" customFormat="1" ht="24" hidden="1" customHeight="1" spans="1:9">
      <c r="A1080" s="330">
        <v>2150801</v>
      </c>
      <c r="B1080" s="379" t="s">
        <v>212</v>
      </c>
      <c r="C1080" s="516">
        <v>0</v>
      </c>
      <c r="D1080" s="516">
        <f>'04'!F1079</f>
        <v>0</v>
      </c>
      <c r="E1080" s="525">
        <v>0</v>
      </c>
      <c r="F1080" s="526" t="str">
        <f t="shared" si="67"/>
        <v/>
      </c>
      <c r="G1080" s="470" t="str">
        <f t="shared" si="68"/>
        <v/>
      </c>
      <c r="H1080" s="524" t="str">
        <f t="shared" si="69"/>
        <v>否</v>
      </c>
      <c r="I1080" s="312" t="str">
        <f t="shared" si="66"/>
        <v>项</v>
      </c>
    </row>
    <row r="1081" s="372" customFormat="1" ht="24" hidden="1" customHeight="1" spans="1:9">
      <c r="A1081" s="330">
        <v>2150802</v>
      </c>
      <c r="B1081" s="379" t="s">
        <v>213</v>
      </c>
      <c r="C1081" s="516">
        <v>0</v>
      </c>
      <c r="D1081" s="516">
        <f>'04'!F1080</f>
        <v>0</v>
      </c>
      <c r="E1081" s="525">
        <v>0</v>
      </c>
      <c r="F1081" s="526" t="str">
        <f t="shared" si="67"/>
        <v/>
      </c>
      <c r="G1081" s="470" t="str">
        <f t="shared" si="68"/>
        <v/>
      </c>
      <c r="H1081" s="524" t="str">
        <f t="shared" si="69"/>
        <v>否</v>
      </c>
      <c r="I1081" s="312" t="str">
        <f t="shared" si="66"/>
        <v>项</v>
      </c>
    </row>
    <row r="1082" s="372" customFormat="1" ht="24" hidden="1" customHeight="1" spans="1:9">
      <c r="A1082" s="330">
        <v>2150803</v>
      </c>
      <c r="B1082" s="379" t="s">
        <v>214</v>
      </c>
      <c r="C1082" s="516">
        <v>0</v>
      </c>
      <c r="D1082" s="516">
        <f>'04'!F1081</f>
        <v>0</v>
      </c>
      <c r="E1082" s="525">
        <v>0</v>
      </c>
      <c r="F1082" s="526" t="str">
        <f t="shared" si="67"/>
        <v/>
      </c>
      <c r="G1082" s="470" t="str">
        <f t="shared" si="68"/>
        <v/>
      </c>
      <c r="H1082" s="524" t="str">
        <f t="shared" si="69"/>
        <v>否</v>
      </c>
      <c r="I1082" s="312" t="str">
        <f t="shared" si="66"/>
        <v>项</v>
      </c>
    </row>
    <row r="1083" s="372" customFormat="1" ht="24" hidden="1" customHeight="1" spans="1:9">
      <c r="A1083" s="330">
        <v>2150804</v>
      </c>
      <c r="B1083" s="379" t="s">
        <v>1002</v>
      </c>
      <c r="C1083" s="516">
        <v>0</v>
      </c>
      <c r="D1083" s="516">
        <f>'04'!F1082</f>
        <v>0</v>
      </c>
      <c r="E1083" s="525">
        <v>0</v>
      </c>
      <c r="F1083" s="526" t="str">
        <f t="shared" si="67"/>
        <v/>
      </c>
      <c r="G1083" s="470" t="str">
        <f t="shared" si="68"/>
        <v/>
      </c>
      <c r="H1083" s="524" t="str">
        <f t="shared" si="69"/>
        <v>否</v>
      </c>
      <c r="I1083" s="312" t="str">
        <f t="shared" si="66"/>
        <v>项</v>
      </c>
    </row>
    <row r="1084" s="372" customFormat="1" ht="24" customHeight="1" spans="1:9">
      <c r="A1084" s="330">
        <v>2150805</v>
      </c>
      <c r="B1084" s="379" t="s">
        <v>1003</v>
      </c>
      <c r="C1084" s="516">
        <v>0</v>
      </c>
      <c r="D1084" s="516">
        <f>'04'!F1083</f>
        <v>349</v>
      </c>
      <c r="E1084" s="525">
        <v>368</v>
      </c>
      <c r="F1084" s="526" t="str">
        <f t="shared" si="67"/>
        <v/>
      </c>
      <c r="G1084" s="470">
        <f t="shared" si="68"/>
        <v>0.0544412607449857</v>
      </c>
      <c r="H1084" s="524" t="str">
        <f t="shared" si="69"/>
        <v>是</v>
      </c>
      <c r="I1084" s="312" t="str">
        <f t="shared" si="66"/>
        <v>项</v>
      </c>
    </row>
    <row r="1085" s="372" customFormat="1" ht="24" hidden="1" customHeight="1" spans="1:9">
      <c r="A1085" s="527">
        <v>2150806</v>
      </c>
      <c r="B1085" s="534" t="s">
        <v>1004</v>
      </c>
      <c r="C1085" s="516">
        <v>0</v>
      </c>
      <c r="D1085" s="516">
        <f>'04'!F1084</f>
        <v>0</v>
      </c>
      <c r="E1085" s="525">
        <v>0</v>
      </c>
      <c r="F1085" s="526" t="str">
        <f t="shared" si="67"/>
        <v/>
      </c>
      <c r="G1085" s="470" t="str">
        <f t="shared" si="68"/>
        <v/>
      </c>
      <c r="H1085" s="524" t="str">
        <f t="shared" si="69"/>
        <v>否</v>
      </c>
      <c r="I1085" s="312" t="str">
        <f t="shared" si="66"/>
        <v>项</v>
      </c>
    </row>
    <row r="1086" s="372" customFormat="1" ht="24" customHeight="1" spans="1:9">
      <c r="A1086" s="330">
        <v>2150899</v>
      </c>
      <c r="B1086" s="379" t="s">
        <v>1005</v>
      </c>
      <c r="C1086" s="516">
        <v>0</v>
      </c>
      <c r="D1086" s="516">
        <f>'04'!F1085</f>
        <v>-490</v>
      </c>
      <c r="E1086" s="525">
        <v>0</v>
      </c>
      <c r="F1086" s="526" t="str">
        <f t="shared" si="67"/>
        <v/>
      </c>
      <c r="G1086" s="470">
        <f>-IFERROR((E1086-D1086)/D1086,"")</f>
        <v>1</v>
      </c>
      <c r="H1086" s="524" t="str">
        <f t="shared" si="69"/>
        <v>是</v>
      </c>
      <c r="I1086" s="312" t="str">
        <f t="shared" si="66"/>
        <v>项</v>
      </c>
    </row>
    <row r="1087" s="372" customFormat="1" ht="24" customHeight="1" spans="1:9">
      <c r="A1087" s="330">
        <v>21599</v>
      </c>
      <c r="B1087" s="379" t="s">
        <v>1006</v>
      </c>
      <c r="C1087" s="515">
        <f>SUM(C1088:C1092)</f>
        <v>0</v>
      </c>
      <c r="D1087" s="515">
        <f>SUM(D1088:D1092)</f>
        <v>808</v>
      </c>
      <c r="E1087" s="515">
        <f>SUM(E1088:E1092)</f>
        <v>0</v>
      </c>
      <c r="F1087" s="523" t="str">
        <f t="shared" si="67"/>
        <v/>
      </c>
      <c r="G1087" s="467">
        <f t="shared" si="68"/>
        <v>-1</v>
      </c>
      <c r="H1087" s="524" t="str">
        <f t="shared" si="69"/>
        <v>是</v>
      </c>
      <c r="I1087" s="312" t="str">
        <f t="shared" si="66"/>
        <v>款</v>
      </c>
    </row>
    <row r="1088" s="372" customFormat="1" ht="24" hidden="1" customHeight="1" spans="1:9">
      <c r="A1088" s="330">
        <v>2159901</v>
      </c>
      <c r="B1088" s="379" t="s">
        <v>1007</v>
      </c>
      <c r="C1088" s="516"/>
      <c r="D1088" s="516">
        <f>'04'!F1087</f>
        <v>0</v>
      </c>
      <c r="E1088" s="525">
        <v>0</v>
      </c>
      <c r="F1088" s="526" t="str">
        <f t="shared" si="67"/>
        <v/>
      </c>
      <c r="G1088" s="470" t="str">
        <f t="shared" si="68"/>
        <v/>
      </c>
      <c r="H1088" s="524" t="str">
        <f t="shared" si="69"/>
        <v>否</v>
      </c>
      <c r="I1088" s="312" t="str">
        <f t="shared" si="66"/>
        <v>项</v>
      </c>
    </row>
    <row r="1089" ht="24" hidden="1" customHeight="1" spans="1:9">
      <c r="A1089" s="330">
        <v>2159904</v>
      </c>
      <c r="B1089" s="379" t="s">
        <v>1008</v>
      </c>
      <c r="C1089" s="516"/>
      <c r="D1089" s="516">
        <f>'04'!F1088</f>
        <v>0</v>
      </c>
      <c r="E1089" s="525">
        <v>0</v>
      </c>
      <c r="F1089" s="526" t="str">
        <f t="shared" si="67"/>
        <v/>
      </c>
      <c r="G1089" s="470" t="str">
        <f t="shared" si="68"/>
        <v/>
      </c>
      <c r="H1089" s="524" t="str">
        <f t="shared" si="69"/>
        <v>否</v>
      </c>
      <c r="I1089" s="312" t="str">
        <f t="shared" si="66"/>
        <v>项</v>
      </c>
    </row>
    <row r="1090" s="372" customFormat="1" ht="24" hidden="1" customHeight="1" spans="1:9">
      <c r="A1090" s="330">
        <v>2159905</v>
      </c>
      <c r="B1090" s="379" t="s">
        <v>1009</v>
      </c>
      <c r="C1090" s="516"/>
      <c r="D1090" s="516">
        <f>'04'!F1089</f>
        <v>0</v>
      </c>
      <c r="E1090" s="525">
        <v>0</v>
      </c>
      <c r="F1090" s="526" t="str">
        <f t="shared" si="67"/>
        <v/>
      </c>
      <c r="G1090" s="470" t="str">
        <f t="shared" si="68"/>
        <v/>
      </c>
      <c r="H1090" s="524" t="str">
        <f t="shared" si="69"/>
        <v>否</v>
      </c>
      <c r="I1090" s="312" t="str">
        <f t="shared" si="66"/>
        <v>项</v>
      </c>
    </row>
    <row r="1091" s="372" customFormat="1" ht="24" hidden="1" customHeight="1" spans="1:9">
      <c r="A1091" s="330">
        <v>2159906</v>
      </c>
      <c r="B1091" s="379" t="s">
        <v>1010</v>
      </c>
      <c r="C1091" s="516"/>
      <c r="D1091" s="516">
        <f>'04'!F1090</f>
        <v>0</v>
      </c>
      <c r="E1091" s="525">
        <v>0</v>
      </c>
      <c r="F1091" s="526" t="str">
        <f t="shared" si="67"/>
        <v/>
      </c>
      <c r="G1091" s="470" t="str">
        <f t="shared" si="68"/>
        <v/>
      </c>
      <c r="H1091" s="524" t="str">
        <f t="shared" si="69"/>
        <v>否</v>
      </c>
      <c r="I1091" s="312" t="str">
        <f t="shared" si="66"/>
        <v>项</v>
      </c>
    </row>
    <row r="1092" s="372" customFormat="1" ht="24" customHeight="1" spans="1:9">
      <c r="A1092" s="330">
        <v>2159999</v>
      </c>
      <c r="B1092" s="379" t="s">
        <v>1011</v>
      </c>
      <c r="C1092" s="516"/>
      <c r="D1092" s="516">
        <f>'04'!F1091</f>
        <v>808</v>
      </c>
      <c r="E1092" s="525">
        <v>0</v>
      </c>
      <c r="F1092" s="526" t="str">
        <f t="shared" si="67"/>
        <v/>
      </c>
      <c r="G1092" s="470">
        <f t="shared" si="68"/>
        <v>-1</v>
      </c>
      <c r="H1092" s="524" t="str">
        <f t="shared" si="69"/>
        <v>是</v>
      </c>
      <c r="I1092" s="312" t="str">
        <f t="shared" ref="I1092:I1155" si="70">IF(LEN(A1092)=3,"类",IF(LEN(A1092)=5,"款","项"))</f>
        <v>项</v>
      </c>
    </row>
    <row r="1093" s="372" customFormat="1" ht="24" customHeight="1" spans="1:9">
      <c r="A1093" s="329">
        <v>216</v>
      </c>
      <c r="B1093" s="377" t="s">
        <v>189</v>
      </c>
      <c r="C1093" s="515">
        <f>C1094+C1104+C1110</f>
        <v>292</v>
      </c>
      <c r="D1093" s="515">
        <f>D1094+D1104+D1110</f>
        <v>1649</v>
      </c>
      <c r="E1093" s="515">
        <f>E1094+E1104+E1110</f>
        <v>1611</v>
      </c>
      <c r="F1093" s="523">
        <f t="shared" ref="F1093:F1156" si="71">IFERROR((E1093-C1093)/C1093,"")</f>
        <v>4.51712328767123</v>
      </c>
      <c r="G1093" s="467">
        <f t="shared" ref="G1093:G1156" si="72">IFERROR((E1093-D1093)/D1093,"")</f>
        <v>-0.0230442692540934</v>
      </c>
      <c r="H1093" s="524" t="str">
        <f t="shared" si="69"/>
        <v>是</v>
      </c>
      <c r="I1093" s="312" t="str">
        <f t="shared" si="70"/>
        <v>类</v>
      </c>
    </row>
    <row r="1094" ht="24" customHeight="1" spans="1:9">
      <c r="A1094" s="330">
        <v>21602</v>
      </c>
      <c r="B1094" s="379" t="s">
        <v>1012</v>
      </c>
      <c r="C1094" s="515">
        <f>SUM(C1095:C1103)</f>
        <v>292</v>
      </c>
      <c r="D1094" s="515">
        <f>SUM(D1095:D1103)</f>
        <v>1156</v>
      </c>
      <c r="E1094" s="515">
        <f>SUM(E1095:E1103)</f>
        <v>1154</v>
      </c>
      <c r="F1094" s="523">
        <f t="shared" si="71"/>
        <v>2.95205479452055</v>
      </c>
      <c r="G1094" s="467">
        <f t="shared" si="72"/>
        <v>-0.00173010380622837</v>
      </c>
      <c r="H1094" s="524" t="str">
        <f t="shared" ref="H1094:H1157" si="73">IF(LEN(A1094)=3,"是",IF(B1094&lt;&gt;"",IF(SUM(C1094:E1094)&lt;&gt;0,"是","否"),"是"))</f>
        <v>是</v>
      </c>
      <c r="I1094" s="312" t="str">
        <f t="shared" si="70"/>
        <v>款</v>
      </c>
    </row>
    <row r="1095" s="372" customFormat="1" ht="24" customHeight="1" spans="1:9">
      <c r="A1095" s="330">
        <v>2160201</v>
      </c>
      <c r="B1095" s="379" t="s">
        <v>212</v>
      </c>
      <c r="C1095" s="516">
        <v>213</v>
      </c>
      <c r="D1095" s="516">
        <f>'04'!F1094</f>
        <v>211</v>
      </c>
      <c r="E1095" s="525">
        <v>218</v>
      </c>
      <c r="F1095" s="526">
        <f t="shared" si="71"/>
        <v>0.0234741784037559</v>
      </c>
      <c r="G1095" s="470">
        <f t="shared" si="72"/>
        <v>0.033175355450237</v>
      </c>
      <c r="H1095" s="524" t="str">
        <f t="shared" si="73"/>
        <v>是</v>
      </c>
      <c r="I1095" s="312" t="str">
        <f t="shared" si="70"/>
        <v>项</v>
      </c>
    </row>
    <row r="1096" s="372" customFormat="1" ht="24" hidden="1" customHeight="1" spans="1:9">
      <c r="A1096" s="330">
        <v>2160202</v>
      </c>
      <c r="B1096" s="379" t="s">
        <v>213</v>
      </c>
      <c r="C1096" s="516">
        <v>0</v>
      </c>
      <c r="D1096" s="516">
        <f>'04'!F1095</f>
        <v>0</v>
      </c>
      <c r="E1096" s="525">
        <v>0</v>
      </c>
      <c r="F1096" s="526" t="str">
        <f t="shared" si="71"/>
        <v/>
      </c>
      <c r="G1096" s="470" t="str">
        <f t="shared" si="72"/>
        <v/>
      </c>
      <c r="H1096" s="524" t="str">
        <f t="shared" si="73"/>
        <v>否</v>
      </c>
      <c r="I1096" s="312" t="str">
        <f t="shared" si="70"/>
        <v>项</v>
      </c>
    </row>
    <row r="1097" s="372" customFormat="1" ht="24" hidden="1" customHeight="1" spans="1:9">
      <c r="A1097" s="330">
        <v>2160203</v>
      </c>
      <c r="B1097" s="379" t="s">
        <v>214</v>
      </c>
      <c r="C1097" s="516">
        <v>0</v>
      </c>
      <c r="D1097" s="516">
        <f>'04'!F1096</f>
        <v>0</v>
      </c>
      <c r="E1097" s="525">
        <v>0</v>
      </c>
      <c r="F1097" s="526" t="str">
        <f t="shared" si="71"/>
        <v/>
      </c>
      <c r="G1097" s="470" t="str">
        <f t="shared" si="72"/>
        <v/>
      </c>
      <c r="H1097" s="524" t="str">
        <f t="shared" si="73"/>
        <v>否</v>
      </c>
      <c r="I1097" s="312" t="str">
        <f t="shared" si="70"/>
        <v>项</v>
      </c>
    </row>
    <row r="1098" s="372" customFormat="1" ht="24" hidden="1" customHeight="1" spans="1:9">
      <c r="A1098" s="330">
        <v>2160216</v>
      </c>
      <c r="B1098" s="379" t="s">
        <v>1013</v>
      </c>
      <c r="C1098" s="516">
        <v>0</v>
      </c>
      <c r="D1098" s="516">
        <f>'04'!F1097</f>
        <v>0</v>
      </c>
      <c r="E1098" s="525">
        <v>0</v>
      </c>
      <c r="F1098" s="526" t="str">
        <f t="shared" si="71"/>
        <v/>
      </c>
      <c r="G1098" s="470" t="str">
        <f t="shared" si="72"/>
        <v/>
      </c>
      <c r="H1098" s="524" t="str">
        <f t="shared" si="73"/>
        <v>否</v>
      </c>
      <c r="I1098" s="312" t="str">
        <f t="shared" si="70"/>
        <v>项</v>
      </c>
    </row>
    <row r="1099" s="372" customFormat="1" ht="24" hidden="1" customHeight="1" spans="1:9">
      <c r="A1099" s="330">
        <v>2160217</v>
      </c>
      <c r="B1099" s="379" t="s">
        <v>1014</v>
      </c>
      <c r="C1099" s="516">
        <v>0</v>
      </c>
      <c r="D1099" s="516">
        <f>'04'!F1098</f>
        <v>0</v>
      </c>
      <c r="E1099" s="525">
        <v>0</v>
      </c>
      <c r="F1099" s="526" t="str">
        <f t="shared" si="71"/>
        <v/>
      </c>
      <c r="G1099" s="470" t="str">
        <f t="shared" si="72"/>
        <v/>
      </c>
      <c r="H1099" s="524" t="str">
        <f t="shared" si="73"/>
        <v>否</v>
      </c>
      <c r="I1099" s="312" t="str">
        <f t="shared" si="70"/>
        <v>项</v>
      </c>
    </row>
    <row r="1100" s="372" customFormat="1" ht="24" hidden="1" customHeight="1" spans="1:9">
      <c r="A1100" s="330">
        <v>2160218</v>
      </c>
      <c r="B1100" s="379" t="s">
        <v>1015</v>
      </c>
      <c r="C1100" s="516">
        <v>0</v>
      </c>
      <c r="D1100" s="516">
        <f>'04'!F1099</f>
        <v>0</v>
      </c>
      <c r="E1100" s="525">
        <v>0</v>
      </c>
      <c r="F1100" s="526" t="str">
        <f t="shared" si="71"/>
        <v/>
      </c>
      <c r="G1100" s="470" t="str">
        <f t="shared" si="72"/>
        <v/>
      </c>
      <c r="H1100" s="524" t="str">
        <f t="shared" si="73"/>
        <v>否</v>
      </c>
      <c r="I1100" s="312" t="str">
        <f t="shared" si="70"/>
        <v>项</v>
      </c>
    </row>
    <row r="1101" s="372" customFormat="1" ht="24" hidden="1" customHeight="1" spans="1:9">
      <c r="A1101" s="330">
        <v>2160219</v>
      </c>
      <c r="B1101" s="379" t="s">
        <v>1016</v>
      </c>
      <c r="C1101" s="516">
        <v>0</v>
      </c>
      <c r="D1101" s="516">
        <f>'04'!F1100</f>
        <v>0</v>
      </c>
      <c r="E1101" s="525">
        <v>0</v>
      </c>
      <c r="F1101" s="526" t="str">
        <f t="shared" si="71"/>
        <v/>
      </c>
      <c r="G1101" s="470" t="str">
        <f t="shared" si="72"/>
        <v/>
      </c>
      <c r="H1101" s="524" t="str">
        <f t="shared" si="73"/>
        <v>否</v>
      </c>
      <c r="I1101" s="312" t="str">
        <f t="shared" si="70"/>
        <v>项</v>
      </c>
    </row>
    <row r="1102" s="372" customFormat="1" ht="24" customHeight="1" spans="1:9">
      <c r="A1102" s="330">
        <v>2160250</v>
      </c>
      <c r="B1102" s="379" t="s">
        <v>221</v>
      </c>
      <c r="C1102" s="516">
        <v>58</v>
      </c>
      <c r="D1102" s="516">
        <f>'04'!F1101</f>
        <v>64</v>
      </c>
      <c r="E1102" s="525">
        <v>71</v>
      </c>
      <c r="F1102" s="526">
        <f t="shared" si="71"/>
        <v>0.224137931034483</v>
      </c>
      <c r="G1102" s="470">
        <f t="shared" si="72"/>
        <v>0.109375</v>
      </c>
      <c r="H1102" s="524" t="str">
        <f t="shared" si="73"/>
        <v>是</v>
      </c>
      <c r="I1102" s="312" t="str">
        <f t="shared" si="70"/>
        <v>项</v>
      </c>
    </row>
    <row r="1103" s="372" customFormat="1" ht="24" customHeight="1" spans="1:9">
      <c r="A1103" s="330">
        <v>2160299</v>
      </c>
      <c r="B1103" s="379" t="s">
        <v>1017</v>
      </c>
      <c r="C1103" s="516">
        <v>21</v>
      </c>
      <c r="D1103" s="516">
        <f>'04'!F1102</f>
        <v>881</v>
      </c>
      <c r="E1103" s="525">
        <v>865</v>
      </c>
      <c r="F1103" s="526">
        <f t="shared" si="71"/>
        <v>40.1904761904762</v>
      </c>
      <c r="G1103" s="470">
        <f t="shared" si="72"/>
        <v>-0.018161180476731</v>
      </c>
      <c r="H1103" s="524" t="str">
        <f t="shared" si="73"/>
        <v>是</v>
      </c>
      <c r="I1103" s="312" t="str">
        <f t="shared" si="70"/>
        <v>项</v>
      </c>
    </row>
    <row r="1104" s="372" customFormat="1" ht="24" customHeight="1" spans="1:9">
      <c r="A1104" s="330">
        <v>21606</v>
      </c>
      <c r="B1104" s="379" t="s">
        <v>1018</v>
      </c>
      <c r="C1104" s="515">
        <f>SUM(C1105:C1109)</f>
        <v>0</v>
      </c>
      <c r="D1104" s="515">
        <f>SUM(D1105:D1109)</f>
        <v>439</v>
      </c>
      <c r="E1104" s="515">
        <f>SUM(E1105:E1109)</f>
        <v>412</v>
      </c>
      <c r="F1104" s="523" t="str">
        <f t="shared" si="71"/>
        <v/>
      </c>
      <c r="G1104" s="467">
        <f t="shared" si="72"/>
        <v>-0.061503416856492</v>
      </c>
      <c r="H1104" s="524" t="str">
        <f t="shared" si="73"/>
        <v>是</v>
      </c>
      <c r="I1104" s="312" t="str">
        <f t="shared" si="70"/>
        <v>款</v>
      </c>
    </row>
    <row r="1105" s="372" customFormat="1" ht="24" hidden="1" customHeight="1" spans="1:9">
      <c r="A1105" s="330">
        <v>2160601</v>
      </c>
      <c r="B1105" s="379" t="s">
        <v>212</v>
      </c>
      <c r="C1105" s="516"/>
      <c r="D1105" s="516">
        <f>'04'!F1104</f>
        <v>0</v>
      </c>
      <c r="E1105" s="525">
        <v>0</v>
      </c>
      <c r="F1105" s="526" t="str">
        <f t="shared" si="71"/>
        <v/>
      </c>
      <c r="G1105" s="470" t="str">
        <f t="shared" si="72"/>
        <v/>
      </c>
      <c r="H1105" s="524" t="str">
        <f t="shared" si="73"/>
        <v>否</v>
      </c>
      <c r="I1105" s="312" t="str">
        <f t="shared" si="70"/>
        <v>项</v>
      </c>
    </row>
    <row r="1106" s="372" customFormat="1" ht="24" hidden="1" customHeight="1" spans="1:9">
      <c r="A1106" s="330">
        <v>2160602</v>
      </c>
      <c r="B1106" s="379" t="s">
        <v>213</v>
      </c>
      <c r="C1106" s="516"/>
      <c r="D1106" s="516">
        <f>'04'!F1105</f>
        <v>0</v>
      </c>
      <c r="E1106" s="525">
        <v>0</v>
      </c>
      <c r="F1106" s="526" t="str">
        <f t="shared" si="71"/>
        <v/>
      </c>
      <c r="G1106" s="470" t="str">
        <f t="shared" si="72"/>
        <v/>
      </c>
      <c r="H1106" s="524" t="str">
        <f t="shared" si="73"/>
        <v>否</v>
      </c>
      <c r="I1106" s="312" t="str">
        <f t="shared" si="70"/>
        <v>项</v>
      </c>
    </row>
    <row r="1107" s="372" customFormat="1" ht="24" hidden="1" customHeight="1" spans="1:9">
      <c r="A1107" s="330">
        <v>2160603</v>
      </c>
      <c r="B1107" s="379" t="s">
        <v>214</v>
      </c>
      <c r="C1107" s="516"/>
      <c r="D1107" s="516">
        <f>'04'!F1106</f>
        <v>0</v>
      </c>
      <c r="E1107" s="525">
        <v>0</v>
      </c>
      <c r="F1107" s="526" t="str">
        <f t="shared" si="71"/>
        <v/>
      </c>
      <c r="G1107" s="470" t="str">
        <f t="shared" si="72"/>
        <v/>
      </c>
      <c r="H1107" s="524" t="str">
        <f t="shared" si="73"/>
        <v>否</v>
      </c>
      <c r="I1107" s="312" t="str">
        <f t="shared" si="70"/>
        <v>项</v>
      </c>
    </row>
    <row r="1108" s="372" customFormat="1" ht="24" hidden="1" customHeight="1" spans="1:9">
      <c r="A1108" s="330">
        <v>2160607</v>
      </c>
      <c r="B1108" s="379" t="s">
        <v>1019</v>
      </c>
      <c r="C1108" s="516"/>
      <c r="D1108" s="516">
        <f>'04'!F1107</f>
        <v>0</v>
      </c>
      <c r="E1108" s="525">
        <v>0</v>
      </c>
      <c r="F1108" s="526" t="str">
        <f t="shared" si="71"/>
        <v/>
      </c>
      <c r="G1108" s="470" t="str">
        <f t="shared" si="72"/>
        <v/>
      </c>
      <c r="H1108" s="524" t="str">
        <f t="shared" si="73"/>
        <v>否</v>
      </c>
      <c r="I1108" s="312" t="str">
        <f t="shared" si="70"/>
        <v>项</v>
      </c>
    </row>
    <row r="1109" s="372" customFormat="1" ht="24" customHeight="1" spans="1:9">
      <c r="A1109" s="330">
        <v>2160699</v>
      </c>
      <c r="B1109" s="379" t="s">
        <v>1020</v>
      </c>
      <c r="C1109" s="516"/>
      <c r="D1109" s="516">
        <f>'04'!F1108</f>
        <v>439</v>
      </c>
      <c r="E1109" s="525">
        <v>412</v>
      </c>
      <c r="F1109" s="526" t="str">
        <f t="shared" si="71"/>
        <v/>
      </c>
      <c r="G1109" s="470">
        <f t="shared" si="72"/>
        <v>-0.061503416856492</v>
      </c>
      <c r="H1109" s="524" t="str">
        <f t="shared" si="73"/>
        <v>是</v>
      </c>
      <c r="I1109" s="312" t="str">
        <f t="shared" si="70"/>
        <v>项</v>
      </c>
    </row>
    <row r="1110" s="372" customFormat="1" ht="24" customHeight="1" spans="1:9">
      <c r="A1110" s="330">
        <v>21699</v>
      </c>
      <c r="B1110" s="379" t="s">
        <v>1021</v>
      </c>
      <c r="C1110" s="515">
        <f>SUM(C1111:C1112)</f>
        <v>0</v>
      </c>
      <c r="D1110" s="515">
        <f>SUM(D1111:D1112)</f>
        <v>54</v>
      </c>
      <c r="E1110" s="515">
        <f>SUM(E1111:E1112)</f>
        <v>45</v>
      </c>
      <c r="F1110" s="523" t="str">
        <f t="shared" si="71"/>
        <v/>
      </c>
      <c r="G1110" s="467">
        <f t="shared" si="72"/>
        <v>-0.166666666666667</v>
      </c>
      <c r="H1110" s="524" t="str">
        <f t="shared" si="73"/>
        <v>是</v>
      </c>
      <c r="I1110" s="312" t="str">
        <f t="shared" si="70"/>
        <v>款</v>
      </c>
    </row>
    <row r="1111" ht="24" hidden="1" customHeight="1" spans="1:9">
      <c r="A1111" s="330">
        <v>2169901</v>
      </c>
      <c r="B1111" s="379" t="s">
        <v>1022</v>
      </c>
      <c r="C1111" s="516"/>
      <c r="D1111" s="516">
        <f>'04'!F1110</f>
        <v>0</v>
      </c>
      <c r="E1111" s="525">
        <v>0</v>
      </c>
      <c r="F1111" s="526" t="str">
        <f t="shared" si="71"/>
        <v/>
      </c>
      <c r="G1111" s="470" t="str">
        <f t="shared" si="72"/>
        <v/>
      </c>
      <c r="H1111" s="524" t="str">
        <f t="shared" si="73"/>
        <v>否</v>
      </c>
      <c r="I1111" s="312" t="str">
        <f t="shared" si="70"/>
        <v>项</v>
      </c>
    </row>
    <row r="1112" s="372" customFormat="1" ht="24" customHeight="1" spans="1:9">
      <c r="A1112" s="330">
        <v>2169999</v>
      </c>
      <c r="B1112" s="379" t="s">
        <v>1023</v>
      </c>
      <c r="C1112" s="516">
        <v>0</v>
      </c>
      <c r="D1112" s="516">
        <f>'04'!F1111</f>
        <v>54</v>
      </c>
      <c r="E1112" s="525">
        <v>45</v>
      </c>
      <c r="F1112" s="526" t="str">
        <f t="shared" si="71"/>
        <v/>
      </c>
      <c r="G1112" s="470">
        <f t="shared" si="72"/>
        <v>-0.166666666666667</v>
      </c>
      <c r="H1112" s="524" t="str">
        <f t="shared" si="73"/>
        <v>是</v>
      </c>
      <c r="I1112" s="312" t="str">
        <f t="shared" si="70"/>
        <v>项</v>
      </c>
    </row>
    <row r="1113" s="372" customFormat="1" ht="24" customHeight="1" spans="1:9">
      <c r="A1113" s="329">
        <v>217</v>
      </c>
      <c r="B1113" s="377" t="s">
        <v>190</v>
      </c>
      <c r="C1113" s="515">
        <f>C1114+C1121+C1131+C1137+C1140</f>
        <v>321</v>
      </c>
      <c r="D1113" s="515">
        <f>D1114+D1121+D1131+D1137+D1140</f>
        <v>439</v>
      </c>
      <c r="E1113" s="515">
        <f>E1114+E1121+E1131+E1137+E1140</f>
        <v>468</v>
      </c>
      <c r="F1113" s="523">
        <f t="shared" si="71"/>
        <v>0.457943925233645</v>
      </c>
      <c r="G1113" s="467">
        <f t="shared" si="72"/>
        <v>0.0660592255125285</v>
      </c>
      <c r="H1113" s="524" t="str">
        <f t="shared" si="73"/>
        <v>是</v>
      </c>
      <c r="I1113" s="312" t="str">
        <f t="shared" si="70"/>
        <v>类</v>
      </c>
    </row>
    <row r="1114" s="372" customFormat="1" ht="24" customHeight="1" spans="1:9">
      <c r="A1114" s="330">
        <v>21701</v>
      </c>
      <c r="B1114" s="379" t="s">
        <v>1024</v>
      </c>
      <c r="C1114" s="515">
        <f>SUM(C1115:C1120)</f>
        <v>100</v>
      </c>
      <c r="D1114" s="515">
        <f>SUM(D1115:D1120)</f>
        <v>435</v>
      </c>
      <c r="E1114" s="515">
        <f>SUM(E1115:E1120)</f>
        <v>465</v>
      </c>
      <c r="F1114" s="523">
        <f t="shared" si="71"/>
        <v>3.65</v>
      </c>
      <c r="G1114" s="467">
        <f t="shared" si="72"/>
        <v>0.0689655172413793</v>
      </c>
      <c r="H1114" s="524" t="str">
        <f t="shared" si="73"/>
        <v>是</v>
      </c>
      <c r="I1114" s="312" t="str">
        <f t="shared" si="70"/>
        <v>款</v>
      </c>
    </row>
    <row r="1115" s="372" customFormat="1" ht="24" customHeight="1" spans="1:9">
      <c r="A1115" s="330">
        <v>2170101</v>
      </c>
      <c r="B1115" s="379" t="s">
        <v>212</v>
      </c>
      <c r="C1115" s="516">
        <v>0</v>
      </c>
      <c r="D1115" s="516">
        <f>'04'!F1114</f>
        <v>435</v>
      </c>
      <c r="E1115" s="525">
        <v>465</v>
      </c>
      <c r="F1115" s="526" t="str">
        <f t="shared" si="71"/>
        <v/>
      </c>
      <c r="G1115" s="470">
        <f t="shared" si="72"/>
        <v>0.0689655172413793</v>
      </c>
      <c r="H1115" s="524" t="str">
        <f t="shared" si="73"/>
        <v>是</v>
      </c>
      <c r="I1115" s="312" t="str">
        <f t="shared" si="70"/>
        <v>项</v>
      </c>
    </row>
    <row r="1116" s="372" customFormat="1" ht="24" customHeight="1" spans="1:9">
      <c r="A1116" s="330">
        <v>2170102</v>
      </c>
      <c r="B1116" s="379" t="s">
        <v>213</v>
      </c>
      <c r="C1116" s="516">
        <v>100</v>
      </c>
      <c r="D1116" s="516">
        <f>'04'!F1115</f>
        <v>0</v>
      </c>
      <c r="E1116" s="525">
        <v>0</v>
      </c>
      <c r="F1116" s="526">
        <f t="shared" si="71"/>
        <v>-1</v>
      </c>
      <c r="G1116" s="470" t="str">
        <f t="shared" si="72"/>
        <v/>
      </c>
      <c r="H1116" s="524" t="str">
        <f t="shared" si="73"/>
        <v>是</v>
      </c>
      <c r="I1116" s="312" t="str">
        <f t="shared" si="70"/>
        <v>项</v>
      </c>
    </row>
    <row r="1117" s="372" customFormat="1" ht="24" hidden="1" customHeight="1" spans="1:9">
      <c r="A1117" s="330">
        <v>2170103</v>
      </c>
      <c r="B1117" s="379" t="s">
        <v>214</v>
      </c>
      <c r="C1117" s="516">
        <v>0</v>
      </c>
      <c r="D1117" s="516">
        <f>'04'!F1116</f>
        <v>0</v>
      </c>
      <c r="E1117" s="525">
        <v>0</v>
      </c>
      <c r="F1117" s="526" t="str">
        <f t="shared" si="71"/>
        <v/>
      </c>
      <c r="G1117" s="470" t="str">
        <f t="shared" si="72"/>
        <v/>
      </c>
      <c r="H1117" s="524" t="str">
        <f t="shared" si="73"/>
        <v>否</v>
      </c>
      <c r="I1117" s="312" t="str">
        <f t="shared" si="70"/>
        <v>项</v>
      </c>
    </row>
    <row r="1118" ht="24" hidden="1" customHeight="1" spans="1:9">
      <c r="A1118" s="330">
        <v>2170104</v>
      </c>
      <c r="B1118" s="379" t="s">
        <v>1025</v>
      </c>
      <c r="C1118" s="516">
        <v>0</v>
      </c>
      <c r="D1118" s="516">
        <f>'04'!F1117</f>
        <v>0</v>
      </c>
      <c r="E1118" s="525">
        <v>0</v>
      </c>
      <c r="F1118" s="526" t="str">
        <f t="shared" si="71"/>
        <v/>
      </c>
      <c r="G1118" s="470" t="str">
        <f t="shared" si="72"/>
        <v/>
      </c>
      <c r="H1118" s="524" t="str">
        <f t="shared" si="73"/>
        <v>否</v>
      </c>
      <c r="I1118" s="312" t="str">
        <f t="shared" si="70"/>
        <v>项</v>
      </c>
    </row>
    <row r="1119" s="372" customFormat="1" ht="24" hidden="1" customHeight="1" spans="1:9">
      <c r="A1119" s="330">
        <v>2170150</v>
      </c>
      <c r="B1119" s="379" t="s">
        <v>221</v>
      </c>
      <c r="C1119" s="516">
        <v>0</v>
      </c>
      <c r="D1119" s="516">
        <f>'04'!F1118</f>
        <v>0</v>
      </c>
      <c r="E1119" s="525">
        <v>0</v>
      </c>
      <c r="F1119" s="526" t="str">
        <f t="shared" si="71"/>
        <v/>
      </c>
      <c r="G1119" s="470" t="str">
        <f t="shared" si="72"/>
        <v/>
      </c>
      <c r="H1119" s="524" t="str">
        <f t="shared" si="73"/>
        <v>否</v>
      </c>
      <c r="I1119" s="312" t="str">
        <f t="shared" si="70"/>
        <v>项</v>
      </c>
    </row>
    <row r="1120" s="372" customFormat="1" ht="24" hidden="1" customHeight="1" spans="1:9">
      <c r="A1120" s="330">
        <v>2170199</v>
      </c>
      <c r="B1120" s="379" t="s">
        <v>1026</v>
      </c>
      <c r="C1120" s="516">
        <v>0</v>
      </c>
      <c r="D1120" s="516">
        <f>'04'!F1119</f>
        <v>0</v>
      </c>
      <c r="E1120" s="525">
        <v>0</v>
      </c>
      <c r="F1120" s="526" t="str">
        <f t="shared" si="71"/>
        <v/>
      </c>
      <c r="G1120" s="470" t="str">
        <f t="shared" si="72"/>
        <v/>
      </c>
      <c r="H1120" s="524" t="str">
        <f t="shared" si="73"/>
        <v>否</v>
      </c>
      <c r="I1120" s="312" t="str">
        <f t="shared" si="70"/>
        <v>项</v>
      </c>
    </row>
    <row r="1121" s="372" customFormat="1" ht="24" customHeight="1" spans="1:9">
      <c r="A1121" s="406">
        <v>21702</v>
      </c>
      <c r="B1121" s="379" t="s">
        <v>1027</v>
      </c>
      <c r="C1121" s="515">
        <f>SUM(C1122:C1130)</f>
        <v>100</v>
      </c>
      <c r="D1121" s="515">
        <f>SUM(D1122:D1130)</f>
        <v>0</v>
      </c>
      <c r="E1121" s="515">
        <f>SUM(E1122:E1130)</f>
        <v>0</v>
      </c>
      <c r="F1121" s="523">
        <f t="shared" si="71"/>
        <v>-1</v>
      </c>
      <c r="G1121" s="467" t="str">
        <f t="shared" si="72"/>
        <v/>
      </c>
      <c r="H1121" s="524" t="str">
        <f t="shared" si="73"/>
        <v>是</v>
      </c>
      <c r="I1121" s="312" t="str">
        <f t="shared" si="70"/>
        <v>款</v>
      </c>
    </row>
    <row r="1122" s="372" customFormat="1" ht="24" hidden="1" customHeight="1" spans="1:9">
      <c r="A1122" s="544">
        <v>2170201</v>
      </c>
      <c r="B1122" s="545" t="s">
        <v>1028</v>
      </c>
      <c r="C1122" s="516">
        <v>0</v>
      </c>
      <c r="D1122" s="516">
        <f>'04'!F1121</f>
        <v>0</v>
      </c>
      <c r="E1122" s="525">
        <v>0</v>
      </c>
      <c r="F1122" s="526" t="str">
        <f t="shared" si="71"/>
        <v/>
      </c>
      <c r="G1122" s="470" t="str">
        <f t="shared" si="72"/>
        <v/>
      </c>
      <c r="H1122" s="524" t="str">
        <f t="shared" si="73"/>
        <v>否</v>
      </c>
      <c r="I1122" s="312" t="str">
        <f t="shared" si="70"/>
        <v>项</v>
      </c>
    </row>
    <row r="1123" s="372" customFormat="1" ht="24" customHeight="1" spans="1:9">
      <c r="A1123" s="544">
        <v>2170202</v>
      </c>
      <c r="B1123" s="545" t="s">
        <v>1029</v>
      </c>
      <c r="C1123" s="516">
        <v>100</v>
      </c>
      <c r="D1123" s="516">
        <f>'04'!F1122</f>
        <v>0</v>
      </c>
      <c r="E1123" s="525">
        <v>0</v>
      </c>
      <c r="F1123" s="526">
        <f t="shared" si="71"/>
        <v>-1</v>
      </c>
      <c r="G1123" s="470" t="str">
        <f t="shared" si="72"/>
        <v/>
      </c>
      <c r="H1123" s="524" t="str">
        <f t="shared" si="73"/>
        <v>是</v>
      </c>
      <c r="I1123" s="312" t="str">
        <f t="shared" si="70"/>
        <v>项</v>
      </c>
    </row>
    <row r="1124" s="372" customFormat="1" ht="24" hidden="1" customHeight="1" spans="1:9">
      <c r="A1124" s="544">
        <v>2170203</v>
      </c>
      <c r="B1124" s="545" t="s">
        <v>1030</v>
      </c>
      <c r="C1124" s="516">
        <v>0</v>
      </c>
      <c r="D1124" s="516">
        <f>'04'!F1123</f>
        <v>0</v>
      </c>
      <c r="E1124" s="525">
        <v>0</v>
      </c>
      <c r="F1124" s="526" t="str">
        <f t="shared" si="71"/>
        <v/>
      </c>
      <c r="G1124" s="470" t="str">
        <f t="shared" si="72"/>
        <v/>
      </c>
      <c r="H1124" s="524" t="str">
        <f t="shared" si="73"/>
        <v>否</v>
      </c>
      <c r="I1124" s="312" t="str">
        <f t="shared" si="70"/>
        <v>项</v>
      </c>
    </row>
    <row r="1125" s="372" customFormat="1" ht="24" hidden="1" customHeight="1" spans="1:9">
      <c r="A1125" s="544">
        <v>2170204</v>
      </c>
      <c r="B1125" s="545" t="s">
        <v>1031</v>
      </c>
      <c r="C1125" s="516">
        <v>0</v>
      </c>
      <c r="D1125" s="516">
        <f>'04'!F1124</f>
        <v>0</v>
      </c>
      <c r="E1125" s="525">
        <v>0</v>
      </c>
      <c r="F1125" s="526" t="str">
        <f t="shared" si="71"/>
        <v/>
      </c>
      <c r="G1125" s="470" t="str">
        <f t="shared" si="72"/>
        <v/>
      </c>
      <c r="H1125" s="524" t="str">
        <f t="shared" si="73"/>
        <v>否</v>
      </c>
      <c r="I1125" s="312" t="str">
        <f t="shared" si="70"/>
        <v>项</v>
      </c>
    </row>
    <row r="1126" ht="24" hidden="1" customHeight="1" spans="1:9">
      <c r="A1126" s="544">
        <v>2170205</v>
      </c>
      <c r="B1126" s="545" t="s">
        <v>1032</v>
      </c>
      <c r="C1126" s="516">
        <v>0</v>
      </c>
      <c r="D1126" s="516">
        <f>'04'!F1125</f>
        <v>0</v>
      </c>
      <c r="E1126" s="525">
        <v>0</v>
      </c>
      <c r="F1126" s="526" t="str">
        <f t="shared" si="71"/>
        <v/>
      </c>
      <c r="G1126" s="470" t="str">
        <f t="shared" si="72"/>
        <v/>
      </c>
      <c r="H1126" s="524" t="str">
        <f t="shared" si="73"/>
        <v>否</v>
      </c>
      <c r="I1126" s="312" t="str">
        <f t="shared" si="70"/>
        <v>项</v>
      </c>
    </row>
    <row r="1127" s="372" customFormat="1" ht="24" hidden="1" customHeight="1" spans="1:9">
      <c r="A1127" s="544">
        <v>2170206</v>
      </c>
      <c r="B1127" s="545" t="s">
        <v>1033</v>
      </c>
      <c r="C1127" s="516">
        <v>0</v>
      </c>
      <c r="D1127" s="516">
        <f>'04'!F1126</f>
        <v>0</v>
      </c>
      <c r="E1127" s="525">
        <v>0</v>
      </c>
      <c r="F1127" s="526" t="str">
        <f t="shared" si="71"/>
        <v/>
      </c>
      <c r="G1127" s="470" t="str">
        <f t="shared" si="72"/>
        <v/>
      </c>
      <c r="H1127" s="524" t="str">
        <f t="shared" si="73"/>
        <v>否</v>
      </c>
      <c r="I1127" s="312" t="str">
        <f t="shared" si="70"/>
        <v>项</v>
      </c>
    </row>
    <row r="1128" s="372" customFormat="1" ht="24" hidden="1" customHeight="1" spans="1:9">
      <c r="A1128" s="544">
        <v>2170207</v>
      </c>
      <c r="B1128" s="545" t="s">
        <v>1034</v>
      </c>
      <c r="C1128" s="516">
        <v>0</v>
      </c>
      <c r="D1128" s="516">
        <f>'04'!F1127</f>
        <v>0</v>
      </c>
      <c r="E1128" s="525">
        <v>0</v>
      </c>
      <c r="F1128" s="526" t="str">
        <f t="shared" si="71"/>
        <v/>
      </c>
      <c r="G1128" s="470" t="str">
        <f t="shared" si="72"/>
        <v/>
      </c>
      <c r="H1128" s="524" t="str">
        <f t="shared" si="73"/>
        <v>否</v>
      </c>
      <c r="I1128" s="312" t="str">
        <f t="shared" si="70"/>
        <v>项</v>
      </c>
    </row>
    <row r="1129" s="372" customFormat="1" ht="24" hidden="1" customHeight="1" spans="1:9">
      <c r="A1129" s="544">
        <v>2170208</v>
      </c>
      <c r="B1129" s="545" t="s">
        <v>1035</v>
      </c>
      <c r="C1129" s="516">
        <v>0</v>
      </c>
      <c r="D1129" s="516">
        <f>'04'!F1128</f>
        <v>0</v>
      </c>
      <c r="E1129" s="525">
        <v>0</v>
      </c>
      <c r="F1129" s="526" t="str">
        <f t="shared" si="71"/>
        <v/>
      </c>
      <c r="G1129" s="470" t="str">
        <f t="shared" si="72"/>
        <v/>
      </c>
      <c r="H1129" s="524" t="str">
        <f t="shared" si="73"/>
        <v>否</v>
      </c>
      <c r="I1129" s="312" t="str">
        <f t="shared" si="70"/>
        <v>项</v>
      </c>
    </row>
    <row r="1130" s="372" customFormat="1" ht="24" hidden="1" customHeight="1" spans="1:9">
      <c r="A1130" s="544">
        <v>2170299</v>
      </c>
      <c r="B1130" s="545" t="s">
        <v>1036</v>
      </c>
      <c r="C1130" s="516">
        <v>0</v>
      </c>
      <c r="D1130" s="516">
        <f>'04'!F1129</f>
        <v>0</v>
      </c>
      <c r="E1130" s="525">
        <v>0</v>
      </c>
      <c r="F1130" s="526" t="str">
        <f t="shared" si="71"/>
        <v/>
      </c>
      <c r="G1130" s="470" t="str">
        <f t="shared" si="72"/>
        <v/>
      </c>
      <c r="H1130" s="524" t="str">
        <f t="shared" si="73"/>
        <v>否</v>
      </c>
      <c r="I1130" s="312" t="str">
        <f t="shared" si="70"/>
        <v>项</v>
      </c>
    </row>
    <row r="1131" s="372" customFormat="1" ht="24" customHeight="1" spans="1:9">
      <c r="A1131" s="330">
        <v>21703</v>
      </c>
      <c r="B1131" s="379" t="s">
        <v>1037</v>
      </c>
      <c r="C1131" s="515">
        <f>SUM(C1132:C1136)</f>
        <v>121</v>
      </c>
      <c r="D1131" s="515">
        <f>SUM(D1132:D1136)</f>
        <v>0</v>
      </c>
      <c r="E1131" s="515">
        <f>SUM(E1132:E1136)</f>
        <v>0</v>
      </c>
      <c r="F1131" s="523">
        <f t="shared" si="71"/>
        <v>-1</v>
      </c>
      <c r="G1131" s="467" t="str">
        <f t="shared" si="72"/>
        <v/>
      </c>
      <c r="H1131" s="524" t="str">
        <f t="shared" si="73"/>
        <v>是</v>
      </c>
      <c r="I1131" s="312" t="str">
        <f t="shared" si="70"/>
        <v>款</v>
      </c>
    </row>
    <row r="1132" ht="24" hidden="1" customHeight="1" spans="1:9">
      <c r="A1132" s="330">
        <v>2170301</v>
      </c>
      <c r="B1132" s="379" t="s">
        <v>1038</v>
      </c>
      <c r="C1132" s="516">
        <v>0</v>
      </c>
      <c r="D1132" s="516">
        <f>'04'!F1131</f>
        <v>0</v>
      </c>
      <c r="E1132" s="525">
        <v>0</v>
      </c>
      <c r="F1132" s="526" t="str">
        <f t="shared" si="71"/>
        <v/>
      </c>
      <c r="G1132" s="470" t="str">
        <f t="shared" si="72"/>
        <v/>
      </c>
      <c r="H1132" s="524" t="str">
        <f t="shared" si="73"/>
        <v>否</v>
      </c>
      <c r="I1132" s="312" t="str">
        <f t="shared" si="70"/>
        <v>项</v>
      </c>
    </row>
    <row r="1133" ht="24" customHeight="1" spans="1:9">
      <c r="A1133" s="330">
        <v>2170302</v>
      </c>
      <c r="B1133" s="379" t="s">
        <v>1039</v>
      </c>
      <c r="C1133" s="516">
        <v>121</v>
      </c>
      <c r="D1133" s="516">
        <f>'04'!F1132</f>
        <v>0</v>
      </c>
      <c r="E1133" s="525">
        <v>0</v>
      </c>
      <c r="F1133" s="526">
        <f t="shared" si="71"/>
        <v>-1</v>
      </c>
      <c r="G1133" s="470" t="str">
        <f t="shared" si="72"/>
        <v/>
      </c>
      <c r="H1133" s="524" t="str">
        <f t="shared" si="73"/>
        <v>是</v>
      </c>
      <c r="I1133" s="312" t="str">
        <f t="shared" si="70"/>
        <v>项</v>
      </c>
    </row>
    <row r="1134" s="372" customFormat="1" ht="24" hidden="1" customHeight="1" spans="1:9">
      <c r="A1134" s="330">
        <v>2170303</v>
      </c>
      <c r="B1134" s="379" t="s">
        <v>1040</v>
      </c>
      <c r="C1134" s="516">
        <v>0</v>
      </c>
      <c r="D1134" s="516">
        <f>'04'!F1133</f>
        <v>0</v>
      </c>
      <c r="E1134" s="525">
        <v>0</v>
      </c>
      <c r="F1134" s="526" t="str">
        <f t="shared" si="71"/>
        <v/>
      </c>
      <c r="G1134" s="470" t="str">
        <f t="shared" si="72"/>
        <v/>
      </c>
      <c r="H1134" s="524" t="str">
        <f t="shared" si="73"/>
        <v>否</v>
      </c>
      <c r="I1134" s="312" t="str">
        <f t="shared" si="70"/>
        <v>项</v>
      </c>
    </row>
    <row r="1135" s="372" customFormat="1" ht="24" hidden="1" customHeight="1" spans="1:9">
      <c r="A1135" s="330">
        <v>2170304</v>
      </c>
      <c r="B1135" s="379" t="s">
        <v>1041</v>
      </c>
      <c r="C1135" s="516">
        <v>0</v>
      </c>
      <c r="D1135" s="516">
        <f>'04'!F1134</f>
        <v>0</v>
      </c>
      <c r="E1135" s="525">
        <v>0</v>
      </c>
      <c r="F1135" s="526" t="str">
        <f t="shared" si="71"/>
        <v/>
      </c>
      <c r="G1135" s="470" t="str">
        <f t="shared" si="72"/>
        <v/>
      </c>
      <c r="H1135" s="524" t="str">
        <f t="shared" si="73"/>
        <v>否</v>
      </c>
      <c r="I1135" s="312" t="str">
        <f t="shared" si="70"/>
        <v>项</v>
      </c>
    </row>
    <row r="1136" s="372" customFormat="1" ht="24" hidden="1" customHeight="1" spans="1:9">
      <c r="A1136" s="330">
        <v>2170399</v>
      </c>
      <c r="B1136" s="379" t="s">
        <v>1042</v>
      </c>
      <c r="C1136" s="516"/>
      <c r="D1136" s="516">
        <f>'04'!F1135</f>
        <v>0</v>
      </c>
      <c r="E1136" s="525">
        <v>0</v>
      </c>
      <c r="F1136" s="526" t="str">
        <f t="shared" si="71"/>
        <v/>
      </c>
      <c r="G1136" s="470" t="str">
        <f t="shared" si="72"/>
        <v/>
      </c>
      <c r="H1136" s="524" t="str">
        <f t="shared" si="73"/>
        <v>否</v>
      </c>
      <c r="I1136" s="312" t="str">
        <f t="shared" si="70"/>
        <v>项</v>
      </c>
    </row>
    <row r="1137" s="372" customFormat="1" ht="24" hidden="1" customHeight="1" spans="1:9">
      <c r="A1137" s="339">
        <v>21704</v>
      </c>
      <c r="B1137" s="379" t="s">
        <v>1043</v>
      </c>
      <c r="C1137" s="515">
        <f>SUM(C1138:C1139)</f>
        <v>0</v>
      </c>
      <c r="D1137" s="515">
        <f>SUM(D1138:D1139)</f>
        <v>0</v>
      </c>
      <c r="E1137" s="515">
        <f>SUM(E1138:E1139)</f>
        <v>0</v>
      </c>
      <c r="F1137" s="523" t="str">
        <f t="shared" si="71"/>
        <v/>
      </c>
      <c r="G1137" s="467" t="str">
        <f t="shared" si="72"/>
        <v/>
      </c>
      <c r="H1137" s="524" t="str">
        <f t="shared" si="73"/>
        <v>否</v>
      </c>
      <c r="I1137" s="312" t="str">
        <f t="shared" si="70"/>
        <v>款</v>
      </c>
    </row>
    <row r="1138" s="372" customFormat="1" ht="24" hidden="1" customHeight="1" spans="1:9">
      <c r="A1138" s="339">
        <v>2170401</v>
      </c>
      <c r="B1138" s="379" t="s">
        <v>1044</v>
      </c>
      <c r="C1138" s="516"/>
      <c r="D1138" s="516">
        <f>'04'!F1137</f>
        <v>0</v>
      </c>
      <c r="E1138" s="525">
        <v>0</v>
      </c>
      <c r="F1138" s="526" t="str">
        <f t="shared" si="71"/>
        <v/>
      </c>
      <c r="G1138" s="470" t="str">
        <f t="shared" si="72"/>
        <v/>
      </c>
      <c r="H1138" s="524" t="str">
        <f t="shared" si="73"/>
        <v>否</v>
      </c>
      <c r="I1138" s="312" t="str">
        <f t="shared" si="70"/>
        <v>项</v>
      </c>
    </row>
    <row r="1139" s="372" customFormat="1" ht="24" hidden="1" customHeight="1" spans="1:9">
      <c r="A1139" s="339">
        <v>2170499</v>
      </c>
      <c r="B1139" s="379" t="s">
        <v>1045</v>
      </c>
      <c r="C1139" s="516"/>
      <c r="D1139" s="516">
        <f>'04'!F1138</f>
        <v>0</v>
      </c>
      <c r="E1139" s="525">
        <v>0</v>
      </c>
      <c r="F1139" s="526" t="str">
        <f t="shared" si="71"/>
        <v/>
      </c>
      <c r="G1139" s="470" t="str">
        <f t="shared" si="72"/>
        <v/>
      </c>
      <c r="H1139" s="524" t="str">
        <f t="shared" si="73"/>
        <v>否</v>
      </c>
      <c r="I1139" s="312" t="str">
        <f t="shared" si="70"/>
        <v>项</v>
      </c>
    </row>
    <row r="1140" s="372" customFormat="1" ht="24" customHeight="1" spans="1:9">
      <c r="A1140" s="330">
        <v>21799</v>
      </c>
      <c r="B1140" s="379" t="s">
        <v>1046</v>
      </c>
      <c r="C1140" s="515">
        <f>SUM(C1141:C1142)</f>
        <v>0</v>
      </c>
      <c r="D1140" s="515">
        <f>SUM(D1141:D1142)</f>
        <v>4</v>
      </c>
      <c r="E1140" s="515">
        <f>SUM(E1141:E1142)</f>
        <v>3</v>
      </c>
      <c r="F1140" s="523" t="str">
        <f t="shared" si="71"/>
        <v/>
      </c>
      <c r="G1140" s="467">
        <f t="shared" si="72"/>
        <v>-0.25</v>
      </c>
      <c r="H1140" s="524" t="str">
        <f t="shared" si="73"/>
        <v>是</v>
      </c>
      <c r="I1140" s="312" t="str">
        <f t="shared" si="70"/>
        <v>款</v>
      </c>
    </row>
    <row r="1141" s="372" customFormat="1" ht="24" hidden="1" customHeight="1" spans="1:9">
      <c r="A1141" s="406">
        <v>2179902</v>
      </c>
      <c r="B1141" s="379" t="s">
        <v>1047</v>
      </c>
      <c r="C1141" s="516"/>
      <c r="D1141" s="516">
        <f>'04'!F1140</f>
        <v>0</v>
      </c>
      <c r="E1141" s="525">
        <v>0</v>
      </c>
      <c r="F1141" s="526" t="str">
        <f t="shared" si="71"/>
        <v/>
      </c>
      <c r="G1141" s="470" t="str">
        <f t="shared" si="72"/>
        <v/>
      </c>
      <c r="H1141" s="524" t="str">
        <f t="shared" si="73"/>
        <v>否</v>
      </c>
      <c r="I1141" s="312" t="str">
        <f t="shared" si="70"/>
        <v>项</v>
      </c>
    </row>
    <row r="1142" s="372" customFormat="1" ht="24" customHeight="1" spans="1:9">
      <c r="A1142" s="546">
        <v>2179999</v>
      </c>
      <c r="B1142" s="379" t="s">
        <v>1042</v>
      </c>
      <c r="C1142" s="516">
        <v>0</v>
      </c>
      <c r="D1142" s="516">
        <f>'04'!F1141</f>
        <v>4</v>
      </c>
      <c r="E1142" s="525">
        <v>3</v>
      </c>
      <c r="F1142" s="526" t="str">
        <f t="shared" si="71"/>
        <v/>
      </c>
      <c r="G1142" s="470">
        <f t="shared" si="72"/>
        <v>-0.25</v>
      </c>
      <c r="H1142" s="524" t="str">
        <f t="shared" si="73"/>
        <v>是</v>
      </c>
      <c r="I1142" s="312" t="str">
        <f t="shared" si="70"/>
        <v>项</v>
      </c>
    </row>
    <row r="1143" ht="24" customHeight="1" spans="1:9">
      <c r="A1143" s="329">
        <v>219</v>
      </c>
      <c r="B1143" s="377" t="s">
        <v>191</v>
      </c>
      <c r="C1143" s="515">
        <f>C1144+C1145+C1146+C1147+C1148+C1149+C1150+C1151+C1152</f>
        <v>0</v>
      </c>
      <c r="D1143" s="515">
        <f>D1144+D1145+D1146+D1147+D1148+D1149+D1150+D1151+D1152</f>
        <v>0</v>
      </c>
      <c r="E1143" s="515">
        <f>E1144+E1145+E1146+E1147+E1148+E1149+E1150+E1151+E1152</f>
        <v>0</v>
      </c>
      <c r="F1143" s="523" t="str">
        <f t="shared" si="71"/>
        <v/>
      </c>
      <c r="G1143" s="467" t="str">
        <f t="shared" si="72"/>
        <v/>
      </c>
      <c r="H1143" s="524" t="str">
        <f t="shared" si="73"/>
        <v>是</v>
      </c>
      <c r="I1143" s="312" t="str">
        <f t="shared" si="70"/>
        <v>类</v>
      </c>
    </row>
    <row r="1144" s="372" customFormat="1" ht="24" hidden="1" customHeight="1" spans="1:9">
      <c r="A1144" s="330">
        <v>21901</v>
      </c>
      <c r="B1144" s="379" t="s">
        <v>1048</v>
      </c>
      <c r="C1144" s="529"/>
      <c r="D1144" s="529"/>
      <c r="E1144" s="529"/>
      <c r="F1144" s="523" t="str">
        <f t="shared" si="71"/>
        <v/>
      </c>
      <c r="G1144" s="467" t="str">
        <f t="shared" si="72"/>
        <v/>
      </c>
      <c r="H1144" s="524" t="str">
        <f t="shared" si="73"/>
        <v>否</v>
      </c>
      <c r="I1144" s="312" t="str">
        <f t="shared" si="70"/>
        <v>款</v>
      </c>
    </row>
    <row r="1145" s="372" customFormat="1" ht="24" hidden="1" customHeight="1" spans="1:9">
      <c r="A1145" s="330">
        <v>21902</v>
      </c>
      <c r="B1145" s="379" t="s">
        <v>1049</v>
      </c>
      <c r="C1145" s="529"/>
      <c r="D1145" s="529"/>
      <c r="E1145" s="529"/>
      <c r="F1145" s="523" t="str">
        <f t="shared" si="71"/>
        <v/>
      </c>
      <c r="G1145" s="467" t="str">
        <f t="shared" si="72"/>
        <v/>
      </c>
      <c r="H1145" s="524" t="str">
        <f t="shared" si="73"/>
        <v>否</v>
      </c>
      <c r="I1145" s="312" t="str">
        <f t="shared" si="70"/>
        <v>款</v>
      </c>
    </row>
    <row r="1146" s="372" customFormat="1" ht="24" hidden="1" customHeight="1" spans="1:9">
      <c r="A1146" s="330">
        <v>21903</v>
      </c>
      <c r="B1146" s="405" t="s">
        <v>1050</v>
      </c>
      <c r="C1146" s="529"/>
      <c r="D1146" s="529"/>
      <c r="E1146" s="529"/>
      <c r="F1146" s="523" t="str">
        <f t="shared" si="71"/>
        <v/>
      </c>
      <c r="G1146" s="467" t="str">
        <f t="shared" si="72"/>
        <v/>
      </c>
      <c r="H1146" s="524" t="str">
        <f t="shared" si="73"/>
        <v>否</v>
      </c>
      <c r="I1146" s="312" t="str">
        <f t="shared" si="70"/>
        <v>款</v>
      </c>
    </row>
    <row r="1147" s="372" customFormat="1" ht="24" hidden="1" customHeight="1" spans="1:9">
      <c r="A1147" s="330">
        <v>21904</v>
      </c>
      <c r="B1147" s="405" t="s">
        <v>1051</v>
      </c>
      <c r="C1147" s="529"/>
      <c r="D1147" s="529"/>
      <c r="E1147" s="529"/>
      <c r="F1147" s="523" t="str">
        <f t="shared" si="71"/>
        <v/>
      </c>
      <c r="G1147" s="467" t="str">
        <f t="shared" si="72"/>
        <v/>
      </c>
      <c r="H1147" s="524" t="str">
        <f t="shared" si="73"/>
        <v>否</v>
      </c>
      <c r="I1147" s="312" t="str">
        <f t="shared" si="70"/>
        <v>款</v>
      </c>
    </row>
    <row r="1148" s="372" customFormat="1" ht="24" hidden="1" customHeight="1" spans="1:9">
      <c r="A1148" s="330">
        <v>21905</v>
      </c>
      <c r="B1148" s="379" t="s">
        <v>1052</v>
      </c>
      <c r="C1148" s="529"/>
      <c r="D1148" s="529"/>
      <c r="E1148" s="529"/>
      <c r="F1148" s="523" t="str">
        <f t="shared" si="71"/>
        <v/>
      </c>
      <c r="G1148" s="467" t="str">
        <f t="shared" si="72"/>
        <v/>
      </c>
      <c r="H1148" s="524" t="str">
        <f t="shared" si="73"/>
        <v>否</v>
      </c>
      <c r="I1148" s="312" t="str">
        <f t="shared" si="70"/>
        <v>款</v>
      </c>
    </row>
    <row r="1149" ht="24" hidden="1" customHeight="1" spans="1:9">
      <c r="A1149" s="330">
        <v>21906</v>
      </c>
      <c r="B1149" s="405" t="s">
        <v>840</v>
      </c>
      <c r="C1149" s="529"/>
      <c r="D1149" s="529"/>
      <c r="E1149" s="529"/>
      <c r="F1149" s="523" t="str">
        <f t="shared" si="71"/>
        <v/>
      </c>
      <c r="G1149" s="467" t="str">
        <f t="shared" si="72"/>
        <v/>
      </c>
      <c r="H1149" s="524" t="str">
        <f t="shared" si="73"/>
        <v>否</v>
      </c>
      <c r="I1149" s="312" t="str">
        <f t="shared" si="70"/>
        <v>款</v>
      </c>
    </row>
    <row r="1150" s="372" customFormat="1" ht="24" hidden="1" customHeight="1" spans="1:9">
      <c r="A1150" s="330">
        <v>21907</v>
      </c>
      <c r="B1150" s="379" t="s">
        <v>1053</v>
      </c>
      <c r="C1150" s="529"/>
      <c r="D1150" s="529"/>
      <c r="E1150" s="529"/>
      <c r="F1150" s="523" t="str">
        <f t="shared" si="71"/>
        <v/>
      </c>
      <c r="G1150" s="467" t="str">
        <f t="shared" si="72"/>
        <v/>
      </c>
      <c r="H1150" s="524" t="str">
        <f t="shared" si="73"/>
        <v>否</v>
      </c>
      <c r="I1150" s="312" t="str">
        <f t="shared" si="70"/>
        <v>款</v>
      </c>
    </row>
    <row r="1151" s="372" customFormat="1" ht="24" hidden="1" customHeight="1" spans="1:9">
      <c r="A1151" s="330">
        <v>21908</v>
      </c>
      <c r="B1151" s="379" t="s">
        <v>1054</v>
      </c>
      <c r="C1151" s="529"/>
      <c r="D1151" s="529"/>
      <c r="E1151" s="529"/>
      <c r="F1151" s="523" t="str">
        <f t="shared" si="71"/>
        <v/>
      </c>
      <c r="G1151" s="467" t="str">
        <f t="shared" si="72"/>
        <v/>
      </c>
      <c r="H1151" s="524" t="str">
        <f t="shared" si="73"/>
        <v>否</v>
      </c>
      <c r="I1151" s="312" t="str">
        <f t="shared" si="70"/>
        <v>款</v>
      </c>
    </row>
    <row r="1152" ht="24" hidden="1" customHeight="1" spans="1:9">
      <c r="A1152" s="330">
        <v>21999</v>
      </c>
      <c r="B1152" s="379" t="s">
        <v>1055</v>
      </c>
      <c r="C1152" s="529"/>
      <c r="D1152" s="529"/>
      <c r="E1152" s="529"/>
      <c r="F1152" s="523" t="str">
        <f t="shared" si="71"/>
        <v/>
      </c>
      <c r="G1152" s="467" t="str">
        <f t="shared" si="72"/>
        <v/>
      </c>
      <c r="H1152" s="524" t="str">
        <f t="shared" si="73"/>
        <v>否</v>
      </c>
      <c r="I1152" s="312" t="str">
        <f t="shared" si="70"/>
        <v>款</v>
      </c>
    </row>
    <row r="1153" ht="24" customHeight="1" spans="1:9">
      <c r="A1153" s="329">
        <v>220</v>
      </c>
      <c r="B1153" s="377" t="s">
        <v>192</v>
      </c>
      <c r="C1153" s="515">
        <f>C1154+C1181+C1196</f>
        <v>4043</v>
      </c>
      <c r="D1153" s="515">
        <f>D1154+D1181+D1196</f>
        <v>6051</v>
      </c>
      <c r="E1153" s="515">
        <f>E1154+E1181+E1196</f>
        <v>6318</v>
      </c>
      <c r="F1153" s="523">
        <f t="shared" si="71"/>
        <v>0.562700964630225</v>
      </c>
      <c r="G1153" s="467">
        <f t="shared" si="72"/>
        <v>0.0441249380267724</v>
      </c>
      <c r="H1153" s="524" t="str">
        <f t="shared" si="73"/>
        <v>是</v>
      </c>
      <c r="I1153" s="312" t="str">
        <f t="shared" si="70"/>
        <v>类</v>
      </c>
    </row>
    <row r="1154" s="372" customFormat="1" ht="24" customHeight="1" spans="1:9">
      <c r="A1154" s="330">
        <v>22001</v>
      </c>
      <c r="B1154" s="379" t="s">
        <v>1056</v>
      </c>
      <c r="C1154" s="515">
        <f>SUM(C1155:C1180)</f>
        <v>3833</v>
      </c>
      <c r="D1154" s="515">
        <f>SUM(D1155:D1180)</f>
        <v>5505</v>
      </c>
      <c r="E1154" s="515">
        <f>SUM(E1155:E1180)</f>
        <v>5760</v>
      </c>
      <c r="F1154" s="523">
        <f t="shared" si="71"/>
        <v>0.502739368640751</v>
      </c>
      <c r="G1154" s="467">
        <f t="shared" si="72"/>
        <v>0.0463215258855586</v>
      </c>
      <c r="H1154" s="524" t="str">
        <f t="shared" si="73"/>
        <v>是</v>
      </c>
      <c r="I1154" s="312" t="str">
        <f t="shared" si="70"/>
        <v>款</v>
      </c>
    </row>
    <row r="1155" s="372" customFormat="1" ht="24" customHeight="1" spans="1:9">
      <c r="A1155" s="330">
        <v>2200101</v>
      </c>
      <c r="B1155" s="379" t="s">
        <v>212</v>
      </c>
      <c r="C1155" s="516">
        <v>1315</v>
      </c>
      <c r="D1155" s="516">
        <f>'04'!F1154</f>
        <v>1291</v>
      </c>
      <c r="E1155" s="525">
        <v>1315</v>
      </c>
      <c r="F1155" s="526">
        <f t="shared" si="71"/>
        <v>0</v>
      </c>
      <c r="G1155" s="470">
        <f t="shared" si="72"/>
        <v>0.0185902401239349</v>
      </c>
      <c r="H1155" s="524" t="str">
        <f t="shared" si="73"/>
        <v>是</v>
      </c>
      <c r="I1155" s="312" t="str">
        <f t="shared" si="70"/>
        <v>项</v>
      </c>
    </row>
    <row r="1156" s="372" customFormat="1" ht="24" customHeight="1" spans="1:9">
      <c r="A1156" s="330">
        <v>2200102</v>
      </c>
      <c r="B1156" s="379" t="s">
        <v>213</v>
      </c>
      <c r="C1156" s="516">
        <v>5</v>
      </c>
      <c r="D1156" s="516">
        <f>'04'!F1155</f>
        <v>0</v>
      </c>
      <c r="E1156" s="525">
        <v>0</v>
      </c>
      <c r="F1156" s="526">
        <f t="shared" si="71"/>
        <v>-1</v>
      </c>
      <c r="G1156" s="470" t="str">
        <f t="shared" si="72"/>
        <v/>
      </c>
      <c r="H1156" s="524" t="str">
        <f t="shared" si="73"/>
        <v>是</v>
      </c>
      <c r="I1156" s="312" t="str">
        <f t="shared" ref="I1156:I1219" si="74">IF(LEN(A1156)=3,"类",IF(LEN(A1156)=5,"款","项"))</f>
        <v>项</v>
      </c>
    </row>
    <row r="1157" s="372" customFormat="1" ht="24" hidden="1" customHeight="1" spans="1:9">
      <c r="A1157" s="330">
        <v>2200103</v>
      </c>
      <c r="B1157" s="379" t="s">
        <v>214</v>
      </c>
      <c r="C1157" s="516">
        <v>0</v>
      </c>
      <c r="D1157" s="516">
        <f>'04'!F1156</f>
        <v>0</v>
      </c>
      <c r="E1157" s="525">
        <v>0</v>
      </c>
      <c r="F1157" s="526" t="str">
        <f t="shared" ref="F1157:F1220" si="75">IFERROR((E1157-C1157)/C1157,"")</f>
        <v/>
      </c>
      <c r="G1157" s="470" t="str">
        <f t="shared" ref="G1157:G1220" si="76">IFERROR((E1157-D1157)/D1157,"")</f>
        <v/>
      </c>
      <c r="H1157" s="524" t="str">
        <f t="shared" si="73"/>
        <v>否</v>
      </c>
      <c r="I1157" s="312" t="str">
        <f t="shared" si="74"/>
        <v>项</v>
      </c>
    </row>
    <row r="1158" s="372" customFormat="1" ht="24" customHeight="1" spans="1:9">
      <c r="A1158" s="330">
        <v>2200104</v>
      </c>
      <c r="B1158" s="379" t="s">
        <v>1057</v>
      </c>
      <c r="C1158" s="516">
        <v>0</v>
      </c>
      <c r="D1158" s="516">
        <f>'04'!F1157</f>
        <v>253</v>
      </c>
      <c r="E1158" s="525">
        <v>258</v>
      </c>
      <c r="F1158" s="526" t="str">
        <f t="shared" si="75"/>
        <v/>
      </c>
      <c r="G1158" s="470">
        <f t="shared" si="76"/>
        <v>0.0197628458498024</v>
      </c>
      <c r="H1158" s="524" t="str">
        <f t="shared" ref="H1158:H1221" si="77">IF(LEN(A1158)=3,"是",IF(B1158&lt;&gt;"",IF(SUM(C1158:E1158)&lt;&gt;0,"是","否"),"是"))</f>
        <v>是</v>
      </c>
      <c r="I1158" s="312" t="str">
        <f t="shared" si="74"/>
        <v>项</v>
      </c>
    </row>
    <row r="1159" s="372" customFormat="1" ht="24" customHeight="1" spans="1:9">
      <c r="A1159" s="330">
        <v>2200106</v>
      </c>
      <c r="B1159" s="379" t="s">
        <v>1058</v>
      </c>
      <c r="C1159" s="516">
        <v>1625</v>
      </c>
      <c r="D1159" s="516">
        <f>'04'!F1158</f>
        <v>3084</v>
      </c>
      <c r="E1159" s="525">
        <v>3325</v>
      </c>
      <c r="F1159" s="526">
        <f t="shared" si="75"/>
        <v>1.04615384615385</v>
      </c>
      <c r="G1159" s="470">
        <f t="shared" si="76"/>
        <v>0.0781452658884565</v>
      </c>
      <c r="H1159" s="524" t="str">
        <f t="shared" si="77"/>
        <v>是</v>
      </c>
      <c r="I1159" s="312" t="str">
        <f t="shared" si="74"/>
        <v>项</v>
      </c>
    </row>
    <row r="1160" ht="24" hidden="1" customHeight="1" spans="1:9">
      <c r="A1160" s="330">
        <v>2200107</v>
      </c>
      <c r="B1160" s="379" t="s">
        <v>1059</v>
      </c>
      <c r="C1160" s="516">
        <v>0</v>
      </c>
      <c r="D1160" s="516">
        <f>'04'!F1159</f>
        <v>0</v>
      </c>
      <c r="E1160" s="525">
        <v>0</v>
      </c>
      <c r="F1160" s="526" t="str">
        <f t="shared" si="75"/>
        <v/>
      </c>
      <c r="G1160" s="470" t="str">
        <f t="shared" si="76"/>
        <v/>
      </c>
      <c r="H1160" s="524" t="str">
        <f t="shared" si="77"/>
        <v>否</v>
      </c>
      <c r="I1160" s="312" t="str">
        <f t="shared" si="74"/>
        <v>项</v>
      </c>
    </row>
    <row r="1161" s="372" customFormat="1" ht="24" hidden="1" customHeight="1" spans="1:9">
      <c r="A1161" s="330">
        <v>2200108</v>
      </c>
      <c r="B1161" s="379" t="s">
        <v>1060</v>
      </c>
      <c r="C1161" s="516">
        <v>0</v>
      </c>
      <c r="D1161" s="516">
        <f>'04'!F1160</f>
        <v>0</v>
      </c>
      <c r="E1161" s="525">
        <v>0</v>
      </c>
      <c r="F1161" s="526" t="str">
        <f t="shared" si="75"/>
        <v/>
      </c>
      <c r="G1161" s="470" t="str">
        <f t="shared" si="76"/>
        <v/>
      </c>
      <c r="H1161" s="524" t="str">
        <f t="shared" si="77"/>
        <v>否</v>
      </c>
      <c r="I1161" s="312" t="str">
        <f t="shared" si="74"/>
        <v>项</v>
      </c>
    </row>
    <row r="1162" s="372" customFormat="1" ht="24" customHeight="1" spans="1:9">
      <c r="A1162" s="330">
        <v>2200109</v>
      </c>
      <c r="B1162" s="379" t="s">
        <v>1061</v>
      </c>
      <c r="C1162" s="516">
        <v>32</v>
      </c>
      <c r="D1162" s="516">
        <f>'04'!F1161</f>
        <v>0</v>
      </c>
      <c r="E1162" s="525">
        <v>0</v>
      </c>
      <c r="F1162" s="526">
        <f t="shared" si="75"/>
        <v>-1</v>
      </c>
      <c r="G1162" s="470" t="str">
        <f t="shared" si="76"/>
        <v/>
      </c>
      <c r="H1162" s="524" t="str">
        <f t="shared" si="77"/>
        <v>是</v>
      </c>
      <c r="I1162" s="312" t="str">
        <f t="shared" si="74"/>
        <v>项</v>
      </c>
    </row>
    <row r="1163" s="372" customFormat="1" ht="24" hidden="1" customHeight="1" spans="1:9">
      <c r="A1163" s="330">
        <v>2200112</v>
      </c>
      <c r="B1163" s="379" t="s">
        <v>1062</v>
      </c>
      <c r="C1163" s="516">
        <v>0</v>
      </c>
      <c r="D1163" s="516">
        <f>'04'!F1162</f>
        <v>0</v>
      </c>
      <c r="E1163" s="525">
        <v>0</v>
      </c>
      <c r="F1163" s="526" t="str">
        <f t="shared" si="75"/>
        <v/>
      </c>
      <c r="G1163" s="470" t="str">
        <f t="shared" si="76"/>
        <v/>
      </c>
      <c r="H1163" s="524" t="str">
        <f t="shared" si="77"/>
        <v>否</v>
      </c>
      <c r="I1163" s="312" t="str">
        <f t="shared" si="74"/>
        <v>项</v>
      </c>
    </row>
    <row r="1164" s="372" customFormat="1" ht="24" hidden="1" customHeight="1" spans="1:9">
      <c r="A1164" s="330">
        <v>2200113</v>
      </c>
      <c r="B1164" s="379" t="s">
        <v>1063</v>
      </c>
      <c r="C1164" s="516">
        <v>0</v>
      </c>
      <c r="D1164" s="516">
        <f>'04'!F1163</f>
        <v>0</v>
      </c>
      <c r="E1164" s="525">
        <v>0</v>
      </c>
      <c r="F1164" s="526" t="str">
        <f t="shared" si="75"/>
        <v/>
      </c>
      <c r="G1164" s="470" t="str">
        <f t="shared" si="76"/>
        <v/>
      </c>
      <c r="H1164" s="524" t="str">
        <f t="shared" si="77"/>
        <v>否</v>
      </c>
      <c r="I1164" s="312" t="str">
        <f t="shared" si="74"/>
        <v>项</v>
      </c>
    </row>
    <row r="1165" s="372" customFormat="1" ht="24" hidden="1" customHeight="1" spans="1:9">
      <c r="A1165" s="330">
        <v>2200114</v>
      </c>
      <c r="B1165" s="379" t="s">
        <v>1064</v>
      </c>
      <c r="C1165" s="516">
        <v>0</v>
      </c>
      <c r="D1165" s="516">
        <f>'04'!F1164</f>
        <v>0</v>
      </c>
      <c r="E1165" s="525">
        <v>0</v>
      </c>
      <c r="F1165" s="526" t="str">
        <f t="shared" si="75"/>
        <v/>
      </c>
      <c r="G1165" s="470" t="str">
        <f t="shared" si="76"/>
        <v/>
      </c>
      <c r="H1165" s="524" t="str">
        <f t="shared" si="77"/>
        <v>否</v>
      </c>
      <c r="I1165" s="312" t="str">
        <f t="shared" si="74"/>
        <v>项</v>
      </c>
    </row>
    <row r="1166" s="372" customFormat="1" ht="24" hidden="1" customHeight="1" spans="1:9">
      <c r="A1166" s="330">
        <v>2200115</v>
      </c>
      <c r="B1166" s="379" t="s">
        <v>1065</v>
      </c>
      <c r="C1166" s="516">
        <v>0</v>
      </c>
      <c r="D1166" s="516">
        <f>'04'!F1165</f>
        <v>0</v>
      </c>
      <c r="E1166" s="525">
        <v>0</v>
      </c>
      <c r="F1166" s="526" t="str">
        <f t="shared" si="75"/>
        <v/>
      </c>
      <c r="G1166" s="470" t="str">
        <f t="shared" si="76"/>
        <v/>
      </c>
      <c r="H1166" s="524" t="str">
        <f t="shared" si="77"/>
        <v>否</v>
      </c>
      <c r="I1166" s="312" t="str">
        <f t="shared" si="74"/>
        <v>项</v>
      </c>
    </row>
    <row r="1167" s="372" customFormat="1" ht="24" hidden="1" customHeight="1" spans="1:9">
      <c r="A1167" s="330">
        <v>2200116</v>
      </c>
      <c r="B1167" s="379" t="s">
        <v>1066</v>
      </c>
      <c r="C1167" s="516">
        <v>0</v>
      </c>
      <c r="D1167" s="516">
        <f>'04'!F1166</f>
        <v>0</v>
      </c>
      <c r="E1167" s="525">
        <v>0</v>
      </c>
      <c r="F1167" s="526" t="str">
        <f t="shared" si="75"/>
        <v/>
      </c>
      <c r="G1167" s="470" t="str">
        <f t="shared" si="76"/>
        <v/>
      </c>
      <c r="H1167" s="524" t="str">
        <f t="shared" si="77"/>
        <v>否</v>
      </c>
      <c r="I1167" s="312" t="str">
        <f t="shared" si="74"/>
        <v>项</v>
      </c>
    </row>
    <row r="1168" s="372" customFormat="1" ht="24" hidden="1" customHeight="1" spans="1:9">
      <c r="A1168" s="330">
        <v>2200119</v>
      </c>
      <c r="B1168" s="379" t="s">
        <v>1067</v>
      </c>
      <c r="C1168" s="516">
        <v>0</v>
      </c>
      <c r="D1168" s="516">
        <f>'04'!F1167</f>
        <v>0</v>
      </c>
      <c r="E1168" s="525">
        <v>0</v>
      </c>
      <c r="F1168" s="526" t="str">
        <f t="shared" si="75"/>
        <v/>
      </c>
      <c r="G1168" s="470" t="str">
        <f t="shared" si="76"/>
        <v/>
      </c>
      <c r="H1168" s="524" t="str">
        <f t="shared" si="77"/>
        <v>否</v>
      </c>
      <c r="I1168" s="312" t="str">
        <f t="shared" si="74"/>
        <v>项</v>
      </c>
    </row>
    <row r="1169" s="372" customFormat="1" ht="24" hidden="1" customHeight="1" spans="1:9">
      <c r="A1169" s="330">
        <v>2200120</v>
      </c>
      <c r="B1169" s="379" t="s">
        <v>1068</v>
      </c>
      <c r="C1169" s="516">
        <v>0</v>
      </c>
      <c r="D1169" s="516">
        <f>'04'!F1168</f>
        <v>0</v>
      </c>
      <c r="E1169" s="525">
        <v>0</v>
      </c>
      <c r="F1169" s="526" t="str">
        <f t="shared" si="75"/>
        <v/>
      </c>
      <c r="G1169" s="470" t="str">
        <f t="shared" si="76"/>
        <v/>
      </c>
      <c r="H1169" s="524" t="str">
        <f t="shared" si="77"/>
        <v>否</v>
      </c>
      <c r="I1169" s="312" t="str">
        <f t="shared" si="74"/>
        <v>项</v>
      </c>
    </row>
    <row r="1170" ht="24" hidden="1" customHeight="1" spans="1:9">
      <c r="A1170" s="330">
        <v>2200121</v>
      </c>
      <c r="B1170" s="379" t="s">
        <v>1069</v>
      </c>
      <c r="C1170" s="516">
        <v>0</v>
      </c>
      <c r="D1170" s="516">
        <f>'04'!F1169</f>
        <v>0</v>
      </c>
      <c r="E1170" s="525">
        <v>0</v>
      </c>
      <c r="F1170" s="526" t="str">
        <f t="shared" si="75"/>
        <v/>
      </c>
      <c r="G1170" s="470" t="str">
        <f t="shared" si="76"/>
        <v/>
      </c>
      <c r="H1170" s="524" t="str">
        <f t="shared" si="77"/>
        <v>否</v>
      </c>
      <c r="I1170" s="312" t="str">
        <f t="shared" si="74"/>
        <v>项</v>
      </c>
    </row>
    <row r="1171" s="372" customFormat="1" ht="24" hidden="1" customHeight="1" spans="1:9">
      <c r="A1171" s="330">
        <v>2200122</v>
      </c>
      <c r="B1171" s="379" t="s">
        <v>1070</v>
      </c>
      <c r="C1171" s="516">
        <v>0</v>
      </c>
      <c r="D1171" s="516">
        <f>'04'!F1170</f>
        <v>0</v>
      </c>
      <c r="E1171" s="525">
        <v>0</v>
      </c>
      <c r="F1171" s="526" t="str">
        <f t="shared" si="75"/>
        <v/>
      </c>
      <c r="G1171" s="470" t="str">
        <f t="shared" si="76"/>
        <v/>
      </c>
      <c r="H1171" s="524" t="str">
        <f t="shared" si="77"/>
        <v>否</v>
      </c>
      <c r="I1171" s="312" t="str">
        <f t="shared" si="74"/>
        <v>项</v>
      </c>
    </row>
    <row r="1172" s="372" customFormat="1" ht="24" hidden="1" customHeight="1" spans="1:9">
      <c r="A1172" s="330">
        <v>2200123</v>
      </c>
      <c r="B1172" s="379" t="s">
        <v>1071</v>
      </c>
      <c r="C1172" s="516">
        <v>0</v>
      </c>
      <c r="D1172" s="516">
        <f>'04'!F1171</f>
        <v>0</v>
      </c>
      <c r="E1172" s="525">
        <v>0</v>
      </c>
      <c r="F1172" s="526" t="str">
        <f t="shared" si="75"/>
        <v/>
      </c>
      <c r="G1172" s="470" t="str">
        <f t="shared" si="76"/>
        <v/>
      </c>
      <c r="H1172" s="524" t="str">
        <f t="shared" si="77"/>
        <v>否</v>
      </c>
      <c r="I1172" s="312" t="str">
        <f t="shared" si="74"/>
        <v>项</v>
      </c>
    </row>
    <row r="1173" s="372" customFormat="1" ht="24" hidden="1" customHeight="1" spans="1:9">
      <c r="A1173" s="330">
        <v>2200124</v>
      </c>
      <c r="B1173" s="379" t="s">
        <v>1072</v>
      </c>
      <c r="C1173" s="516">
        <v>0</v>
      </c>
      <c r="D1173" s="516">
        <f>'04'!F1172</f>
        <v>0</v>
      </c>
      <c r="E1173" s="525">
        <v>0</v>
      </c>
      <c r="F1173" s="526" t="str">
        <f t="shared" si="75"/>
        <v/>
      </c>
      <c r="G1173" s="470" t="str">
        <f t="shared" si="76"/>
        <v/>
      </c>
      <c r="H1173" s="524" t="str">
        <f t="shared" si="77"/>
        <v>否</v>
      </c>
      <c r="I1173" s="312" t="str">
        <f t="shared" si="74"/>
        <v>项</v>
      </c>
    </row>
    <row r="1174" s="372" customFormat="1" ht="24" hidden="1" customHeight="1" spans="1:9">
      <c r="A1174" s="330">
        <v>2200125</v>
      </c>
      <c r="B1174" s="379" t="s">
        <v>1073</v>
      </c>
      <c r="C1174" s="516">
        <v>0</v>
      </c>
      <c r="D1174" s="516">
        <f>'04'!F1173</f>
        <v>0</v>
      </c>
      <c r="E1174" s="525">
        <v>0</v>
      </c>
      <c r="F1174" s="526" t="str">
        <f t="shared" si="75"/>
        <v/>
      </c>
      <c r="G1174" s="470" t="str">
        <f t="shared" si="76"/>
        <v/>
      </c>
      <c r="H1174" s="524" t="str">
        <f t="shared" si="77"/>
        <v>否</v>
      </c>
      <c r="I1174" s="312" t="str">
        <f t="shared" si="74"/>
        <v>项</v>
      </c>
    </row>
    <row r="1175" s="372" customFormat="1" ht="24" hidden="1" customHeight="1" spans="1:9">
      <c r="A1175" s="330">
        <v>2200126</v>
      </c>
      <c r="B1175" s="379" t="s">
        <v>1074</v>
      </c>
      <c r="C1175" s="516">
        <v>0</v>
      </c>
      <c r="D1175" s="516">
        <f>'04'!F1174</f>
        <v>0</v>
      </c>
      <c r="E1175" s="525">
        <v>0</v>
      </c>
      <c r="F1175" s="526" t="str">
        <f t="shared" si="75"/>
        <v/>
      </c>
      <c r="G1175" s="470" t="str">
        <f t="shared" si="76"/>
        <v/>
      </c>
      <c r="H1175" s="524" t="str">
        <f t="shared" si="77"/>
        <v>否</v>
      </c>
      <c r="I1175" s="312" t="str">
        <f t="shared" si="74"/>
        <v>项</v>
      </c>
    </row>
    <row r="1176" ht="24" hidden="1" customHeight="1" spans="1:9">
      <c r="A1176" s="330">
        <v>2200127</v>
      </c>
      <c r="B1176" s="379" t="s">
        <v>1075</v>
      </c>
      <c r="C1176" s="516">
        <v>0</v>
      </c>
      <c r="D1176" s="516">
        <f>'04'!F1175</f>
        <v>0</v>
      </c>
      <c r="E1176" s="525">
        <v>0</v>
      </c>
      <c r="F1176" s="526" t="str">
        <f t="shared" si="75"/>
        <v/>
      </c>
      <c r="G1176" s="470" t="str">
        <f t="shared" si="76"/>
        <v/>
      </c>
      <c r="H1176" s="524" t="str">
        <f t="shared" si="77"/>
        <v>否</v>
      </c>
      <c r="I1176" s="312" t="str">
        <f t="shared" si="74"/>
        <v>项</v>
      </c>
    </row>
    <row r="1177" s="372" customFormat="1" ht="24" hidden="1" customHeight="1" spans="1:9">
      <c r="A1177" s="330">
        <v>2200128</v>
      </c>
      <c r="B1177" s="379" t="s">
        <v>1076</v>
      </c>
      <c r="C1177" s="516">
        <v>0</v>
      </c>
      <c r="D1177" s="516">
        <f>'04'!F1176</f>
        <v>0</v>
      </c>
      <c r="E1177" s="525">
        <v>0</v>
      </c>
      <c r="F1177" s="526" t="str">
        <f t="shared" si="75"/>
        <v/>
      </c>
      <c r="G1177" s="470" t="str">
        <f t="shared" si="76"/>
        <v/>
      </c>
      <c r="H1177" s="524" t="str">
        <f t="shared" si="77"/>
        <v>否</v>
      </c>
      <c r="I1177" s="312" t="str">
        <f t="shared" si="74"/>
        <v>项</v>
      </c>
    </row>
    <row r="1178" s="372" customFormat="1" ht="24" hidden="1" customHeight="1" spans="1:9">
      <c r="A1178" s="330">
        <v>2200129</v>
      </c>
      <c r="B1178" s="379" t="s">
        <v>1077</v>
      </c>
      <c r="C1178" s="516">
        <v>0</v>
      </c>
      <c r="D1178" s="516">
        <f>'04'!F1177</f>
        <v>0</v>
      </c>
      <c r="E1178" s="525">
        <v>0</v>
      </c>
      <c r="F1178" s="526" t="str">
        <f t="shared" si="75"/>
        <v/>
      </c>
      <c r="G1178" s="470" t="str">
        <f t="shared" si="76"/>
        <v/>
      </c>
      <c r="H1178" s="524" t="str">
        <f t="shared" si="77"/>
        <v>否</v>
      </c>
      <c r="I1178" s="312" t="str">
        <f t="shared" si="74"/>
        <v>项</v>
      </c>
    </row>
    <row r="1179" ht="24" customHeight="1" spans="1:9">
      <c r="A1179" s="330">
        <v>2200150</v>
      </c>
      <c r="B1179" s="379" t="s">
        <v>221</v>
      </c>
      <c r="C1179" s="516">
        <v>856</v>
      </c>
      <c r="D1179" s="516">
        <f>'04'!F1178</f>
        <v>834</v>
      </c>
      <c r="E1179" s="525">
        <v>862</v>
      </c>
      <c r="F1179" s="526">
        <f t="shared" si="75"/>
        <v>0.00700934579439252</v>
      </c>
      <c r="G1179" s="470">
        <f t="shared" si="76"/>
        <v>0.0335731414868106</v>
      </c>
      <c r="H1179" s="524" t="str">
        <f t="shared" si="77"/>
        <v>是</v>
      </c>
      <c r="I1179" s="312" t="str">
        <f t="shared" si="74"/>
        <v>项</v>
      </c>
    </row>
    <row r="1180" s="372" customFormat="1" ht="24" customHeight="1" spans="1:9">
      <c r="A1180" s="331">
        <v>2200199</v>
      </c>
      <c r="B1180" s="327" t="s">
        <v>1078</v>
      </c>
      <c r="C1180" s="516">
        <v>0</v>
      </c>
      <c r="D1180" s="516">
        <f>'04'!F1179</f>
        <v>43</v>
      </c>
      <c r="E1180" s="525">
        <v>0</v>
      </c>
      <c r="F1180" s="526" t="str">
        <f t="shared" si="75"/>
        <v/>
      </c>
      <c r="G1180" s="470">
        <f t="shared" si="76"/>
        <v>-1</v>
      </c>
      <c r="H1180" s="524" t="str">
        <f t="shared" si="77"/>
        <v>是</v>
      </c>
      <c r="I1180" s="313" t="str">
        <f t="shared" si="74"/>
        <v>项</v>
      </c>
    </row>
    <row r="1181" s="372" customFormat="1" ht="24" customHeight="1" spans="1:9">
      <c r="A1181" s="330">
        <v>22005</v>
      </c>
      <c r="B1181" s="379" t="s">
        <v>1079</v>
      </c>
      <c r="C1181" s="515">
        <f>SUM(C1182:C1195)</f>
        <v>210</v>
      </c>
      <c r="D1181" s="515">
        <f>SUM(D1182:D1195)</f>
        <v>544</v>
      </c>
      <c r="E1181" s="515">
        <f>SUM(E1182:E1195)</f>
        <v>558</v>
      </c>
      <c r="F1181" s="523">
        <f t="shared" si="75"/>
        <v>1.65714285714286</v>
      </c>
      <c r="G1181" s="467">
        <f t="shared" si="76"/>
        <v>0.0257352941176471</v>
      </c>
      <c r="H1181" s="524" t="str">
        <f t="shared" si="77"/>
        <v>是</v>
      </c>
      <c r="I1181" s="312" t="str">
        <f t="shared" si="74"/>
        <v>款</v>
      </c>
    </row>
    <row r="1182" s="372" customFormat="1" ht="24" hidden="1" customHeight="1" spans="1:9">
      <c r="A1182" s="330">
        <v>2200501</v>
      </c>
      <c r="B1182" s="379" t="s">
        <v>212</v>
      </c>
      <c r="C1182" s="516"/>
      <c r="D1182" s="516">
        <f>'04'!F1181</f>
        <v>0</v>
      </c>
      <c r="E1182" s="525">
        <v>0</v>
      </c>
      <c r="F1182" s="526" t="str">
        <f t="shared" si="75"/>
        <v/>
      </c>
      <c r="G1182" s="470" t="str">
        <f t="shared" si="76"/>
        <v/>
      </c>
      <c r="H1182" s="524" t="str">
        <f t="shared" si="77"/>
        <v>否</v>
      </c>
      <c r="I1182" s="312" t="str">
        <f t="shared" si="74"/>
        <v>项</v>
      </c>
    </row>
    <row r="1183" s="372" customFormat="1" ht="24" hidden="1" customHeight="1" spans="1:9">
      <c r="A1183" s="330">
        <v>2200502</v>
      </c>
      <c r="B1183" s="379" t="s">
        <v>213</v>
      </c>
      <c r="C1183" s="516"/>
      <c r="D1183" s="516">
        <f>'04'!F1182</f>
        <v>0</v>
      </c>
      <c r="E1183" s="525">
        <v>0</v>
      </c>
      <c r="F1183" s="526" t="str">
        <f t="shared" si="75"/>
        <v/>
      </c>
      <c r="G1183" s="470" t="str">
        <f t="shared" si="76"/>
        <v/>
      </c>
      <c r="H1183" s="524" t="str">
        <f t="shared" si="77"/>
        <v>否</v>
      </c>
      <c r="I1183" s="312" t="str">
        <f t="shared" si="74"/>
        <v>项</v>
      </c>
    </row>
    <row r="1184" s="372" customFormat="1" ht="24" hidden="1" customHeight="1" spans="1:9">
      <c r="A1184" s="330">
        <v>2200503</v>
      </c>
      <c r="B1184" s="379" t="s">
        <v>214</v>
      </c>
      <c r="C1184" s="516"/>
      <c r="D1184" s="516">
        <f>'04'!F1183</f>
        <v>0</v>
      </c>
      <c r="E1184" s="525">
        <v>0</v>
      </c>
      <c r="F1184" s="526" t="str">
        <f t="shared" si="75"/>
        <v/>
      </c>
      <c r="G1184" s="470" t="str">
        <f t="shared" si="76"/>
        <v/>
      </c>
      <c r="H1184" s="524" t="str">
        <f t="shared" si="77"/>
        <v>否</v>
      </c>
      <c r="I1184" s="312" t="str">
        <f t="shared" si="74"/>
        <v>项</v>
      </c>
    </row>
    <row r="1185" s="374" customFormat="1" ht="24" customHeight="1" spans="1:9">
      <c r="A1185" s="330">
        <v>2200504</v>
      </c>
      <c r="B1185" s="379" t="s">
        <v>1080</v>
      </c>
      <c r="C1185" s="516">
        <v>210</v>
      </c>
      <c r="D1185" s="516">
        <f>'04'!F1184</f>
        <v>210</v>
      </c>
      <c r="E1185" s="525">
        <v>210</v>
      </c>
      <c r="F1185" s="526">
        <f t="shared" si="75"/>
        <v>0</v>
      </c>
      <c r="G1185" s="470">
        <f t="shared" si="76"/>
        <v>0</v>
      </c>
      <c r="H1185" s="524" t="str">
        <f t="shared" si="77"/>
        <v>是</v>
      </c>
      <c r="I1185" s="312" t="str">
        <f t="shared" si="74"/>
        <v>项</v>
      </c>
    </row>
    <row r="1186" s="372" customFormat="1" ht="24" hidden="1" customHeight="1" spans="1:9">
      <c r="A1186" s="330">
        <v>2200506</v>
      </c>
      <c r="B1186" s="379" t="s">
        <v>1081</v>
      </c>
      <c r="C1186" s="516"/>
      <c r="D1186" s="516">
        <f>'04'!F1185</f>
        <v>0</v>
      </c>
      <c r="E1186" s="525">
        <v>0</v>
      </c>
      <c r="F1186" s="526" t="str">
        <f t="shared" si="75"/>
        <v/>
      </c>
      <c r="G1186" s="470" t="str">
        <f t="shared" si="76"/>
        <v/>
      </c>
      <c r="H1186" s="524" t="str">
        <f t="shared" si="77"/>
        <v>否</v>
      </c>
      <c r="I1186" s="312" t="str">
        <f t="shared" si="74"/>
        <v>项</v>
      </c>
    </row>
    <row r="1187" s="372" customFormat="1" ht="24" hidden="1" customHeight="1" spans="1:9">
      <c r="A1187" s="330">
        <v>2200507</v>
      </c>
      <c r="B1187" s="379" t="s">
        <v>1082</v>
      </c>
      <c r="C1187" s="516"/>
      <c r="D1187" s="516">
        <f>'04'!F1186</f>
        <v>0</v>
      </c>
      <c r="E1187" s="525">
        <v>0</v>
      </c>
      <c r="F1187" s="526" t="str">
        <f t="shared" si="75"/>
        <v/>
      </c>
      <c r="G1187" s="470" t="str">
        <f t="shared" si="76"/>
        <v/>
      </c>
      <c r="H1187" s="524" t="str">
        <f t="shared" si="77"/>
        <v>否</v>
      </c>
      <c r="I1187" s="312" t="str">
        <f t="shared" si="74"/>
        <v>项</v>
      </c>
    </row>
    <row r="1188" ht="24" hidden="1" customHeight="1" spans="1:9">
      <c r="A1188" s="330">
        <v>2200508</v>
      </c>
      <c r="B1188" s="379" t="s">
        <v>1083</v>
      </c>
      <c r="C1188" s="516"/>
      <c r="D1188" s="516">
        <f>'04'!F1187</f>
        <v>0</v>
      </c>
      <c r="E1188" s="525">
        <v>0</v>
      </c>
      <c r="F1188" s="526" t="str">
        <f t="shared" si="75"/>
        <v/>
      </c>
      <c r="G1188" s="470" t="str">
        <f t="shared" si="76"/>
        <v/>
      </c>
      <c r="H1188" s="524" t="str">
        <f t="shared" si="77"/>
        <v>否</v>
      </c>
      <c r="I1188" s="312" t="str">
        <f t="shared" si="74"/>
        <v>项</v>
      </c>
    </row>
    <row r="1189" ht="24" customHeight="1" spans="1:9">
      <c r="A1189" s="330">
        <v>2200509</v>
      </c>
      <c r="B1189" s="379" t="s">
        <v>1084</v>
      </c>
      <c r="C1189" s="516"/>
      <c r="D1189" s="516">
        <f>'04'!F1188</f>
        <v>331</v>
      </c>
      <c r="E1189" s="525">
        <v>348</v>
      </c>
      <c r="F1189" s="526" t="str">
        <f t="shared" si="75"/>
        <v/>
      </c>
      <c r="G1189" s="470">
        <f t="shared" si="76"/>
        <v>0.0513595166163142</v>
      </c>
      <c r="H1189" s="524" t="str">
        <f t="shared" si="77"/>
        <v>是</v>
      </c>
      <c r="I1189" s="312" t="str">
        <f t="shared" si="74"/>
        <v>项</v>
      </c>
    </row>
    <row r="1190" ht="24" hidden="1" customHeight="1" spans="1:9">
      <c r="A1190" s="330">
        <v>2200510</v>
      </c>
      <c r="B1190" s="379" t="s">
        <v>1085</v>
      </c>
      <c r="C1190" s="516"/>
      <c r="D1190" s="516">
        <f>'04'!F1189</f>
        <v>0</v>
      </c>
      <c r="E1190" s="525">
        <v>0</v>
      </c>
      <c r="F1190" s="526" t="str">
        <f t="shared" si="75"/>
        <v/>
      </c>
      <c r="G1190" s="470" t="str">
        <f t="shared" si="76"/>
        <v/>
      </c>
      <c r="H1190" s="524" t="str">
        <f t="shared" si="77"/>
        <v>否</v>
      </c>
      <c r="I1190" s="312" t="str">
        <f t="shared" si="74"/>
        <v>项</v>
      </c>
    </row>
    <row r="1191" s="372" customFormat="1" ht="24" hidden="1" customHeight="1" spans="1:9">
      <c r="A1191" s="330">
        <v>2200511</v>
      </c>
      <c r="B1191" s="379" t="s">
        <v>1086</v>
      </c>
      <c r="C1191" s="516"/>
      <c r="D1191" s="516">
        <f>'04'!F1190</f>
        <v>0</v>
      </c>
      <c r="E1191" s="525">
        <v>0</v>
      </c>
      <c r="F1191" s="526" t="str">
        <f t="shared" si="75"/>
        <v/>
      </c>
      <c r="G1191" s="470" t="str">
        <f t="shared" si="76"/>
        <v/>
      </c>
      <c r="H1191" s="524" t="str">
        <f t="shared" si="77"/>
        <v>否</v>
      </c>
      <c r="I1191" s="312" t="str">
        <f t="shared" si="74"/>
        <v>项</v>
      </c>
    </row>
    <row r="1192" s="372" customFormat="1" ht="24" hidden="1" customHeight="1" spans="1:9">
      <c r="A1192" s="330">
        <v>2200512</v>
      </c>
      <c r="B1192" s="379" t="s">
        <v>1087</v>
      </c>
      <c r="C1192" s="516"/>
      <c r="D1192" s="516">
        <f>'04'!F1191</f>
        <v>0</v>
      </c>
      <c r="E1192" s="525">
        <v>0</v>
      </c>
      <c r="F1192" s="526" t="str">
        <f t="shared" si="75"/>
        <v/>
      </c>
      <c r="G1192" s="470" t="str">
        <f t="shared" si="76"/>
        <v/>
      </c>
      <c r="H1192" s="524" t="str">
        <f t="shared" si="77"/>
        <v>否</v>
      </c>
      <c r="I1192" s="312" t="str">
        <f t="shared" si="74"/>
        <v>项</v>
      </c>
    </row>
    <row r="1193" s="372" customFormat="1" ht="24" hidden="1" customHeight="1" spans="1:9">
      <c r="A1193" s="330">
        <v>2200513</v>
      </c>
      <c r="B1193" s="379" t="s">
        <v>1088</v>
      </c>
      <c r="C1193" s="516"/>
      <c r="D1193" s="516">
        <f>'04'!F1192</f>
        <v>0</v>
      </c>
      <c r="E1193" s="525">
        <v>0</v>
      </c>
      <c r="F1193" s="526" t="str">
        <f t="shared" si="75"/>
        <v/>
      </c>
      <c r="G1193" s="470" t="str">
        <f t="shared" si="76"/>
        <v/>
      </c>
      <c r="H1193" s="524" t="str">
        <f t="shared" si="77"/>
        <v>否</v>
      </c>
      <c r="I1193" s="312" t="str">
        <f t="shared" si="74"/>
        <v>项</v>
      </c>
    </row>
    <row r="1194" s="372" customFormat="1" ht="24" hidden="1" customHeight="1" spans="1:9">
      <c r="A1194" s="330">
        <v>2200514</v>
      </c>
      <c r="B1194" s="379" t="s">
        <v>1089</v>
      </c>
      <c r="C1194" s="516"/>
      <c r="D1194" s="516">
        <f>'04'!F1193</f>
        <v>0</v>
      </c>
      <c r="E1194" s="525">
        <v>0</v>
      </c>
      <c r="F1194" s="526" t="str">
        <f t="shared" si="75"/>
        <v/>
      </c>
      <c r="G1194" s="470" t="str">
        <f t="shared" si="76"/>
        <v/>
      </c>
      <c r="H1194" s="524" t="str">
        <f t="shared" si="77"/>
        <v>否</v>
      </c>
      <c r="I1194" s="312" t="str">
        <f t="shared" si="74"/>
        <v>项</v>
      </c>
    </row>
    <row r="1195" s="372" customFormat="1" ht="24" customHeight="1" spans="1:9">
      <c r="A1195" s="330">
        <v>2200599</v>
      </c>
      <c r="B1195" s="379" t="s">
        <v>1090</v>
      </c>
      <c r="C1195" s="516">
        <v>0</v>
      </c>
      <c r="D1195" s="516">
        <f>'04'!F1194</f>
        <v>3</v>
      </c>
      <c r="E1195" s="525">
        <v>0</v>
      </c>
      <c r="F1195" s="526" t="str">
        <f t="shared" si="75"/>
        <v/>
      </c>
      <c r="G1195" s="470">
        <f t="shared" si="76"/>
        <v>-1</v>
      </c>
      <c r="H1195" s="524" t="str">
        <f t="shared" si="77"/>
        <v>是</v>
      </c>
      <c r="I1195" s="312" t="str">
        <f t="shared" si="74"/>
        <v>项</v>
      </c>
    </row>
    <row r="1196" s="372" customFormat="1" ht="24" customHeight="1" spans="1:9">
      <c r="A1196" s="330">
        <v>22099</v>
      </c>
      <c r="B1196" s="379" t="s">
        <v>1091</v>
      </c>
      <c r="C1196" s="515">
        <f>C1197</f>
        <v>0</v>
      </c>
      <c r="D1196" s="515">
        <f>D1197</f>
        <v>2</v>
      </c>
      <c r="E1196" s="515">
        <f>E1197</f>
        <v>0</v>
      </c>
      <c r="F1196" s="523" t="str">
        <f t="shared" si="75"/>
        <v/>
      </c>
      <c r="G1196" s="467">
        <f t="shared" si="76"/>
        <v>-1</v>
      </c>
      <c r="H1196" s="524" t="str">
        <f t="shared" si="77"/>
        <v>是</v>
      </c>
      <c r="I1196" s="312" t="str">
        <f t="shared" si="74"/>
        <v>款</v>
      </c>
    </row>
    <row r="1197" s="372" customFormat="1" ht="24" customHeight="1" spans="1:9">
      <c r="A1197" s="330">
        <v>2209999</v>
      </c>
      <c r="B1197" s="379" t="s">
        <v>1092</v>
      </c>
      <c r="C1197" s="516">
        <v>0</v>
      </c>
      <c r="D1197" s="516">
        <f>'04'!F1196</f>
        <v>2</v>
      </c>
      <c r="E1197" s="525">
        <v>0</v>
      </c>
      <c r="F1197" s="526" t="str">
        <f t="shared" si="75"/>
        <v/>
      </c>
      <c r="G1197" s="470">
        <f t="shared" si="76"/>
        <v>-1</v>
      </c>
      <c r="H1197" s="524" t="str">
        <f t="shared" si="77"/>
        <v>是</v>
      </c>
      <c r="I1197" s="312" t="str">
        <f t="shared" si="74"/>
        <v>项</v>
      </c>
    </row>
    <row r="1198" s="372" customFormat="1" ht="24" customHeight="1" spans="1:9">
      <c r="A1198" s="329">
        <v>221</v>
      </c>
      <c r="B1198" s="377" t="s">
        <v>193</v>
      </c>
      <c r="C1198" s="515">
        <f>C1199+C1209+C1213</f>
        <v>10285</v>
      </c>
      <c r="D1198" s="515">
        <f>D1199+D1209+D1213</f>
        <v>10227</v>
      </c>
      <c r="E1198" s="515">
        <f>E1199+E1209+E1213</f>
        <v>10811</v>
      </c>
      <c r="F1198" s="523">
        <f t="shared" si="75"/>
        <v>0.0511424404472533</v>
      </c>
      <c r="G1198" s="467">
        <f t="shared" si="76"/>
        <v>0.0571037449887553</v>
      </c>
      <c r="H1198" s="524" t="str">
        <f t="shared" si="77"/>
        <v>是</v>
      </c>
      <c r="I1198" s="312" t="str">
        <f t="shared" si="74"/>
        <v>类</v>
      </c>
    </row>
    <row r="1199" s="372" customFormat="1" ht="24" hidden="1" customHeight="1" spans="1:9">
      <c r="A1199" s="330">
        <v>22101</v>
      </c>
      <c r="B1199" s="379" t="s">
        <v>1093</v>
      </c>
      <c r="C1199" s="515">
        <f>SUM(C1200:C1208)</f>
        <v>0</v>
      </c>
      <c r="D1199" s="515">
        <f>SUM(D1200:D1208)</f>
        <v>0</v>
      </c>
      <c r="E1199" s="515">
        <f>SUM(E1200:E1208)</f>
        <v>0</v>
      </c>
      <c r="F1199" s="523" t="str">
        <f t="shared" si="75"/>
        <v/>
      </c>
      <c r="G1199" s="467" t="str">
        <f t="shared" si="76"/>
        <v/>
      </c>
      <c r="H1199" s="524" t="str">
        <f t="shared" si="77"/>
        <v>否</v>
      </c>
      <c r="I1199" s="312" t="str">
        <f t="shared" si="74"/>
        <v>款</v>
      </c>
    </row>
    <row r="1200" s="372" customFormat="1" ht="24" hidden="1" customHeight="1" spans="1:9">
      <c r="A1200" s="330">
        <v>2210102</v>
      </c>
      <c r="B1200" s="379" t="s">
        <v>1094</v>
      </c>
      <c r="C1200" s="516"/>
      <c r="D1200" s="516">
        <f>'04'!F1199</f>
        <v>0</v>
      </c>
      <c r="E1200" s="525">
        <v>0</v>
      </c>
      <c r="F1200" s="526" t="str">
        <f t="shared" si="75"/>
        <v/>
      </c>
      <c r="G1200" s="470" t="str">
        <f t="shared" si="76"/>
        <v/>
      </c>
      <c r="H1200" s="524" t="str">
        <f t="shared" si="77"/>
        <v>否</v>
      </c>
      <c r="I1200" s="312" t="str">
        <f t="shared" si="74"/>
        <v>项</v>
      </c>
    </row>
    <row r="1201" s="372" customFormat="1" ht="24" hidden="1" customHeight="1" spans="1:9">
      <c r="A1201" s="330">
        <v>2210103</v>
      </c>
      <c r="B1201" s="379" t="s">
        <v>1095</v>
      </c>
      <c r="C1201" s="516"/>
      <c r="D1201" s="516">
        <f>'04'!F1200</f>
        <v>0</v>
      </c>
      <c r="E1201" s="525">
        <v>0</v>
      </c>
      <c r="F1201" s="526" t="str">
        <f t="shared" si="75"/>
        <v/>
      </c>
      <c r="G1201" s="470" t="str">
        <f t="shared" si="76"/>
        <v/>
      </c>
      <c r="H1201" s="524" t="str">
        <f t="shared" si="77"/>
        <v>否</v>
      </c>
      <c r="I1201" s="312" t="str">
        <f t="shared" si="74"/>
        <v>项</v>
      </c>
    </row>
    <row r="1202" s="372" customFormat="1" ht="24" hidden="1" customHeight="1" spans="1:9">
      <c r="A1202" s="330">
        <v>2210104</v>
      </c>
      <c r="B1202" s="379" t="s">
        <v>1096</v>
      </c>
      <c r="C1202" s="516"/>
      <c r="D1202" s="516">
        <f>'04'!F1201</f>
        <v>0</v>
      </c>
      <c r="E1202" s="525">
        <v>0</v>
      </c>
      <c r="F1202" s="526" t="str">
        <f t="shared" si="75"/>
        <v/>
      </c>
      <c r="G1202" s="470" t="str">
        <f t="shared" si="76"/>
        <v/>
      </c>
      <c r="H1202" s="524" t="str">
        <f t="shared" si="77"/>
        <v>否</v>
      </c>
      <c r="I1202" s="312" t="str">
        <f t="shared" si="74"/>
        <v>项</v>
      </c>
    </row>
    <row r="1203" s="372" customFormat="1" ht="24" hidden="1" customHeight="1" spans="1:9">
      <c r="A1203" s="330">
        <v>2210105</v>
      </c>
      <c r="B1203" s="379" t="s">
        <v>1097</v>
      </c>
      <c r="C1203" s="516"/>
      <c r="D1203" s="516">
        <f>'04'!F1202</f>
        <v>0</v>
      </c>
      <c r="E1203" s="525">
        <v>0</v>
      </c>
      <c r="F1203" s="526" t="str">
        <f t="shared" si="75"/>
        <v/>
      </c>
      <c r="G1203" s="470" t="str">
        <f t="shared" si="76"/>
        <v/>
      </c>
      <c r="H1203" s="524" t="str">
        <f t="shared" si="77"/>
        <v>否</v>
      </c>
      <c r="I1203" s="312" t="str">
        <f t="shared" si="74"/>
        <v>项</v>
      </c>
    </row>
    <row r="1204" s="372" customFormat="1" ht="24" hidden="1" customHeight="1" spans="1:9">
      <c r="A1204" s="330">
        <v>2210108</v>
      </c>
      <c r="B1204" s="379" t="s">
        <v>1100</v>
      </c>
      <c r="C1204" s="516"/>
      <c r="D1204" s="516">
        <f>'04'!F1203</f>
        <v>0</v>
      </c>
      <c r="E1204" s="525">
        <v>0</v>
      </c>
      <c r="F1204" s="526" t="str">
        <f t="shared" si="75"/>
        <v/>
      </c>
      <c r="G1204" s="470" t="str">
        <f t="shared" si="76"/>
        <v/>
      </c>
      <c r="H1204" s="524" t="str">
        <f t="shared" si="77"/>
        <v>否</v>
      </c>
      <c r="I1204" s="312" t="str">
        <f t="shared" si="74"/>
        <v>项</v>
      </c>
    </row>
    <row r="1205" s="374" customFormat="1" ht="24" hidden="1" customHeight="1" spans="1:9">
      <c r="A1205" s="354">
        <v>2210111</v>
      </c>
      <c r="B1205" s="327" t="s">
        <v>1102</v>
      </c>
      <c r="C1205" s="516"/>
      <c r="D1205" s="516">
        <f>'04'!F1204</f>
        <v>0</v>
      </c>
      <c r="E1205" s="525">
        <v>0</v>
      </c>
      <c r="F1205" s="526" t="str">
        <f t="shared" si="75"/>
        <v/>
      </c>
      <c r="G1205" s="470" t="str">
        <f t="shared" si="76"/>
        <v/>
      </c>
      <c r="H1205" s="524" t="str">
        <f t="shared" si="77"/>
        <v>否</v>
      </c>
      <c r="I1205" s="313" t="str">
        <f t="shared" si="74"/>
        <v>项</v>
      </c>
    </row>
    <row r="1206" s="374" customFormat="1" ht="24" hidden="1" customHeight="1" spans="1:9">
      <c r="A1206" s="354">
        <v>2210112</v>
      </c>
      <c r="B1206" s="327" t="s">
        <v>1103</v>
      </c>
      <c r="C1206" s="516"/>
      <c r="D1206" s="516">
        <f>'04'!F1205</f>
        <v>0</v>
      </c>
      <c r="E1206" s="525">
        <v>0</v>
      </c>
      <c r="F1206" s="526" t="str">
        <f t="shared" si="75"/>
        <v/>
      </c>
      <c r="G1206" s="470" t="str">
        <f t="shared" si="76"/>
        <v/>
      </c>
      <c r="H1206" s="524" t="str">
        <f t="shared" si="77"/>
        <v>否</v>
      </c>
      <c r="I1206" s="313" t="str">
        <f t="shared" si="74"/>
        <v>项</v>
      </c>
    </row>
    <row r="1207" s="374" customFormat="1" ht="24" hidden="1" customHeight="1" spans="1:9">
      <c r="A1207" s="354">
        <v>2210113</v>
      </c>
      <c r="B1207" s="327" t="s">
        <v>1104</v>
      </c>
      <c r="C1207" s="516"/>
      <c r="D1207" s="516">
        <f>'04'!F1206</f>
        <v>0</v>
      </c>
      <c r="E1207" s="525">
        <v>0</v>
      </c>
      <c r="F1207" s="526" t="str">
        <f t="shared" si="75"/>
        <v/>
      </c>
      <c r="G1207" s="470" t="str">
        <f t="shared" si="76"/>
        <v/>
      </c>
      <c r="H1207" s="524" t="str">
        <f t="shared" si="77"/>
        <v>否</v>
      </c>
      <c r="I1207" s="313" t="str">
        <f t="shared" si="74"/>
        <v>项</v>
      </c>
    </row>
    <row r="1208" s="372" customFormat="1" ht="24" hidden="1" customHeight="1" spans="1:9">
      <c r="A1208" s="330">
        <v>2210199</v>
      </c>
      <c r="B1208" s="379" t="s">
        <v>1105</v>
      </c>
      <c r="C1208" s="516"/>
      <c r="D1208" s="516">
        <f>'04'!F1207</f>
        <v>0</v>
      </c>
      <c r="E1208" s="525">
        <v>0</v>
      </c>
      <c r="F1208" s="526" t="str">
        <f t="shared" si="75"/>
        <v/>
      </c>
      <c r="G1208" s="470" t="str">
        <f t="shared" si="76"/>
        <v/>
      </c>
      <c r="H1208" s="524" t="str">
        <f t="shared" si="77"/>
        <v>否</v>
      </c>
      <c r="I1208" s="312" t="str">
        <f t="shared" si="74"/>
        <v>项</v>
      </c>
    </row>
    <row r="1209" s="372" customFormat="1" ht="24" customHeight="1" spans="1:9">
      <c r="A1209" s="330">
        <v>22102</v>
      </c>
      <c r="B1209" s="379" t="s">
        <v>1106</v>
      </c>
      <c r="C1209" s="515">
        <f>SUM(C1210:C1212)</f>
        <v>9435</v>
      </c>
      <c r="D1209" s="515">
        <f>SUM(D1210:D1212)</f>
        <v>9285</v>
      </c>
      <c r="E1209" s="515">
        <f>SUM(E1210:E1212)</f>
        <v>9835</v>
      </c>
      <c r="F1209" s="523">
        <f t="shared" si="75"/>
        <v>0.0423953365129836</v>
      </c>
      <c r="G1209" s="467">
        <f t="shared" si="76"/>
        <v>0.0592353257942919</v>
      </c>
      <c r="H1209" s="524" t="str">
        <f t="shared" si="77"/>
        <v>是</v>
      </c>
      <c r="I1209" s="312" t="str">
        <f t="shared" si="74"/>
        <v>款</v>
      </c>
    </row>
    <row r="1210" s="372" customFormat="1" ht="24" customHeight="1" spans="1:9">
      <c r="A1210" s="330">
        <v>2210201</v>
      </c>
      <c r="B1210" s="379" t="s">
        <v>1107</v>
      </c>
      <c r="C1210" s="516">
        <v>9115</v>
      </c>
      <c r="D1210" s="516">
        <f>'04'!F1209</f>
        <v>8966</v>
      </c>
      <c r="E1210" s="525">
        <v>9515</v>
      </c>
      <c r="F1210" s="526">
        <f t="shared" si="75"/>
        <v>0.0438837081733406</v>
      </c>
      <c r="G1210" s="470">
        <f t="shared" si="76"/>
        <v>0.0612313183136293</v>
      </c>
      <c r="H1210" s="524" t="str">
        <f t="shared" si="77"/>
        <v>是</v>
      </c>
      <c r="I1210" s="312" t="str">
        <f t="shared" si="74"/>
        <v>项</v>
      </c>
    </row>
    <row r="1211" s="372" customFormat="1" ht="24" hidden="1" customHeight="1" spans="1:9">
      <c r="A1211" s="330">
        <v>2210202</v>
      </c>
      <c r="B1211" s="379" t="s">
        <v>1108</v>
      </c>
      <c r="C1211" s="516">
        <v>0</v>
      </c>
      <c r="D1211" s="516">
        <f>'04'!F1210</f>
        <v>0</v>
      </c>
      <c r="E1211" s="525">
        <v>0</v>
      </c>
      <c r="F1211" s="526" t="str">
        <f t="shared" si="75"/>
        <v/>
      </c>
      <c r="G1211" s="470" t="str">
        <f t="shared" si="76"/>
        <v/>
      </c>
      <c r="H1211" s="524" t="str">
        <f t="shared" si="77"/>
        <v>否</v>
      </c>
      <c r="I1211" s="312" t="str">
        <f t="shared" si="74"/>
        <v>项</v>
      </c>
    </row>
    <row r="1212" s="372" customFormat="1" ht="24" customHeight="1" spans="1:9">
      <c r="A1212" s="330">
        <v>2210203</v>
      </c>
      <c r="B1212" s="379" t="s">
        <v>1109</v>
      </c>
      <c r="C1212" s="516">
        <v>320</v>
      </c>
      <c r="D1212" s="516">
        <f>'04'!F1211</f>
        <v>319</v>
      </c>
      <c r="E1212" s="525">
        <v>320</v>
      </c>
      <c r="F1212" s="526">
        <f t="shared" si="75"/>
        <v>0</v>
      </c>
      <c r="G1212" s="470">
        <f t="shared" si="76"/>
        <v>0.00313479623824451</v>
      </c>
      <c r="H1212" s="524" t="str">
        <f t="shared" si="77"/>
        <v>是</v>
      </c>
      <c r="I1212" s="312" t="str">
        <f t="shared" si="74"/>
        <v>项</v>
      </c>
    </row>
    <row r="1213" s="372" customFormat="1" ht="24" customHeight="1" spans="1:9">
      <c r="A1213" s="330">
        <v>22103</v>
      </c>
      <c r="B1213" s="379" t="s">
        <v>1110</v>
      </c>
      <c r="C1213" s="515">
        <f>SUM(C1214:C1216)</f>
        <v>850</v>
      </c>
      <c r="D1213" s="515">
        <f>SUM(D1214:D1216)</f>
        <v>942</v>
      </c>
      <c r="E1213" s="515">
        <f>SUM(E1214:E1216)</f>
        <v>976</v>
      </c>
      <c r="F1213" s="523">
        <f t="shared" si="75"/>
        <v>0.148235294117647</v>
      </c>
      <c r="G1213" s="467">
        <f t="shared" si="76"/>
        <v>0.0360934182590234</v>
      </c>
      <c r="H1213" s="524" t="str">
        <f t="shared" si="77"/>
        <v>是</v>
      </c>
      <c r="I1213" s="312" t="str">
        <f t="shared" si="74"/>
        <v>款</v>
      </c>
    </row>
    <row r="1214" s="372" customFormat="1" ht="24" hidden="1" customHeight="1" spans="1:9">
      <c r="A1214" s="330">
        <v>2210301</v>
      </c>
      <c r="B1214" s="379" t="s">
        <v>1111</v>
      </c>
      <c r="C1214" s="516"/>
      <c r="D1214" s="516">
        <f>'04'!F1213</f>
        <v>0</v>
      </c>
      <c r="E1214" s="525">
        <v>0</v>
      </c>
      <c r="F1214" s="526" t="str">
        <f t="shared" si="75"/>
        <v/>
      </c>
      <c r="G1214" s="470" t="str">
        <f t="shared" si="76"/>
        <v/>
      </c>
      <c r="H1214" s="524" t="str">
        <f t="shared" si="77"/>
        <v>否</v>
      </c>
      <c r="I1214" s="312" t="str">
        <f t="shared" si="74"/>
        <v>项</v>
      </c>
    </row>
    <row r="1215" ht="24" customHeight="1" spans="1:9">
      <c r="A1215" s="330">
        <v>2210302</v>
      </c>
      <c r="B1215" s="379" t="s">
        <v>1112</v>
      </c>
      <c r="C1215" s="516">
        <v>850</v>
      </c>
      <c r="D1215" s="516">
        <f>'04'!F1214</f>
        <v>942</v>
      </c>
      <c r="E1215" s="525">
        <v>976</v>
      </c>
      <c r="F1215" s="526">
        <f t="shared" si="75"/>
        <v>0.148235294117647</v>
      </c>
      <c r="G1215" s="470">
        <f t="shared" si="76"/>
        <v>0.0360934182590234</v>
      </c>
      <c r="H1215" s="524" t="str">
        <f t="shared" si="77"/>
        <v>是</v>
      </c>
      <c r="I1215" s="312" t="str">
        <f t="shared" si="74"/>
        <v>项</v>
      </c>
    </row>
    <row r="1216" s="372" customFormat="1" ht="24" hidden="1" customHeight="1" spans="1:9">
      <c r="A1216" s="330">
        <v>2210399</v>
      </c>
      <c r="B1216" s="379" t="s">
        <v>1113</v>
      </c>
      <c r="C1216" s="516"/>
      <c r="D1216" s="516">
        <f>'04'!F1215</f>
        <v>0</v>
      </c>
      <c r="E1216" s="525">
        <v>0</v>
      </c>
      <c r="F1216" s="526" t="str">
        <f t="shared" si="75"/>
        <v/>
      </c>
      <c r="G1216" s="470" t="str">
        <f t="shared" si="76"/>
        <v/>
      </c>
      <c r="H1216" s="524" t="str">
        <f t="shared" si="77"/>
        <v>否</v>
      </c>
      <c r="I1216" s="312" t="str">
        <f t="shared" si="74"/>
        <v>项</v>
      </c>
    </row>
    <row r="1217" s="372" customFormat="1" ht="24" customHeight="1" spans="1:9">
      <c r="A1217" s="329">
        <v>222</v>
      </c>
      <c r="B1217" s="377" t="s">
        <v>194</v>
      </c>
      <c r="C1217" s="515">
        <f>C1218+C1236+C1243+C1249</f>
        <v>1417</v>
      </c>
      <c r="D1217" s="515">
        <f>D1218+D1236+D1243+D1249</f>
        <v>1326</v>
      </c>
      <c r="E1217" s="515">
        <f>E1218+E1236+E1243+E1249</f>
        <v>1314</v>
      </c>
      <c r="F1217" s="523">
        <f t="shared" si="75"/>
        <v>-0.0726887791107975</v>
      </c>
      <c r="G1217" s="467">
        <f t="shared" si="76"/>
        <v>-0.00904977375565611</v>
      </c>
      <c r="H1217" s="524" t="str">
        <f t="shared" si="77"/>
        <v>是</v>
      </c>
      <c r="I1217" s="312" t="str">
        <f t="shared" si="74"/>
        <v>类</v>
      </c>
    </row>
    <row r="1218" s="372" customFormat="1" ht="24" customHeight="1" spans="1:9">
      <c r="A1218" s="330">
        <v>22201</v>
      </c>
      <c r="B1218" s="379" t="s">
        <v>1114</v>
      </c>
      <c r="C1218" s="515">
        <f>SUM(C1219:C1235)</f>
        <v>1032</v>
      </c>
      <c r="D1218" s="515">
        <f>SUM(D1219:D1235)</f>
        <v>1288</v>
      </c>
      <c r="E1218" s="515">
        <f>SUM(E1219:E1235)</f>
        <v>1275</v>
      </c>
      <c r="F1218" s="523">
        <f t="shared" si="75"/>
        <v>0.23546511627907</v>
      </c>
      <c r="G1218" s="467">
        <f t="shared" si="76"/>
        <v>-0.0100931677018634</v>
      </c>
      <c r="H1218" s="524" t="str">
        <f t="shared" si="77"/>
        <v>是</v>
      </c>
      <c r="I1218" s="312" t="str">
        <f t="shared" si="74"/>
        <v>款</v>
      </c>
    </row>
    <row r="1219" s="372" customFormat="1" ht="24" customHeight="1" spans="1:9">
      <c r="A1219" s="330">
        <v>2220101</v>
      </c>
      <c r="B1219" s="379" t="s">
        <v>212</v>
      </c>
      <c r="C1219" s="516">
        <v>259</v>
      </c>
      <c r="D1219" s="516">
        <f>'04'!F1218</f>
        <v>258</v>
      </c>
      <c r="E1219" s="525">
        <v>268</v>
      </c>
      <c r="F1219" s="526">
        <f t="shared" si="75"/>
        <v>0.0347490347490347</v>
      </c>
      <c r="G1219" s="470">
        <f t="shared" si="76"/>
        <v>0.0387596899224806</v>
      </c>
      <c r="H1219" s="524" t="str">
        <f t="shared" si="77"/>
        <v>是</v>
      </c>
      <c r="I1219" s="312" t="str">
        <f t="shared" si="74"/>
        <v>项</v>
      </c>
    </row>
    <row r="1220" s="372" customFormat="1" ht="24" hidden="1" customHeight="1" spans="1:9">
      <c r="A1220" s="330">
        <v>2220102</v>
      </c>
      <c r="B1220" s="379" t="s">
        <v>213</v>
      </c>
      <c r="C1220" s="516">
        <v>0</v>
      </c>
      <c r="D1220" s="516">
        <f>'04'!F1219</f>
        <v>0</v>
      </c>
      <c r="E1220" s="525">
        <v>0</v>
      </c>
      <c r="F1220" s="526" t="str">
        <f t="shared" si="75"/>
        <v/>
      </c>
      <c r="G1220" s="470" t="str">
        <f t="shared" si="76"/>
        <v/>
      </c>
      <c r="H1220" s="524" t="str">
        <f t="shared" si="77"/>
        <v>否</v>
      </c>
      <c r="I1220" s="312" t="str">
        <f t="shared" ref="I1220:I1283" si="78">IF(LEN(A1220)=3,"类",IF(LEN(A1220)=5,"款","项"))</f>
        <v>项</v>
      </c>
    </row>
    <row r="1221" s="372" customFormat="1" ht="24" hidden="1" customHeight="1" spans="1:9">
      <c r="A1221" s="330">
        <v>2220103</v>
      </c>
      <c r="B1221" s="379" t="s">
        <v>214</v>
      </c>
      <c r="C1221" s="516">
        <v>0</v>
      </c>
      <c r="D1221" s="516">
        <f>'04'!F1220</f>
        <v>0</v>
      </c>
      <c r="E1221" s="525">
        <v>0</v>
      </c>
      <c r="F1221" s="526" t="str">
        <f t="shared" ref="F1221:F1284" si="79">IFERROR((E1221-C1221)/C1221,"")</f>
        <v/>
      </c>
      <c r="G1221" s="470" t="str">
        <f t="shared" ref="G1221:G1284" si="80">IFERROR((E1221-D1221)/D1221,"")</f>
        <v/>
      </c>
      <c r="H1221" s="524" t="str">
        <f t="shared" si="77"/>
        <v>否</v>
      </c>
      <c r="I1221" s="312" t="str">
        <f t="shared" si="78"/>
        <v>项</v>
      </c>
    </row>
    <row r="1222" s="372" customFormat="1" ht="24" hidden="1" customHeight="1" spans="1:9">
      <c r="A1222" s="330">
        <v>2220104</v>
      </c>
      <c r="B1222" s="379" t="s">
        <v>1115</v>
      </c>
      <c r="C1222" s="516">
        <v>0</v>
      </c>
      <c r="D1222" s="516">
        <f>'04'!F1221</f>
        <v>0</v>
      </c>
      <c r="E1222" s="525">
        <v>0</v>
      </c>
      <c r="F1222" s="526" t="str">
        <f t="shared" si="79"/>
        <v/>
      </c>
      <c r="G1222" s="470" t="str">
        <f t="shared" si="80"/>
        <v/>
      </c>
      <c r="H1222" s="524" t="str">
        <f t="shared" ref="H1222:H1285" si="81">IF(LEN(A1222)=3,"是",IF(B1222&lt;&gt;"",IF(SUM(C1222:E1222)&lt;&gt;0,"是","否"),"是"))</f>
        <v>否</v>
      </c>
      <c r="I1222" s="312" t="str">
        <f t="shared" si="78"/>
        <v>项</v>
      </c>
    </row>
    <row r="1223" s="372" customFormat="1" ht="24" hidden="1" customHeight="1" spans="1:9">
      <c r="A1223" s="330">
        <v>2220105</v>
      </c>
      <c r="B1223" s="379" t="s">
        <v>1116</v>
      </c>
      <c r="C1223" s="516">
        <v>0</v>
      </c>
      <c r="D1223" s="516">
        <f>'04'!F1222</f>
        <v>0</v>
      </c>
      <c r="E1223" s="525">
        <v>0</v>
      </c>
      <c r="F1223" s="526" t="str">
        <f t="shared" si="79"/>
        <v/>
      </c>
      <c r="G1223" s="470" t="str">
        <f t="shared" si="80"/>
        <v/>
      </c>
      <c r="H1223" s="524" t="str">
        <f t="shared" si="81"/>
        <v>否</v>
      </c>
      <c r="I1223" s="312" t="str">
        <f t="shared" si="78"/>
        <v>项</v>
      </c>
    </row>
    <row r="1224" s="372" customFormat="1" ht="24" hidden="1" customHeight="1" spans="1:9">
      <c r="A1224" s="330">
        <v>2220106</v>
      </c>
      <c r="B1224" s="379" t="s">
        <v>1117</v>
      </c>
      <c r="C1224" s="516">
        <v>0</v>
      </c>
      <c r="D1224" s="516">
        <f>'04'!F1223</f>
        <v>0</v>
      </c>
      <c r="E1224" s="525">
        <v>0</v>
      </c>
      <c r="F1224" s="526" t="str">
        <f t="shared" si="79"/>
        <v/>
      </c>
      <c r="G1224" s="470" t="str">
        <f t="shared" si="80"/>
        <v/>
      </c>
      <c r="H1224" s="524" t="str">
        <f t="shared" si="81"/>
        <v>否</v>
      </c>
      <c r="I1224" s="312" t="str">
        <f t="shared" si="78"/>
        <v>项</v>
      </c>
    </row>
    <row r="1225" s="372" customFormat="1" ht="24" hidden="1" customHeight="1" spans="1:9">
      <c r="A1225" s="330">
        <v>2220107</v>
      </c>
      <c r="B1225" s="379" t="s">
        <v>1118</v>
      </c>
      <c r="C1225" s="516">
        <v>0</v>
      </c>
      <c r="D1225" s="516">
        <f>'04'!F1224</f>
        <v>0</v>
      </c>
      <c r="E1225" s="525">
        <v>0</v>
      </c>
      <c r="F1225" s="526" t="str">
        <f t="shared" si="79"/>
        <v/>
      </c>
      <c r="G1225" s="470" t="str">
        <f t="shared" si="80"/>
        <v/>
      </c>
      <c r="H1225" s="524" t="str">
        <f t="shared" si="81"/>
        <v>否</v>
      </c>
      <c r="I1225" s="312" t="str">
        <f t="shared" si="78"/>
        <v>项</v>
      </c>
    </row>
    <row r="1226" s="372" customFormat="1" ht="24" hidden="1" customHeight="1" spans="1:9">
      <c r="A1226" s="330">
        <v>2220112</v>
      </c>
      <c r="B1226" s="379" t="s">
        <v>1119</v>
      </c>
      <c r="C1226" s="516">
        <v>0</v>
      </c>
      <c r="D1226" s="516">
        <f>'04'!F1225</f>
        <v>0</v>
      </c>
      <c r="E1226" s="525">
        <v>0</v>
      </c>
      <c r="F1226" s="526" t="str">
        <f t="shared" si="79"/>
        <v/>
      </c>
      <c r="G1226" s="470" t="str">
        <f t="shared" si="80"/>
        <v/>
      </c>
      <c r="H1226" s="524" t="str">
        <f t="shared" si="81"/>
        <v>否</v>
      </c>
      <c r="I1226" s="312" t="str">
        <f t="shared" si="78"/>
        <v>项</v>
      </c>
    </row>
    <row r="1227" s="372" customFormat="1" ht="24" hidden="1" customHeight="1" spans="1:9">
      <c r="A1227" s="330">
        <v>2220113</v>
      </c>
      <c r="B1227" s="379" t="s">
        <v>1120</v>
      </c>
      <c r="C1227" s="516">
        <v>0</v>
      </c>
      <c r="D1227" s="516">
        <f>'04'!F1226</f>
        <v>0</v>
      </c>
      <c r="E1227" s="525">
        <v>0</v>
      </c>
      <c r="F1227" s="526" t="str">
        <f t="shared" si="79"/>
        <v/>
      </c>
      <c r="G1227" s="470" t="str">
        <f t="shared" si="80"/>
        <v/>
      </c>
      <c r="H1227" s="524" t="str">
        <f t="shared" si="81"/>
        <v>否</v>
      </c>
      <c r="I1227" s="312" t="str">
        <f t="shared" si="78"/>
        <v>项</v>
      </c>
    </row>
    <row r="1228" s="372" customFormat="1" ht="24" hidden="1" customHeight="1" spans="1:9">
      <c r="A1228" s="330">
        <v>2220114</v>
      </c>
      <c r="B1228" s="379" t="s">
        <v>1121</v>
      </c>
      <c r="C1228" s="516">
        <v>0</v>
      </c>
      <c r="D1228" s="516">
        <f>'04'!F1227</f>
        <v>0</v>
      </c>
      <c r="E1228" s="525">
        <v>0</v>
      </c>
      <c r="F1228" s="526" t="str">
        <f t="shared" si="79"/>
        <v/>
      </c>
      <c r="G1228" s="470" t="str">
        <f t="shared" si="80"/>
        <v/>
      </c>
      <c r="H1228" s="524" t="str">
        <f t="shared" si="81"/>
        <v>否</v>
      </c>
      <c r="I1228" s="312" t="str">
        <f t="shared" si="78"/>
        <v>项</v>
      </c>
    </row>
    <row r="1229" s="372" customFormat="1" ht="24" customHeight="1" spans="1:9">
      <c r="A1229" s="330">
        <v>2220115</v>
      </c>
      <c r="B1229" s="379" t="s">
        <v>1122</v>
      </c>
      <c r="C1229" s="516">
        <v>535</v>
      </c>
      <c r="D1229" s="516">
        <f>'04'!F1228</f>
        <v>474</v>
      </c>
      <c r="E1229" s="525">
        <v>465</v>
      </c>
      <c r="F1229" s="526">
        <f t="shared" si="79"/>
        <v>-0.130841121495327</v>
      </c>
      <c r="G1229" s="470">
        <f t="shared" si="80"/>
        <v>-0.0189873417721519</v>
      </c>
      <c r="H1229" s="524" t="str">
        <f t="shared" si="81"/>
        <v>是</v>
      </c>
      <c r="I1229" s="312" t="str">
        <f t="shared" si="78"/>
        <v>项</v>
      </c>
    </row>
    <row r="1230" ht="24" hidden="1" customHeight="1" spans="1:9">
      <c r="A1230" s="330">
        <v>2220118</v>
      </c>
      <c r="B1230" s="379" t="s">
        <v>1123</v>
      </c>
      <c r="C1230" s="516">
        <v>0</v>
      </c>
      <c r="D1230" s="516">
        <f>'04'!F1229</f>
        <v>0</v>
      </c>
      <c r="E1230" s="525">
        <v>0</v>
      </c>
      <c r="F1230" s="526" t="str">
        <f t="shared" si="79"/>
        <v/>
      </c>
      <c r="G1230" s="470" t="str">
        <f t="shared" si="80"/>
        <v/>
      </c>
      <c r="H1230" s="524" t="str">
        <f t="shared" si="81"/>
        <v>否</v>
      </c>
      <c r="I1230" s="312" t="str">
        <f t="shared" si="78"/>
        <v>项</v>
      </c>
    </row>
    <row r="1231" s="372" customFormat="1" ht="24" hidden="1" customHeight="1" spans="1:9">
      <c r="A1231" s="527">
        <v>2220119</v>
      </c>
      <c r="B1231" s="543" t="s">
        <v>1124</v>
      </c>
      <c r="C1231" s="516">
        <v>0</v>
      </c>
      <c r="D1231" s="516">
        <f>'04'!F1230</f>
        <v>0</v>
      </c>
      <c r="E1231" s="525">
        <v>0</v>
      </c>
      <c r="F1231" s="526" t="str">
        <f t="shared" si="79"/>
        <v/>
      </c>
      <c r="G1231" s="470" t="str">
        <f t="shared" si="80"/>
        <v/>
      </c>
      <c r="H1231" s="524" t="str">
        <f t="shared" si="81"/>
        <v>否</v>
      </c>
      <c r="I1231" s="312" t="str">
        <f t="shared" si="78"/>
        <v>项</v>
      </c>
    </row>
    <row r="1232" ht="24" hidden="1" customHeight="1" spans="1:9">
      <c r="A1232" s="527">
        <v>2220120</v>
      </c>
      <c r="B1232" s="543" t="s">
        <v>1125</v>
      </c>
      <c r="C1232" s="516">
        <v>0</v>
      </c>
      <c r="D1232" s="516">
        <f>'04'!F1231</f>
        <v>0</v>
      </c>
      <c r="E1232" s="525">
        <v>0</v>
      </c>
      <c r="F1232" s="526" t="str">
        <f t="shared" si="79"/>
        <v/>
      </c>
      <c r="G1232" s="470" t="str">
        <f t="shared" si="80"/>
        <v/>
      </c>
      <c r="H1232" s="524" t="str">
        <f t="shared" si="81"/>
        <v>否</v>
      </c>
      <c r="I1232" s="312" t="str">
        <f t="shared" si="78"/>
        <v>项</v>
      </c>
    </row>
    <row r="1233" ht="24" customHeight="1" spans="1:9">
      <c r="A1233" s="527">
        <v>2220121</v>
      </c>
      <c r="B1233" s="543" t="s">
        <v>1126</v>
      </c>
      <c r="C1233" s="516">
        <v>0</v>
      </c>
      <c r="D1233" s="516">
        <f>'04'!F1232</f>
        <v>46</v>
      </c>
      <c r="E1233" s="525">
        <v>46</v>
      </c>
      <c r="F1233" s="526" t="str">
        <f t="shared" si="79"/>
        <v/>
      </c>
      <c r="G1233" s="470">
        <f t="shared" si="80"/>
        <v>0</v>
      </c>
      <c r="H1233" s="524" t="str">
        <f t="shared" si="81"/>
        <v>是</v>
      </c>
      <c r="I1233" s="312" t="str">
        <f t="shared" si="78"/>
        <v>项</v>
      </c>
    </row>
    <row r="1234" s="372" customFormat="1" ht="24" customHeight="1" spans="1:9">
      <c r="A1234" s="330">
        <v>2220150</v>
      </c>
      <c r="B1234" s="379" t="s">
        <v>221</v>
      </c>
      <c r="C1234" s="516">
        <v>108</v>
      </c>
      <c r="D1234" s="516">
        <f>'04'!F1233</f>
        <v>117</v>
      </c>
      <c r="E1234" s="525">
        <v>121</v>
      </c>
      <c r="F1234" s="526">
        <f t="shared" si="79"/>
        <v>0.12037037037037</v>
      </c>
      <c r="G1234" s="470">
        <f t="shared" si="80"/>
        <v>0.0341880341880342</v>
      </c>
      <c r="H1234" s="524" t="str">
        <f t="shared" si="81"/>
        <v>是</v>
      </c>
      <c r="I1234" s="312" t="str">
        <f t="shared" si="78"/>
        <v>项</v>
      </c>
    </row>
    <row r="1235" s="372" customFormat="1" ht="24" customHeight="1" spans="1:9">
      <c r="A1235" s="330">
        <v>2220199</v>
      </c>
      <c r="B1235" s="379" t="s">
        <v>1127</v>
      </c>
      <c r="C1235" s="516">
        <v>130</v>
      </c>
      <c r="D1235" s="516">
        <f>'04'!F1234</f>
        <v>393</v>
      </c>
      <c r="E1235" s="525">
        <v>375</v>
      </c>
      <c r="F1235" s="526">
        <f t="shared" si="79"/>
        <v>1.88461538461538</v>
      </c>
      <c r="G1235" s="470">
        <f t="shared" si="80"/>
        <v>-0.0458015267175573</v>
      </c>
      <c r="H1235" s="524" t="str">
        <f t="shared" si="81"/>
        <v>是</v>
      </c>
      <c r="I1235" s="312" t="str">
        <f t="shared" si="78"/>
        <v>项</v>
      </c>
    </row>
    <row r="1236" s="372" customFormat="1" ht="24" hidden="1" customHeight="1" spans="1:9">
      <c r="A1236" s="330">
        <v>22203</v>
      </c>
      <c r="B1236" s="379" t="s">
        <v>1128</v>
      </c>
      <c r="C1236" s="515">
        <f>SUM(C1237:C1242)</f>
        <v>0</v>
      </c>
      <c r="D1236" s="515">
        <f>SUM(D1237:D1242)</f>
        <v>0</v>
      </c>
      <c r="E1236" s="515">
        <f>SUM(E1237:E1242)</f>
        <v>0</v>
      </c>
      <c r="F1236" s="523" t="str">
        <f t="shared" si="79"/>
        <v/>
      </c>
      <c r="G1236" s="467" t="str">
        <f t="shared" si="80"/>
        <v/>
      </c>
      <c r="H1236" s="524" t="str">
        <f t="shared" si="81"/>
        <v>否</v>
      </c>
      <c r="I1236" s="312" t="str">
        <f t="shared" si="78"/>
        <v>款</v>
      </c>
    </row>
    <row r="1237" s="372" customFormat="1" ht="24" hidden="1" customHeight="1" spans="1:9">
      <c r="A1237" s="330">
        <v>2220301</v>
      </c>
      <c r="B1237" s="379" t="s">
        <v>1129</v>
      </c>
      <c r="C1237" s="516"/>
      <c r="D1237" s="516">
        <f>'04'!F1236</f>
        <v>0</v>
      </c>
      <c r="E1237" s="525">
        <v>0</v>
      </c>
      <c r="F1237" s="526" t="str">
        <f t="shared" si="79"/>
        <v/>
      </c>
      <c r="G1237" s="470" t="str">
        <f t="shared" si="80"/>
        <v/>
      </c>
      <c r="H1237" s="524" t="str">
        <f t="shared" si="81"/>
        <v>否</v>
      </c>
      <c r="I1237" s="312" t="str">
        <f t="shared" si="78"/>
        <v>项</v>
      </c>
    </row>
    <row r="1238" s="372" customFormat="1" ht="24" hidden="1" customHeight="1" spans="1:9">
      <c r="A1238" s="330">
        <v>2220303</v>
      </c>
      <c r="B1238" s="379" t="s">
        <v>1130</v>
      </c>
      <c r="C1238" s="516"/>
      <c r="D1238" s="516">
        <f>'04'!F1237</f>
        <v>0</v>
      </c>
      <c r="E1238" s="525">
        <v>0</v>
      </c>
      <c r="F1238" s="526" t="str">
        <f t="shared" si="79"/>
        <v/>
      </c>
      <c r="G1238" s="470" t="str">
        <f t="shared" si="80"/>
        <v/>
      </c>
      <c r="H1238" s="524" t="str">
        <f t="shared" si="81"/>
        <v>否</v>
      </c>
      <c r="I1238" s="312" t="str">
        <f t="shared" si="78"/>
        <v>项</v>
      </c>
    </row>
    <row r="1239" s="372" customFormat="1" ht="24" hidden="1" customHeight="1" spans="1:9">
      <c r="A1239" s="330">
        <v>2220304</v>
      </c>
      <c r="B1239" s="379" t="s">
        <v>1131</v>
      </c>
      <c r="C1239" s="516"/>
      <c r="D1239" s="516">
        <f>'04'!F1238</f>
        <v>0</v>
      </c>
      <c r="E1239" s="525">
        <v>0</v>
      </c>
      <c r="F1239" s="526" t="str">
        <f t="shared" si="79"/>
        <v/>
      </c>
      <c r="G1239" s="470" t="str">
        <f t="shared" si="80"/>
        <v/>
      </c>
      <c r="H1239" s="524" t="str">
        <f t="shared" si="81"/>
        <v>否</v>
      </c>
      <c r="I1239" s="312" t="str">
        <f t="shared" si="78"/>
        <v>项</v>
      </c>
    </row>
    <row r="1240" s="372" customFormat="1" ht="24" hidden="1" customHeight="1" spans="1:9">
      <c r="A1240" s="527">
        <v>2220305</v>
      </c>
      <c r="B1240" s="543" t="s">
        <v>1132</v>
      </c>
      <c r="C1240" s="516"/>
      <c r="D1240" s="516">
        <f>'04'!F1239</f>
        <v>0</v>
      </c>
      <c r="E1240" s="525">
        <v>0</v>
      </c>
      <c r="F1240" s="526" t="str">
        <f t="shared" si="79"/>
        <v/>
      </c>
      <c r="G1240" s="470" t="str">
        <f t="shared" si="80"/>
        <v/>
      </c>
      <c r="H1240" s="524" t="str">
        <f t="shared" si="81"/>
        <v>否</v>
      </c>
      <c r="I1240" s="312" t="str">
        <f t="shared" si="78"/>
        <v>项</v>
      </c>
    </row>
    <row r="1241" s="372" customFormat="1" ht="24" hidden="1" customHeight="1" spans="1:9">
      <c r="A1241" s="547">
        <v>2220306</v>
      </c>
      <c r="B1241" s="543" t="s">
        <v>1133</v>
      </c>
      <c r="C1241" s="516"/>
      <c r="D1241" s="516">
        <f>'04'!F1240</f>
        <v>0</v>
      </c>
      <c r="E1241" s="525">
        <v>0</v>
      </c>
      <c r="F1241" s="526" t="str">
        <f t="shared" si="79"/>
        <v/>
      </c>
      <c r="G1241" s="470" t="str">
        <f t="shared" si="80"/>
        <v/>
      </c>
      <c r="H1241" s="524" t="str">
        <f t="shared" si="81"/>
        <v>否</v>
      </c>
      <c r="I1241" s="312" t="str">
        <f t="shared" si="78"/>
        <v>项</v>
      </c>
    </row>
    <row r="1242" s="372" customFormat="1" ht="24" hidden="1" customHeight="1" spans="1:9">
      <c r="A1242" s="330">
        <v>2220399</v>
      </c>
      <c r="B1242" s="379" t="s">
        <v>1134</v>
      </c>
      <c r="C1242" s="516"/>
      <c r="D1242" s="516">
        <f>'04'!F1241</f>
        <v>0</v>
      </c>
      <c r="E1242" s="525">
        <v>0</v>
      </c>
      <c r="F1242" s="526" t="str">
        <f t="shared" si="79"/>
        <v/>
      </c>
      <c r="G1242" s="470" t="str">
        <f t="shared" si="80"/>
        <v/>
      </c>
      <c r="H1242" s="524" t="str">
        <f t="shared" si="81"/>
        <v>否</v>
      </c>
      <c r="I1242" s="312" t="str">
        <f t="shared" si="78"/>
        <v>项</v>
      </c>
    </row>
    <row r="1243" s="372" customFormat="1" ht="24" customHeight="1" spans="1:9">
      <c r="A1243" s="330">
        <v>22204</v>
      </c>
      <c r="B1243" s="379" t="s">
        <v>1135</v>
      </c>
      <c r="C1243" s="515">
        <f>SUM(C1244:C1248)</f>
        <v>385</v>
      </c>
      <c r="D1243" s="515">
        <f>SUM(D1244:D1248)</f>
        <v>37</v>
      </c>
      <c r="E1243" s="515">
        <f>SUM(E1244:E1248)</f>
        <v>38</v>
      </c>
      <c r="F1243" s="523">
        <f t="shared" si="79"/>
        <v>-0.901298701298701</v>
      </c>
      <c r="G1243" s="467">
        <f t="shared" si="80"/>
        <v>0.027027027027027</v>
      </c>
      <c r="H1243" s="524" t="str">
        <f t="shared" si="81"/>
        <v>是</v>
      </c>
      <c r="I1243" s="312" t="str">
        <f t="shared" si="78"/>
        <v>款</v>
      </c>
    </row>
    <row r="1244" s="372" customFormat="1" ht="24" hidden="1" customHeight="1" spans="1:9">
      <c r="A1244" s="330">
        <v>2220401</v>
      </c>
      <c r="B1244" s="379" t="s">
        <v>1136</v>
      </c>
      <c r="C1244" s="516"/>
      <c r="D1244" s="516">
        <f>'04'!F1243</f>
        <v>0</v>
      </c>
      <c r="E1244" s="525">
        <v>0</v>
      </c>
      <c r="F1244" s="526" t="str">
        <f t="shared" si="79"/>
        <v/>
      </c>
      <c r="G1244" s="470" t="str">
        <f t="shared" si="80"/>
        <v/>
      </c>
      <c r="H1244" s="524" t="str">
        <f t="shared" si="81"/>
        <v>否</v>
      </c>
      <c r="I1244" s="312" t="str">
        <f t="shared" si="78"/>
        <v>项</v>
      </c>
    </row>
    <row r="1245" ht="24" hidden="1" customHeight="1" spans="1:9">
      <c r="A1245" s="330">
        <v>2220402</v>
      </c>
      <c r="B1245" s="379" t="s">
        <v>1137</v>
      </c>
      <c r="C1245" s="516"/>
      <c r="D1245" s="516">
        <f>'04'!F1244</f>
        <v>0</v>
      </c>
      <c r="E1245" s="525">
        <v>0</v>
      </c>
      <c r="F1245" s="526" t="str">
        <f t="shared" si="79"/>
        <v/>
      </c>
      <c r="G1245" s="470" t="str">
        <f t="shared" si="80"/>
        <v/>
      </c>
      <c r="H1245" s="524" t="str">
        <f t="shared" si="81"/>
        <v>否</v>
      </c>
      <c r="I1245" s="312" t="str">
        <f t="shared" si="78"/>
        <v>项</v>
      </c>
    </row>
    <row r="1246" s="372" customFormat="1" ht="24" customHeight="1" spans="1:9">
      <c r="A1246" s="330">
        <v>2220403</v>
      </c>
      <c r="B1246" s="379" t="s">
        <v>1138</v>
      </c>
      <c r="C1246" s="516">
        <v>385</v>
      </c>
      <c r="D1246" s="516">
        <f>'04'!F1245</f>
        <v>12</v>
      </c>
      <c r="E1246" s="525">
        <v>15</v>
      </c>
      <c r="F1246" s="526">
        <f t="shared" si="79"/>
        <v>-0.961038961038961</v>
      </c>
      <c r="G1246" s="470">
        <f t="shared" si="80"/>
        <v>0.25</v>
      </c>
      <c r="H1246" s="524" t="str">
        <f t="shared" si="81"/>
        <v>是</v>
      </c>
      <c r="I1246" s="312" t="str">
        <f t="shared" si="78"/>
        <v>项</v>
      </c>
    </row>
    <row r="1247" s="372" customFormat="1" ht="24" hidden="1" customHeight="1" spans="1:9">
      <c r="A1247" s="330">
        <v>2220404</v>
      </c>
      <c r="B1247" s="379" t="s">
        <v>1139</v>
      </c>
      <c r="C1247" s="516"/>
      <c r="D1247" s="516">
        <f>'04'!F1246</f>
        <v>0</v>
      </c>
      <c r="E1247" s="525">
        <v>0</v>
      </c>
      <c r="F1247" s="526" t="str">
        <f t="shared" si="79"/>
        <v/>
      </c>
      <c r="G1247" s="470" t="str">
        <f t="shared" si="80"/>
        <v/>
      </c>
      <c r="H1247" s="524" t="str">
        <f t="shared" si="81"/>
        <v>否</v>
      </c>
      <c r="I1247" s="312" t="str">
        <f t="shared" si="78"/>
        <v>项</v>
      </c>
    </row>
    <row r="1248" s="372" customFormat="1" ht="24" customHeight="1" spans="1:9">
      <c r="A1248" s="330">
        <v>2220499</v>
      </c>
      <c r="B1248" s="379" t="s">
        <v>1140</v>
      </c>
      <c r="C1248" s="516"/>
      <c r="D1248" s="516">
        <f>'04'!F1247</f>
        <v>25</v>
      </c>
      <c r="E1248" s="525">
        <v>23</v>
      </c>
      <c r="F1248" s="526" t="str">
        <f t="shared" si="79"/>
        <v/>
      </c>
      <c r="G1248" s="470">
        <f t="shared" si="80"/>
        <v>-0.08</v>
      </c>
      <c r="H1248" s="524" t="str">
        <f t="shared" si="81"/>
        <v>是</v>
      </c>
      <c r="I1248" s="312" t="str">
        <f t="shared" si="78"/>
        <v>项</v>
      </c>
    </row>
    <row r="1249" ht="24" customHeight="1" spans="1:9">
      <c r="A1249" s="330">
        <v>22205</v>
      </c>
      <c r="B1249" s="379" t="s">
        <v>1141</v>
      </c>
      <c r="C1249" s="515">
        <f>SUM(C1250:C1261)</f>
        <v>0</v>
      </c>
      <c r="D1249" s="515">
        <f>SUM(D1250:D1261)</f>
        <v>1</v>
      </c>
      <c r="E1249" s="515">
        <f>SUM(E1250:E1261)</f>
        <v>1</v>
      </c>
      <c r="F1249" s="523" t="str">
        <f t="shared" si="79"/>
        <v/>
      </c>
      <c r="G1249" s="467">
        <f t="shared" si="80"/>
        <v>0</v>
      </c>
      <c r="H1249" s="524" t="str">
        <f t="shared" si="81"/>
        <v>是</v>
      </c>
      <c r="I1249" s="312" t="str">
        <f t="shared" si="78"/>
        <v>款</v>
      </c>
    </row>
    <row r="1250" s="372" customFormat="1" ht="24" hidden="1" customHeight="1" spans="1:9">
      <c r="A1250" s="330">
        <v>2220501</v>
      </c>
      <c r="B1250" s="379" t="s">
        <v>1142</v>
      </c>
      <c r="C1250" s="516"/>
      <c r="D1250" s="516">
        <f>'04'!F1249</f>
        <v>0</v>
      </c>
      <c r="E1250" s="525">
        <v>0</v>
      </c>
      <c r="F1250" s="526" t="str">
        <f t="shared" si="79"/>
        <v/>
      </c>
      <c r="G1250" s="470" t="str">
        <f t="shared" si="80"/>
        <v/>
      </c>
      <c r="H1250" s="524" t="str">
        <f t="shared" si="81"/>
        <v>否</v>
      </c>
      <c r="I1250" s="312" t="str">
        <f t="shared" si="78"/>
        <v>项</v>
      </c>
    </row>
    <row r="1251" s="372" customFormat="1" ht="24" hidden="1" customHeight="1" spans="1:9">
      <c r="A1251" s="330">
        <v>2220502</v>
      </c>
      <c r="B1251" s="379" t="s">
        <v>1143</v>
      </c>
      <c r="C1251" s="516"/>
      <c r="D1251" s="516">
        <f>'04'!F1250</f>
        <v>0</v>
      </c>
      <c r="E1251" s="525">
        <v>0</v>
      </c>
      <c r="F1251" s="526" t="str">
        <f t="shared" si="79"/>
        <v/>
      </c>
      <c r="G1251" s="470" t="str">
        <f t="shared" si="80"/>
        <v/>
      </c>
      <c r="H1251" s="524" t="str">
        <f t="shared" si="81"/>
        <v>否</v>
      </c>
      <c r="I1251" s="312" t="str">
        <f t="shared" si="78"/>
        <v>项</v>
      </c>
    </row>
    <row r="1252" s="372" customFormat="1" ht="24" hidden="1" customHeight="1" spans="1:9">
      <c r="A1252" s="330">
        <v>2220503</v>
      </c>
      <c r="B1252" s="379" t="s">
        <v>1144</v>
      </c>
      <c r="C1252" s="516"/>
      <c r="D1252" s="516">
        <f>'04'!F1251</f>
        <v>0</v>
      </c>
      <c r="E1252" s="525">
        <v>0</v>
      </c>
      <c r="F1252" s="526" t="str">
        <f t="shared" si="79"/>
        <v/>
      </c>
      <c r="G1252" s="470" t="str">
        <f t="shared" si="80"/>
        <v/>
      </c>
      <c r="H1252" s="524" t="str">
        <f t="shared" si="81"/>
        <v>否</v>
      </c>
      <c r="I1252" s="312" t="str">
        <f t="shared" si="78"/>
        <v>项</v>
      </c>
    </row>
    <row r="1253" ht="24" hidden="1" customHeight="1" spans="1:9">
      <c r="A1253" s="330">
        <v>2220504</v>
      </c>
      <c r="B1253" s="379" t="s">
        <v>1145</v>
      </c>
      <c r="C1253" s="516"/>
      <c r="D1253" s="516">
        <f>'04'!F1252</f>
        <v>0</v>
      </c>
      <c r="E1253" s="525">
        <v>0</v>
      </c>
      <c r="F1253" s="526" t="str">
        <f t="shared" si="79"/>
        <v/>
      </c>
      <c r="G1253" s="470" t="str">
        <f t="shared" si="80"/>
        <v/>
      </c>
      <c r="H1253" s="524" t="str">
        <f t="shared" si="81"/>
        <v>否</v>
      </c>
      <c r="I1253" s="312" t="str">
        <f t="shared" si="78"/>
        <v>项</v>
      </c>
    </row>
    <row r="1254" ht="24" hidden="1" customHeight="1" spans="1:9">
      <c r="A1254" s="330">
        <v>2220505</v>
      </c>
      <c r="B1254" s="379" t="s">
        <v>1146</v>
      </c>
      <c r="C1254" s="516"/>
      <c r="D1254" s="516">
        <f>'04'!F1253</f>
        <v>0</v>
      </c>
      <c r="E1254" s="525">
        <v>0</v>
      </c>
      <c r="F1254" s="526" t="str">
        <f t="shared" si="79"/>
        <v/>
      </c>
      <c r="G1254" s="470" t="str">
        <f t="shared" si="80"/>
        <v/>
      </c>
      <c r="H1254" s="524" t="str">
        <f t="shared" si="81"/>
        <v>否</v>
      </c>
      <c r="I1254" s="312" t="str">
        <f t="shared" si="78"/>
        <v>项</v>
      </c>
    </row>
    <row r="1255" s="372" customFormat="1" ht="24" hidden="1" customHeight="1" spans="1:9">
      <c r="A1255" s="330">
        <v>2220506</v>
      </c>
      <c r="B1255" s="379" t="s">
        <v>1147</v>
      </c>
      <c r="C1255" s="516"/>
      <c r="D1255" s="516">
        <f>'04'!F1254</f>
        <v>0</v>
      </c>
      <c r="E1255" s="525">
        <v>0</v>
      </c>
      <c r="F1255" s="526" t="str">
        <f t="shared" si="79"/>
        <v/>
      </c>
      <c r="G1255" s="470" t="str">
        <f t="shared" si="80"/>
        <v/>
      </c>
      <c r="H1255" s="524" t="str">
        <f t="shared" si="81"/>
        <v>否</v>
      </c>
      <c r="I1255" s="312" t="str">
        <f t="shared" si="78"/>
        <v>项</v>
      </c>
    </row>
    <row r="1256" s="372" customFormat="1" ht="24" hidden="1" customHeight="1" spans="1:9">
      <c r="A1256" s="330">
        <v>2220507</v>
      </c>
      <c r="B1256" s="379" t="s">
        <v>1148</v>
      </c>
      <c r="C1256" s="516"/>
      <c r="D1256" s="516">
        <f>'04'!F1255</f>
        <v>0</v>
      </c>
      <c r="E1256" s="525">
        <v>0</v>
      </c>
      <c r="F1256" s="526" t="str">
        <f t="shared" si="79"/>
        <v/>
      </c>
      <c r="G1256" s="470" t="str">
        <f t="shared" si="80"/>
        <v/>
      </c>
      <c r="H1256" s="524" t="str">
        <f t="shared" si="81"/>
        <v>否</v>
      </c>
      <c r="I1256" s="312" t="str">
        <f t="shared" si="78"/>
        <v>项</v>
      </c>
    </row>
    <row r="1257" s="372" customFormat="1" ht="24" hidden="1" customHeight="1" spans="1:9">
      <c r="A1257" s="330">
        <v>2220508</v>
      </c>
      <c r="B1257" s="379" t="s">
        <v>1149</v>
      </c>
      <c r="C1257" s="516"/>
      <c r="D1257" s="516">
        <f>'04'!F1256</f>
        <v>0</v>
      </c>
      <c r="E1257" s="525">
        <v>0</v>
      </c>
      <c r="F1257" s="526" t="str">
        <f t="shared" si="79"/>
        <v/>
      </c>
      <c r="G1257" s="470" t="str">
        <f t="shared" si="80"/>
        <v/>
      </c>
      <c r="H1257" s="524" t="str">
        <f t="shared" si="81"/>
        <v>否</v>
      </c>
      <c r="I1257" s="312" t="str">
        <f t="shared" si="78"/>
        <v>项</v>
      </c>
    </row>
    <row r="1258" s="372" customFormat="1" ht="24" hidden="1" customHeight="1" spans="1:9">
      <c r="A1258" s="330">
        <v>2220509</v>
      </c>
      <c r="B1258" s="379" t="s">
        <v>1150</v>
      </c>
      <c r="C1258" s="516"/>
      <c r="D1258" s="516">
        <f>'04'!F1257</f>
        <v>0</v>
      </c>
      <c r="E1258" s="525">
        <v>0</v>
      </c>
      <c r="F1258" s="526" t="str">
        <f t="shared" si="79"/>
        <v/>
      </c>
      <c r="G1258" s="470" t="str">
        <f t="shared" si="80"/>
        <v/>
      </c>
      <c r="H1258" s="524" t="str">
        <f t="shared" si="81"/>
        <v>否</v>
      </c>
      <c r="I1258" s="312" t="str">
        <f t="shared" si="78"/>
        <v>项</v>
      </c>
    </row>
    <row r="1259" s="372" customFormat="1" ht="24" hidden="1" customHeight="1" spans="1:9">
      <c r="A1259" s="330">
        <v>2220510</v>
      </c>
      <c r="B1259" s="379" t="s">
        <v>1151</v>
      </c>
      <c r="C1259" s="516"/>
      <c r="D1259" s="516">
        <f>'04'!F1258</f>
        <v>0</v>
      </c>
      <c r="E1259" s="525">
        <v>0</v>
      </c>
      <c r="F1259" s="526" t="str">
        <f t="shared" si="79"/>
        <v/>
      </c>
      <c r="G1259" s="470" t="str">
        <f t="shared" si="80"/>
        <v/>
      </c>
      <c r="H1259" s="524" t="str">
        <f t="shared" si="81"/>
        <v>否</v>
      </c>
      <c r="I1259" s="312" t="str">
        <f t="shared" si="78"/>
        <v>项</v>
      </c>
    </row>
    <row r="1260" s="372" customFormat="1" ht="24" customHeight="1" spans="1:9">
      <c r="A1260" s="406">
        <v>2220511</v>
      </c>
      <c r="B1260" s="379" t="s">
        <v>1152</v>
      </c>
      <c r="C1260" s="516"/>
      <c r="D1260" s="516">
        <f>'04'!F1259</f>
        <v>1</v>
      </c>
      <c r="E1260" s="525">
        <v>1</v>
      </c>
      <c r="F1260" s="526" t="str">
        <f t="shared" si="79"/>
        <v/>
      </c>
      <c r="G1260" s="470">
        <f t="shared" si="80"/>
        <v>0</v>
      </c>
      <c r="H1260" s="524" t="str">
        <f t="shared" si="81"/>
        <v>是</v>
      </c>
      <c r="I1260" s="312" t="str">
        <f t="shared" si="78"/>
        <v>项</v>
      </c>
    </row>
    <row r="1261" s="372" customFormat="1" ht="24" hidden="1" customHeight="1" spans="1:9">
      <c r="A1261" s="330">
        <v>2220599</v>
      </c>
      <c r="B1261" s="379" t="s">
        <v>1153</v>
      </c>
      <c r="C1261" s="516"/>
      <c r="D1261" s="516">
        <f>'04'!F1260</f>
        <v>0</v>
      </c>
      <c r="E1261" s="525">
        <v>0</v>
      </c>
      <c r="F1261" s="526" t="str">
        <f t="shared" si="79"/>
        <v/>
      </c>
      <c r="G1261" s="470" t="str">
        <f t="shared" si="80"/>
        <v/>
      </c>
      <c r="H1261" s="524" t="str">
        <f t="shared" si="81"/>
        <v>否</v>
      </c>
      <c r="I1261" s="312" t="str">
        <f t="shared" si="78"/>
        <v>项</v>
      </c>
    </row>
    <row r="1262" s="372" customFormat="1" ht="24" customHeight="1" spans="1:9">
      <c r="A1262" s="329">
        <v>224</v>
      </c>
      <c r="B1262" s="377" t="s">
        <v>195</v>
      </c>
      <c r="C1262" s="515">
        <f>C1263+C1274+C1281+C1289+C1302+C1306+C1310</f>
        <v>11410</v>
      </c>
      <c r="D1262" s="515">
        <f>D1263+D1274+D1281+D1289+D1302+D1306+D1310</f>
        <v>4915</v>
      </c>
      <c r="E1262" s="515">
        <f>E1263+E1274+E1281+E1289+E1302+E1306+E1310</f>
        <v>4970</v>
      </c>
      <c r="F1262" s="523">
        <f t="shared" si="79"/>
        <v>-0.56441717791411</v>
      </c>
      <c r="G1262" s="467">
        <f t="shared" si="80"/>
        <v>0.0111902339776195</v>
      </c>
      <c r="H1262" s="524" t="str">
        <f t="shared" si="81"/>
        <v>是</v>
      </c>
      <c r="I1262" s="312" t="str">
        <f t="shared" si="78"/>
        <v>类</v>
      </c>
    </row>
    <row r="1263" s="372" customFormat="1" ht="24" customHeight="1" spans="1:9">
      <c r="A1263" s="330">
        <v>22401</v>
      </c>
      <c r="B1263" s="379" t="s">
        <v>1154</v>
      </c>
      <c r="C1263" s="515">
        <f>SUM(C1264:C1273)</f>
        <v>5451</v>
      </c>
      <c r="D1263" s="515">
        <f>SUM(D1264:D1273)</f>
        <v>1072</v>
      </c>
      <c r="E1263" s="515">
        <f>SUM(E1264:E1273)</f>
        <v>1117</v>
      </c>
      <c r="F1263" s="523">
        <f t="shared" si="79"/>
        <v>-0.795083470922766</v>
      </c>
      <c r="G1263" s="467">
        <f t="shared" si="80"/>
        <v>0.0419776119402985</v>
      </c>
      <c r="H1263" s="524" t="str">
        <f t="shared" si="81"/>
        <v>是</v>
      </c>
      <c r="I1263" s="312" t="str">
        <f t="shared" si="78"/>
        <v>款</v>
      </c>
    </row>
    <row r="1264" s="372" customFormat="1" ht="24" customHeight="1" spans="1:9">
      <c r="A1264" s="330">
        <v>2240101</v>
      </c>
      <c r="B1264" s="379" t="s">
        <v>212</v>
      </c>
      <c r="C1264" s="516">
        <v>830</v>
      </c>
      <c r="D1264" s="516">
        <f>'04'!F1263</f>
        <v>704</v>
      </c>
      <c r="E1264" s="525">
        <v>723</v>
      </c>
      <c r="F1264" s="526">
        <f t="shared" si="79"/>
        <v>-0.128915662650602</v>
      </c>
      <c r="G1264" s="470">
        <f t="shared" si="80"/>
        <v>0.0269886363636364</v>
      </c>
      <c r="H1264" s="524" t="str">
        <f t="shared" si="81"/>
        <v>是</v>
      </c>
      <c r="I1264" s="312" t="str">
        <f t="shared" si="78"/>
        <v>项</v>
      </c>
    </row>
    <row r="1265" s="372" customFormat="1" ht="24" hidden="1" customHeight="1" spans="1:9">
      <c r="A1265" s="330">
        <v>2240102</v>
      </c>
      <c r="B1265" s="379" t="s">
        <v>213</v>
      </c>
      <c r="C1265" s="516">
        <v>0</v>
      </c>
      <c r="D1265" s="516">
        <f>'04'!F1264</f>
        <v>0</v>
      </c>
      <c r="E1265" s="525">
        <v>0</v>
      </c>
      <c r="F1265" s="526" t="str">
        <f t="shared" si="79"/>
        <v/>
      </c>
      <c r="G1265" s="470" t="str">
        <f t="shared" si="80"/>
        <v/>
      </c>
      <c r="H1265" s="524" t="str">
        <f t="shared" si="81"/>
        <v>否</v>
      </c>
      <c r="I1265" s="312" t="str">
        <f t="shared" si="78"/>
        <v>项</v>
      </c>
    </row>
    <row r="1266" s="372" customFormat="1" ht="24" hidden="1" customHeight="1" spans="1:9">
      <c r="A1266" s="330">
        <v>2240103</v>
      </c>
      <c r="B1266" s="379" t="s">
        <v>214</v>
      </c>
      <c r="C1266" s="516">
        <v>0</v>
      </c>
      <c r="D1266" s="516">
        <f>'04'!F1265</f>
        <v>0</v>
      </c>
      <c r="E1266" s="525">
        <v>0</v>
      </c>
      <c r="F1266" s="526" t="str">
        <f t="shared" si="79"/>
        <v/>
      </c>
      <c r="G1266" s="470" t="str">
        <f t="shared" si="80"/>
        <v/>
      </c>
      <c r="H1266" s="524" t="str">
        <f t="shared" si="81"/>
        <v>否</v>
      </c>
      <c r="I1266" s="312" t="str">
        <f t="shared" si="78"/>
        <v>项</v>
      </c>
    </row>
    <row r="1267" s="372" customFormat="1" ht="24" customHeight="1" spans="1:9">
      <c r="A1267" s="330">
        <v>2240104</v>
      </c>
      <c r="B1267" s="379" t="s">
        <v>1155</v>
      </c>
      <c r="C1267" s="516">
        <v>0</v>
      </c>
      <c r="D1267" s="516">
        <f>'04'!F1266</f>
        <v>20</v>
      </c>
      <c r="E1267" s="525">
        <v>21</v>
      </c>
      <c r="F1267" s="526" t="str">
        <f t="shared" si="79"/>
        <v/>
      </c>
      <c r="G1267" s="470">
        <f t="shared" si="80"/>
        <v>0.05</v>
      </c>
      <c r="H1267" s="524" t="str">
        <f t="shared" si="81"/>
        <v>是</v>
      </c>
      <c r="I1267" s="312" t="str">
        <f t="shared" si="78"/>
        <v>项</v>
      </c>
    </row>
    <row r="1268" s="372" customFormat="1" ht="24" hidden="1" customHeight="1" spans="1:9">
      <c r="A1268" s="330">
        <v>2240105</v>
      </c>
      <c r="B1268" s="379" t="s">
        <v>1156</v>
      </c>
      <c r="C1268" s="516">
        <v>0</v>
      </c>
      <c r="D1268" s="516">
        <f>'04'!F1267</f>
        <v>0</v>
      </c>
      <c r="E1268" s="525">
        <v>0</v>
      </c>
      <c r="F1268" s="526" t="str">
        <f t="shared" si="79"/>
        <v/>
      </c>
      <c r="G1268" s="470" t="str">
        <f t="shared" si="80"/>
        <v/>
      </c>
      <c r="H1268" s="524" t="str">
        <f t="shared" si="81"/>
        <v>否</v>
      </c>
      <c r="I1268" s="312" t="str">
        <f t="shared" si="78"/>
        <v>项</v>
      </c>
    </row>
    <row r="1269" s="372" customFormat="1" ht="24" customHeight="1" spans="1:9">
      <c r="A1269" s="330">
        <v>2240106</v>
      </c>
      <c r="B1269" s="379" t="s">
        <v>1157</v>
      </c>
      <c r="C1269" s="516">
        <v>75</v>
      </c>
      <c r="D1269" s="516">
        <f>'04'!F1268</f>
        <v>73</v>
      </c>
      <c r="E1269" s="525">
        <v>75</v>
      </c>
      <c r="F1269" s="526">
        <f t="shared" si="79"/>
        <v>0</v>
      </c>
      <c r="G1269" s="470">
        <f t="shared" si="80"/>
        <v>0.0273972602739726</v>
      </c>
      <c r="H1269" s="524" t="str">
        <f t="shared" si="81"/>
        <v>是</v>
      </c>
      <c r="I1269" s="312" t="str">
        <f t="shared" si="78"/>
        <v>项</v>
      </c>
    </row>
    <row r="1270" s="372" customFormat="1" ht="24" customHeight="1" spans="1:9">
      <c r="A1270" s="330">
        <v>2240108</v>
      </c>
      <c r="B1270" s="379" t="s">
        <v>1158</v>
      </c>
      <c r="C1270" s="516">
        <v>0</v>
      </c>
      <c r="D1270" s="516">
        <f>'04'!F1269</f>
        <v>8</v>
      </c>
      <c r="E1270" s="525">
        <v>15</v>
      </c>
      <c r="F1270" s="526" t="str">
        <f t="shared" si="79"/>
        <v/>
      </c>
      <c r="G1270" s="470">
        <f t="shared" si="80"/>
        <v>0.875</v>
      </c>
      <c r="H1270" s="524" t="str">
        <f t="shared" si="81"/>
        <v>是</v>
      </c>
      <c r="I1270" s="312" t="str">
        <f t="shared" si="78"/>
        <v>项</v>
      </c>
    </row>
    <row r="1271" s="372" customFormat="1" ht="24" customHeight="1" spans="1:9">
      <c r="A1271" s="330">
        <v>2240109</v>
      </c>
      <c r="B1271" s="379" t="s">
        <v>1159</v>
      </c>
      <c r="C1271" s="516">
        <v>4356</v>
      </c>
      <c r="D1271" s="516">
        <f>'04'!F1270</f>
        <v>62</v>
      </c>
      <c r="E1271" s="525">
        <v>68</v>
      </c>
      <c r="F1271" s="526">
        <f t="shared" si="79"/>
        <v>-0.984389348025712</v>
      </c>
      <c r="G1271" s="470">
        <f t="shared" si="80"/>
        <v>0.0967741935483871</v>
      </c>
      <c r="H1271" s="524" t="str">
        <f t="shared" si="81"/>
        <v>是</v>
      </c>
      <c r="I1271" s="312" t="str">
        <f t="shared" si="78"/>
        <v>项</v>
      </c>
    </row>
    <row r="1272" ht="24" customHeight="1" spans="1:9">
      <c r="A1272" s="330">
        <v>2240150</v>
      </c>
      <c r="B1272" s="379" t="s">
        <v>221</v>
      </c>
      <c r="C1272" s="516">
        <v>190</v>
      </c>
      <c r="D1272" s="516">
        <f>'04'!F1271</f>
        <v>205</v>
      </c>
      <c r="E1272" s="525">
        <v>215</v>
      </c>
      <c r="F1272" s="526">
        <f t="shared" si="79"/>
        <v>0.131578947368421</v>
      </c>
      <c r="G1272" s="470">
        <f t="shared" si="80"/>
        <v>0.0487804878048781</v>
      </c>
      <c r="H1272" s="524" t="str">
        <f t="shared" si="81"/>
        <v>是</v>
      </c>
      <c r="I1272" s="312" t="str">
        <f t="shared" si="78"/>
        <v>项</v>
      </c>
    </row>
    <row r="1273" s="372" customFormat="1" ht="24" hidden="1" customHeight="1" spans="1:9">
      <c r="A1273" s="330">
        <v>2240199</v>
      </c>
      <c r="B1273" s="379" t="s">
        <v>1160</v>
      </c>
      <c r="C1273" s="516">
        <v>0</v>
      </c>
      <c r="D1273" s="516">
        <f>'04'!F1272</f>
        <v>0</v>
      </c>
      <c r="E1273" s="525">
        <v>0</v>
      </c>
      <c r="F1273" s="526" t="str">
        <f t="shared" si="79"/>
        <v/>
      </c>
      <c r="G1273" s="470" t="str">
        <f t="shared" si="80"/>
        <v/>
      </c>
      <c r="H1273" s="524" t="str">
        <f t="shared" si="81"/>
        <v>否</v>
      </c>
      <c r="I1273" s="312" t="str">
        <f t="shared" si="78"/>
        <v>项</v>
      </c>
    </row>
    <row r="1274" s="372" customFormat="1" ht="24" customHeight="1" spans="1:9">
      <c r="A1274" s="330">
        <v>22402</v>
      </c>
      <c r="B1274" s="405" t="s">
        <v>1161</v>
      </c>
      <c r="C1274" s="515">
        <f>SUM(C1275:C1280)</f>
        <v>3741</v>
      </c>
      <c r="D1274" s="515">
        <f>SUM(D1275:D1280)</f>
        <v>2848</v>
      </c>
      <c r="E1274" s="515">
        <f>SUM(E1275:E1280)</f>
        <v>2875</v>
      </c>
      <c r="F1274" s="523">
        <f t="shared" si="79"/>
        <v>-0.231488906709436</v>
      </c>
      <c r="G1274" s="467">
        <f t="shared" si="80"/>
        <v>0.00948033707865169</v>
      </c>
      <c r="H1274" s="524" t="str">
        <f t="shared" si="81"/>
        <v>是</v>
      </c>
      <c r="I1274" s="312" t="str">
        <f t="shared" si="78"/>
        <v>款</v>
      </c>
    </row>
    <row r="1275" s="372" customFormat="1" ht="24" customHeight="1" spans="1:9">
      <c r="A1275" s="330">
        <v>2240201</v>
      </c>
      <c r="B1275" s="379" t="s">
        <v>212</v>
      </c>
      <c r="C1275" s="516">
        <v>1105</v>
      </c>
      <c r="D1275" s="516">
        <f>'04'!F1274</f>
        <v>1461</v>
      </c>
      <c r="E1275" s="525">
        <v>1498</v>
      </c>
      <c r="F1275" s="526">
        <f t="shared" si="79"/>
        <v>0.355656108597285</v>
      </c>
      <c r="G1275" s="470">
        <f t="shared" si="80"/>
        <v>0.0253251197809719</v>
      </c>
      <c r="H1275" s="524" t="str">
        <f t="shared" si="81"/>
        <v>是</v>
      </c>
      <c r="I1275" s="312" t="str">
        <f t="shared" si="78"/>
        <v>项</v>
      </c>
    </row>
    <row r="1276" s="372" customFormat="1" ht="24" hidden="1" customHeight="1" spans="1:9">
      <c r="A1276" s="330">
        <v>2240202</v>
      </c>
      <c r="B1276" s="379" t="s">
        <v>213</v>
      </c>
      <c r="C1276" s="516">
        <v>0</v>
      </c>
      <c r="D1276" s="516">
        <f>'04'!F1275</f>
        <v>0</v>
      </c>
      <c r="E1276" s="525">
        <v>0</v>
      </c>
      <c r="F1276" s="526" t="str">
        <f t="shared" si="79"/>
        <v/>
      </c>
      <c r="G1276" s="470" t="str">
        <f t="shared" si="80"/>
        <v/>
      </c>
      <c r="H1276" s="524" t="str">
        <f t="shared" si="81"/>
        <v>否</v>
      </c>
      <c r="I1276" s="312" t="str">
        <f t="shared" si="78"/>
        <v>项</v>
      </c>
    </row>
    <row r="1277" s="372" customFormat="1" ht="24" hidden="1" customHeight="1" spans="1:9">
      <c r="A1277" s="330">
        <v>2240203</v>
      </c>
      <c r="B1277" s="379" t="s">
        <v>214</v>
      </c>
      <c r="C1277" s="516">
        <v>0</v>
      </c>
      <c r="D1277" s="516">
        <f>'04'!F1276</f>
        <v>0</v>
      </c>
      <c r="E1277" s="525">
        <v>0</v>
      </c>
      <c r="F1277" s="526" t="str">
        <f t="shared" si="79"/>
        <v/>
      </c>
      <c r="G1277" s="470" t="str">
        <f t="shared" si="80"/>
        <v/>
      </c>
      <c r="H1277" s="524" t="str">
        <f t="shared" si="81"/>
        <v>否</v>
      </c>
      <c r="I1277" s="312" t="str">
        <f t="shared" si="78"/>
        <v>项</v>
      </c>
    </row>
    <row r="1278" s="372" customFormat="1" ht="24" customHeight="1" spans="1:9">
      <c r="A1278" s="330">
        <v>2240204</v>
      </c>
      <c r="B1278" s="379" t="s">
        <v>1162</v>
      </c>
      <c r="C1278" s="516">
        <v>2568</v>
      </c>
      <c r="D1278" s="516">
        <f>'04'!F1277</f>
        <v>1320</v>
      </c>
      <c r="E1278" s="525">
        <v>1315</v>
      </c>
      <c r="F1278" s="526">
        <f t="shared" si="79"/>
        <v>-0.487928348909657</v>
      </c>
      <c r="G1278" s="470">
        <f t="shared" si="80"/>
        <v>-0.00378787878787879</v>
      </c>
      <c r="H1278" s="524" t="str">
        <f t="shared" si="81"/>
        <v>是</v>
      </c>
      <c r="I1278" s="312" t="str">
        <f t="shared" si="78"/>
        <v>项</v>
      </c>
    </row>
    <row r="1279" s="372" customFormat="1" ht="24" hidden="1" customHeight="1" spans="1:9">
      <c r="A1279" s="339">
        <v>2240250</v>
      </c>
      <c r="B1279" s="379" t="s">
        <v>221</v>
      </c>
      <c r="C1279" s="516">
        <v>0</v>
      </c>
      <c r="D1279" s="516">
        <f>'04'!F1278</f>
        <v>0</v>
      </c>
      <c r="E1279" s="525">
        <v>0</v>
      </c>
      <c r="F1279" s="526" t="str">
        <f t="shared" si="79"/>
        <v/>
      </c>
      <c r="G1279" s="470" t="str">
        <f t="shared" si="80"/>
        <v/>
      </c>
      <c r="H1279" s="524" t="str">
        <f t="shared" si="81"/>
        <v>否</v>
      </c>
      <c r="I1279" s="312" t="str">
        <f t="shared" si="78"/>
        <v>项</v>
      </c>
    </row>
    <row r="1280" s="372" customFormat="1" ht="24" customHeight="1" spans="1:9">
      <c r="A1280" s="330">
        <v>2240299</v>
      </c>
      <c r="B1280" s="405" t="s">
        <v>1163</v>
      </c>
      <c r="C1280" s="516">
        <v>68</v>
      </c>
      <c r="D1280" s="516">
        <f>'04'!F1279</f>
        <v>67</v>
      </c>
      <c r="E1280" s="525">
        <v>62</v>
      </c>
      <c r="F1280" s="526">
        <f t="shared" si="79"/>
        <v>-0.0882352941176471</v>
      </c>
      <c r="G1280" s="470">
        <f t="shared" si="80"/>
        <v>-0.0746268656716418</v>
      </c>
      <c r="H1280" s="524" t="str">
        <f t="shared" si="81"/>
        <v>是</v>
      </c>
      <c r="I1280" s="312" t="str">
        <f t="shared" si="78"/>
        <v>项</v>
      </c>
    </row>
    <row r="1281" s="372" customFormat="1" ht="24" hidden="1" customHeight="1" spans="1:9">
      <c r="A1281" s="330">
        <v>22404</v>
      </c>
      <c r="B1281" s="379" t="s">
        <v>1164</v>
      </c>
      <c r="C1281" s="515">
        <f>SUM(C1282:C1288)</f>
        <v>0</v>
      </c>
      <c r="D1281" s="515">
        <f>SUM(D1282:D1288)</f>
        <v>0</v>
      </c>
      <c r="E1281" s="515">
        <f>SUM(E1282:E1288)</f>
        <v>0</v>
      </c>
      <c r="F1281" s="523" t="str">
        <f t="shared" si="79"/>
        <v/>
      </c>
      <c r="G1281" s="467" t="str">
        <f t="shared" si="80"/>
        <v/>
      </c>
      <c r="H1281" s="524" t="str">
        <f t="shared" si="81"/>
        <v>否</v>
      </c>
      <c r="I1281" s="312" t="str">
        <f t="shared" si="78"/>
        <v>款</v>
      </c>
    </row>
    <row r="1282" s="372" customFormat="1" ht="24" hidden="1" customHeight="1" spans="1:9">
      <c r="A1282" s="330">
        <v>2240401</v>
      </c>
      <c r="B1282" s="379" t="s">
        <v>212</v>
      </c>
      <c r="C1282" s="516"/>
      <c r="D1282" s="516">
        <f>'04'!F1281</f>
        <v>0</v>
      </c>
      <c r="E1282" s="525">
        <v>0</v>
      </c>
      <c r="F1282" s="526" t="str">
        <f t="shared" si="79"/>
        <v/>
      </c>
      <c r="G1282" s="470" t="str">
        <f t="shared" si="80"/>
        <v/>
      </c>
      <c r="H1282" s="524" t="str">
        <f t="shared" si="81"/>
        <v>否</v>
      </c>
      <c r="I1282" s="312" t="str">
        <f t="shared" si="78"/>
        <v>项</v>
      </c>
    </row>
    <row r="1283" s="372" customFormat="1" ht="24" hidden="1" customHeight="1" spans="1:9">
      <c r="A1283" s="330">
        <v>2240402</v>
      </c>
      <c r="B1283" s="379" t="s">
        <v>213</v>
      </c>
      <c r="C1283" s="516"/>
      <c r="D1283" s="516">
        <f>'04'!F1282</f>
        <v>0</v>
      </c>
      <c r="E1283" s="525">
        <v>0</v>
      </c>
      <c r="F1283" s="526" t="str">
        <f t="shared" si="79"/>
        <v/>
      </c>
      <c r="G1283" s="470" t="str">
        <f t="shared" si="80"/>
        <v/>
      </c>
      <c r="H1283" s="524" t="str">
        <f t="shared" si="81"/>
        <v>否</v>
      </c>
      <c r="I1283" s="312" t="str">
        <f t="shared" si="78"/>
        <v>项</v>
      </c>
    </row>
    <row r="1284" s="372" customFormat="1" ht="24" hidden="1" customHeight="1" spans="1:9">
      <c r="A1284" s="330">
        <v>2240403</v>
      </c>
      <c r="B1284" s="379" t="s">
        <v>214</v>
      </c>
      <c r="C1284" s="516"/>
      <c r="D1284" s="516">
        <f>'04'!F1283</f>
        <v>0</v>
      </c>
      <c r="E1284" s="525">
        <v>0</v>
      </c>
      <c r="F1284" s="526" t="str">
        <f t="shared" si="79"/>
        <v/>
      </c>
      <c r="G1284" s="470" t="str">
        <f t="shared" si="80"/>
        <v/>
      </c>
      <c r="H1284" s="524" t="str">
        <f t="shared" si="81"/>
        <v>否</v>
      </c>
      <c r="I1284" s="312" t="str">
        <f t="shared" ref="I1284:I1321" si="82">IF(LEN(A1284)=3,"类",IF(LEN(A1284)=5,"款","项"))</f>
        <v>项</v>
      </c>
    </row>
    <row r="1285" s="372" customFormat="1" ht="24" hidden="1" customHeight="1" spans="1:9">
      <c r="A1285" s="330">
        <v>2240404</v>
      </c>
      <c r="B1285" s="405" t="s">
        <v>1165</v>
      </c>
      <c r="C1285" s="516"/>
      <c r="D1285" s="516">
        <f>'04'!F1284</f>
        <v>0</v>
      </c>
      <c r="E1285" s="525">
        <v>0</v>
      </c>
      <c r="F1285" s="526" t="str">
        <f t="shared" ref="F1285:F1325" si="83">IFERROR((E1285-C1285)/C1285,"")</f>
        <v/>
      </c>
      <c r="G1285" s="470" t="str">
        <f t="shared" ref="G1285:G1325" si="84">IFERROR((E1285-D1285)/D1285,"")</f>
        <v/>
      </c>
      <c r="H1285" s="524" t="str">
        <f t="shared" si="81"/>
        <v>否</v>
      </c>
      <c r="I1285" s="312" t="str">
        <f t="shared" si="82"/>
        <v>项</v>
      </c>
    </row>
    <row r="1286" ht="24" hidden="1" customHeight="1" spans="1:9">
      <c r="A1286" s="330">
        <v>2240405</v>
      </c>
      <c r="B1286" s="405" t="s">
        <v>1166</v>
      </c>
      <c r="C1286" s="516"/>
      <c r="D1286" s="516">
        <f>'04'!F1285</f>
        <v>0</v>
      </c>
      <c r="E1286" s="525">
        <v>0</v>
      </c>
      <c r="F1286" s="526" t="str">
        <f t="shared" si="83"/>
        <v/>
      </c>
      <c r="G1286" s="470" t="str">
        <f t="shared" si="84"/>
        <v/>
      </c>
      <c r="H1286" s="524" t="str">
        <f t="shared" ref="H1286:H1325" si="85">IF(LEN(A1286)=3,"是",IF(B1286&lt;&gt;"",IF(SUM(C1286:E1286)&lt;&gt;0,"是","否"),"是"))</f>
        <v>否</v>
      </c>
      <c r="I1286" s="312" t="str">
        <f t="shared" si="82"/>
        <v>项</v>
      </c>
    </row>
    <row r="1287" s="372" customFormat="1" ht="24" hidden="1" customHeight="1" spans="1:9">
      <c r="A1287" s="330">
        <v>2240450</v>
      </c>
      <c r="B1287" s="379" t="s">
        <v>221</v>
      </c>
      <c r="C1287" s="516"/>
      <c r="D1287" s="516">
        <f>'04'!F1286</f>
        <v>0</v>
      </c>
      <c r="E1287" s="525">
        <v>0</v>
      </c>
      <c r="F1287" s="526" t="str">
        <f t="shared" si="83"/>
        <v/>
      </c>
      <c r="G1287" s="470" t="str">
        <f t="shared" si="84"/>
        <v/>
      </c>
      <c r="H1287" s="524" t="str">
        <f t="shared" si="85"/>
        <v>否</v>
      </c>
      <c r="I1287" s="312" t="str">
        <f t="shared" si="82"/>
        <v>项</v>
      </c>
    </row>
    <row r="1288" s="372" customFormat="1" ht="24" hidden="1" customHeight="1" spans="1:9">
      <c r="A1288" s="330">
        <v>2240499</v>
      </c>
      <c r="B1288" s="405" t="s">
        <v>1167</v>
      </c>
      <c r="C1288" s="516"/>
      <c r="D1288" s="516">
        <f>'04'!F1287</f>
        <v>0</v>
      </c>
      <c r="E1288" s="525">
        <v>0</v>
      </c>
      <c r="F1288" s="526" t="str">
        <f t="shared" si="83"/>
        <v/>
      </c>
      <c r="G1288" s="470" t="str">
        <f t="shared" si="84"/>
        <v/>
      </c>
      <c r="H1288" s="524" t="str">
        <f t="shared" si="85"/>
        <v>否</v>
      </c>
      <c r="I1288" s="312" t="str">
        <f t="shared" si="82"/>
        <v>项</v>
      </c>
    </row>
    <row r="1289" s="372" customFormat="1" ht="24" customHeight="1" spans="1:9">
      <c r="A1289" s="330">
        <v>22405</v>
      </c>
      <c r="B1289" s="379" t="s">
        <v>1168</v>
      </c>
      <c r="C1289" s="515">
        <f>SUM(C1290:C1301)</f>
        <v>370</v>
      </c>
      <c r="D1289" s="515">
        <f>SUM(D1290:D1301)</f>
        <v>462</v>
      </c>
      <c r="E1289" s="515">
        <f>SUM(E1290:E1301)</f>
        <v>464</v>
      </c>
      <c r="F1289" s="523">
        <f t="shared" si="83"/>
        <v>0.254054054054054</v>
      </c>
      <c r="G1289" s="467">
        <f t="shared" si="84"/>
        <v>0.00432900432900433</v>
      </c>
      <c r="H1289" s="524" t="str">
        <f t="shared" si="85"/>
        <v>是</v>
      </c>
      <c r="I1289" s="312" t="str">
        <f t="shared" si="82"/>
        <v>款</v>
      </c>
    </row>
    <row r="1290" s="372" customFormat="1" ht="24" customHeight="1" spans="1:9">
      <c r="A1290" s="330">
        <v>2240501</v>
      </c>
      <c r="B1290" s="379" t="s">
        <v>212</v>
      </c>
      <c r="C1290" s="516">
        <v>165</v>
      </c>
      <c r="D1290" s="516">
        <f>'04'!F1289</f>
        <v>162</v>
      </c>
      <c r="E1290" s="525">
        <v>168</v>
      </c>
      <c r="F1290" s="526">
        <f t="shared" si="83"/>
        <v>0.0181818181818182</v>
      </c>
      <c r="G1290" s="470">
        <f t="shared" si="84"/>
        <v>0.037037037037037</v>
      </c>
      <c r="H1290" s="524" t="str">
        <f t="shared" si="85"/>
        <v>是</v>
      </c>
      <c r="I1290" s="312" t="str">
        <f t="shared" si="82"/>
        <v>项</v>
      </c>
    </row>
    <row r="1291" s="372" customFormat="1" ht="24" hidden="1" customHeight="1" spans="1:9">
      <c r="A1291" s="330">
        <v>2240502</v>
      </c>
      <c r="B1291" s="379" t="s">
        <v>213</v>
      </c>
      <c r="C1291" s="516">
        <v>0</v>
      </c>
      <c r="D1291" s="516">
        <f>'04'!F1290</f>
        <v>0</v>
      </c>
      <c r="E1291" s="525">
        <v>0</v>
      </c>
      <c r="F1291" s="526" t="str">
        <f t="shared" si="83"/>
        <v/>
      </c>
      <c r="G1291" s="470" t="str">
        <f t="shared" si="84"/>
        <v/>
      </c>
      <c r="H1291" s="524" t="str">
        <f t="shared" si="85"/>
        <v>否</v>
      </c>
      <c r="I1291" s="312" t="str">
        <f t="shared" si="82"/>
        <v>项</v>
      </c>
    </row>
    <row r="1292" ht="24" hidden="1" customHeight="1" spans="1:9">
      <c r="A1292" s="330">
        <v>2240503</v>
      </c>
      <c r="B1292" s="379" t="s">
        <v>214</v>
      </c>
      <c r="C1292" s="516">
        <v>0</v>
      </c>
      <c r="D1292" s="516">
        <f>'04'!F1291</f>
        <v>0</v>
      </c>
      <c r="E1292" s="525">
        <v>0</v>
      </c>
      <c r="F1292" s="526" t="str">
        <f t="shared" si="83"/>
        <v/>
      </c>
      <c r="G1292" s="470" t="str">
        <f t="shared" si="84"/>
        <v/>
      </c>
      <c r="H1292" s="524" t="str">
        <f t="shared" si="85"/>
        <v>否</v>
      </c>
      <c r="I1292" s="312" t="str">
        <f t="shared" si="82"/>
        <v>项</v>
      </c>
    </row>
    <row r="1293" s="372" customFormat="1" ht="24" hidden="1" customHeight="1" spans="1:9">
      <c r="A1293" s="330">
        <v>2240504</v>
      </c>
      <c r="B1293" s="379" t="s">
        <v>1169</v>
      </c>
      <c r="C1293" s="516">
        <v>0</v>
      </c>
      <c r="D1293" s="516">
        <f>'04'!F1292</f>
        <v>0</v>
      </c>
      <c r="E1293" s="525">
        <v>0</v>
      </c>
      <c r="F1293" s="526" t="str">
        <f t="shared" si="83"/>
        <v/>
      </c>
      <c r="G1293" s="470" t="str">
        <f t="shared" si="84"/>
        <v/>
      </c>
      <c r="H1293" s="524" t="str">
        <f t="shared" si="85"/>
        <v>否</v>
      </c>
      <c r="I1293" s="312" t="str">
        <f t="shared" si="82"/>
        <v>项</v>
      </c>
    </row>
    <row r="1294" s="372" customFormat="1" ht="24" customHeight="1" spans="1:9">
      <c r="A1294" s="330">
        <v>2240505</v>
      </c>
      <c r="B1294" s="379" t="s">
        <v>1170</v>
      </c>
      <c r="C1294" s="516">
        <v>5</v>
      </c>
      <c r="D1294" s="516">
        <f>'04'!F1293</f>
        <v>4</v>
      </c>
      <c r="E1294" s="525">
        <v>5</v>
      </c>
      <c r="F1294" s="526">
        <f t="shared" si="83"/>
        <v>0</v>
      </c>
      <c r="G1294" s="470">
        <f t="shared" si="84"/>
        <v>0.25</v>
      </c>
      <c r="H1294" s="524" t="str">
        <f t="shared" si="85"/>
        <v>是</v>
      </c>
      <c r="I1294" s="312" t="str">
        <f t="shared" si="82"/>
        <v>项</v>
      </c>
    </row>
    <row r="1295" s="372" customFormat="1" ht="24" customHeight="1" spans="1:9">
      <c r="A1295" s="330">
        <v>2240506</v>
      </c>
      <c r="B1295" s="379" t="s">
        <v>1171</v>
      </c>
      <c r="C1295" s="516">
        <v>0</v>
      </c>
      <c r="D1295" s="516">
        <f>'04'!F1294</f>
        <v>76</v>
      </c>
      <c r="E1295" s="525">
        <v>78</v>
      </c>
      <c r="F1295" s="526" t="str">
        <f t="shared" si="83"/>
        <v/>
      </c>
      <c r="G1295" s="470">
        <f t="shared" si="84"/>
        <v>0.0263157894736842</v>
      </c>
      <c r="H1295" s="524" t="str">
        <f t="shared" si="85"/>
        <v>是</v>
      </c>
      <c r="I1295" s="312" t="str">
        <f t="shared" si="82"/>
        <v>项</v>
      </c>
    </row>
    <row r="1296" s="372" customFormat="1" ht="24" customHeight="1" spans="1:9">
      <c r="A1296" s="330">
        <v>2240507</v>
      </c>
      <c r="B1296" s="379" t="s">
        <v>1172</v>
      </c>
      <c r="C1296" s="516">
        <v>70</v>
      </c>
      <c r="D1296" s="516">
        <f>'04'!F1295</f>
        <v>90</v>
      </c>
      <c r="E1296" s="525">
        <v>85</v>
      </c>
      <c r="F1296" s="526">
        <f t="shared" si="83"/>
        <v>0.214285714285714</v>
      </c>
      <c r="G1296" s="470">
        <f t="shared" si="84"/>
        <v>-0.0555555555555556</v>
      </c>
      <c r="H1296" s="524" t="str">
        <f t="shared" si="85"/>
        <v>是</v>
      </c>
      <c r="I1296" s="312" t="str">
        <f t="shared" si="82"/>
        <v>项</v>
      </c>
    </row>
    <row r="1297" s="372" customFormat="1" ht="24" hidden="1" customHeight="1" spans="1:9">
      <c r="A1297" s="330">
        <v>2240508</v>
      </c>
      <c r="B1297" s="379" t="s">
        <v>1173</v>
      </c>
      <c r="C1297" s="516">
        <v>0</v>
      </c>
      <c r="D1297" s="516">
        <f>'04'!F1296</f>
        <v>0</v>
      </c>
      <c r="E1297" s="525">
        <v>0</v>
      </c>
      <c r="F1297" s="526" t="str">
        <f t="shared" si="83"/>
        <v/>
      </c>
      <c r="G1297" s="470" t="str">
        <f t="shared" si="84"/>
        <v/>
      </c>
      <c r="H1297" s="524" t="str">
        <f t="shared" si="85"/>
        <v>否</v>
      </c>
      <c r="I1297" s="312" t="str">
        <f t="shared" si="82"/>
        <v>项</v>
      </c>
    </row>
    <row r="1298" ht="24" hidden="1" customHeight="1" spans="1:9">
      <c r="A1298" s="330">
        <v>2240509</v>
      </c>
      <c r="B1298" s="379" t="s">
        <v>1174</v>
      </c>
      <c r="C1298" s="516">
        <v>0</v>
      </c>
      <c r="D1298" s="516">
        <f>'04'!F1297</f>
        <v>0</v>
      </c>
      <c r="E1298" s="525">
        <v>0</v>
      </c>
      <c r="F1298" s="526" t="str">
        <f t="shared" si="83"/>
        <v/>
      </c>
      <c r="G1298" s="470" t="str">
        <f t="shared" si="84"/>
        <v/>
      </c>
      <c r="H1298" s="524" t="str">
        <f t="shared" si="85"/>
        <v>否</v>
      </c>
      <c r="I1298" s="312" t="str">
        <f t="shared" si="82"/>
        <v>项</v>
      </c>
    </row>
    <row r="1299" s="372" customFormat="1" ht="24" hidden="1" customHeight="1" spans="1:9">
      <c r="A1299" s="330">
        <v>2240510</v>
      </c>
      <c r="B1299" s="379" t="s">
        <v>1175</v>
      </c>
      <c r="C1299" s="516">
        <v>0</v>
      </c>
      <c r="D1299" s="516">
        <f>'04'!F1298</f>
        <v>0</v>
      </c>
      <c r="E1299" s="525">
        <v>0</v>
      </c>
      <c r="F1299" s="526" t="str">
        <f t="shared" si="83"/>
        <v/>
      </c>
      <c r="G1299" s="470" t="str">
        <f t="shared" si="84"/>
        <v/>
      </c>
      <c r="H1299" s="524" t="str">
        <f t="shared" si="85"/>
        <v>否</v>
      </c>
      <c r="I1299" s="312" t="str">
        <f t="shared" si="82"/>
        <v>项</v>
      </c>
    </row>
    <row r="1300" s="372" customFormat="1" ht="24" customHeight="1" spans="1:9">
      <c r="A1300" s="330">
        <v>2240550</v>
      </c>
      <c r="B1300" s="379" t="s">
        <v>1176</v>
      </c>
      <c r="C1300" s="516">
        <v>130</v>
      </c>
      <c r="D1300" s="516">
        <f>'04'!F1299</f>
        <v>130</v>
      </c>
      <c r="E1300" s="525">
        <v>128</v>
      </c>
      <c r="F1300" s="526">
        <f t="shared" si="83"/>
        <v>-0.0153846153846154</v>
      </c>
      <c r="G1300" s="470">
        <f t="shared" si="84"/>
        <v>-0.0153846153846154</v>
      </c>
      <c r="H1300" s="524" t="str">
        <f t="shared" si="85"/>
        <v>是</v>
      </c>
      <c r="I1300" s="312" t="str">
        <f t="shared" si="82"/>
        <v>项</v>
      </c>
    </row>
    <row r="1301" s="372" customFormat="1" ht="24" hidden="1" customHeight="1" spans="1:9">
      <c r="A1301" s="330">
        <v>2240599</v>
      </c>
      <c r="B1301" s="379" t="s">
        <v>1177</v>
      </c>
      <c r="C1301" s="516">
        <v>0</v>
      </c>
      <c r="D1301" s="516">
        <f>'04'!F1300</f>
        <v>0</v>
      </c>
      <c r="E1301" s="525">
        <v>0</v>
      </c>
      <c r="F1301" s="526" t="str">
        <f t="shared" si="83"/>
        <v/>
      </c>
      <c r="G1301" s="470" t="str">
        <f t="shared" si="84"/>
        <v/>
      </c>
      <c r="H1301" s="524" t="str">
        <f t="shared" si="85"/>
        <v>否</v>
      </c>
      <c r="I1301" s="312" t="str">
        <f t="shared" si="82"/>
        <v>项</v>
      </c>
    </row>
    <row r="1302" s="372" customFormat="1" ht="24" customHeight="1" spans="1:9">
      <c r="A1302" s="330">
        <v>22406</v>
      </c>
      <c r="B1302" s="379" t="s">
        <v>1178</v>
      </c>
      <c r="C1302" s="515">
        <f>SUM(C1303:C1305)</f>
        <v>1848</v>
      </c>
      <c r="D1302" s="515">
        <f>SUM(D1303:D1305)</f>
        <v>462</v>
      </c>
      <c r="E1302" s="515">
        <f>SUM(E1303:E1305)</f>
        <v>449</v>
      </c>
      <c r="F1302" s="523">
        <f t="shared" si="83"/>
        <v>-0.757034632034632</v>
      </c>
      <c r="G1302" s="467">
        <f t="shared" si="84"/>
        <v>-0.0281385281385281</v>
      </c>
      <c r="H1302" s="524" t="str">
        <f t="shared" si="85"/>
        <v>是</v>
      </c>
      <c r="I1302" s="312" t="str">
        <f t="shared" si="82"/>
        <v>款</v>
      </c>
    </row>
    <row r="1303" s="372" customFormat="1" ht="24" customHeight="1" spans="1:9">
      <c r="A1303" s="330">
        <v>2240601</v>
      </c>
      <c r="B1303" s="379" t="s">
        <v>1179</v>
      </c>
      <c r="C1303" s="516">
        <v>1751</v>
      </c>
      <c r="D1303" s="516">
        <f>'04'!F1302</f>
        <v>366</v>
      </c>
      <c r="E1303" s="525">
        <v>358</v>
      </c>
      <c r="F1303" s="526">
        <f t="shared" si="83"/>
        <v>-0.79554540262707</v>
      </c>
      <c r="G1303" s="470">
        <f t="shared" si="84"/>
        <v>-0.0218579234972678</v>
      </c>
      <c r="H1303" s="524" t="str">
        <f t="shared" si="85"/>
        <v>是</v>
      </c>
      <c r="I1303" s="312" t="str">
        <f t="shared" si="82"/>
        <v>项</v>
      </c>
    </row>
    <row r="1304" s="372" customFormat="1" ht="24" customHeight="1" spans="1:9">
      <c r="A1304" s="330">
        <v>2240602</v>
      </c>
      <c r="B1304" s="379" t="s">
        <v>1180</v>
      </c>
      <c r="C1304" s="516">
        <v>97</v>
      </c>
      <c r="D1304" s="516">
        <f>'04'!F1303</f>
        <v>81</v>
      </c>
      <c r="E1304" s="525">
        <v>91</v>
      </c>
      <c r="F1304" s="526">
        <f t="shared" si="83"/>
        <v>-0.0618556701030928</v>
      </c>
      <c r="G1304" s="470">
        <f t="shared" si="84"/>
        <v>0.123456790123457</v>
      </c>
      <c r="H1304" s="524" t="str">
        <f t="shared" si="85"/>
        <v>是</v>
      </c>
      <c r="I1304" s="312" t="str">
        <f t="shared" si="82"/>
        <v>项</v>
      </c>
    </row>
    <row r="1305" s="372" customFormat="1" ht="24" customHeight="1" spans="1:9">
      <c r="A1305" s="330">
        <v>2240699</v>
      </c>
      <c r="B1305" s="379" t="s">
        <v>1181</v>
      </c>
      <c r="C1305" s="516">
        <v>0</v>
      </c>
      <c r="D1305" s="516">
        <f>'04'!F1304</f>
        <v>15</v>
      </c>
      <c r="E1305" s="525">
        <v>0</v>
      </c>
      <c r="F1305" s="526" t="str">
        <f t="shared" si="83"/>
        <v/>
      </c>
      <c r="G1305" s="470">
        <f t="shared" si="84"/>
        <v>-1</v>
      </c>
      <c r="H1305" s="524" t="str">
        <f t="shared" si="85"/>
        <v>是</v>
      </c>
      <c r="I1305" s="312" t="str">
        <f t="shared" si="82"/>
        <v>项</v>
      </c>
    </row>
    <row r="1306" s="372" customFormat="1" ht="24" customHeight="1" spans="1:9">
      <c r="A1306" s="330">
        <v>22407</v>
      </c>
      <c r="B1306" s="379" t="s">
        <v>1182</v>
      </c>
      <c r="C1306" s="515">
        <f>SUM(C1307:C1309)</f>
        <v>0</v>
      </c>
      <c r="D1306" s="515">
        <f>SUM(D1307:D1309)</f>
        <v>71</v>
      </c>
      <c r="E1306" s="515">
        <f>SUM(E1307:E1309)</f>
        <v>65</v>
      </c>
      <c r="F1306" s="523" t="str">
        <f t="shared" si="83"/>
        <v/>
      </c>
      <c r="G1306" s="467">
        <f t="shared" si="84"/>
        <v>-0.0845070422535211</v>
      </c>
      <c r="H1306" s="524" t="str">
        <f t="shared" si="85"/>
        <v>是</v>
      </c>
      <c r="I1306" s="312" t="str">
        <f t="shared" si="82"/>
        <v>款</v>
      </c>
    </row>
    <row r="1307" s="372" customFormat="1" ht="24" customHeight="1" spans="1:9">
      <c r="A1307" s="330">
        <v>2240703</v>
      </c>
      <c r="B1307" s="379" t="s">
        <v>1183</v>
      </c>
      <c r="C1307" s="516">
        <v>0</v>
      </c>
      <c r="D1307" s="516">
        <f>'04'!F1306</f>
        <v>45</v>
      </c>
      <c r="E1307" s="525">
        <v>42</v>
      </c>
      <c r="F1307" s="526" t="str">
        <f t="shared" si="83"/>
        <v/>
      </c>
      <c r="G1307" s="470">
        <f t="shared" si="84"/>
        <v>-0.0666666666666667</v>
      </c>
      <c r="H1307" s="524" t="str">
        <f t="shared" si="85"/>
        <v>是</v>
      </c>
      <c r="I1307" s="312" t="str">
        <f t="shared" si="82"/>
        <v>项</v>
      </c>
    </row>
    <row r="1308" s="372" customFormat="1" ht="24" hidden="1" customHeight="1" spans="1:9">
      <c r="A1308" s="330">
        <v>2240704</v>
      </c>
      <c r="B1308" s="379" t="s">
        <v>1184</v>
      </c>
      <c r="C1308" s="516">
        <v>0</v>
      </c>
      <c r="D1308" s="516">
        <f>'04'!F1307</f>
        <v>0</v>
      </c>
      <c r="E1308" s="525">
        <v>0</v>
      </c>
      <c r="F1308" s="526" t="str">
        <f t="shared" si="83"/>
        <v/>
      </c>
      <c r="G1308" s="470" t="str">
        <f t="shared" si="84"/>
        <v/>
      </c>
      <c r="H1308" s="524" t="str">
        <f t="shared" si="85"/>
        <v>否</v>
      </c>
      <c r="I1308" s="312" t="str">
        <f t="shared" si="82"/>
        <v>项</v>
      </c>
    </row>
    <row r="1309" s="372" customFormat="1" ht="24" customHeight="1" spans="1:9">
      <c r="A1309" s="330">
        <v>2240799</v>
      </c>
      <c r="B1309" s="379" t="s">
        <v>1185</v>
      </c>
      <c r="C1309" s="516">
        <v>0</v>
      </c>
      <c r="D1309" s="516">
        <f>'04'!F1308</f>
        <v>26</v>
      </c>
      <c r="E1309" s="525">
        <v>23</v>
      </c>
      <c r="F1309" s="526" t="str">
        <f t="shared" si="83"/>
        <v/>
      </c>
      <c r="G1309" s="470">
        <f t="shared" si="84"/>
        <v>-0.115384615384615</v>
      </c>
      <c r="H1309" s="524" t="str">
        <f t="shared" si="85"/>
        <v>是</v>
      </c>
      <c r="I1309" s="312" t="str">
        <f t="shared" si="82"/>
        <v>项</v>
      </c>
    </row>
    <row r="1310" s="372" customFormat="1" ht="24" hidden="1" customHeight="1" spans="1:9">
      <c r="A1310" s="330">
        <v>22499</v>
      </c>
      <c r="B1310" s="379" t="s">
        <v>1186</v>
      </c>
      <c r="C1310" s="515">
        <f>C1311</f>
        <v>0</v>
      </c>
      <c r="D1310" s="515">
        <f>D1311</f>
        <v>0</v>
      </c>
      <c r="E1310" s="515">
        <f>E1311</f>
        <v>0</v>
      </c>
      <c r="F1310" s="523" t="str">
        <f t="shared" si="83"/>
        <v/>
      </c>
      <c r="G1310" s="467" t="str">
        <f t="shared" si="84"/>
        <v/>
      </c>
      <c r="H1310" s="524" t="str">
        <f t="shared" si="85"/>
        <v>否</v>
      </c>
      <c r="I1310" s="312" t="str">
        <f t="shared" si="82"/>
        <v>款</v>
      </c>
    </row>
    <row r="1311" ht="24" hidden="1" customHeight="1" spans="1:9">
      <c r="A1311" s="356">
        <v>2249999</v>
      </c>
      <c r="B1311" s="379" t="s">
        <v>1187</v>
      </c>
      <c r="C1311" s="516"/>
      <c r="D1311" s="516">
        <f>'04'!F1310</f>
        <v>0</v>
      </c>
      <c r="E1311" s="525">
        <v>0</v>
      </c>
      <c r="F1311" s="526" t="str">
        <f t="shared" si="83"/>
        <v/>
      </c>
      <c r="G1311" s="470" t="str">
        <f t="shared" si="84"/>
        <v/>
      </c>
      <c r="H1311" s="524" t="str">
        <f t="shared" si="85"/>
        <v>否</v>
      </c>
      <c r="I1311" s="312" t="str">
        <f t="shared" si="82"/>
        <v>项</v>
      </c>
    </row>
    <row r="1312" ht="24" customHeight="1" spans="1:9">
      <c r="A1312" s="329">
        <v>227</v>
      </c>
      <c r="B1312" s="377" t="s">
        <v>196</v>
      </c>
      <c r="C1312" s="529">
        <v>5800</v>
      </c>
      <c r="D1312" s="529"/>
      <c r="E1312" s="515">
        <v>5400</v>
      </c>
      <c r="F1312" s="523">
        <f t="shared" si="83"/>
        <v>-0.0689655172413793</v>
      </c>
      <c r="G1312" s="467" t="str">
        <f t="shared" si="84"/>
        <v/>
      </c>
      <c r="H1312" s="524" t="str">
        <f t="shared" si="85"/>
        <v>是</v>
      </c>
      <c r="I1312" s="312" t="str">
        <f t="shared" si="82"/>
        <v>类</v>
      </c>
    </row>
    <row r="1313" s="372" customFormat="1" ht="24" customHeight="1" spans="1:9">
      <c r="A1313" s="329">
        <v>232</v>
      </c>
      <c r="B1313" s="377" t="s">
        <v>197</v>
      </c>
      <c r="C1313" s="515">
        <f>C1314</f>
        <v>19358</v>
      </c>
      <c r="D1313" s="515">
        <f>D1314</f>
        <v>19596</v>
      </c>
      <c r="E1313" s="515">
        <f>E1314</f>
        <v>17836</v>
      </c>
      <c r="F1313" s="523">
        <f t="shared" si="83"/>
        <v>-0.0786238247752867</v>
      </c>
      <c r="G1313" s="467">
        <f t="shared" si="84"/>
        <v>-0.0898142478056746</v>
      </c>
      <c r="H1313" s="524" t="str">
        <f t="shared" si="85"/>
        <v>是</v>
      </c>
      <c r="I1313" s="312" t="str">
        <f t="shared" si="82"/>
        <v>类</v>
      </c>
    </row>
    <row r="1314" s="372" customFormat="1" ht="24" customHeight="1" spans="1:9">
      <c r="A1314" s="330">
        <v>23203</v>
      </c>
      <c r="B1314" s="379" t="s">
        <v>1188</v>
      </c>
      <c r="C1314" s="515">
        <f>SUM(C1315:C1318)</f>
        <v>19358</v>
      </c>
      <c r="D1314" s="515">
        <f>SUM(D1315:D1318)</f>
        <v>19596</v>
      </c>
      <c r="E1314" s="515">
        <v>17836</v>
      </c>
      <c r="F1314" s="523">
        <f t="shared" si="83"/>
        <v>-0.0786238247752867</v>
      </c>
      <c r="G1314" s="467">
        <f t="shared" si="84"/>
        <v>-0.0898142478056746</v>
      </c>
      <c r="H1314" s="524" t="str">
        <f t="shared" si="85"/>
        <v>是</v>
      </c>
      <c r="I1314" s="312" t="str">
        <f t="shared" si="82"/>
        <v>款</v>
      </c>
    </row>
    <row r="1315" s="372" customFormat="1" ht="24" customHeight="1" spans="1:9">
      <c r="A1315" s="330">
        <v>2320301</v>
      </c>
      <c r="B1315" s="379" t="s">
        <v>1189</v>
      </c>
      <c r="C1315" s="516">
        <v>19358</v>
      </c>
      <c r="D1315" s="516">
        <f>'04'!F1314</f>
        <v>19595</v>
      </c>
      <c r="E1315" s="525">
        <v>17836</v>
      </c>
      <c r="F1315" s="526">
        <f t="shared" si="83"/>
        <v>-0.0786238247752867</v>
      </c>
      <c r="G1315" s="470">
        <f t="shared" si="84"/>
        <v>-0.0897677979076295</v>
      </c>
      <c r="H1315" s="524" t="str">
        <f t="shared" si="85"/>
        <v>是</v>
      </c>
      <c r="I1315" s="312" t="str">
        <f t="shared" si="82"/>
        <v>项</v>
      </c>
    </row>
    <row r="1316" s="372" customFormat="1" ht="24" customHeight="1" spans="1:9">
      <c r="A1316" s="330">
        <v>2320302</v>
      </c>
      <c r="B1316" s="379" t="s">
        <v>1190</v>
      </c>
      <c r="C1316" s="516"/>
      <c r="D1316" s="516">
        <f>'04'!F1315</f>
        <v>1</v>
      </c>
      <c r="E1316" s="525">
        <v>0</v>
      </c>
      <c r="F1316" s="526" t="str">
        <f t="shared" si="83"/>
        <v/>
      </c>
      <c r="G1316" s="470">
        <f t="shared" si="84"/>
        <v>-1</v>
      </c>
      <c r="H1316" s="524" t="str">
        <f t="shared" si="85"/>
        <v>是</v>
      </c>
      <c r="I1316" s="312" t="str">
        <f t="shared" si="82"/>
        <v>项</v>
      </c>
    </row>
    <row r="1317" s="372" customFormat="1" ht="24" hidden="1" customHeight="1" spans="1:9">
      <c r="A1317" s="330">
        <v>2320303</v>
      </c>
      <c r="B1317" s="379" t="s">
        <v>1191</v>
      </c>
      <c r="C1317" s="516"/>
      <c r="D1317" s="516">
        <f>'04'!F1316</f>
        <v>0</v>
      </c>
      <c r="E1317" s="525">
        <v>0</v>
      </c>
      <c r="F1317" s="526" t="str">
        <f t="shared" si="83"/>
        <v/>
      </c>
      <c r="G1317" s="470" t="str">
        <f t="shared" si="84"/>
        <v/>
      </c>
      <c r="H1317" s="524" t="str">
        <f t="shared" si="85"/>
        <v>否</v>
      </c>
      <c r="I1317" s="312" t="str">
        <f t="shared" si="82"/>
        <v>项</v>
      </c>
    </row>
    <row r="1318" s="372" customFormat="1" ht="24" hidden="1" customHeight="1" spans="1:9">
      <c r="A1318" s="326">
        <v>2320399</v>
      </c>
      <c r="B1318" s="379" t="s">
        <v>1192</v>
      </c>
      <c r="C1318" s="516"/>
      <c r="D1318" s="516">
        <f>'04'!F1317</f>
        <v>0</v>
      </c>
      <c r="E1318" s="525">
        <v>0</v>
      </c>
      <c r="F1318" s="526" t="str">
        <f t="shared" si="83"/>
        <v/>
      </c>
      <c r="G1318" s="470" t="str">
        <f t="shared" si="84"/>
        <v/>
      </c>
      <c r="H1318" s="524" t="str">
        <f t="shared" si="85"/>
        <v>否</v>
      </c>
      <c r="I1318" s="312" t="str">
        <f t="shared" si="82"/>
        <v>项</v>
      </c>
    </row>
    <row r="1319" s="372" customFormat="1" ht="24" customHeight="1" spans="1:9">
      <c r="A1319" s="411" t="s">
        <v>1224</v>
      </c>
      <c r="B1319" s="377" t="s">
        <v>198</v>
      </c>
      <c r="C1319" s="515">
        <f>C1320</f>
        <v>100</v>
      </c>
      <c r="D1319" s="515">
        <f>D1320</f>
        <v>138</v>
      </c>
      <c r="E1319" s="515">
        <f>E1320</f>
        <v>700</v>
      </c>
      <c r="F1319" s="523">
        <f t="shared" si="83"/>
        <v>6</v>
      </c>
      <c r="G1319" s="467">
        <f t="shared" si="84"/>
        <v>4.07246376811594</v>
      </c>
      <c r="H1319" s="524" t="str">
        <f t="shared" si="85"/>
        <v>是</v>
      </c>
      <c r="I1319" s="312" t="str">
        <f t="shared" si="82"/>
        <v>类</v>
      </c>
    </row>
    <row r="1320" s="372" customFormat="1" ht="24" customHeight="1" spans="1:9">
      <c r="A1320" s="339" t="s">
        <v>1761</v>
      </c>
      <c r="B1320" s="379" t="s">
        <v>1193</v>
      </c>
      <c r="C1320" s="516">
        <v>100</v>
      </c>
      <c r="D1320" s="516">
        <f>'04'!F1319</f>
        <v>138</v>
      </c>
      <c r="E1320" s="525">
        <v>700</v>
      </c>
      <c r="F1320" s="526">
        <f t="shared" si="83"/>
        <v>6</v>
      </c>
      <c r="G1320" s="470">
        <f t="shared" si="84"/>
        <v>4.07246376811594</v>
      </c>
      <c r="H1320" s="524" t="str">
        <f t="shared" si="85"/>
        <v>是</v>
      </c>
      <c r="I1320" s="312" t="str">
        <f t="shared" si="82"/>
        <v>款</v>
      </c>
    </row>
    <row r="1321" s="372" customFormat="1" ht="24" customHeight="1" spans="1:9">
      <c r="A1321" s="411" t="s">
        <v>1225</v>
      </c>
      <c r="B1321" s="377" t="s">
        <v>199</v>
      </c>
      <c r="C1321" s="515">
        <f>C1322+C1323</f>
        <v>0</v>
      </c>
      <c r="D1321" s="515">
        <f>D1322+D1323</f>
        <v>12</v>
      </c>
      <c r="E1321" s="515">
        <f>E1322+E1323</f>
        <v>0</v>
      </c>
      <c r="F1321" s="523" t="str">
        <f t="shared" si="83"/>
        <v/>
      </c>
      <c r="G1321" s="467">
        <f t="shared" si="84"/>
        <v>-1</v>
      </c>
      <c r="H1321" s="524" t="str">
        <f t="shared" si="85"/>
        <v>是</v>
      </c>
      <c r="I1321" s="312" t="str">
        <f t="shared" si="82"/>
        <v>类</v>
      </c>
    </row>
    <row r="1322" s="372" customFormat="1" ht="24" hidden="1" customHeight="1" spans="1:9">
      <c r="A1322" s="339" t="s">
        <v>1235</v>
      </c>
      <c r="B1322" s="379" t="s">
        <v>1194</v>
      </c>
      <c r="C1322" s="529"/>
      <c r="D1322" s="516">
        <f>'04'!F1321</f>
        <v>0</v>
      </c>
      <c r="E1322" s="525"/>
      <c r="F1322" s="526" t="str">
        <f t="shared" si="83"/>
        <v/>
      </c>
      <c r="G1322" s="470" t="str">
        <f t="shared" si="84"/>
        <v/>
      </c>
      <c r="H1322" s="524" t="str">
        <f t="shared" si="85"/>
        <v>否</v>
      </c>
      <c r="I1322" s="312"/>
    </row>
    <row r="1323" s="372" customFormat="1" ht="24" customHeight="1" spans="1:9">
      <c r="A1323" s="339" t="s">
        <v>1236</v>
      </c>
      <c r="B1323" s="379" t="s">
        <v>1055</v>
      </c>
      <c r="C1323" s="529"/>
      <c r="D1323" s="516">
        <f>'04'!F1322</f>
        <v>12</v>
      </c>
      <c r="E1323" s="525"/>
      <c r="F1323" s="526" t="str">
        <f t="shared" si="83"/>
        <v/>
      </c>
      <c r="G1323" s="470">
        <f t="shared" si="84"/>
        <v>-1</v>
      </c>
      <c r="H1323" s="524" t="str">
        <f t="shared" si="85"/>
        <v>是</v>
      </c>
      <c r="I1323" s="312"/>
    </row>
    <row r="1324" ht="24" customHeight="1" spans="1:8">
      <c r="A1324" s="411"/>
      <c r="B1324" s="377"/>
      <c r="C1324" s="529"/>
      <c r="D1324" s="529">
        <f>'04'!F1323</f>
        <v>0</v>
      </c>
      <c r="E1324" s="529"/>
      <c r="F1324" s="526" t="str">
        <f t="shared" si="83"/>
        <v/>
      </c>
      <c r="G1324" s="470" t="str">
        <f t="shared" si="84"/>
        <v/>
      </c>
      <c r="H1324" s="524" t="str">
        <f t="shared" si="85"/>
        <v>是</v>
      </c>
    </row>
    <row r="1325" s="372" customFormat="1" ht="24" customHeight="1" spans="1:9">
      <c r="A1325" s="548"/>
      <c r="B1325" s="549" t="s">
        <v>1195</v>
      </c>
      <c r="C1325" s="515">
        <f>C5+C253+C293+C312+C402+C454+C510+C566+C695+C779+C851+C874+C977+C1029+C1093+C1113+C1143+C1153+C1198+C1217+C1262+C1312+C1313+C1319+C1321</f>
        <v>572466</v>
      </c>
      <c r="D1325" s="515">
        <f>D5+D253+D293+D312+D402+D454+D510+D566+D695+D779+D851+D874+D977+D1029+D1093+D1113+D1143+D1153+D1198+D1217+D1262+D1312+D1313+D1319+D1321</f>
        <v>499910</v>
      </c>
      <c r="E1325" s="515">
        <f>E5+E253+E293+E312+E402+E454+E510+E566+E695+E779+E851+E874+E977+E1029+E1093+E1113+E1143+E1153+E1198+E1217+E1262+E1312+E1313+E1319+E1321</f>
        <v>534904</v>
      </c>
      <c r="F1325" s="523">
        <f t="shared" si="83"/>
        <v>-0.0656143770983779</v>
      </c>
      <c r="G1325" s="467">
        <f t="shared" si="84"/>
        <v>0.0700006001080194</v>
      </c>
      <c r="H1325" s="524" t="str">
        <f t="shared" si="85"/>
        <v>是</v>
      </c>
      <c r="I1325" s="312"/>
    </row>
    <row r="1326" s="372" customFormat="1" ht="24" customHeight="1" spans="1:9">
      <c r="A1326" s="312"/>
      <c r="B1326" s="312"/>
      <c r="C1326" s="369"/>
      <c r="D1326" s="369"/>
      <c r="E1326" s="369"/>
      <c r="F1326" s="508"/>
      <c r="G1326" s="312"/>
      <c r="H1326" s="312"/>
      <c r="I1326" s="312"/>
    </row>
    <row r="1327" s="372" customFormat="1" ht="24" customHeight="1" spans="1:9">
      <c r="A1327" s="312"/>
      <c r="B1327" s="312"/>
      <c r="C1327" s="369"/>
      <c r="D1327" s="369"/>
      <c r="E1327" s="369"/>
      <c r="F1327" s="508"/>
      <c r="G1327" s="312"/>
      <c r="H1327" s="312"/>
      <c r="I1327" s="312"/>
    </row>
    <row r="1328" s="372" customFormat="1" ht="24" customHeight="1" spans="1:9">
      <c r="A1328" s="312"/>
      <c r="B1328" s="312"/>
      <c r="C1328" s="369"/>
      <c r="D1328" s="369"/>
      <c r="E1328" s="369"/>
      <c r="F1328" s="508"/>
      <c r="G1328" s="312"/>
      <c r="H1328" s="312"/>
      <c r="I1328" s="312"/>
    </row>
    <row r="1329" s="372" customFormat="1" ht="24" customHeight="1" spans="1:9">
      <c r="A1329" s="312"/>
      <c r="B1329" s="312"/>
      <c r="C1329" s="369"/>
      <c r="D1329" s="369"/>
      <c r="E1329" s="369"/>
      <c r="F1329" s="508"/>
      <c r="G1329" s="312"/>
      <c r="H1329" s="312"/>
      <c r="I1329" s="312"/>
    </row>
    <row r="1330" ht="24" customHeight="1"/>
    <row r="1331" s="372" customFormat="1" ht="24" customHeight="1" spans="1:9">
      <c r="A1331" s="312"/>
      <c r="B1331" s="312"/>
      <c r="C1331" s="369"/>
      <c r="D1331" s="369"/>
      <c r="E1331" s="369"/>
      <c r="F1331" s="508"/>
      <c r="G1331" s="312"/>
      <c r="H1331" s="312"/>
      <c r="I1331" s="312"/>
    </row>
    <row r="1332" s="372" customFormat="1" ht="24" customHeight="1" spans="1:9">
      <c r="A1332" s="312"/>
      <c r="B1332" s="312"/>
      <c r="C1332" s="369"/>
      <c r="D1332" s="369"/>
      <c r="E1332" s="369"/>
      <c r="F1332" s="508"/>
      <c r="G1332" s="312"/>
      <c r="H1332" s="312"/>
      <c r="I1332" s="312"/>
    </row>
    <row r="1333" s="372" customFormat="1" ht="24" customHeight="1" spans="1:9">
      <c r="A1333" s="312"/>
      <c r="B1333" s="312"/>
      <c r="C1333" s="369"/>
      <c r="D1333" s="369"/>
      <c r="E1333" s="369"/>
      <c r="F1333" s="508"/>
      <c r="G1333" s="312"/>
      <c r="H1333" s="312"/>
      <c r="I1333" s="312"/>
    </row>
    <row r="1334" s="372" customFormat="1" ht="24" customHeight="1" spans="1:9">
      <c r="A1334" s="312"/>
      <c r="B1334" s="312"/>
      <c r="C1334" s="369"/>
      <c r="D1334" s="369"/>
      <c r="E1334" s="369"/>
      <c r="F1334" s="508"/>
      <c r="G1334" s="312"/>
      <c r="H1334" s="312"/>
      <c r="I1334" s="312"/>
    </row>
    <row r="1335" s="372" customFormat="1" ht="24" customHeight="1" spans="1:9">
      <c r="A1335" s="312"/>
      <c r="B1335" s="312"/>
      <c r="C1335" s="369"/>
      <c r="D1335" s="369"/>
      <c r="E1335" s="369"/>
      <c r="F1335" s="508"/>
      <c r="G1335" s="312"/>
      <c r="H1335" s="312"/>
      <c r="I1335" s="312"/>
    </row>
    <row r="1336" ht="24" customHeight="1"/>
    <row r="1337" s="372" customFormat="1" ht="24" customHeight="1" spans="1:9">
      <c r="A1337" s="312"/>
      <c r="B1337" s="312"/>
      <c r="C1337" s="369"/>
      <c r="D1337" s="369"/>
      <c r="E1337" s="369"/>
      <c r="F1337" s="508"/>
      <c r="G1337" s="312"/>
      <c r="H1337" s="312"/>
      <c r="I1337" s="312"/>
    </row>
    <row r="1338" s="372" customFormat="1" ht="24" customHeight="1" spans="1:9">
      <c r="A1338" s="312"/>
      <c r="B1338" s="312"/>
      <c r="C1338" s="369"/>
      <c r="D1338" s="369"/>
      <c r="E1338" s="369"/>
      <c r="F1338" s="508"/>
      <c r="G1338" s="312"/>
      <c r="H1338" s="312"/>
      <c r="I1338" s="312"/>
    </row>
    <row r="1339" s="372" customFormat="1" ht="24" customHeight="1" spans="1:9">
      <c r="A1339" s="312"/>
      <c r="B1339" s="312"/>
      <c r="C1339" s="369"/>
      <c r="D1339" s="369"/>
      <c r="E1339" s="369"/>
      <c r="F1339" s="508"/>
      <c r="G1339" s="312"/>
      <c r="H1339" s="312"/>
      <c r="I1339" s="312"/>
    </row>
    <row r="1340" s="372" customFormat="1" ht="24" customHeight="1" spans="1:9">
      <c r="A1340" s="312"/>
      <c r="B1340" s="312"/>
      <c r="C1340" s="369"/>
      <c r="D1340" s="369"/>
      <c r="E1340" s="369"/>
      <c r="F1340" s="508"/>
      <c r="G1340" s="312"/>
      <c r="H1340" s="312"/>
      <c r="I1340" s="312"/>
    </row>
    <row r="1341" s="372" customFormat="1" ht="24" customHeight="1" spans="1:9">
      <c r="A1341" s="312"/>
      <c r="B1341" s="312"/>
      <c r="C1341" s="369"/>
      <c r="D1341" s="369"/>
      <c r="E1341" s="369"/>
      <c r="F1341" s="508"/>
      <c r="G1341" s="312"/>
      <c r="H1341" s="312"/>
      <c r="I1341" s="312"/>
    </row>
    <row r="1342" s="372" customFormat="1" ht="24" customHeight="1" spans="1:9">
      <c r="A1342" s="312"/>
      <c r="B1342" s="312"/>
      <c r="C1342" s="369"/>
      <c r="D1342" s="369"/>
      <c r="E1342" s="369"/>
      <c r="F1342" s="508"/>
      <c r="G1342" s="312"/>
      <c r="H1342" s="312"/>
      <c r="I1342" s="312"/>
    </row>
    <row r="1343" s="372" customFormat="1" ht="24" customHeight="1" spans="1:9">
      <c r="A1343" s="312"/>
      <c r="B1343" s="312"/>
      <c r="C1343" s="369"/>
      <c r="D1343" s="369"/>
      <c r="E1343" s="369"/>
      <c r="F1343" s="508"/>
      <c r="G1343" s="312"/>
      <c r="H1343" s="312"/>
      <c r="I1343" s="312"/>
    </row>
    <row r="1344" ht="24" customHeight="1"/>
    <row r="1345" s="372" customFormat="1" ht="24" customHeight="1" spans="1:9">
      <c r="A1345" s="312"/>
      <c r="B1345" s="312"/>
      <c r="C1345" s="369"/>
      <c r="D1345" s="369"/>
      <c r="E1345" s="369"/>
      <c r="F1345" s="508"/>
      <c r="G1345" s="312"/>
      <c r="H1345" s="312"/>
      <c r="I1345" s="312"/>
    </row>
    <row r="1346" s="372" customFormat="1" ht="24" customHeight="1" spans="1:9">
      <c r="A1346" s="312"/>
      <c r="B1346" s="312"/>
      <c r="C1346" s="369"/>
      <c r="D1346" s="369"/>
      <c r="E1346" s="369"/>
      <c r="F1346" s="508"/>
      <c r="G1346" s="312"/>
      <c r="H1346" s="312"/>
      <c r="I1346" s="312"/>
    </row>
    <row r="1347" s="372" customFormat="1" ht="24" customHeight="1" spans="1:9">
      <c r="A1347" s="312"/>
      <c r="B1347" s="312"/>
      <c r="C1347" s="369"/>
      <c r="D1347" s="369"/>
      <c r="E1347" s="369"/>
      <c r="F1347" s="508"/>
      <c r="G1347" s="312"/>
      <c r="H1347" s="312"/>
      <c r="I1347" s="312"/>
    </row>
    <row r="1348" s="372" customFormat="1" ht="24" customHeight="1" spans="1:9">
      <c r="A1348" s="312"/>
      <c r="B1348" s="312"/>
      <c r="C1348" s="369"/>
      <c r="D1348" s="369"/>
      <c r="E1348" s="369"/>
      <c r="F1348" s="508"/>
      <c r="G1348" s="312"/>
      <c r="H1348" s="312"/>
      <c r="I1348" s="312"/>
    </row>
    <row r="1349" s="372" customFormat="1" ht="24" customHeight="1" spans="1:9">
      <c r="A1349" s="312"/>
      <c r="B1349" s="312"/>
      <c r="C1349" s="369"/>
      <c r="D1349" s="369"/>
      <c r="E1349" s="369"/>
      <c r="F1349" s="508"/>
      <c r="G1349" s="312"/>
      <c r="H1349" s="312"/>
      <c r="I1349" s="312"/>
    </row>
    <row r="1350" s="372" customFormat="1" ht="24" customHeight="1" spans="1:9">
      <c r="A1350" s="312"/>
      <c r="B1350" s="312"/>
      <c r="C1350" s="369"/>
      <c r="D1350" s="369"/>
      <c r="E1350" s="369"/>
      <c r="F1350" s="508"/>
      <c r="G1350" s="312"/>
      <c r="H1350" s="312"/>
      <c r="I1350" s="312"/>
    </row>
    <row r="1351" s="372" customFormat="1" ht="24" customHeight="1" spans="1:9">
      <c r="A1351" s="312"/>
      <c r="B1351" s="312"/>
      <c r="C1351" s="369"/>
      <c r="D1351" s="369"/>
      <c r="E1351" s="369"/>
      <c r="F1351" s="508"/>
      <c r="G1351" s="312"/>
      <c r="H1351" s="312"/>
      <c r="I1351" s="312"/>
    </row>
    <row r="1352" s="372" customFormat="1" ht="24" customHeight="1" spans="1:9">
      <c r="A1352" s="312"/>
      <c r="B1352" s="312"/>
      <c r="C1352" s="369"/>
      <c r="D1352" s="369"/>
      <c r="E1352" s="369"/>
      <c r="F1352" s="508"/>
      <c r="G1352" s="312"/>
      <c r="H1352" s="312"/>
      <c r="I1352" s="312"/>
    </row>
    <row r="1353" s="372" customFormat="1" ht="24" customHeight="1" spans="1:9">
      <c r="A1353" s="312"/>
      <c r="B1353" s="312"/>
      <c r="C1353" s="369"/>
      <c r="D1353" s="369"/>
      <c r="E1353" s="369"/>
      <c r="F1353" s="508"/>
      <c r="G1353" s="312"/>
      <c r="H1353" s="312"/>
      <c r="I1353" s="312"/>
    </row>
    <row r="1354" s="372" customFormat="1" ht="24" customHeight="1" spans="1:9">
      <c r="A1354" s="312"/>
      <c r="B1354" s="312"/>
      <c r="C1354" s="369"/>
      <c r="D1354" s="369"/>
      <c r="E1354" s="369"/>
      <c r="F1354" s="508"/>
      <c r="G1354" s="312"/>
      <c r="H1354" s="312"/>
      <c r="I1354" s="312"/>
    </row>
    <row r="1355" s="372" customFormat="1" ht="24" customHeight="1" spans="1:9">
      <c r="A1355" s="312"/>
      <c r="B1355" s="312"/>
      <c r="C1355" s="369"/>
      <c r="D1355" s="369"/>
      <c r="E1355" s="369"/>
      <c r="F1355" s="508"/>
      <c r="G1355" s="312"/>
      <c r="H1355" s="312"/>
      <c r="I1355" s="312"/>
    </row>
    <row r="1356" s="372" customFormat="1" ht="24" customHeight="1" spans="1:9">
      <c r="A1356" s="312"/>
      <c r="B1356" s="312"/>
      <c r="C1356" s="369"/>
      <c r="D1356" s="369"/>
      <c r="E1356" s="369"/>
      <c r="F1356" s="508"/>
      <c r="G1356" s="312"/>
      <c r="H1356" s="312"/>
      <c r="I1356" s="312"/>
    </row>
    <row r="1357" ht="24" customHeight="1"/>
    <row r="1358" s="372" customFormat="1" ht="24" customHeight="1" spans="1:9">
      <c r="A1358" s="312"/>
      <c r="B1358" s="312"/>
      <c r="C1358" s="369"/>
      <c r="D1358" s="369"/>
      <c r="E1358" s="369"/>
      <c r="F1358" s="508"/>
      <c r="G1358" s="312"/>
      <c r="H1358" s="312"/>
      <c r="I1358" s="312"/>
    </row>
    <row r="1359" s="372" customFormat="1" ht="24" customHeight="1" spans="1:9">
      <c r="A1359" s="312"/>
      <c r="B1359" s="312"/>
      <c r="C1359" s="369"/>
      <c r="D1359" s="369"/>
      <c r="E1359" s="369"/>
      <c r="F1359" s="508"/>
      <c r="G1359" s="312"/>
      <c r="H1359" s="312"/>
      <c r="I1359" s="312"/>
    </row>
    <row r="1360" s="372" customFormat="1" ht="24" customHeight="1" spans="1:9">
      <c r="A1360" s="312"/>
      <c r="B1360" s="312"/>
      <c r="C1360" s="369"/>
      <c r="D1360" s="369"/>
      <c r="E1360" s="369"/>
      <c r="F1360" s="508"/>
      <c r="G1360" s="312"/>
      <c r="H1360" s="312"/>
      <c r="I1360" s="312"/>
    </row>
    <row r="1361" ht="24" customHeight="1"/>
    <row r="1362" s="372" customFormat="1" ht="24" customHeight="1" spans="1:9">
      <c r="A1362" s="312"/>
      <c r="B1362" s="312"/>
      <c r="C1362" s="369"/>
      <c r="D1362" s="369"/>
      <c r="E1362" s="369"/>
      <c r="F1362" s="508"/>
      <c r="G1362" s="312"/>
      <c r="H1362" s="312"/>
      <c r="I1362" s="312"/>
    </row>
    <row r="1363" s="372" customFormat="1" ht="24" customHeight="1" spans="1:9">
      <c r="A1363" s="312"/>
      <c r="B1363" s="312"/>
      <c r="C1363" s="369"/>
      <c r="D1363" s="369"/>
      <c r="E1363" s="369"/>
      <c r="F1363" s="508"/>
      <c r="G1363" s="312"/>
      <c r="H1363" s="312"/>
      <c r="I1363" s="312"/>
    </row>
    <row r="1364" s="372" customFormat="1" ht="24" customHeight="1" spans="1:9">
      <c r="A1364" s="312"/>
      <c r="B1364" s="312"/>
      <c r="C1364" s="369"/>
      <c r="D1364" s="369"/>
      <c r="E1364" s="369"/>
      <c r="F1364" s="508"/>
      <c r="G1364" s="312"/>
      <c r="H1364" s="312"/>
      <c r="I1364" s="312"/>
    </row>
    <row r="1365" s="372" customFormat="1" ht="24" customHeight="1" spans="1:9">
      <c r="A1365" s="312"/>
      <c r="B1365" s="312"/>
      <c r="C1365" s="369"/>
      <c r="D1365" s="369"/>
      <c r="E1365" s="369"/>
      <c r="F1365" s="508"/>
      <c r="G1365" s="312"/>
      <c r="H1365" s="312"/>
      <c r="I1365" s="312"/>
    </row>
    <row r="1366" s="372" customFormat="1" ht="24" customHeight="1" spans="1:9">
      <c r="A1366" s="312"/>
      <c r="B1366" s="312"/>
      <c r="C1366" s="369"/>
      <c r="D1366" s="369"/>
      <c r="E1366" s="369"/>
      <c r="F1366" s="508"/>
      <c r="G1366" s="312"/>
      <c r="H1366" s="312"/>
      <c r="I1366" s="312"/>
    </row>
    <row r="1367" ht="24" customHeight="1"/>
    <row r="1368" s="372" customFormat="1" ht="24" customHeight="1" spans="1:9">
      <c r="A1368" s="312"/>
      <c r="B1368" s="312"/>
      <c r="C1368" s="369"/>
      <c r="D1368" s="369"/>
      <c r="E1368" s="369"/>
      <c r="F1368" s="508"/>
      <c r="G1368" s="312"/>
      <c r="H1368" s="312"/>
      <c r="I1368" s="312"/>
    </row>
    <row r="1369" ht="24" customHeight="1"/>
    <row r="1370" ht="24" customHeight="1"/>
    <row r="1371" ht="24" customHeight="1"/>
    <row r="1372" s="372" customFormat="1" ht="24" customHeight="1" spans="1:9">
      <c r="A1372" s="312"/>
      <c r="B1372" s="312"/>
      <c r="C1372" s="369"/>
      <c r="D1372" s="369"/>
      <c r="E1372" s="369"/>
      <c r="F1372" s="508"/>
      <c r="G1372" s="312"/>
      <c r="H1372" s="312"/>
      <c r="I1372" s="312"/>
    </row>
    <row r="1373" s="372" customFormat="1" ht="24" customHeight="1" spans="1:9">
      <c r="A1373" s="312"/>
      <c r="B1373" s="312"/>
      <c r="C1373" s="369"/>
      <c r="D1373" s="369"/>
      <c r="E1373" s="369"/>
      <c r="F1373" s="508"/>
      <c r="G1373" s="312"/>
      <c r="H1373" s="312"/>
      <c r="I1373" s="312"/>
    </row>
    <row r="1374" s="372" customFormat="1" ht="24" customHeight="1" spans="1:9">
      <c r="A1374" s="312"/>
      <c r="B1374" s="312"/>
      <c r="C1374" s="369"/>
      <c r="D1374" s="369"/>
      <c r="E1374" s="369"/>
      <c r="F1374" s="508"/>
      <c r="G1374" s="312"/>
      <c r="H1374" s="312"/>
      <c r="I1374" s="312"/>
    </row>
    <row r="1375" s="372" customFormat="1" ht="24" customHeight="1" spans="1:9">
      <c r="A1375" s="312"/>
      <c r="B1375" s="312"/>
      <c r="C1375" s="369"/>
      <c r="D1375" s="369"/>
      <c r="E1375" s="369"/>
      <c r="F1375" s="508"/>
      <c r="G1375" s="312"/>
      <c r="H1375" s="312"/>
      <c r="I1375" s="312"/>
    </row>
    <row r="1376" ht="24" customHeight="1"/>
    <row r="1377" ht="24" customHeight="1"/>
    <row r="1378" ht="24" customHeight="1"/>
    <row r="1379" ht="24" customHeight="1"/>
    <row r="1380" ht="24" customHeight="1"/>
    <row r="1381" ht="24" customHeight="1"/>
    <row r="1382" ht="24" customHeight="1"/>
    <row r="1383" ht="24" customHeight="1"/>
    <row r="1384" ht="24" customHeight="1"/>
    <row r="1385" ht="24" customHeight="1"/>
    <row r="1386" ht="24" customHeight="1"/>
    <row r="1387" ht="24" customHeight="1"/>
    <row r="1388" ht="24" customHeight="1"/>
    <row r="1389" ht="24" customHeight="1"/>
  </sheetData>
  <autoFilter ref="B4:I1325">
    <filterColumn colId="6">
      <customFilters>
        <customFilter operator="equal" val="是"/>
      </customFilters>
    </filterColumn>
    <extLst/>
  </autoFilter>
  <mergeCells count="6">
    <mergeCell ref="B1:G1"/>
    <mergeCell ref="C3:D3"/>
    <mergeCell ref="F3:G3"/>
    <mergeCell ref="A3:A4"/>
    <mergeCell ref="B3:B4"/>
    <mergeCell ref="E3:E4"/>
  </mergeCells>
  <conditionalFormatting sqref="H5:H1325">
    <cfRule type="cellIs" dxfId="1" priority="1309" stopIfTrue="1" operator="lessThan">
      <formula>0</formula>
    </cfRule>
  </conditionalFormatting>
  <printOptions horizontalCentered="1"/>
  <pageMargins left="0.472222222222222" right="0.393055555555556" top="0.354166666666667" bottom="0.354166666666667" header="0.118055555555556" footer="0.118055555555556"/>
  <pageSetup paperSize="9" scale="64" fitToHeight="0" orientation="portrait" horizontalDpi="600"/>
  <headerFooter alignWithMargins="0">
    <oddFooter>&amp;C&amp;16- &amp;P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00B0F0"/>
    <pageSetUpPr fitToPage="1"/>
  </sheetPr>
  <dimension ref="A1:D66"/>
  <sheetViews>
    <sheetView showGridLines="0" showZeros="0" view="pageBreakPreview" zoomScale="85" zoomScaleNormal="100" workbookViewId="0">
      <pane ySplit="3" topLeftCell="A7" activePane="bottomLeft" state="frozen"/>
      <selection/>
      <selection pane="bottomLeft" activeCell="G74" sqref="G74"/>
    </sheetView>
  </sheetViews>
  <sheetFormatPr defaultColWidth="9" defaultRowHeight="14.25" outlineLevelCol="3"/>
  <cols>
    <col min="1" max="1" width="9.125" customWidth="1"/>
    <col min="2" max="2" width="81.125" customWidth="1"/>
    <col min="3" max="3" width="24.2666666666667" customWidth="1"/>
  </cols>
  <sheetData>
    <row r="1" s="290" customFormat="1" ht="45" customHeight="1" spans="1:4">
      <c r="A1" s="491" t="s">
        <v>54</v>
      </c>
      <c r="B1" s="491"/>
      <c r="C1" s="491"/>
      <c r="D1" s="492"/>
    </row>
    <row r="2" s="202" customFormat="1" ht="20.1" customHeight="1" spans="1:4">
      <c r="A2" s="493" t="s">
        <v>53</v>
      </c>
      <c r="B2" s="494"/>
      <c r="C2" s="495" t="s">
        <v>103</v>
      </c>
      <c r="D2" s="496"/>
    </row>
    <row r="3" s="202" customFormat="1" ht="30" customHeight="1" spans="1:4">
      <c r="A3" s="497" t="s">
        <v>1237</v>
      </c>
      <c r="B3" s="497" t="s">
        <v>1718</v>
      </c>
      <c r="C3" s="498" t="s">
        <v>1754</v>
      </c>
      <c r="D3" s="302" t="s">
        <v>113</v>
      </c>
    </row>
    <row r="4" s="202" customFormat="1" ht="30" customHeight="1" spans="1:4">
      <c r="A4" s="499">
        <v>1</v>
      </c>
      <c r="B4" s="500" t="s">
        <v>1762</v>
      </c>
      <c r="C4" s="501">
        <v>500</v>
      </c>
      <c r="D4" s="303" t="s">
        <v>1763</v>
      </c>
    </row>
    <row r="5" s="202" customFormat="1" ht="30" customHeight="1" spans="1:4">
      <c r="A5" s="499">
        <v>2</v>
      </c>
      <c r="B5" s="500" t="s">
        <v>1764</v>
      </c>
      <c r="C5" s="501">
        <v>2000</v>
      </c>
      <c r="D5" s="303" t="s">
        <v>1763</v>
      </c>
    </row>
    <row r="6" s="202" customFormat="1" ht="30" customHeight="1" spans="1:4">
      <c r="A6" s="499">
        <v>3</v>
      </c>
      <c r="B6" s="500" t="s">
        <v>1765</v>
      </c>
      <c r="C6" s="501">
        <v>4000</v>
      </c>
      <c r="D6" s="303" t="s">
        <v>1763</v>
      </c>
    </row>
    <row r="7" s="202" customFormat="1" ht="30" customHeight="1" spans="1:4">
      <c r="A7" s="499">
        <v>4</v>
      </c>
      <c r="B7" s="500" t="s">
        <v>1766</v>
      </c>
      <c r="C7" s="501">
        <v>3000</v>
      </c>
      <c r="D7" s="303" t="s">
        <v>1763</v>
      </c>
    </row>
    <row r="8" s="202" customFormat="1" ht="30" customHeight="1" spans="1:4">
      <c r="A8" s="499">
        <v>5</v>
      </c>
      <c r="B8" s="500" t="s">
        <v>1767</v>
      </c>
      <c r="C8" s="501">
        <v>5.67</v>
      </c>
      <c r="D8" s="303" t="s">
        <v>1763</v>
      </c>
    </row>
    <row r="9" s="202" customFormat="1" ht="30" customHeight="1" spans="1:4">
      <c r="A9" s="499">
        <v>6</v>
      </c>
      <c r="B9" s="500" t="s">
        <v>1768</v>
      </c>
      <c r="C9" s="501">
        <v>1155</v>
      </c>
      <c r="D9" s="303" t="s">
        <v>1763</v>
      </c>
    </row>
    <row r="10" s="202" customFormat="1" ht="30" customHeight="1" spans="1:4">
      <c r="A10" s="499">
        <v>7</v>
      </c>
      <c r="B10" s="500" t="s">
        <v>1769</v>
      </c>
      <c r="C10" s="501">
        <v>6900</v>
      </c>
      <c r="D10" s="303" t="s">
        <v>1763</v>
      </c>
    </row>
    <row r="11" s="202" customFormat="1" ht="30" customHeight="1" spans="1:4">
      <c r="A11" s="499">
        <v>8</v>
      </c>
      <c r="B11" s="500" t="s">
        <v>1770</v>
      </c>
      <c r="C11" s="501">
        <v>1250.17</v>
      </c>
      <c r="D11" s="303" t="s">
        <v>1763</v>
      </c>
    </row>
    <row r="12" s="202" customFormat="1" ht="30" customHeight="1" spans="1:4">
      <c r="A12" s="499">
        <v>9</v>
      </c>
      <c r="B12" s="500" t="s">
        <v>1771</v>
      </c>
      <c r="C12" s="501">
        <v>1236</v>
      </c>
      <c r="D12" s="303" t="s">
        <v>1763</v>
      </c>
    </row>
    <row r="13" s="202" customFormat="1" ht="30" customHeight="1" spans="1:4">
      <c r="A13" s="499">
        <v>10</v>
      </c>
      <c r="B13" s="500" t="s">
        <v>1772</v>
      </c>
      <c r="C13" s="501">
        <v>400</v>
      </c>
      <c r="D13" s="303" t="s">
        <v>1763</v>
      </c>
    </row>
    <row r="14" s="202" customFormat="1" ht="30" customHeight="1" spans="1:4">
      <c r="A14" s="499">
        <v>11</v>
      </c>
      <c r="B14" s="500" t="s">
        <v>1773</v>
      </c>
      <c r="C14" s="501">
        <v>600</v>
      </c>
      <c r="D14" s="303" t="s">
        <v>1763</v>
      </c>
    </row>
    <row r="15" s="202" customFormat="1" ht="30" customHeight="1" spans="1:4">
      <c r="A15" s="499">
        <v>12</v>
      </c>
      <c r="B15" s="500" t="s">
        <v>1774</v>
      </c>
      <c r="C15" s="501">
        <v>1500</v>
      </c>
      <c r="D15" s="303" t="s">
        <v>1763</v>
      </c>
    </row>
    <row r="16" s="202" customFormat="1" ht="30" customHeight="1" spans="1:4">
      <c r="A16" s="499">
        <v>13</v>
      </c>
      <c r="B16" s="500" t="s">
        <v>1775</v>
      </c>
      <c r="C16" s="501">
        <v>3000</v>
      </c>
      <c r="D16" s="303" t="s">
        <v>1763</v>
      </c>
    </row>
    <row r="17" s="202" customFormat="1" ht="30" customHeight="1" spans="1:4">
      <c r="A17" s="499">
        <v>14</v>
      </c>
      <c r="B17" s="500" t="s">
        <v>1776</v>
      </c>
      <c r="C17" s="501">
        <v>47.2</v>
      </c>
      <c r="D17" s="303" t="s">
        <v>1763</v>
      </c>
    </row>
    <row r="18" s="202" customFormat="1" ht="30" customHeight="1" spans="1:4">
      <c r="A18" s="499">
        <v>15</v>
      </c>
      <c r="B18" s="500" t="s">
        <v>1777</v>
      </c>
      <c r="C18" s="501">
        <v>55</v>
      </c>
      <c r="D18" s="303" t="s">
        <v>1763</v>
      </c>
    </row>
    <row r="19" s="202" customFormat="1" ht="30" customHeight="1" spans="1:4">
      <c r="A19" s="499">
        <v>16</v>
      </c>
      <c r="B19" s="500" t="s">
        <v>1778</v>
      </c>
      <c r="C19" s="501">
        <v>328.7</v>
      </c>
      <c r="D19" s="303" t="s">
        <v>1763</v>
      </c>
    </row>
    <row r="20" s="202" customFormat="1" ht="30" customHeight="1" spans="1:4">
      <c r="A20" s="499">
        <v>17</v>
      </c>
      <c r="B20" s="500" t="s">
        <v>1779</v>
      </c>
      <c r="C20" s="501">
        <v>990.78</v>
      </c>
      <c r="D20" s="303" t="s">
        <v>1763</v>
      </c>
    </row>
    <row r="21" s="202" customFormat="1" ht="30" customHeight="1" spans="1:4">
      <c r="A21" s="499">
        <v>18</v>
      </c>
      <c r="B21" s="500" t="s">
        <v>1780</v>
      </c>
      <c r="C21" s="501">
        <v>500</v>
      </c>
      <c r="D21" s="303" t="s">
        <v>1763</v>
      </c>
    </row>
    <row r="22" s="202" customFormat="1" ht="30" customHeight="1" spans="1:4">
      <c r="A22" s="499">
        <v>19</v>
      </c>
      <c r="B22" s="500" t="s">
        <v>1781</v>
      </c>
      <c r="C22" s="501">
        <v>1050.27</v>
      </c>
      <c r="D22" s="303" t="s">
        <v>1763</v>
      </c>
    </row>
    <row r="23" s="202" customFormat="1" ht="30" customHeight="1" spans="1:4">
      <c r="A23" s="499">
        <v>20</v>
      </c>
      <c r="B23" s="500" t="s">
        <v>1782</v>
      </c>
      <c r="C23" s="501">
        <v>55.68</v>
      </c>
      <c r="D23" s="303" t="s">
        <v>1763</v>
      </c>
    </row>
    <row r="24" s="202" customFormat="1" ht="30" customHeight="1" spans="1:4">
      <c r="A24" s="499">
        <v>21</v>
      </c>
      <c r="B24" s="500" t="s">
        <v>1783</v>
      </c>
      <c r="C24" s="501">
        <v>11.98</v>
      </c>
      <c r="D24" s="303" t="s">
        <v>1763</v>
      </c>
    </row>
    <row r="25" s="202" customFormat="1" ht="30" customHeight="1" spans="1:4">
      <c r="A25" s="499">
        <v>22</v>
      </c>
      <c r="B25" s="500" t="s">
        <v>1784</v>
      </c>
      <c r="C25" s="501">
        <v>409</v>
      </c>
      <c r="D25" s="303" t="s">
        <v>1763</v>
      </c>
    </row>
    <row r="26" s="202" customFormat="1" ht="30" customHeight="1" spans="1:4">
      <c r="A26" s="499">
        <v>23</v>
      </c>
      <c r="B26" s="500" t="s">
        <v>1785</v>
      </c>
      <c r="C26" s="501">
        <v>4.53</v>
      </c>
      <c r="D26" s="303" t="s">
        <v>1763</v>
      </c>
    </row>
    <row r="27" s="202" customFormat="1" ht="30" customHeight="1" spans="1:4">
      <c r="A27" s="499">
        <v>24</v>
      </c>
      <c r="B27" s="500" t="s">
        <v>1786</v>
      </c>
      <c r="C27" s="501">
        <v>58</v>
      </c>
      <c r="D27" s="303" t="s">
        <v>1763</v>
      </c>
    </row>
    <row r="28" s="202" customFormat="1" ht="30" customHeight="1" spans="1:4">
      <c r="A28" s="499">
        <v>25</v>
      </c>
      <c r="B28" s="500" t="s">
        <v>1787</v>
      </c>
      <c r="C28" s="501">
        <v>117</v>
      </c>
      <c r="D28" s="303" t="s">
        <v>1763</v>
      </c>
    </row>
    <row r="29" s="202" customFormat="1" ht="30" customHeight="1" spans="1:4">
      <c r="A29" s="499">
        <v>26</v>
      </c>
      <c r="B29" s="500" t="s">
        <v>1788</v>
      </c>
      <c r="C29" s="501">
        <v>145</v>
      </c>
      <c r="D29" s="303" t="s">
        <v>1763</v>
      </c>
    </row>
    <row r="30" s="202" customFormat="1" ht="30" customHeight="1" spans="1:4">
      <c r="A30" s="499">
        <v>27</v>
      </c>
      <c r="B30" s="500" t="s">
        <v>1789</v>
      </c>
      <c r="C30" s="501">
        <v>99.85</v>
      </c>
      <c r="D30" s="303" t="s">
        <v>1763</v>
      </c>
    </row>
    <row r="31" s="202" customFormat="1" ht="30" customHeight="1" spans="1:4">
      <c r="A31" s="499">
        <v>28</v>
      </c>
      <c r="B31" s="500" t="s">
        <v>1790</v>
      </c>
      <c r="C31" s="501">
        <v>98.27</v>
      </c>
      <c r="D31" s="303" t="s">
        <v>1763</v>
      </c>
    </row>
    <row r="32" s="202" customFormat="1" ht="30" customHeight="1" spans="1:4">
      <c r="A32" s="499">
        <v>29</v>
      </c>
      <c r="B32" s="500" t="s">
        <v>1791</v>
      </c>
      <c r="C32" s="501">
        <v>5.74</v>
      </c>
      <c r="D32" s="303" t="s">
        <v>1763</v>
      </c>
    </row>
    <row r="33" s="202" customFormat="1" ht="30" customHeight="1" spans="1:4">
      <c r="A33" s="499">
        <v>30</v>
      </c>
      <c r="B33" s="500" t="s">
        <v>1792</v>
      </c>
      <c r="C33" s="501">
        <v>279.208</v>
      </c>
      <c r="D33" s="303" t="s">
        <v>1763</v>
      </c>
    </row>
    <row r="34" s="202" customFormat="1" ht="30" customHeight="1" spans="1:4">
      <c r="A34" s="499">
        <v>31</v>
      </c>
      <c r="B34" s="500" t="s">
        <v>1793</v>
      </c>
      <c r="C34" s="501">
        <v>9.936</v>
      </c>
      <c r="D34" s="303" t="s">
        <v>1763</v>
      </c>
    </row>
    <row r="35" s="202" customFormat="1" ht="30" customHeight="1" spans="1:4">
      <c r="A35" s="499">
        <v>32</v>
      </c>
      <c r="B35" s="500" t="s">
        <v>1794</v>
      </c>
      <c r="C35" s="501">
        <v>400</v>
      </c>
      <c r="D35" s="303" t="s">
        <v>1763</v>
      </c>
    </row>
    <row r="36" s="202" customFormat="1" ht="30" customHeight="1" spans="1:4">
      <c r="A36" s="499">
        <v>33</v>
      </c>
      <c r="B36" s="500" t="s">
        <v>1795</v>
      </c>
      <c r="C36" s="501">
        <v>143.2</v>
      </c>
      <c r="D36" s="303" t="s">
        <v>1763</v>
      </c>
    </row>
    <row r="37" s="202" customFormat="1" ht="30" customHeight="1" spans="1:4">
      <c r="A37" s="499">
        <v>34</v>
      </c>
      <c r="B37" s="500" t="s">
        <v>1796</v>
      </c>
      <c r="C37" s="501">
        <v>4</v>
      </c>
      <c r="D37" s="303" t="s">
        <v>1763</v>
      </c>
    </row>
    <row r="38" s="202" customFormat="1" ht="30" customHeight="1" spans="1:4">
      <c r="A38" s="499">
        <v>35</v>
      </c>
      <c r="B38" s="500" t="s">
        <v>1797</v>
      </c>
      <c r="C38" s="501">
        <v>117.9</v>
      </c>
      <c r="D38" s="303" t="s">
        <v>1763</v>
      </c>
    </row>
    <row r="39" s="202" customFormat="1" ht="30" customHeight="1" spans="1:4">
      <c r="A39" s="499">
        <v>36</v>
      </c>
      <c r="B39" s="500" t="s">
        <v>1798</v>
      </c>
      <c r="C39" s="501">
        <v>300</v>
      </c>
      <c r="D39" s="303" t="s">
        <v>1763</v>
      </c>
    </row>
    <row r="40" s="202" customFormat="1" ht="30" customHeight="1" spans="1:4">
      <c r="A40" s="499">
        <v>37</v>
      </c>
      <c r="B40" s="500" t="s">
        <v>1799</v>
      </c>
      <c r="C40" s="501">
        <v>242</v>
      </c>
      <c r="D40" s="303" t="s">
        <v>1763</v>
      </c>
    </row>
    <row r="41" s="202" customFormat="1" ht="30" customHeight="1" spans="1:4">
      <c r="A41" s="499">
        <v>38</v>
      </c>
      <c r="B41" s="500" t="s">
        <v>1800</v>
      </c>
      <c r="C41" s="501">
        <v>50</v>
      </c>
      <c r="D41" s="303" t="s">
        <v>1763</v>
      </c>
    </row>
    <row r="42" s="202" customFormat="1" ht="30" customHeight="1" spans="1:4">
      <c r="A42" s="499">
        <v>39</v>
      </c>
      <c r="B42" s="500" t="s">
        <v>1801</v>
      </c>
      <c r="C42" s="501">
        <v>731</v>
      </c>
      <c r="D42" s="303" t="s">
        <v>1763</v>
      </c>
    </row>
    <row r="43" s="202" customFormat="1" ht="30" customHeight="1" spans="1:4">
      <c r="A43" s="499">
        <v>40</v>
      </c>
      <c r="B43" s="500" t="s">
        <v>1802</v>
      </c>
      <c r="C43" s="501">
        <v>520</v>
      </c>
      <c r="D43" s="303" t="s">
        <v>1763</v>
      </c>
    </row>
    <row r="44" s="202" customFormat="1" ht="30" customHeight="1" spans="1:4">
      <c r="A44" s="499">
        <v>41</v>
      </c>
      <c r="B44" s="500" t="s">
        <v>1803</v>
      </c>
      <c r="C44" s="501">
        <v>253.71</v>
      </c>
      <c r="D44" s="303" t="s">
        <v>1763</v>
      </c>
    </row>
    <row r="45" s="202" customFormat="1" ht="30" customHeight="1" spans="1:4">
      <c r="A45" s="499">
        <v>42</v>
      </c>
      <c r="B45" s="500" t="s">
        <v>1804</v>
      </c>
      <c r="C45" s="501">
        <v>120</v>
      </c>
      <c r="D45" s="303" t="s">
        <v>1763</v>
      </c>
    </row>
    <row r="46" s="202" customFormat="1" ht="30" customHeight="1" spans="1:4">
      <c r="A46" s="499">
        <v>43</v>
      </c>
      <c r="B46" s="500" t="s">
        <v>1805</v>
      </c>
      <c r="C46" s="501">
        <v>60.42</v>
      </c>
      <c r="D46" s="303" t="s">
        <v>1763</v>
      </c>
    </row>
    <row r="47" s="202" customFormat="1" ht="30" customHeight="1" spans="1:4">
      <c r="A47" s="499">
        <v>44</v>
      </c>
      <c r="B47" s="500" t="s">
        <v>1806</v>
      </c>
      <c r="C47" s="501">
        <v>640</v>
      </c>
      <c r="D47" s="303" t="s">
        <v>1763</v>
      </c>
    </row>
    <row r="48" s="202" customFormat="1" ht="30" customHeight="1" spans="1:4">
      <c r="A48" s="499">
        <v>45</v>
      </c>
      <c r="B48" s="500" t="s">
        <v>1807</v>
      </c>
      <c r="C48" s="501">
        <v>252.64</v>
      </c>
      <c r="D48" s="303" t="s">
        <v>1763</v>
      </c>
    </row>
    <row r="49" s="202" customFormat="1" ht="30" customHeight="1" spans="1:4">
      <c r="A49" s="499">
        <v>46</v>
      </c>
      <c r="B49" s="500" t="s">
        <v>1808</v>
      </c>
      <c r="C49" s="501">
        <v>15</v>
      </c>
      <c r="D49" s="303" t="s">
        <v>1763</v>
      </c>
    </row>
    <row r="50" s="202" customFormat="1" ht="30" customHeight="1" spans="1:4">
      <c r="A50" s="499">
        <v>47</v>
      </c>
      <c r="B50" s="500" t="s">
        <v>1809</v>
      </c>
      <c r="C50" s="501">
        <v>25</v>
      </c>
      <c r="D50" s="303" t="s">
        <v>1763</v>
      </c>
    </row>
    <row r="51" s="202" customFormat="1" ht="30" customHeight="1" spans="1:4">
      <c r="A51" s="499">
        <v>48</v>
      </c>
      <c r="B51" s="500" t="s">
        <v>1810</v>
      </c>
      <c r="C51" s="501">
        <v>66.98</v>
      </c>
      <c r="D51" s="303" t="s">
        <v>1763</v>
      </c>
    </row>
    <row r="52" s="202" customFormat="1" ht="30" customHeight="1" spans="1:4">
      <c r="A52" s="499">
        <v>49</v>
      </c>
      <c r="B52" s="500" t="s">
        <v>1811</v>
      </c>
      <c r="C52" s="501">
        <v>31.77</v>
      </c>
      <c r="D52" s="303" t="s">
        <v>1763</v>
      </c>
    </row>
    <row r="53" s="202" customFormat="1" ht="30" customHeight="1" spans="1:4">
      <c r="A53" s="499">
        <v>50</v>
      </c>
      <c r="B53" s="500" t="s">
        <v>1812</v>
      </c>
      <c r="C53" s="501">
        <v>20</v>
      </c>
      <c r="D53" s="303" t="s">
        <v>1763</v>
      </c>
    </row>
    <row r="54" s="202" customFormat="1" ht="30" customHeight="1" spans="1:4">
      <c r="A54" s="499">
        <v>51</v>
      </c>
      <c r="B54" s="500" t="s">
        <v>1813</v>
      </c>
      <c r="C54" s="501">
        <v>440.12</v>
      </c>
      <c r="D54" s="303" t="s">
        <v>1763</v>
      </c>
    </row>
    <row r="55" s="202" customFormat="1" ht="30" customHeight="1" spans="1:4">
      <c r="A55" s="499">
        <v>52</v>
      </c>
      <c r="B55" s="500" t="s">
        <v>1814</v>
      </c>
      <c r="C55" s="501">
        <v>10</v>
      </c>
      <c r="D55" s="303" t="s">
        <v>1763</v>
      </c>
    </row>
    <row r="56" s="202" customFormat="1" ht="30" customHeight="1" spans="1:4">
      <c r="A56" s="499">
        <v>53</v>
      </c>
      <c r="B56" s="500" t="s">
        <v>1815</v>
      </c>
      <c r="C56" s="501">
        <v>26.39</v>
      </c>
      <c r="D56" s="303" t="s">
        <v>1763</v>
      </c>
    </row>
    <row r="57" s="202" customFormat="1" ht="30" customHeight="1" spans="1:4">
      <c r="A57" s="499">
        <v>54</v>
      </c>
      <c r="B57" s="500" t="s">
        <v>1816</v>
      </c>
      <c r="C57" s="501">
        <v>50</v>
      </c>
      <c r="D57" s="303" t="s">
        <v>1763</v>
      </c>
    </row>
    <row r="58" s="202" customFormat="1" ht="30" customHeight="1" spans="1:4">
      <c r="A58" s="499">
        <v>55</v>
      </c>
      <c r="B58" s="500" t="s">
        <v>1817</v>
      </c>
      <c r="C58" s="501">
        <v>200</v>
      </c>
      <c r="D58" s="303" t="s">
        <v>1763</v>
      </c>
    </row>
    <row r="59" s="202" customFormat="1" ht="30" customHeight="1" spans="1:4">
      <c r="A59" s="499">
        <v>56</v>
      </c>
      <c r="B59" s="500" t="s">
        <v>1818</v>
      </c>
      <c r="C59" s="501">
        <v>1600</v>
      </c>
      <c r="D59" s="303" t="s">
        <v>1763</v>
      </c>
    </row>
    <row r="60" s="202" customFormat="1" ht="30" customHeight="1" spans="1:4">
      <c r="A60" s="499">
        <v>57</v>
      </c>
      <c r="B60" s="500" t="s">
        <v>1819</v>
      </c>
      <c r="C60" s="501">
        <v>2000</v>
      </c>
      <c r="D60" s="303" t="s">
        <v>1763</v>
      </c>
    </row>
    <row r="61" s="202" customFormat="1" ht="30" customHeight="1" spans="1:4">
      <c r="A61" s="499">
        <v>58</v>
      </c>
      <c r="B61" s="500" t="s">
        <v>1820</v>
      </c>
      <c r="C61" s="501">
        <v>900</v>
      </c>
      <c r="D61" s="303" t="s">
        <v>1763</v>
      </c>
    </row>
    <row r="62" s="202" customFormat="1" ht="30" customHeight="1" spans="1:4">
      <c r="A62" s="499">
        <v>59</v>
      </c>
      <c r="B62" s="500" t="s">
        <v>1821</v>
      </c>
      <c r="C62" s="501">
        <v>660</v>
      </c>
      <c r="D62" s="303" t="s">
        <v>1763</v>
      </c>
    </row>
    <row r="63" s="202" customFormat="1" ht="30" customHeight="1" spans="1:4">
      <c r="A63" s="499">
        <v>60</v>
      </c>
      <c r="B63" s="500" t="s">
        <v>1822</v>
      </c>
      <c r="C63" s="501">
        <v>900</v>
      </c>
      <c r="D63" s="303" t="s">
        <v>1763</v>
      </c>
    </row>
    <row r="64" s="202" customFormat="1" ht="30" customHeight="1" spans="1:4">
      <c r="A64" s="499">
        <v>61</v>
      </c>
      <c r="B64" s="500" t="s">
        <v>1823</v>
      </c>
      <c r="C64" s="501">
        <v>900</v>
      </c>
      <c r="D64" s="303" t="s">
        <v>1763</v>
      </c>
    </row>
    <row r="65" s="202" customFormat="1" ht="30" customHeight="1" spans="1:4">
      <c r="A65" s="499">
        <v>62</v>
      </c>
      <c r="B65" s="500" t="s">
        <v>1824</v>
      </c>
      <c r="C65" s="501">
        <v>12935</v>
      </c>
      <c r="D65" s="303" t="s">
        <v>1763</v>
      </c>
    </row>
    <row r="66" s="202" customFormat="1" ht="30" customHeight="1" spans="1:4">
      <c r="A66" s="502" t="s">
        <v>1825</v>
      </c>
      <c r="B66" s="503"/>
      <c r="C66" s="229">
        <v>54428.114</v>
      </c>
      <c r="D66" s="303" t="s">
        <v>1763</v>
      </c>
    </row>
  </sheetData>
  <autoFilter ref="B3:D66">
    <extLst/>
  </autoFilter>
  <mergeCells count="2">
    <mergeCell ref="A1:C1"/>
    <mergeCell ref="A66:B66"/>
  </mergeCells>
  <conditionalFormatting sqref="C4">
    <cfRule type="expression" dxfId="0" priority="14" stopIfTrue="1">
      <formula>LEN(A)=3</formula>
    </cfRule>
  </conditionalFormatting>
  <conditionalFormatting sqref="D4">
    <cfRule type="cellIs" dxfId="1" priority="60" stopIfTrue="1" operator="lessThan">
      <formula>0</formula>
    </cfRule>
  </conditionalFormatting>
  <conditionalFormatting sqref="C6">
    <cfRule type="expression" dxfId="0" priority="17" stopIfTrue="1">
      <formula>LEN(A)=3</formula>
    </cfRule>
  </conditionalFormatting>
  <conditionalFormatting sqref="C9">
    <cfRule type="expression" dxfId="0" priority="16" stopIfTrue="1">
      <formula>LEN(A)=3</formula>
    </cfRule>
  </conditionalFormatting>
  <conditionalFormatting sqref="C10">
    <cfRule type="expression" dxfId="0" priority="12" stopIfTrue="1">
      <formula>LEN(A)=3</formula>
    </cfRule>
  </conditionalFormatting>
  <conditionalFormatting sqref="C15">
    <cfRule type="expression" dxfId="0" priority="21" stopIfTrue="1">
      <formula>LEN(A)=3</formula>
    </cfRule>
  </conditionalFormatting>
  <conditionalFormatting sqref="C22">
    <cfRule type="expression" dxfId="0" priority="20" stopIfTrue="1">
      <formula>LEN(A)=3</formula>
    </cfRule>
  </conditionalFormatting>
  <conditionalFormatting sqref="C26">
    <cfRule type="expression" dxfId="0" priority="19" stopIfTrue="1">
      <formula>LEN(A)=3</formula>
    </cfRule>
  </conditionalFormatting>
  <conditionalFormatting sqref="C28">
    <cfRule type="expression" dxfId="0" priority="18" stopIfTrue="1">
      <formula>LEN(A)=3</formula>
    </cfRule>
  </conditionalFormatting>
  <conditionalFormatting sqref="C36">
    <cfRule type="expression" dxfId="0" priority="22" stopIfTrue="1">
      <formula>LEN(A)=3</formula>
    </cfRule>
  </conditionalFormatting>
  <conditionalFormatting sqref="D43">
    <cfRule type="cellIs" dxfId="1" priority="35" stopIfTrue="1" operator="lessThan">
      <formula>0</formula>
    </cfRule>
  </conditionalFormatting>
  <conditionalFormatting sqref="C55">
    <cfRule type="expression" dxfId="0" priority="15" stopIfTrue="1">
      <formula>LEN(A)=3</formula>
    </cfRule>
  </conditionalFormatting>
  <conditionalFormatting sqref="B62">
    <cfRule type="expression" dxfId="0" priority="30" stopIfTrue="1">
      <formula>LEN(A)=3</formula>
    </cfRule>
  </conditionalFormatting>
  <conditionalFormatting sqref="B64">
    <cfRule type="expression" dxfId="0" priority="29" stopIfTrue="1">
      <formula>LEN(A)=3</formula>
    </cfRule>
  </conditionalFormatting>
  <conditionalFormatting sqref="C7:C8 C11:C14 C29:C35 C27 C16:C21 C23:C25 C37:C54 C56:C66 C5">
    <cfRule type="expression" dxfId="0" priority="31" stopIfTrue="1">
      <formula>LEN(A)=3</formula>
    </cfRule>
  </conditionalFormatting>
  <conditionalFormatting sqref="D5:D42 D44:D66">
    <cfRule type="cellIs" dxfId="1" priority="59" stopIfTrue="1" operator="lessThan">
      <formula>0</formula>
    </cfRule>
  </conditionalFormatting>
  <printOptions horizontalCentered="1"/>
  <pageMargins left="0.471527777777778" right="0.393055555555556" top="0.747916666666667" bottom="0.747916666666667" header="0.313888888888889" footer="0.313888888888889"/>
  <pageSetup paperSize="9" scale="77" fitToHeight="0" orientation="portrait"/>
  <headerFooter alignWithMargins="0">
    <oddFooter>&amp;C&amp;16- &amp;P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tabColor rgb="FF00B0F0"/>
  </sheetPr>
  <dimension ref="A1:F14"/>
  <sheetViews>
    <sheetView showGridLines="0" showZeros="0" view="pageBreakPreview" zoomScaleNormal="85" workbookViewId="0">
      <selection activeCell="L13" sqref="L13"/>
    </sheetView>
  </sheetViews>
  <sheetFormatPr defaultColWidth="9" defaultRowHeight="14.25" outlineLevelCol="5"/>
  <cols>
    <col min="1" max="1" width="43.6333333333333" style="372" customWidth="1"/>
    <col min="2" max="2" width="20.6333333333333" style="374" customWidth="1"/>
    <col min="3" max="3" width="20.6333333333333" style="372" customWidth="1"/>
    <col min="4" max="4" width="20" style="373" customWidth="1"/>
    <col min="5" max="5" width="12.6333333333333" style="372"/>
    <col min="6" max="16377" width="9" style="372"/>
    <col min="16378" max="16379" width="35.6333333333333" style="372"/>
    <col min="16380" max="16384" width="9" style="372"/>
  </cols>
  <sheetData>
    <row r="1" ht="45" customHeight="1" spans="1:4">
      <c r="A1" s="477" t="s">
        <v>56</v>
      </c>
      <c r="B1" s="477"/>
      <c r="C1" s="477"/>
      <c r="D1" s="477"/>
    </row>
    <row r="2" ht="20.1" customHeight="1" spans="1:4">
      <c r="A2" s="478" t="s">
        <v>55</v>
      </c>
      <c r="B2" s="478"/>
      <c r="C2" s="479"/>
      <c r="D2" s="480" t="s">
        <v>103</v>
      </c>
    </row>
    <row r="3" s="476" customFormat="1" ht="45" customHeight="1" spans="1:4">
      <c r="A3" s="481" t="s">
        <v>1826</v>
      </c>
      <c r="B3" s="481" t="s">
        <v>1827</v>
      </c>
      <c r="C3" s="482" t="s">
        <v>1828</v>
      </c>
      <c r="D3" s="482" t="s">
        <v>1829</v>
      </c>
    </row>
    <row r="4" ht="36" customHeight="1" spans="1:4">
      <c r="A4" s="483" t="s">
        <v>1830</v>
      </c>
      <c r="B4" s="484">
        <f t="shared" ref="B4:B10" si="0">SUM(C4:D4)</f>
        <v>616202</v>
      </c>
      <c r="C4" s="484">
        <f>SUM(C5:C9)</f>
        <v>21163</v>
      </c>
      <c r="D4" s="484">
        <f>SUM(D5:D9)</f>
        <v>595039</v>
      </c>
    </row>
    <row r="5" ht="36" customHeight="1" spans="1:6">
      <c r="A5" s="485" t="s">
        <v>1831</v>
      </c>
      <c r="B5" s="486">
        <f t="shared" si="0"/>
        <v>70188</v>
      </c>
      <c r="C5" s="486">
        <v>7832</v>
      </c>
      <c r="D5" s="235">
        <v>62356</v>
      </c>
      <c r="F5" s="372" t="s">
        <v>3</v>
      </c>
    </row>
    <row r="6" ht="36" customHeight="1" spans="1:4">
      <c r="A6" s="485" t="s">
        <v>1832</v>
      </c>
      <c r="B6" s="486">
        <f t="shared" si="0"/>
        <v>168412</v>
      </c>
      <c r="C6" s="486">
        <v>2700</v>
      </c>
      <c r="D6" s="235">
        <v>165712</v>
      </c>
    </row>
    <row r="7" ht="36" customHeight="1" spans="1:4">
      <c r="A7" s="485" t="s">
        <v>1833</v>
      </c>
      <c r="B7" s="486">
        <f t="shared" si="0"/>
        <v>77169</v>
      </c>
      <c r="C7" s="486">
        <v>1173</v>
      </c>
      <c r="D7" s="235">
        <v>75996</v>
      </c>
    </row>
    <row r="8" ht="36" customHeight="1" spans="1:4">
      <c r="A8" s="485" t="s">
        <v>1834</v>
      </c>
      <c r="B8" s="486">
        <f t="shared" si="0"/>
        <v>172181</v>
      </c>
      <c r="C8" s="486">
        <v>2171</v>
      </c>
      <c r="D8" s="235">
        <v>170010</v>
      </c>
    </row>
    <row r="9" ht="36" customHeight="1" spans="1:4">
      <c r="A9" s="485" t="s">
        <v>1835</v>
      </c>
      <c r="B9" s="486">
        <f t="shared" si="0"/>
        <v>128252</v>
      </c>
      <c r="C9" s="486">
        <v>7287</v>
      </c>
      <c r="D9" s="235">
        <v>120965</v>
      </c>
    </row>
    <row r="10" ht="36" customHeight="1" spans="1:4">
      <c r="A10" s="483" t="s">
        <v>1836</v>
      </c>
      <c r="B10" s="484">
        <f t="shared" si="0"/>
        <v>1208866</v>
      </c>
      <c r="C10" s="484">
        <v>42859</v>
      </c>
      <c r="D10" s="484">
        <v>1166007</v>
      </c>
    </row>
    <row r="11" spans="2:4">
      <c r="B11" s="487"/>
      <c r="C11" s="488"/>
      <c r="D11" s="489"/>
    </row>
    <row r="12" spans="3:3">
      <c r="C12" s="490"/>
    </row>
    <row r="13" spans="3:3">
      <c r="C13" s="490"/>
    </row>
    <row r="14" spans="3:3">
      <c r="C14" s="490"/>
    </row>
  </sheetData>
  <mergeCells count="1">
    <mergeCell ref="A1:D1"/>
  </mergeCells>
  <conditionalFormatting sqref="D1">
    <cfRule type="cellIs" dxfId="2" priority="4" stopIfTrue="1" operator="lessThanOrEqual">
      <formula>-1</formula>
    </cfRule>
    <cfRule type="cellIs" dxfId="2" priority="3" stopIfTrue="1" operator="greaterThanOrEqual">
      <formula>10</formula>
    </cfRule>
  </conditionalFormatting>
  <conditionalFormatting sqref="B3:C3">
    <cfRule type="cellIs" dxfId="2" priority="2" stopIfTrue="1" operator="lessThanOrEqual">
      <formula>-1</formula>
    </cfRule>
  </conditionalFormatting>
  <conditionalFormatting sqref="B4:C5 C9 C6:C7 B6">
    <cfRule type="cellIs" dxfId="2"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rgb="FF00B0F0"/>
    <pageSetUpPr fitToPage="1"/>
  </sheetPr>
  <dimension ref="A1:E35"/>
  <sheetViews>
    <sheetView showGridLines="0" showZeros="0" view="pageBreakPreview" zoomScale="85" zoomScaleNormal="100" workbookViewId="0">
      <selection activeCell="H15" sqref="H15"/>
    </sheetView>
  </sheetViews>
  <sheetFormatPr defaultColWidth="9" defaultRowHeight="13.5" outlineLevelCol="4"/>
  <cols>
    <col min="1" max="1" width="51.7583333333333" style="202" customWidth="1"/>
    <col min="2" max="3" width="22.625" style="202" customWidth="1"/>
    <col min="4" max="4" width="24.9916666666667" style="202" customWidth="1"/>
    <col min="5" max="16383" width="9" style="202"/>
  </cols>
  <sheetData>
    <row r="1" ht="45" customHeight="1" spans="1:4">
      <c r="A1" s="462" t="s">
        <v>1837</v>
      </c>
      <c r="B1" s="462"/>
      <c r="C1" s="462"/>
      <c r="D1" s="462"/>
    </row>
    <row r="2" ht="20.1" customHeight="1" spans="1:4">
      <c r="A2" s="463" t="s">
        <v>57</v>
      </c>
      <c r="B2" s="463"/>
      <c r="C2" s="463"/>
      <c r="D2" s="464" t="s">
        <v>103</v>
      </c>
    </row>
    <row r="3" ht="45" customHeight="1" spans="1:5">
      <c r="A3" s="453" t="s">
        <v>1838</v>
      </c>
      <c r="B3" s="104" t="s">
        <v>1839</v>
      </c>
      <c r="C3" s="104" t="s">
        <v>1754</v>
      </c>
      <c r="D3" s="398" t="s">
        <v>1759</v>
      </c>
      <c r="E3" s="475" t="s">
        <v>113</v>
      </c>
    </row>
    <row r="4" ht="30" customHeight="1" spans="1:5">
      <c r="A4" s="465" t="s">
        <v>1840</v>
      </c>
      <c r="B4" s="466">
        <f>SUM(B5:B8)</f>
        <v>82434</v>
      </c>
      <c r="C4" s="466">
        <f>SUM(C5:C8)</f>
        <v>77999</v>
      </c>
      <c r="D4" s="467">
        <f>IFERROR((C4-B4)/B4,"")</f>
        <v>-0.0538006162505762</v>
      </c>
      <c r="E4" s="304" t="str">
        <f t="shared" ref="E4:E31" si="0">IF(A4&lt;&gt;"",IF(SUM(B4:B4)&lt;&gt;0,"是","否"),"是")</f>
        <v>是</v>
      </c>
    </row>
    <row r="5" ht="30" customHeight="1" spans="1:5">
      <c r="A5" s="468" t="s">
        <v>1841</v>
      </c>
      <c r="B5" s="469">
        <v>51852</v>
      </c>
      <c r="C5" s="469">
        <v>48416</v>
      </c>
      <c r="D5" s="470">
        <f t="shared" ref="D5:D31" si="1">IFERROR((C5-B5)/B5,"")</f>
        <v>-0.066265524955643</v>
      </c>
      <c r="E5" s="304" t="str">
        <f t="shared" si="0"/>
        <v>是</v>
      </c>
    </row>
    <row r="6" ht="30" customHeight="1" spans="1:5">
      <c r="A6" s="468" t="s">
        <v>1842</v>
      </c>
      <c r="B6" s="469">
        <v>13052</v>
      </c>
      <c r="C6" s="469">
        <v>12276</v>
      </c>
      <c r="D6" s="470">
        <f t="shared" si="1"/>
        <v>-0.0594544897333742</v>
      </c>
      <c r="E6" s="304" t="str">
        <f t="shared" si="0"/>
        <v>是</v>
      </c>
    </row>
    <row r="7" ht="30" customHeight="1" spans="1:5">
      <c r="A7" s="468" t="s">
        <v>1843</v>
      </c>
      <c r="B7" s="469">
        <v>6205</v>
      </c>
      <c r="C7" s="469">
        <v>5210</v>
      </c>
      <c r="D7" s="470">
        <f t="shared" si="1"/>
        <v>-0.160354552780016</v>
      </c>
      <c r="E7" s="304" t="str">
        <f t="shared" si="0"/>
        <v>是</v>
      </c>
    </row>
    <row r="8" ht="30" customHeight="1" spans="1:5">
      <c r="A8" s="468" t="s">
        <v>1844</v>
      </c>
      <c r="B8" s="469">
        <v>11325</v>
      </c>
      <c r="C8" s="469">
        <v>12097</v>
      </c>
      <c r="D8" s="470">
        <f t="shared" si="1"/>
        <v>0.0681677704194261</v>
      </c>
      <c r="E8" s="304" t="str">
        <f t="shared" si="0"/>
        <v>是</v>
      </c>
    </row>
    <row r="9" ht="30" customHeight="1" spans="1:5">
      <c r="A9" s="471" t="s">
        <v>1845</v>
      </c>
      <c r="B9" s="466">
        <f>SUM(B10:B19)</f>
        <v>11674</v>
      </c>
      <c r="C9" s="466">
        <f>SUM(C10:C19)</f>
        <v>11009</v>
      </c>
      <c r="D9" s="467">
        <f t="shared" si="1"/>
        <v>-0.0569641939352407</v>
      </c>
      <c r="E9" s="304" t="str">
        <f t="shared" si="0"/>
        <v>是</v>
      </c>
    </row>
    <row r="10" ht="30" customHeight="1" spans="1:5">
      <c r="A10" s="468" t="s">
        <v>1846</v>
      </c>
      <c r="B10" s="469">
        <v>8412</v>
      </c>
      <c r="C10" s="469">
        <v>7798</v>
      </c>
      <c r="D10" s="470">
        <f t="shared" si="1"/>
        <v>-0.0729909652876843</v>
      </c>
      <c r="E10" s="304" t="str">
        <f t="shared" si="0"/>
        <v>是</v>
      </c>
    </row>
    <row r="11" ht="30" customHeight="1" spans="1:5">
      <c r="A11" s="468" t="s">
        <v>1847</v>
      </c>
      <c r="B11" s="469">
        <v>567</v>
      </c>
      <c r="C11" s="469">
        <v>67</v>
      </c>
      <c r="D11" s="470">
        <f t="shared" si="1"/>
        <v>-0.881834215167548</v>
      </c>
      <c r="E11" s="304" t="str">
        <f t="shared" si="0"/>
        <v>是</v>
      </c>
    </row>
    <row r="12" ht="30" customHeight="1" spans="1:5">
      <c r="A12" s="468" t="s">
        <v>1848</v>
      </c>
      <c r="B12" s="469">
        <v>195</v>
      </c>
      <c r="C12" s="469">
        <v>53</v>
      </c>
      <c r="D12" s="470">
        <f t="shared" si="1"/>
        <v>-0.728205128205128</v>
      </c>
      <c r="E12" s="304" t="str">
        <f t="shared" si="0"/>
        <v>是</v>
      </c>
    </row>
    <row r="13" ht="30" customHeight="1" spans="1:5">
      <c r="A13" s="468" t="s">
        <v>1849</v>
      </c>
      <c r="B13" s="469"/>
      <c r="C13" s="469">
        <v>0</v>
      </c>
      <c r="D13" s="470" t="str">
        <f t="shared" si="1"/>
        <v/>
      </c>
      <c r="E13" s="304" t="str">
        <f t="shared" si="0"/>
        <v>否</v>
      </c>
    </row>
    <row r="14" ht="30" customHeight="1" spans="1:5">
      <c r="A14" s="468" t="s">
        <v>1850</v>
      </c>
      <c r="B14" s="469"/>
      <c r="C14" s="469">
        <v>448</v>
      </c>
      <c r="D14" s="470" t="str">
        <f t="shared" si="1"/>
        <v/>
      </c>
      <c r="E14" s="304" t="str">
        <f t="shared" si="0"/>
        <v>否</v>
      </c>
    </row>
    <row r="15" ht="30" customHeight="1" spans="1:5">
      <c r="A15" s="468" t="s">
        <v>1851</v>
      </c>
      <c r="B15" s="469">
        <v>624</v>
      </c>
      <c r="C15" s="469">
        <v>620</v>
      </c>
      <c r="D15" s="470">
        <f t="shared" si="1"/>
        <v>-0.00641025641025641</v>
      </c>
      <c r="E15" s="304" t="str">
        <f t="shared" si="0"/>
        <v>是</v>
      </c>
    </row>
    <row r="16" ht="30" customHeight="1" spans="1:5">
      <c r="A16" s="468" t="s">
        <v>1852</v>
      </c>
      <c r="B16" s="469">
        <v>90</v>
      </c>
      <c r="C16" s="469">
        <v>90</v>
      </c>
      <c r="D16" s="470">
        <f t="shared" si="1"/>
        <v>0</v>
      </c>
      <c r="E16" s="304" t="str">
        <f t="shared" si="0"/>
        <v>是</v>
      </c>
    </row>
    <row r="17" ht="30" customHeight="1" spans="1:5">
      <c r="A17" s="468" t="s">
        <v>1853</v>
      </c>
      <c r="B17" s="469">
        <v>576</v>
      </c>
      <c r="C17" s="469">
        <v>576</v>
      </c>
      <c r="D17" s="470">
        <f t="shared" si="1"/>
        <v>0</v>
      </c>
      <c r="E17" s="304" t="str">
        <f t="shared" si="0"/>
        <v>是</v>
      </c>
    </row>
    <row r="18" ht="30" customHeight="1" spans="1:5">
      <c r="A18" s="468" t="s">
        <v>1854</v>
      </c>
      <c r="B18" s="469">
        <v>421</v>
      </c>
      <c r="C18" s="469">
        <v>511</v>
      </c>
      <c r="D18" s="470">
        <f t="shared" si="1"/>
        <v>0.213776722090261</v>
      </c>
      <c r="E18" s="304" t="str">
        <f t="shared" si="0"/>
        <v>是</v>
      </c>
    </row>
    <row r="19" ht="30" customHeight="1" spans="1:5">
      <c r="A19" s="468" t="s">
        <v>1855</v>
      </c>
      <c r="B19" s="469">
        <v>789</v>
      </c>
      <c r="C19" s="469">
        <v>846</v>
      </c>
      <c r="D19" s="470">
        <f t="shared" si="1"/>
        <v>0.0722433460076046</v>
      </c>
      <c r="E19" s="304" t="str">
        <f t="shared" si="0"/>
        <v>是</v>
      </c>
    </row>
    <row r="20" ht="30" customHeight="1" spans="1:5">
      <c r="A20" s="471" t="s">
        <v>1856</v>
      </c>
      <c r="B20" s="466">
        <f>SUM(B21)</f>
        <v>0</v>
      </c>
      <c r="C20" s="466">
        <f>SUM(C21)</f>
        <v>0</v>
      </c>
      <c r="D20" s="467" t="str">
        <f t="shared" si="1"/>
        <v/>
      </c>
      <c r="E20" s="304" t="str">
        <f t="shared" si="0"/>
        <v>否</v>
      </c>
    </row>
    <row r="21" ht="30" customHeight="1" spans="1:5">
      <c r="A21" s="468" t="s">
        <v>1857</v>
      </c>
      <c r="B21" s="469"/>
      <c r="C21" s="469"/>
      <c r="D21" s="470" t="str">
        <f t="shared" si="1"/>
        <v/>
      </c>
      <c r="E21" s="304" t="str">
        <f t="shared" si="0"/>
        <v>否</v>
      </c>
    </row>
    <row r="22" ht="30" customHeight="1" spans="1:5">
      <c r="A22" s="471" t="s">
        <v>1858</v>
      </c>
      <c r="B22" s="466">
        <f>SUM(B23:B24)</f>
        <v>41471</v>
      </c>
      <c r="C22" s="466">
        <f>SUM(C23:C24)</f>
        <v>54569</v>
      </c>
      <c r="D22" s="467">
        <f t="shared" si="1"/>
        <v>0.315835161920378</v>
      </c>
      <c r="E22" s="304" t="str">
        <f t="shared" si="0"/>
        <v>是</v>
      </c>
    </row>
    <row r="23" ht="30" customHeight="1" spans="1:5">
      <c r="A23" s="468" t="s">
        <v>1859</v>
      </c>
      <c r="B23" s="469">
        <v>38456</v>
      </c>
      <c r="C23" s="469">
        <v>52267</v>
      </c>
      <c r="D23" s="470">
        <f t="shared" si="1"/>
        <v>0.35913771583108</v>
      </c>
      <c r="E23" s="304" t="str">
        <f t="shared" si="0"/>
        <v>是</v>
      </c>
    </row>
    <row r="24" ht="30" customHeight="1" spans="1:5">
      <c r="A24" s="468" t="s">
        <v>1860</v>
      </c>
      <c r="B24" s="469">
        <v>3015</v>
      </c>
      <c r="C24" s="469">
        <v>2302</v>
      </c>
      <c r="D24" s="470">
        <f t="shared" si="1"/>
        <v>-0.236484245439469</v>
      </c>
      <c r="E24" s="304" t="str">
        <f t="shared" si="0"/>
        <v>是</v>
      </c>
    </row>
    <row r="25" ht="30" customHeight="1" spans="1:5">
      <c r="A25" s="471" t="s">
        <v>1861</v>
      </c>
      <c r="B25" s="466">
        <f>SUM(B26)</f>
        <v>0</v>
      </c>
      <c r="C25" s="466">
        <f>SUM(C26)</f>
        <v>0</v>
      </c>
      <c r="D25" s="467" t="str">
        <f t="shared" si="1"/>
        <v/>
      </c>
      <c r="E25" s="304" t="str">
        <f t="shared" si="0"/>
        <v>否</v>
      </c>
    </row>
    <row r="26" ht="30" customHeight="1" spans="1:5">
      <c r="A26" s="468" t="s">
        <v>1862</v>
      </c>
      <c r="B26" s="469"/>
      <c r="C26" s="469"/>
      <c r="D26" s="470" t="str">
        <f t="shared" si="1"/>
        <v/>
      </c>
      <c r="E26" s="304" t="str">
        <f t="shared" si="0"/>
        <v>否</v>
      </c>
    </row>
    <row r="27" ht="30" customHeight="1" spans="1:5">
      <c r="A27" s="471" t="s">
        <v>1863</v>
      </c>
      <c r="B27" s="466">
        <f>SUM(B28:B30)</f>
        <v>9132</v>
      </c>
      <c r="C27" s="466">
        <f>SUM(C28:C30)</f>
        <v>8232</v>
      </c>
      <c r="D27" s="467">
        <f t="shared" si="1"/>
        <v>-0.0985545335085414</v>
      </c>
      <c r="E27" s="304" t="str">
        <f t="shared" si="0"/>
        <v>是</v>
      </c>
    </row>
    <row r="28" ht="30" customHeight="1" spans="1:5">
      <c r="A28" s="468" t="s">
        <v>1864</v>
      </c>
      <c r="B28" s="469">
        <v>1485</v>
      </c>
      <c r="C28" s="469">
        <v>1647</v>
      </c>
      <c r="D28" s="470">
        <f t="shared" si="1"/>
        <v>0.109090909090909</v>
      </c>
      <c r="E28" s="304" t="str">
        <f t="shared" si="0"/>
        <v>是</v>
      </c>
    </row>
    <row r="29" ht="30" customHeight="1" spans="1:5">
      <c r="A29" s="468" t="s">
        <v>1865</v>
      </c>
      <c r="B29" s="469">
        <v>7215</v>
      </c>
      <c r="C29" s="469">
        <v>6440</v>
      </c>
      <c r="D29" s="470">
        <f t="shared" si="1"/>
        <v>-0.107415107415107</v>
      </c>
      <c r="E29" s="304" t="str">
        <f t="shared" si="0"/>
        <v>是</v>
      </c>
    </row>
    <row r="30" ht="30" customHeight="1" spans="1:5">
      <c r="A30" s="472" t="s">
        <v>1866</v>
      </c>
      <c r="B30" s="473">
        <v>432</v>
      </c>
      <c r="C30" s="473">
        <v>145</v>
      </c>
      <c r="D30" s="470">
        <f t="shared" si="1"/>
        <v>-0.664351851851852</v>
      </c>
      <c r="E30" s="304" t="str">
        <f t="shared" si="0"/>
        <v>是</v>
      </c>
    </row>
    <row r="31" ht="30" customHeight="1" spans="1:5">
      <c r="A31" s="474" t="s">
        <v>1867</v>
      </c>
      <c r="B31" s="466">
        <f>SUM(B27,B25,B22,B20,B9,B4)</f>
        <v>144711</v>
      </c>
      <c r="C31" s="466">
        <f>SUM(C27,C25,C22,C20,C9,C4)</f>
        <v>151809</v>
      </c>
      <c r="D31" s="467">
        <f t="shared" si="1"/>
        <v>0.0490494848352924</v>
      </c>
      <c r="E31" s="304" t="str">
        <f t="shared" si="0"/>
        <v>是</v>
      </c>
    </row>
    <row r="32" spans="4:4">
      <c r="D32" s="238"/>
    </row>
    <row r="33" spans="4:4">
      <c r="D33" s="238"/>
    </row>
    <row r="34" spans="4:4">
      <c r="D34" s="238"/>
    </row>
    <row r="35" spans="4:4">
      <c r="D35" s="238"/>
    </row>
  </sheetData>
  <autoFilter ref="A3:E31">
    <extLst/>
  </autoFilter>
  <mergeCells count="1">
    <mergeCell ref="A1:D1"/>
  </mergeCells>
  <conditionalFormatting sqref="E4:E33">
    <cfRule type="cellIs" dxfId="1" priority="1" stopIfTrue="1" operator="lessThan">
      <formula>0</formula>
    </cfRule>
  </conditionalFormatting>
  <printOptions horizontalCentered="1"/>
  <pageMargins left="0.471527777777778" right="0.393055555555556" top="0.747916666666667" bottom="0.747916666666667" header="0.313888888888889" footer="0.313888888888889"/>
  <pageSetup paperSize="9" scale="67" orientation="portrait"/>
  <headerFooter alignWithMargins="0">
    <oddFooter>&amp;C&amp;16- &amp;P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00B0F0"/>
    <pageSetUpPr fitToPage="1"/>
  </sheetPr>
  <dimension ref="A1:D23"/>
  <sheetViews>
    <sheetView workbookViewId="0">
      <pane ySplit="3" topLeftCell="A4" activePane="bottomLeft" state="frozen"/>
      <selection/>
      <selection pane="bottomLeft" activeCell="E10" sqref="E10"/>
    </sheetView>
  </sheetViews>
  <sheetFormatPr defaultColWidth="9" defaultRowHeight="13.5" outlineLevelCol="3"/>
  <cols>
    <col min="1" max="1" width="6.875" style="202" customWidth="1"/>
    <col min="2" max="2" width="21.875" style="202" customWidth="1"/>
    <col min="3" max="3" width="15.75" style="202" customWidth="1"/>
    <col min="4" max="4" width="91.625" style="202" customWidth="1"/>
    <col min="5" max="16384" width="9" style="202"/>
  </cols>
  <sheetData>
    <row r="1" ht="24" spans="1:4">
      <c r="A1" s="450" t="s">
        <v>60</v>
      </c>
      <c r="B1" s="450"/>
      <c r="C1" s="450"/>
      <c r="D1" s="450"/>
    </row>
    <row r="2" ht="18.75" spans="1:4">
      <c r="A2" s="451" t="s">
        <v>59</v>
      </c>
      <c r="B2" s="451"/>
      <c r="C2" s="452"/>
      <c r="D2" s="452" t="s">
        <v>103</v>
      </c>
    </row>
    <row r="3" ht="42" customHeight="1" spans="1:4">
      <c r="A3" s="453" t="s">
        <v>1237</v>
      </c>
      <c r="B3" s="38" t="s">
        <v>1701</v>
      </c>
      <c r="C3" s="446" t="s">
        <v>1754</v>
      </c>
      <c r="D3" s="446" t="s">
        <v>1868</v>
      </c>
    </row>
    <row r="4" ht="40" customHeight="1" spans="1:4">
      <c r="A4" s="454">
        <v>1</v>
      </c>
      <c r="B4" s="455" t="s">
        <v>1869</v>
      </c>
      <c r="C4" s="456">
        <v>2000</v>
      </c>
      <c r="D4" s="455" t="s">
        <v>1870</v>
      </c>
    </row>
    <row r="5" ht="40" customHeight="1" spans="1:4">
      <c r="A5" s="454">
        <v>2</v>
      </c>
      <c r="B5" s="455" t="s">
        <v>1871</v>
      </c>
      <c r="C5" s="456">
        <v>5000</v>
      </c>
      <c r="D5" s="457" t="s">
        <v>1872</v>
      </c>
    </row>
    <row r="6" ht="40" customHeight="1" spans="1:4">
      <c r="A6" s="454">
        <v>3</v>
      </c>
      <c r="B6" s="455" t="s">
        <v>1873</v>
      </c>
      <c r="C6" s="456">
        <v>27700</v>
      </c>
      <c r="D6" s="457" t="s">
        <v>1874</v>
      </c>
    </row>
    <row r="7" ht="40" customHeight="1" spans="1:4">
      <c r="A7" s="454">
        <v>4</v>
      </c>
      <c r="B7" s="455" t="s">
        <v>1875</v>
      </c>
      <c r="C7" s="456">
        <v>12000</v>
      </c>
      <c r="D7" s="457" t="s">
        <v>1876</v>
      </c>
    </row>
    <row r="8" ht="40" customHeight="1" spans="1:4">
      <c r="A8" s="454">
        <v>5</v>
      </c>
      <c r="B8" s="455" t="s">
        <v>1877</v>
      </c>
      <c r="C8" s="456">
        <v>741</v>
      </c>
      <c r="D8" s="457" t="s">
        <v>1878</v>
      </c>
    </row>
    <row r="9" ht="40" customHeight="1" spans="1:4">
      <c r="A9" s="454">
        <v>6</v>
      </c>
      <c r="B9" s="455" t="s">
        <v>1879</v>
      </c>
      <c r="C9" s="456">
        <v>28958</v>
      </c>
      <c r="D9" s="457" t="s">
        <v>1880</v>
      </c>
    </row>
    <row r="10" ht="40" customHeight="1" spans="1:4">
      <c r="A10" s="454">
        <v>7</v>
      </c>
      <c r="B10" s="455" t="s">
        <v>1818</v>
      </c>
      <c r="C10" s="456">
        <v>8786</v>
      </c>
      <c r="D10" s="457" t="s">
        <v>1881</v>
      </c>
    </row>
    <row r="11" ht="40" customHeight="1" spans="1:4">
      <c r="A11" s="454">
        <v>8</v>
      </c>
      <c r="B11" s="455" t="s">
        <v>1882</v>
      </c>
      <c r="C11" s="456">
        <v>4349</v>
      </c>
      <c r="D11" s="457" t="s">
        <v>1883</v>
      </c>
    </row>
    <row r="12" ht="40" customHeight="1" spans="1:4">
      <c r="A12" s="454">
        <v>9</v>
      </c>
      <c r="B12" s="455" t="s">
        <v>1884</v>
      </c>
      <c r="C12" s="456">
        <v>6000</v>
      </c>
      <c r="D12" s="457" t="s">
        <v>1885</v>
      </c>
    </row>
    <row r="13" ht="40" customHeight="1" spans="1:4">
      <c r="A13" s="454">
        <v>10</v>
      </c>
      <c r="B13" s="455" t="s">
        <v>1886</v>
      </c>
      <c r="C13" s="456">
        <v>3000</v>
      </c>
      <c r="D13" s="457" t="s">
        <v>1887</v>
      </c>
    </row>
    <row r="14" ht="40" customHeight="1" spans="1:4">
      <c r="A14" s="454">
        <v>11</v>
      </c>
      <c r="B14" s="455" t="s">
        <v>1888</v>
      </c>
      <c r="C14" s="456">
        <v>500</v>
      </c>
      <c r="D14" s="457" t="s">
        <v>1889</v>
      </c>
    </row>
    <row r="15" ht="40" customHeight="1" spans="1:4">
      <c r="A15" s="454">
        <v>12</v>
      </c>
      <c r="B15" s="455" t="s">
        <v>1890</v>
      </c>
      <c r="C15" s="456">
        <v>1035</v>
      </c>
      <c r="D15" s="457" t="s">
        <v>1891</v>
      </c>
    </row>
    <row r="16" ht="40" customHeight="1" spans="1:4">
      <c r="A16" s="454">
        <v>13</v>
      </c>
      <c r="B16" s="455" t="s">
        <v>1892</v>
      </c>
      <c r="C16" s="456">
        <v>400</v>
      </c>
      <c r="D16" s="457" t="s">
        <v>1893</v>
      </c>
    </row>
    <row r="17" ht="40" customHeight="1" spans="1:4">
      <c r="A17" s="454">
        <v>14</v>
      </c>
      <c r="B17" s="455" t="s">
        <v>1894</v>
      </c>
      <c r="C17" s="456">
        <v>520</v>
      </c>
      <c r="D17" s="457" t="s">
        <v>1895</v>
      </c>
    </row>
    <row r="18" ht="40" customHeight="1" spans="1:4">
      <c r="A18" s="454">
        <v>15</v>
      </c>
      <c r="B18" s="455" t="s">
        <v>1896</v>
      </c>
      <c r="C18" s="456">
        <v>250</v>
      </c>
      <c r="D18" s="457" t="s">
        <v>1897</v>
      </c>
    </row>
    <row r="19" ht="40" customHeight="1" spans="1:4">
      <c r="A19" s="454">
        <v>16</v>
      </c>
      <c r="B19" s="455" t="s">
        <v>1898</v>
      </c>
      <c r="C19" s="456">
        <v>375</v>
      </c>
      <c r="D19" s="457" t="s">
        <v>1899</v>
      </c>
    </row>
    <row r="20" ht="70" customHeight="1" spans="1:4">
      <c r="A20" s="454">
        <v>17</v>
      </c>
      <c r="B20" s="455" t="s">
        <v>1900</v>
      </c>
      <c r="C20" s="456">
        <v>300</v>
      </c>
      <c r="D20" s="457" t="s">
        <v>1901</v>
      </c>
    </row>
    <row r="21" ht="40" customHeight="1" spans="1:4">
      <c r="A21" s="454">
        <v>18</v>
      </c>
      <c r="B21" s="455" t="s">
        <v>1902</v>
      </c>
      <c r="C21" s="456">
        <v>310</v>
      </c>
      <c r="D21" s="457" t="s">
        <v>1903</v>
      </c>
    </row>
    <row r="22" ht="40" customHeight="1" spans="1:4">
      <c r="A22" s="454">
        <v>19</v>
      </c>
      <c r="B22" s="455" t="s">
        <v>1904</v>
      </c>
      <c r="C22" s="456">
        <v>622.162803</v>
      </c>
      <c r="D22" s="457" t="s">
        <v>1905</v>
      </c>
    </row>
    <row r="23" ht="18.75" spans="1:4">
      <c r="A23" s="458" t="s">
        <v>1827</v>
      </c>
      <c r="B23" s="459"/>
      <c r="C23" s="460">
        <f>SUM(C4:C22)</f>
        <v>102846.162803</v>
      </c>
      <c r="D23" s="461"/>
    </row>
  </sheetData>
  <autoFilter ref="A3:H23">
    <extLst/>
  </autoFilter>
  <mergeCells count="2">
    <mergeCell ref="A1:D1"/>
    <mergeCell ref="A23:B23"/>
  </mergeCells>
  <conditionalFormatting sqref="C4">
    <cfRule type="expression" dxfId="0" priority="6" stopIfTrue="1">
      <formula>LEN(A)=3</formula>
    </cfRule>
  </conditionalFormatting>
  <conditionalFormatting sqref="C7">
    <cfRule type="expression" dxfId="0" priority="4" stopIfTrue="1">
      <formula>LEN(A)=3</formula>
    </cfRule>
  </conditionalFormatting>
  <conditionalFormatting sqref="D7">
    <cfRule type="expression" dxfId="0" priority="35" stopIfTrue="1">
      <formula>LEN(A)=3</formula>
    </cfRule>
  </conditionalFormatting>
  <conditionalFormatting sqref="C15">
    <cfRule type="expression" dxfId="0" priority="2" stopIfTrue="1">
      <formula>LEN(A)=3</formula>
    </cfRule>
  </conditionalFormatting>
  <conditionalFormatting sqref="D15">
    <cfRule type="expression" dxfId="0" priority="8" stopIfTrue="1">
      <formula>LEN(A)=3</formula>
    </cfRule>
  </conditionalFormatting>
  <conditionalFormatting sqref="C16:C17">
    <cfRule type="expression" dxfId="0" priority="1" stopIfTrue="1">
      <formula>LEN(A)=3</formula>
    </cfRule>
  </conditionalFormatting>
  <conditionalFormatting sqref="C18:C22">
    <cfRule type="expression" dxfId="0" priority="3" stopIfTrue="1">
      <formula>LEN(A)=3</formula>
    </cfRule>
  </conditionalFormatting>
  <conditionalFormatting sqref="D16:D17">
    <cfRule type="expression" dxfId="0" priority="7" stopIfTrue="1">
      <formula>LEN(A)=3</formula>
    </cfRule>
  </conditionalFormatting>
  <conditionalFormatting sqref="D18:D22">
    <cfRule type="expression" dxfId="0" priority="9" stopIfTrue="1">
      <formula>LEN(A)=3</formula>
    </cfRule>
  </conditionalFormatting>
  <conditionalFormatting sqref="C5:C6 C8:C14">
    <cfRule type="expression" dxfId="0" priority="5" stopIfTrue="1">
      <formula>LEN(A)=3</formula>
    </cfRule>
  </conditionalFormatting>
  <conditionalFormatting sqref="D5:D6 D8:D14">
    <cfRule type="expression" dxfId="0" priority="36" stopIfTrue="1">
      <formula>LEN(A)=3</formula>
    </cfRule>
  </conditionalFormatting>
  <pageMargins left="0.751388888888889" right="0.751388888888889" top="1" bottom="1" header="0.5" footer="0.5"/>
  <pageSetup paperSize="9" scale="59" orientation="portrait" horizontalDpi="600"/>
  <headerFooter>
    <oddFooter>&amp;C- &amp;P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rgb="FFFFFF00"/>
    <pageSetUpPr fitToPage="1"/>
  </sheetPr>
  <dimension ref="A1:F34"/>
  <sheetViews>
    <sheetView showGridLines="0" showZeros="0" view="pageBreakPreview" zoomScale="80" zoomScaleNormal="100" workbookViewId="0">
      <pane xSplit="1" ySplit="3" topLeftCell="B12" activePane="bottomRight" state="frozen"/>
      <selection/>
      <selection pane="topRight"/>
      <selection pane="bottomLeft"/>
      <selection pane="bottomRight" activeCell="C25" sqref="C25"/>
    </sheetView>
  </sheetViews>
  <sheetFormatPr defaultColWidth="9" defaultRowHeight="14.25" outlineLevelCol="5"/>
  <cols>
    <col min="1" max="1" width="18.8833333333333" style="312" hidden="1" customWidth="1"/>
    <col min="2" max="2" width="59.6333333333333" style="312" customWidth="1"/>
    <col min="3" max="4" width="17.4916666666667" style="417" customWidth="1"/>
    <col min="5" max="5" width="18.9" style="417" customWidth="1"/>
    <col min="6" max="6" width="3.75" style="312" customWidth="1"/>
    <col min="7" max="16339" width="9" style="312" customWidth="1"/>
    <col min="16340" max="16381" width="9" style="312"/>
  </cols>
  <sheetData>
    <row r="1" ht="45" customHeight="1" spans="2:6">
      <c r="B1" s="316" t="s">
        <v>62</v>
      </c>
      <c r="C1" s="316"/>
      <c r="D1" s="316"/>
      <c r="E1" s="316"/>
      <c r="F1" s="444"/>
    </row>
    <row r="2" ht="20.1" customHeight="1" spans="1:6">
      <c r="A2" s="418"/>
      <c r="B2" s="419" t="s">
        <v>61</v>
      </c>
      <c r="E2" s="445" t="s">
        <v>103</v>
      </c>
      <c r="F2" s="444"/>
    </row>
    <row r="3" s="306" customFormat="1" ht="37.5" spans="1:6">
      <c r="A3" s="397" t="s">
        <v>104</v>
      </c>
      <c r="B3" s="420" t="s">
        <v>105</v>
      </c>
      <c r="C3" s="421" t="s">
        <v>1753</v>
      </c>
      <c r="D3" s="421" t="s">
        <v>1754</v>
      </c>
      <c r="E3" s="446" t="s">
        <v>1755</v>
      </c>
      <c r="F3" s="447" t="s">
        <v>113</v>
      </c>
    </row>
    <row r="4" s="306" customFormat="1" ht="24" customHeight="1" spans="1:6">
      <c r="A4" s="422" t="s">
        <v>1247</v>
      </c>
      <c r="B4" s="423" t="s">
        <v>1248</v>
      </c>
      <c r="C4" s="424"/>
      <c r="D4" s="424"/>
      <c r="E4" s="435" t="str">
        <f>IFERROR((D4-C4)/C4,"")</f>
        <v/>
      </c>
      <c r="F4" s="448" t="str">
        <f t="shared" ref="F4:F34" si="0">IF(LEN(A4)=7,"是",IF(B4&lt;&gt;"",IF(SUM(C4:D4)&lt;&gt;0,"是","否"),"是"))</f>
        <v>是</v>
      </c>
    </row>
    <row r="5" ht="24" customHeight="1" spans="1:6">
      <c r="A5" s="422" t="s">
        <v>1249</v>
      </c>
      <c r="B5" s="423" t="s">
        <v>1250</v>
      </c>
      <c r="C5" s="424"/>
      <c r="D5" s="424"/>
      <c r="E5" s="435" t="str">
        <f t="shared" ref="E5:E34" si="1">IFERROR((D5-C5)/C5,"")</f>
        <v/>
      </c>
      <c r="F5" s="448" t="str">
        <f t="shared" si="0"/>
        <v>是</v>
      </c>
    </row>
    <row r="6" ht="24" customHeight="1" spans="1:6">
      <c r="A6" s="422" t="s">
        <v>1251</v>
      </c>
      <c r="B6" s="423" t="s">
        <v>1252</v>
      </c>
      <c r="C6" s="424"/>
      <c r="D6" s="424"/>
      <c r="E6" s="435" t="str">
        <f t="shared" si="1"/>
        <v/>
      </c>
      <c r="F6" s="448" t="str">
        <f t="shared" si="0"/>
        <v>是</v>
      </c>
    </row>
    <row r="7" ht="24" customHeight="1" spans="1:6">
      <c r="A7" s="422" t="s">
        <v>1253</v>
      </c>
      <c r="B7" s="423" t="s">
        <v>1254</v>
      </c>
      <c r="C7" s="424"/>
      <c r="D7" s="424"/>
      <c r="E7" s="435" t="str">
        <f t="shared" si="1"/>
        <v/>
      </c>
      <c r="F7" s="448" t="str">
        <f t="shared" si="0"/>
        <v>是</v>
      </c>
    </row>
    <row r="8" ht="24" customHeight="1" spans="1:6">
      <c r="A8" s="422" t="s">
        <v>1255</v>
      </c>
      <c r="B8" s="423" t="s">
        <v>1256</v>
      </c>
      <c r="C8" s="425">
        <f>SUM(C9:C13)</f>
        <v>42707</v>
      </c>
      <c r="D8" s="424">
        <f>SUM(D9:D13)</f>
        <v>94831</v>
      </c>
      <c r="E8" s="435">
        <f t="shared" si="1"/>
        <v>1.22050249373639</v>
      </c>
      <c r="F8" s="448" t="str">
        <f t="shared" si="0"/>
        <v>是</v>
      </c>
    </row>
    <row r="9" ht="24" customHeight="1" spans="1:6">
      <c r="A9" s="422" t="s">
        <v>1257</v>
      </c>
      <c r="B9" s="426" t="s">
        <v>1258</v>
      </c>
      <c r="C9" s="427">
        <f>'06'!F10</f>
        <v>39565</v>
      </c>
      <c r="D9" s="428">
        <v>90906</v>
      </c>
      <c r="E9" s="449">
        <f t="shared" si="1"/>
        <v>1.2976368002022</v>
      </c>
      <c r="F9" s="448" t="str">
        <f t="shared" si="0"/>
        <v>是</v>
      </c>
    </row>
    <row r="10" ht="24" customHeight="1" spans="1:6">
      <c r="A10" s="422" t="s">
        <v>1259</v>
      </c>
      <c r="B10" s="426" t="s">
        <v>1260</v>
      </c>
      <c r="C10" s="427">
        <f>'06'!F11</f>
        <v>2914</v>
      </c>
      <c r="D10" s="428">
        <v>3925</v>
      </c>
      <c r="E10" s="449">
        <f t="shared" si="1"/>
        <v>0.346945778997941</v>
      </c>
      <c r="F10" s="448" t="str">
        <f t="shared" si="0"/>
        <v>是</v>
      </c>
    </row>
    <row r="11" ht="24" customHeight="1" spans="1:6">
      <c r="A11" s="422" t="s">
        <v>1261</v>
      </c>
      <c r="B11" s="429" t="s">
        <v>1262</v>
      </c>
      <c r="C11" s="427">
        <f>'06'!F12</f>
        <v>1644</v>
      </c>
      <c r="D11" s="430"/>
      <c r="E11" s="449">
        <f t="shared" si="1"/>
        <v>-1</v>
      </c>
      <c r="F11" s="448" t="str">
        <f t="shared" si="0"/>
        <v>是</v>
      </c>
    </row>
    <row r="12" ht="24" customHeight="1" spans="1:6">
      <c r="A12" s="422" t="s">
        <v>1263</v>
      </c>
      <c r="B12" s="429" t="s">
        <v>1264</v>
      </c>
      <c r="C12" s="427">
        <f>'06'!F13</f>
        <v>-1416</v>
      </c>
      <c r="D12" s="430"/>
      <c r="E12" s="449">
        <f>-IFERROR((D12-C12)/C12,"")</f>
        <v>1</v>
      </c>
      <c r="F12" s="448" t="str">
        <f t="shared" si="0"/>
        <v>是</v>
      </c>
    </row>
    <row r="13" ht="24" customHeight="1" spans="1:6">
      <c r="A13" s="422" t="s">
        <v>1265</v>
      </c>
      <c r="B13" s="429" t="s">
        <v>1266</v>
      </c>
      <c r="C13" s="427">
        <f>'06'!F14</f>
        <v>0</v>
      </c>
      <c r="D13" s="430"/>
      <c r="E13" s="449" t="str">
        <f t="shared" si="1"/>
        <v/>
      </c>
      <c r="F13" s="448" t="str">
        <f t="shared" si="0"/>
        <v>否</v>
      </c>
    </row>
    <row r="14" ht="24" customHeight="1" spans="1:6">
      <c r="A14" s="422" t="s">
        <v>1267</v>
      </c>
      <c r="B14" s="423" t="s">
        <v>1268</v>
      </c>
      <c r="C14" s="427">
        <f>'06'!F15</f>
        <v>0</v>
      </c>
      <c r="D14" s="424"/>
      <c r="E14" s="435" t="str">
        <f t="shared" si="1"/>
        <v/>
      </c>
      <c r="F14" s="448" t="str">
        <f t="shared" si="0"/>
        <v>是</v>
      </c>
    </row>
    <row r="15" ht="24" customHeight="1" spans="1:6">
      <c r="A15" s="422" t="s">
        <v>1269</v>
      </c>
      <c r="B15" s="423" t="s">
        <v>1270</v>
      </c>
      <c r="C15" s="425">
        <f>SUM(C16:C17)</f>
        <v>7703</v>
      </c>
      <c r="D15" s="424">
        <f>SUM(D16:D17)</f>
        <v>7500</v>
      </c>
      <c r="E15" s="435">
        <f t="shared" si="1"/>
        <v>-0.0263533688173439</v>
      </c>
      <c r="F15" s="448" t="str">
        <f t="shared" si="0"/>
        <v>是</v>
      </c>
    </row>
    <row r="16" ht="24" customHeight="1" spans="1:6">
      <c r="A16" s="422" t="s">
        <v>1271</v>
      </c>
      <c r="B16" s="429" t="s">
        <v>1272</v>
      </c>
      <c r="C16" s="427">
        <f>'06'!F17</f>
        <v>4021</v>
      </c>
      <c r="D16" s="428">
        <v>4050</v>
      </c>
      <c r="E16" s="449">
        <f t="shared" si="1"/>
        <v>0.00721213628450634</v>
      </c>
      <c r="F16" s="448" t="str">
        <f t="shared" si="0"/>
        <v>是</v>
      </c>
    </row>
    <row r="17" ht="24" customHeight="1" spans="1:6">
      <c r="A17" s="422" t="s">
        <v>1273</v>
      </c>
      <c r="B17" s="429" t="s">
        <v>1274</v>
      </c>
      <c r="C17" s="427">
        <f>'06'!F18</f>
        <v>3682</v>
      </c>
      <c r="D17" s="428">
        <v>3450</v>
      </c>
      <c r="E17" s="449">
        <f t="shared" si="1"/>
        <v>-0.0630092341118957</v>
      </c>
      <c r="F17" s="448" t="str">
        <f t="shared" si="0"/>
        <v>是</v>
      </c>
    </row>
    <row r="18" ht="24" customHeight="1" spans="1:6">
      <c r="A18" s="422" t="s">
        <v>1275</v>
      </c>
      <c r="B18" s="423" t="s">
        <v>1276</v>
      </c>
      <c r="C18" s="431">
        <f>'06'!F19</f>
        <v>629</v>
      </c>
      <c r="D18" s="432">
        <v>735</v>
      </c>
      <c r="E18" s="435">
        <f t="shared" si="1"/>
        <v>0.16852146263911</v>
      </c>
      <c r="F18" s="448" t="str">
        <f t="shared" si="0"/>
        <v>是</v>
      </c>
    </row>
    <row r="19" ht="24" customHeight="1" spans="1:6">
      <c r="A19" s="422" t="s">
        <v>1277</v>
      </c>
      <c r="B19" s="423" t="s">
        <v>1278</v>
      </c>
      <c r="C19" s="427">
        <f>'06'!F20</f>
        <v>0</v>
      </c>
      <c r="D19" s="424"/>
      <c r="E19" s="435" t="str">
        <f t="shared" si="1"/>
        <v/>
      </c>
      <c r="F19" s="448" t="str">
        <f t="shared" si="0"/>
        <v>是</v>
      </c>
    </row>
    <row r="20" ht="24" customHeight="1" spans="1:6">
      <c r="A20" s="422" t="s">
        <v>1279</v>
      </c>
      <c r="B20" s="423" t="s">
        <v>1280</v>
      </c>
      <c r="C20" s="427">
        <f>'06'!F21</f>
        <v>0</v>
      </c>
      <c r="D20" s="424"/>
      <c r="E20" s="435" t="str">
        <f t="shared" si="1"/>
        <v/>
      </c>
      <c r="F20" s="448" t="str">
        <f t="shared" si="0"/>
        <v>是</v>
      </c>
    </row>
    <row r="21" ht="24" customHeight="1" spans="1:6">
      <c r="A21" s="422" t="s">
        <v>1281</v>
      </c>
      <c r="B21" s="423" t="s">
        <v>1282</v>
      </c>
      <c r="C21" s="427">
        <f>'06'!F22</f>
        <v>0</v>
      </c>
      <c r="D21" s="424"/>
      <c r="E21" s="435" t="str">
        <f t="shared" si="1"/>
        <v/>
      </c>
      <c r="F21" s="448" t="str">
        <f t="shared" si="0"/>
        <v>是</v>
      </c>
    </row>
    <row r="22" ht="24" customHeight="1" spans="1:6">
      <c r="A22" s="422" t="s">
        <v>1283</v>
      </c>
      <c r="B22" s="420" t="s">
        <v>1284</v>
      </c>
      <c r="C22" s="427">
        <f>'06'!F23</f>
        <v>0</v>
      </c>
      <c r="D22" s="424"/>
      <c r="E22" s="435" t="str">
        <f t="shared" si="1"/>
        <v/>
      </c>
      <c r="F22" s="448" t="str">
        <f t="shared" si="0"/>
        <v>是</v>
      </c>
    </row>
    <row r="23" ht="24" customHeight="1" spans="1:6">
      <c r="A23" s="422" t="s">
        <v>1285</v>
      </c>
      <c r="B23" s="433" t="s">
        <v>1286</v>
      </c>
      <c r="C23" s="427">
        <f>'06'!F24</f>
        <v>0</v>
      </c>
      <c r="D23" s="424"/>
      <c r="E23" s="435" t="str">
        <f t="shared" si="1"/>
        <v/>
      </c>
      <c r="F23" s="448" t="str">
        <f t="shared" si="0"/>
        <v>是</v>
      </c>
    </row>
    <row r="24" ht="24" customHeight="1" spans="1:6">
      <c r="A24" s="422" t="s">
        <v>1287</v>
      </c>
      <c r="B24" s="433" t="s">
        <v>1288</v>
      </c>
      <c r="C24" s="427">
        <f>'06'!F25</f>
        <v>0</v>
      </c>
      <c r="D24" s="424"/>
      <c r="E24" s="435" t="str">
        <f t="shared" si="1"/>
        <v/>
      </c>
      <c r="F24" s="448" t="str">
        <f t="shared" si="0"/>
        <v>是</v>
      </c>
    </row>
    <row r="25" ht="24" customHeight="1" spans="1:6">
      <c r="A25" s="422" t="s">
        <v>1289</v>
      </c>
      <c r="B25" s="420" t="s">
        <v>1290</v>
      </c>
      <c r="C25" s="431">
        <f>'06'!F26</f>
        <v>119674</v>
      </c>
      <c r="D25" s="424">
        <v>110083</v>
      </c>
      <c r="E25" s="435">
        <f t="shared" si="1"/>
        <v>-0.0801427210588766</v>
      </c>
      <c r="F25" s="448" t="str">
        <f t="shared" si="0"/>
        <v>是</v>
      </c>
    </row>
    <row r="26" ht="24" customHeight="1" spans="1:6">
      <c r="A26" s="422"/>
      <c r="B26" s="434"/>
      <c r="C26" s="435"/>
      <c r="D26" s="435"/>
      <c r="E26" s="435" t="str">
        <f t="shared" si="1"/>
        <v/>
      </c>
      <c r="F26" s="448" t="str">
        <f t="shared" si="0"/>
        <v>是</v>
      </c>
    </row>
    <row r="27" ht="24" customHeight="1" spans="1:6">
      <c r="A27" s="422"/>
      <c r="B27" s="436" t="s">
        <v>1291</v>
      </c>
      <c r="C27" s="425">
        <f>C4+C5+C6+C7+C8+C14+C15+C18+C19+C20+C21+C22+C23+C24+C25</f>
        <v>170713</v>
      </c>
      <c r="D27" s="425">
        <f>D4+D5+D6+D7+D8+D14+D15+D18+D19+D20+D21+D22+D23+D24+D25</f>
        <v>213149</v>
      </c>
      <c r="E27" s="435">
        <f t="shared" si="1"/>
        <v>0.248580951655703</v>
      </c>
      <c r="F27" s="448" t="str">
        <f t="shared" si="0"/>
        <v>是</v>
      </c>
    </row>
    <row r="28" ht="24" customHeight="1" spans="1:6">
      <c r="A28" s="437">
        <v>105</v>
      </c>
      <c r="B28" s="438" t="s">
        <v>1292</v>
      </c>
      <c r="C28" s="431">
        <f>'06'!F29</f>
        <v>487330</v>
      </c>
      <c r="D28" s="439">
        <v>370000</v>
      </c>
      <c r="E28" s="435">
        <f t="shared" si="1"/>
        <v>-0.240760880717378</v>
      </c>
      <c r="F28" s="448" t="str">
        <f t="shared" si="0"/>
        <v>是</v>
      </c>
    </row>
    <row r="29" ht="24" customHeight="1" spans="1:6">
      <c r="A29" s="437">
        <v>110</v>
      </c>
      <c r="B29" s="438" t="s">
        <v>166</v>
      </c>
      <c r="C29" s="439">
        <f>C30+C32+C33</f>
        <v>114053</v>
      </c>
      <c r="D29" s="439">
        <f>D30+D32+D33</f>
        <v>92516</v>
      </c>
      <c r="E29" s="435">
        <f t="shared" si="1"/>
        <v>-0.188833261729196</v>
      </c>
      <c r="F29" s="448" t="str">
        <f t="shared" si="0"/>
        <v>是</v>
      </c>
    </row>
    <row r="30" ht="24" customHeight="1" spans="1:6">
      <c r="A30" s="437">
        <v>11004</v>
      </c>
      <c r="B30" s="438" t="s">
        <v>1293</v>
      </c>
      <c r="C30" s="439">
        <f>C31</f>
        <v>40064</v>
      </c>
      <c r="D30" s="439">
        <f>D31</f>
        <v>41158</v>
      </c>
      <c r="E30" s="435">
        <f t="shared" si="1"/>
        <v>0.0273063099041534</v>
      </c>
      <c r="F30" s="448" t="str">
        <f t="shared" si="0"/>
        <v>是</v>
      </c>
    </row>
    <row r="31" ht="24" customHeight="1" spans="1:6">
      <c r="A31" s="422">
        <v>1100402</v>
      </c>
      <c r="B31" s="440" t="s">
        <v>1294</v>
      </c>
      <c r="C31" s="427">
        <f>'06'!F32</f>
        <v>40064</v>
      </c>
      <c r="D31" s="441">
        <v>41158</v>
      </c>
      <c r="E31" s="449">
        <f t="shared" si="1"/>
        <v>0.0273063099041534</v>
      </c>
      <c r="F31" s="448" t="str">
        <f t="shared" si="0"/>
        <v>是</v>
      </c>
    </row>
    <row r="32" ht="24" customHeight="1" spans="1:6">
      <c r="A32" s="422">
        <v>11008</v>
      </c>
      <c r="B32" s="442" t="s">
        <v>170</v>
      </c>
      <c r="C32" s="431">
        <f>'06'!F33</f>
        <v>73989</v>
      </c>
      <c r="D32" s="439">
        <v>51358</v>
      </c>
      <c r="E32" s="435">
        <f t="shared" si="1"/>
        <v>-0.305869791455487</v>
      </c>
      <c r="F32" s="448" t="str">
        <f t="shared" si="0"/>
        <v>是</v>
      </c>
    </row>
    <row r="33" ht="24" customHeight="1" spans="1:6">
      <c r="A33" s="422">
        <v>11009</v>
      </c>
      <c r="B33" s="442" t="s">
        <v>171</v>
      </c>
      <c r="C33" s="427">
        <f>'06'!F34</f>
        <v>0</v>
      </c>
      <c r="D33" s="441"/>
      <c r="E33" s="435" t="str">
        <f t="shared" si="1"/>
        <v/>
      </c>
      <c r="F33" s="448" t="str">
        <f t="shared" si="0"/>
        <v>否</v>
      </c>
    </row>
    <row r="34" ht="24" customHeight="1" spans="1:6">
      <c r="A34" s="443"/>
      <c r="B34" s="436" t="s">
        <v>174</v>
      </c>
      <c r="C34" s="439">
        <f>SUM(C27:C29)</f>
        <v>772096</v>
      </c>
      <c r="D34" s="439">
        <f>SUM(D27:D29)</f>
        <v>675665</v>
      </c>
      <c r="E34" s="435">
        <f t="shared" si="1"/>
        <v>-0.124895090765915</v>
      </c>
      <c r="F34" s="448" t="str">
        <f t="shared" si="0"/>
        <v>是</v>
      </c>
    </row>
  </sheetData>
  <autoFilter ref="A3:F34">
    <extLst/>
  </autoFilter>
  <mergeCells count="1">
    <mergeCell ref="B1:E1"/>
  </mergeCells>
  <conditionalFormatting sqref="B28:B31 B5:B21">
    <cfRule type="expression" dxfId="0" priority="1" stopIfTrue="1">
      <formula>"len($A:$A)=3"</formula>
    </cfRule>
  </conditionalFormatting>
  <printOptions horizontalCentered="1"/>
  <pageMargins left="0.471527777777778" right="0.393055555555556" top="0.747916666666667" bottom="0.747916666666667" header="0.313888888888889" footer="0.313888888888889"/>
  <pageSetup paperSize="9" scale="78" fitToHeight="0" orientation="portrait"/>
  <headerFooter alignWithMargins="0">
    <oddFooter>&amp;C&amp;16- &amp;P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5">
    <tabColor rgb="FFFFFF00"/>
  </sheetPr>
  <dimension ref="A1:G345"/>
  <sheetViews>
    <sheetView showGridLines="0" showZeros="0" view="pageBreakPreview" zoomScale="80" zoomScaleNormal="115" workbookViewId="0">
      <pane ySplit="3" topLeftCell="A230" activePane="bottomLeft" state="frozen"/>
      <selection/>
      <selection pane="bottomLeft" activeCell="A1" sqref="A$1:A$1048576"/>
    </sheetView>
  </sheetViews>
  <sheetFormatPr defaultColWidth="9" defaultRowHeight="14.25" outlineLevelCol="6"/>
  <cols>
    <col min="1" max="1" width="21.5" style="313" hidden="1" customWidth="1"/>
    <col min="2" max="2" width="50.75" style="313" customWidth="1"/>
    <col min="3" max="4" width="16.7833333333333" style="313" customWidth="1"/>
    <col min="5" max="5" width="16.7166666666667" style="314" customWidth="1"/>
    <col min="6" max="6" width="3.75" style="345" customWidth="1"/>
    <col min="7" max="16381" width="9" style="313"/>
  </cols>
  <sheetData>
    <row r="1" ht="35.25" spans="2:5">
      <c r="B1" s="316" t="s">
        <v>64</v>
      </c>
      <c r="C1" s="316"/>
      <c r="D1" s="316"/>
      <c r="E1" s="316"/>
    </row>
    <row r="2" s="317" customFormat="1" ht="18.75" spans="2:6">
      <c r="B2" s="318" t="s">
        <v>63</v>
      </c>
      <c r="C2" s="318"/>
      <c r="D2" s="318"/>
      <c r="E2" s="340" t="s">
        <v>103</v>
      </c>
      <c r="F2" s="346"/>
    </row>
    <row r="3" s="348" customFormat="1" ht="41" customHeight="1" spans="1:7">
      <c r="A3" s="397" t="s">
        <v>104</v>
      </c>
      <c r="B3" s="398" t="s">
        <v>105</v>
      </c>
      <c r="C3" s="321" t="s">
        <v>1753</v>
      </c>
      <c r="D3" s="321" t="s">
        <v>1754</v>
      </c>
      <c r="E3" s="321" t="s">
        <v>1755</v>
      </c>
      <c r="F3" s="347" t="s">
        <v>113</v>
      </c>
      <c r="G3" s="348" t="s">
        <v>210</v>
      </c>
    </row>
    <row r="4" s="307" customFormat="1" ht="18.75" spans="1:7">
      <c r="A4" s="323">
        <v>205</v>
      </c>
      <c r="B4" s="324" t="s">
        <v>1295</v>
      </c>
      <c r="C4" s="399"/>
      <c r="D4" s="399">
        <v>0</v>
      </c>
      <c r="E4" s="403" t="str">
        <f>IFERROR((D4-C4)/C4,"")</f>
        <v/>
      </c>
      <c r="F4" s="349" t="str">
        <f t="shared" ref="F4:F67" si="0">IF(LEN(A4)=3,"是",IF(B4&lt;&gt;"",IF(SUM(C4:D4)&lt;&gt;0,"是","否"),"是"))</f>
        <v>是</v>
      </c>
      <c r="G4" s="313" t="str">
        <f t="shared" ref="G4:G67" si="1">IF(LEN(A4)=3,"类",IF(LEN(A4)=5,"款","项"))</f>
        <v>类</v>
      </c>
    </row>
    <row r="5" s="307" customFormat="1" ht="18.75" hidden="1" spans="1:7">
      <c r="A5" s="326">
        <v>20598</v>
      </c>
      <c r="B5" s="327" t="s">
        <v>1296</v>
      </c>
      <c r="C5" s="400"/>
      <c r="D5" s="399">
        <v>0</v>
      </c>
      <c r="E5" s="404" t="str">
        <f t="shared" ref="E5:E68" si="2">IFERROR((D5-C5)/C5,"")</f>
        <v/>
      </c>
      <c r="F5" s="349" t="str">
        <f t="shared" si="0"/>
        <v>否</v>
      </c>
      <c r="G5" s="313" t="str">
        <f t="shared" si="1"/>
        <v>款</v>
      </c>
    </row>
    <row r="6" s="307" customFormat="1" ht="18.75" hidden="1" spans="1:7">
      <c r="A6" s="326">
        <v>2059801</v>
      </c>
      <c r="B6" s="327" t="s">
        <v>1297</v>
      </c>
      <c r="C6" s="400">
        <f>'07'!F7</f>
        <v>0</v>
      </c>
      <c r="D6" s="400">
        <v>0</v>
      </c>
      <c r="E6" s="404" t="str">
        <f t="shared" si="2"/>
        <v/>
      </c>
      <c r="F6" s="349" t="str">
        <f t="shared" si="0"/>
        <v>否</v>
      </c>
      <c r="G6" s="313" t="str">
        <f t="shared" si="1"/>
        <v>项</v>
      </c>
    </row>
    <row r="7" s="307" customFormat="1" ht="18.75" hidden="1" spans="1:7">
      <c r="A7" s="326">
        <v>2059802</v>
      </c>
      <c r="B7" s="327" t="s">
        <v>1298</v>
      </c>
      <c r="C7" s="400">
        <f>'07'!F8</f>
        <v>0</v>
      </c>
      <c r="D7" s="400">
        <v>0</v>
      </c>
      <c r="E7" s="404" t="str">
        <f t="shared" si="2"/>
        <v/>
      </c>
      <c r="F7" s="349" t="str">
        <f t="shared" si="0"/>
        <v>否</v>
      </c>
      <c r="G7" s="313" t="str">
        <f t="shared" si="1"/>
        <v>项</v>
      </c>
    </row>
    <row r="8" s="307" customFormat="1" ht="18.75" hidden="1" spans="1:7">
      <c r="A8" s="326">
        <v>2059803</v>
      </c>
      <c r="B8" s="327" t="s">
        <v>1299</v>
      </c>
      <c r="C8" s="400">
        <f>'07'!F9</f>
        <v>0</v>
      </c>
      <c r="D8" s="400">
        <v>0</v>
      </c>
      <c r="E8" s="404" t="str">
        <f t="shared" si="2"/>
        <v/>
      </c>
      <c r="F8" s="349" t="str">
        <f t="shared" si="0"/>
        <v>否</v>
      </c>
      <c r="G8" s="313" t="str">
        <f t="shared" si="1"/>
        <v>项</v>
      </c>
    </row>
    <row r="9" s="307" customFormat="1" ht="18.75" hidden="1" spans="1:7">
      <c r="A9" s="326">
        <v>2059804</v>
      </c>
      <c r="B9" s="327" t="s">
        <v>1300</v>
      </c>
      <c r="C9" s="400">
        <f>'07'!F10</f>
        <v>0</v>
      </c>
      <c r="D9" s="400">
        <v>0</v>
      </c>
      <c r="E9" s="404" t="str">
        <f t="shared" si="2"/>
        <v/>
      </c>
      <c r="F9" s="349" t="str">
        <f t="shared" si="0"/>
        <v>否</v>
      </c>
      <c r="G9" s="313" t="str">
        <f t="shared" si="1"/>
        <v>项</v>
      </c>
    </row>
    <row r="10" s="307" customFormat="1" ht="18.75" hidden="1" spans="1:7">
      <c r="A10" s="326">
        <v>2059899</v>
      </c>
      <c r="B10" s="327" t="s">
        <v>1301</v>
      </c>
      <c r="C10" s="400">
        <f>'07'!F11</f>
        <v>0</v>
      </c>
      <c r="D10" s="400">
        <v>0</v>
      </c>
      <c r="E10" s="404" t="str">
        <f t="shared" si="2"/>
        <v/>
      </c>
      <c r="F10" s="349" t="str">
        <f t="shared" si="0"/>
        <v>否</v>
      </c>
      <c r="G10" s="313" t="str">
        <f t="shared" si="1"/>
        <v>项</v>
      </c>
    </row>
    <row r="11" s="307" customFormat="1" ht="18.75" spans="1:7">
      <c r="A11" s="323">
        <v>206</v>
      </c>
      <c r="B11" s="324" t="s">
        <v>1302</v>
      </c>
      <c r="C11" s="399"/>
      <c r="D11" s="399">
        <v>0</v>
      </c>
      <c r="E11" s="403" t="str">
        <f t="shared" si="2"/>
        <v/>
      </c>
      <c r="F11" s="349" t="str">
        <f t="shared" si="0"/>
        <v>是</v>
      </c>
      <c r="G11" s="313" t="str">
        <f t="shared" si="1"/>
        <v>类</v>
      </c>
    </row>
    <row r="12" s="307" customFormat="1" ht="18.75" hidden="1" spans="1:7">
      <c r="A12" s="326">
        <v>20698</v>
      </c>
      <c r="B12" s="327" t="s">
        <v>1296</v>
      </c>
      <c r="C12" s="400"/>
      <c r="D12" s="399">
        <v>0</v>
      </c>
      <c r="E12" s="404" t="str">
        <f t="shared" si="2"/>
        <v/>
      </c>
      <c r="F12" s="349" t="str">
        <f t="shared" si="0"/>
        <v>否</v>
      </c>
      <c r="G12" s="313" t="str">
        <f t="shared" si="1"/>
        <v>款</v>
      </c>
    </row>
    <row r="13" s="307" customFormat="1" ht="18.75" hidden="1" spans="1:7">
      <c r="A13" s="326">
        <v>2069801</v>
      </c>
      <c r="B13" s="327" t="s">
        <v>1303</v>
      </c>
      <c r="C13" s="400">
        <f>'07'!F14</f>
        <v>0</v>
      </c>
      <c r="D13" s="400">
        <v>0</v>
      </c>
      <c r="E13" s="404" t="str">
        <f t="shared" si="2"/>
        <v/>
      </c>
      <c r="F13" s="349" t="str">
        <f t="shared" si="0"/>
        <v>否</v>
      </c>
      <c r="G13" s="313" t="str">
        <f t="shared" si="1"/>
        <v>项</v>
      </c>
    </row>
    <row r="14" s="307" customFormat="1" ht="18.75" hidden="1" spans="1:7">
      <c r="A14" s="326">
        <v>2069802</v>
      </c>
      <c r="B14" s="327" t="s">
        <v>1304</v>
      </c>
      <c r="C14" s="400">
        <f>'07'!F15</f>
        <v>0</v>
      </c>
      <c r="D14" s="400">
        <v>0</v>
      </c>
      <c r="E14" s="404" t="str">
        <f t="shared" si="2"/>
        <v/>
      </c>
      <c r="F14" s="349" t="str">
        <f t="shared" si="0"/>
        <v>否</v>
      </c>
      <c r="G14" s="313" t="str">
        <f t="shared" si="1"/>
        <v>项</v>
      </c>
    </row>
    <row r="15" s="307" customFormat="1" ht="18.75" hidden="1" spans="1:7">
      <c r="A15" s="326">
        <v>2069803</v>
      </c>
      <c r="B15" s="327" t="s">
        <v>1305</v>
      </c>
      <c r="C15" s="400">
        <f>'07'!F16</f>
        <v>0</v>
      </c>
      <c r="D15" s="400">
        <v>0</v>
      </c>
      <c r="E15" s="404" t="str">
        <f t="shared" si="2"/>
        <v/>
      </c>
      <c r="F15" s="349" t="str">
        <f t="shared" si="0"/>
        <v>否</v>
      </c>
      <c r="G15" s="313" t="str">
        <f t="shared" si="1"/>
        <v>项</v>
      </c>
    </row>
    <row r="16" s="307" customFormat="1" ht="18.75" hidden="1" spans="1:7">
      <c r="A16" s="326">
        <v>2069804</v>
      </c>
      <c r="B16" s="327" t="s">
        <v>1306</v>
      </c>
      <c r="C16" s="400">
        <f>'07'!F17</f>
        <v>0</v>
      </c>
      <c r="D16" s="400">
        <v>0</v>
      </c>
      <c r="E16" s="404" t="str">
        <f t="shared" si="2"/>
        <v/>
      </c>
      <c r="F16" s="349" t="str">
        <f t="shared" si="0"/>
        <v>否</v>
      </c>
      <c r="G16" s="313" t="str">
        <f t="shared" si="1"/>
        <v>项</v>
      </c>
    </row>
    <row r="17" s="307" customFormat="1" ht="18.75" hidden="1" spans="1:7">
      <c r="A17" s="326">
        <v>2069805</v>
      </c>
      <c r="B17" s="327" t="s">
        <v>1307</v>
      </c>
      <c r="C17" s="400">
        <f>'07'!F18</f>
        <v>0</v>
      </c>
      <c r="D17" s="400">
        <v>0</v>
      </c>
      <c r="E17" s="404" t="str">
        <f t="shared" si="2"/>
        <v/>
      </c>
      <c r="F17" s="349" t="str">
        <f t="shared" si="0"/>
        <v>否</v>
      </c>
      <c r="G17" s="313" t="str">
        <f t="shared" si="1"/>
        <v>项</v>
      </c>
    </row>
    <row r="18" s="307" customFormat="1" ht="18.75" hidden="1" spans="1:7">
      <c r="A18" s="326">
        <v>2069899</v>
      </c>
      <c r="B18" s="327" t="s">
        <v>1308</v>
      </c>
      <c r="C18" s="400">
        <f>'07'!F19</f>
        <v>0</v>
      </c>
      <c r="D18" s="400">
        <v>0</v>
      </c>
      <c r="E18" s="404" t="str">
        <f t="shared" si="2"/>
        <v/>
      </c>
      <c r="F18" s="349" t="str">
        <f t="shared" si="0"/>
        <v>否</v>
      </c>
      <c r="G18" s="313" t="str">
        <f t="shared" si="1"/>
        <v>项</v>
      </c>
    </row>
    <row r="19" ht="18.75" spans="1:7">
      <c r="A19" s="329">
        <v>207</v>
      </c>
      <c r="B19" s="377" t="s">
        <v>1309</v>
      </c>
      <c r="C19" s="401">
        <f>C20+C26+C32+C35</f>
        <v>1375</v>
      </c>
      <c r="D19" s="401">
        <f>D20+D26+D32+D35</f>
        <v>2330</v>
      </c>
      <c r="E19" s="403">
        <f t="shared" si="2"/>
        <v>0.694545454545455</v>
      </c>
      <c r="F19" s="349" t="str">
        <f t="shared" si="0"/>
        <v>是</v>
      </c>
      <c r="G19" s="313" t="str">
        <f t="shared" si="1"/>
        <v>类</v>
      </c>
    </row>
    <row r="20" ht="18.75" spans="1:7">
      <c r="A20" s="330">
        <v>20707</v>
      </c>
      <c r="B20" s="379" t="s">
        <v>1310</v>
      </c>
      <c r="C20" s="402">
        <f>SUM(C21:C25)</f>
        <v>2</v>
      </c>
      <c r="D20" s="402">
        <f>SUM(D21:D25)</f>
        <v>25</v>
      </c>
      <c r="E20" s="404">
        <f t="shared" si="2"/>
        <v>11.5</v>
      </c>
      <c r="F20" s="349" t="str">
        <f t="shared" si="0"/>
        <v>是</v>
      </c>
      <c r="G20" s="313" t="str">
        <f t="shared" si="1"/>
        <v>款</v>
      </c>
    </row>
    <row r="21" ht="18.75" hidden="1" spans="1:7">
      <c r="A21" s="330">
        <v>2070701</v>
      </c>
      <c r="B21" s="379" t="s">
        <v>1311</v>
      </c>
      <c r="C21" s="400">
        <f>'07'!F22</f>
        <v>1</v>
      </c>
      <c r="D21" s="400">
        <v>25</v>
      </c>
      <c r="E21" s="404">
        <f t="shared" si="2"/>
        <v>24</v>
      </c>
      <c r="F21" s="349" t="str">
        <f t="shared" si="0"/>
        <v>是</v>
      </c>
      <c r="G21" s="313" t="str">
        <f t="shared" si="1"/>
        <v>项</v>
      </c>
    </row>
    <row r="22" ht="18.75" hidden="1" spans="1:7">
      <c r="A22" s="330">
        <v>2070702</v>
      </c>
      <c r="B22" s="379" t="s">
        <v>1312</v>
      </c>
      <c r="C22" s="400">
        <f>'07'!F23</f>
        <v>0</v>
      </c>
      <c r="D22" s="400">
        <v>0</v>
      </c>
      <c r="E22" s="404" t="str">
        <f t="shared" si="2"/>
        <v/>
      </c>
      <c r="F22" s="349" t="str">
        <f t="shared" si="0"/>
        <v>否</v>
      </c>
      <c r="G22" s="313" t="str">
        <f t="shared" si="1"/>
        <v>项</v>
      </c>
    </row>
    <row r="23" ht="18.75" hidden="1" spans="1:7">
      <c r="A23" s="330">
        <v>2070703</v>
      </c>
      <c r="B23" s="379" t="s">
        <v>1313</v>
      </c>
      <c r="C23" s="400">
        <f>'07'!F24</f>
        <v>0</v>
      </c>
      <c r="D23" s="400">
        <v>0</v>
      </c>
      <c r="E23" s="404" t="str">
        <f t="shared" si="2"/>
        <v/>
      </c>
      <c r="F23" s="349" t="str">
        <f t="shared" si="0"/>
        <v>否</v>
      </c>
      <c r="G23" s="313" t="str">
        <f t="shared" si="1"/>
        <v>项</v>
      </c>
    </row>
    <row r="24" s="312" customFormat="1" ht="18.75" hidden="1" spans="1:7">
      <c r="A24" s="330">
        <v>2070704</v>
      </c>
      <c r="B24" s="379" t="s">
        <v>1906</v>
      </c>
      <c r="C24" s="400">
        <f>'07'!F25</f>
        <v>0</v>
      </c>
      <c r="D24" s="400">
        <v>0</v>
      </c>
      <c r="E24" s="404" t="str">
        <f t="shared" si="2"/>
        <v/>
      </c>
      <c r="F24" s="349" t="str">
        <f t="shared" si="0"/>
        <v>否</v>
      </c>
      <c r="G24" s="313" t="str">
        <f t="shared" si="1"/>
        <v>项</v>
      </c>
    </row>
    <row r="25" ht="18.75" hidden="1" spans="1:7">
      <c r="A25" s="330">
        <v>2070799</v>
      </c>
      <c r="B25" s="379" t="s">
        <v>1315</v>
      </c>
      <c r="C25" s="400">
        <f>'07'!F26</f>
        <v>1</v>
      </c>
      <c r="D25" s="400">
        <v>0</v>
      </c>
      <c r="E25" s="404">
        <f t="shared" si="2"/>
        <v>-1</v>
      </c>
      <c r="F25" s="349" t="str">
        <f t="shared" si="0"/>
        <v>是</v>
      </c>
      <c r="G25" s="313" t="str">
        <f t="shared" si="1"/>
        <v>项</v>
      </c>
    </row>
    <row r="26" ht="18.75" spans="1:7">
      <c r="A26" s="330">
        <v>20709</v>
      </c>
      <c r="B26" s="379" t="s">
        <v>1316</v>
      </c>
      <c r="C26" s="400">
        <f>SUM(C27:C31)</f>
        <v>133</v>
      </c>
      <c r="D26" s="400">
        <f>SUM(D27:D31)</f>
        <v>315</v>
      </c>
      <c r="E26" s="404">
        <f t="shared" si="2"/>
        <v>1.36842105263158</v>
      </c>
      <c r="F26" s="349" t="str">
        <f t="shared" si="0"/>
        <v>是</v>
      </c>
      <c r="G26" s="313" t="str">
        <f t="shared" si="1"/>
        <v>款</v>
      </c>
    </row>
    <row r="27" s="312" customFormat="1" ht="18.75" hidden="1" spans="1:7">
      <c r="A27" s="330">
        <v>2070901</v>
      </c>
      <c r="B27" s="379" t="s">
        <v>1317</v>
      </c>
      <c r="C27" s="400">
        <f>'07'!F28</f>
        <v>60</v>
      </c>
      <c r="D27" s="400">
        <v>0</v>
      </c>
      <c r="E27" s="404">
        <f t="shared" si="2"/>
        <v>-1</v>
      </c>
      <c r="F27" s="349" t="str">
        <f t="shared" si="0"/>
        <v>是</v>
      </c>
      <c r="G27" s="313" t="str">
        <f t="shared" si="1"/>
        <v>项</v>
      </c>
    </row>
    <row r="28" ht="18.75" hidden="1" spans="1:7">
      <c r="A28" s="330">
        <v>2070902</v>
      </c>
      <c r="B28" s="379" t="s">
        <v>1318</v>
      </c>
      <c r="C28" s="400">
        <f>'07'!F29</f>
        <v>0</v>
      </c>
      <c r="D28" s="400">
        <v>0</v>
      </c>
      <c r="E28" s="404" t="str">
        <f t="shared" si="2"/>
        <v/>
      </c>
      <c r="F28" s="349" t="str">
        <f t="shared" si="0"/>
        <v>否</v>
      </c>
      <c r="G28" s="313" t="str">
        <f t="shared" si="1"/>
        <v>项</v>
      </c>
    </row>
    <row r="29" s="312" customFormat="1" ht="18.75" hidden="1" spans="1:7">
      <c r="A29" s="330">
        <v>2070903</v>
      </c>
      <c r="B29" s="379" t="s">
        <v>1319</v>
      </c>
      <c r="C29" s="400">
        <f>'07'!F30</f>
        <v>16</v>
      </c>
      <c r="D29" s="400">
        <v>0</v>
      </c>
      <c r="E29" s="404">
        <f t="shared" si="2"/>
        <v>-1</v>
      </c>
      <c r="F29" s="349" t="str">
        <f t="shared" si="0"/>
        <v>是</v>
      </c>
      <c r="G29" s="313" t="str">
        <f t="shared" si="1"/>
        <v>项</v>
      </c>
    </row>
    <row r="30" ht="18.75" hidden="1" spans="1:7">
      <c r="A30" s="330">
        <v>2070904</v>
      </c>
      <c r="B30" s="379" t="s">
        <v>1320</v>
      </c>
      <c r="C30" s="400">
        <f>'07'!F31</f>
        <v>57</v>
      </c>
      <c r="D30" s="400">
        <v>315</v>
      </c>
      <c r="E30" s="404">
        <f t="shared" si="2"/>
        <v>4.52631578947368</v>
      </c>
      <c r="F30" s="349" t="str">
        <f t="shared" si="0"/>
        <v>是</v>
      </c>
      <c r="G30" s="313" t="str">
        <f t="shared" si="1"/>
        <v>项</v>
      </c>
    </row>
    <row r="31" ht="18.75" hidden="1" spans="1:7">
      <c r="A31" s="330">
        <v>2070999</v>
      </c>
      <c r="B31" s="379" t="s">
        <v>1321</v>
      </c>
      <c r="C31" s="400">
        <f>'07'!F32</f>
        <v>0</v>
      </c>
      <c r="D31" s="400">
        <v>0</v>
      </c>
      <c r="E31" s="404" t="str">
        <f t="shared" si="2"/>
        <v/>
      </c>
      <c r="F31" s="349" t="str">
        <f t="shared" si="0"/>
        <v>否</v>
      </c>
      <c r="G31" s="313" t="str">
        <f t="shared" si="1"/>
        <v>项</v>
      </c>
    </row>
    <row r="32" s="312" customFormat="1" ht="37.5" hidden="1" spans="1:7">
      <c r="A32" s="330">
        <v>20710</v>
      </c>
      <c r="B32" s="379" t="s">
        <v>1322</v>
      </c>
      <c r="C32" s="400">
        <f>C33+C34</f>
        <v>0</v>
      </c>
      <c r="D32" s="400">
        <f>D33+D34</f>
        <v>0</v>
      </c>
      <c r="E32" s="404" t="str">
        <f t="shared" si="2"/>
        <v/>
      </c>
      <c r="F32" s="349" t="str">
        <f t="shared" si="0"/>
        <v>否</v>
      </c>
      <c r="G32" s="313" t="str">
        <f t="shared" si="1"/>
        <v>款</v>
      </c>
    </row>
    <row r="33" s="312" customFormat="1" ht="18.75" hidden="1" spans="1:7">
      <c r="A33" s="330">
        <v>2071001</v>
      </c>
      <c r="B33" s="379" t="s">
        <v>1323</v>
      </c>
      <c r="C33" s="400">
        <f>'07'!F34</f>
        <v>0</v>
      </c>
      <c r="D33" s="400">
        <v>0</v>
      </c>
      <c r="E33" s="404" t="str">
        <f t="shared" si="2"/>
        <v/>
      </c>
      <c r="F33" s="349" t="str">
        <f t="shared" si="0"/>
        <v>否</v>
      </c>
      <c r="G33" s="313" t="str">
        <f t="shared" si="1"/>
        <v>项</v>
      </c>
    </row>
    <row r="34" s="312" customFormat="1" ht="37.5" hidden="1" spans="1:7">
      <c r="A34" s="330">
        <v>2071099</v>
      </c>
      <c r="B34" s="379" t="s">
        <v>1324</v>
      </c>
      <c r="C34" s="400">
        <f>'07'!F35</f>
        <v>0</v>
      </c>
      <c r="D34" s="400">
        <v>0</v>
      </c>
      <c r="E34" s="404" t="str">
        <f t="shared" si="2"/>
        <v/>
      </c>
      <c r="F34" s="349" t="str">
        <f t="shared" si="0"/>
        <v>否</v>
      </c>
      <c r="G34" s="313" t="str">
        <f t="shared" si="1"/>
        <v>项</v>
      </c>
    </row>
    <row r="35" s="313" customFormat="1" ht="18.75" spans="1:7">
      <c r="A35" s="331">
        <v>20798</v>
      </c>
      <c r="B35" s="327" t="s">
        <v>1296</v>
      </c>
      <c r="C35" s="400">
        <f>SUM(C36:C41)</f>
        <v>1240</v>
      </c>
      <c r="D35" s="400">
        <f>SUM(D36:D41)</f>
        <v>1990</v>
      </c>
      <c r="E35" s="404">
        <f t="shared" si="2"/>
        <v>0.604838709677419</v>
      </c>
      <c r="F35" s="349" t="str">
        <f t="shared" si="0"/>
        <v>是</v>
      </c>
      <c r="G35" s="313" t="str">
        <f t="shared" si="1"/>
        <v>款</v>
      </c>
    </row>
    <row r="36" s="313" customFormat="1" ht="18.75" hidden="1" spans="1:7">
      <c r="A36" s="331">
        <v>2079801</v>
      </c>
      <c r="B36" s="327" t="s">
        <v>1325</v>
      </c>
      <c r="C36" s="400">
        <f>'07'!F37</f>
        <v>1240</v>
      </c>
      <c r="D36" s="400">
        <v>1990</v>
      </c>
      <c r="E36" s="404">
        <f t="shared" si="2"/>
        <v>0.604838709677419</v>
      </c>
      <c r="F36" s="349" t="str">
        <f t="shared" si="0"/>
        <v>是</v>
      </c>
      <c r="G36" s="313" t="str">
        <f t="shared" si="1"/>
        <v>项</v>
      </c>
    </row>
    <row r="37" s="313" customFormat="1" ht="18.75" hidden="1" spans="1:7">
      <c r="A37" s="331">
        <v>2079802</v>
      </c>
      <c r="B37" s="327" t="s">
        <v>1326</v>
      </c>
      <c r="C37" s="400">
        <f>'07'!F38</f>
        <v>0</v>
      </c>
      <c r="D37" s="400">
        <v>0</v>
      </c>
      <c r="E37" s="404" t="str">
        <f t="shared" si="2"/>
        <v/>
      </c>
      <c r="F37" s="349" t="str">
        <f t="shared" si="0"/>
        <v>否</v>
      </c>
      <c r="G37" s="313" t="str">
        <f t="shared" si="1"/>
        <v>项</v>
      </c>
    </row>
    <row r="38" s="313" customFormat="1" ht="18.75" hidden="1" spans="1:7">
      <c r="A38" s="331">
        <v>2079803</v>
      </c>
      <c r="B38" s="327" t="s">
        <v>1327</v>
      </c>
      <c r="C38" s="400">
        <f>'07'!F39</f>
        <v>0</v>
      </c>
      <c r="D38" s="400">
        <v>0</v>
      </c>
      <c r="E38" s="404" t="str">
        <f t="shared" si="2"/>
        <v/>
      </c>
      <c r="F38" s="349" t="str">
        <f t="shared" si="0"/>
        <v>否</v>
      </c>
      <c r="G38" s="313" t="str">
        <f t="shared" si="1"/>
        <v>项</v>
      </c>
    </row>
    <row r="39" s="313" customFormat="1" ht="18.75" hidden="1" spans="1:7">
      <c r="A39" s="331">
        <v>2079804</v>
      </c>
      <c r="B39" s="327" t="s">
        <v>1328</v>
      </c>
      <c r="C39" s="400">
        <f>'07'!F40</f>
        <v>0</v>
      </c>
      <c r="D39" s="400">
        <v>0</v>
      </c>
      <c r="E39" s="404" t="str">
        <f t="shared" si="2"/>
        <v/>
      </c>
      <c r="F39" s="349" t="str">
        <f t="shared" si="0"/>
        <v>否</v>
      </c>
      <c r="G39" s="313" t="str">
        <f t="shared" si="1"/>
        <v>项</v>
      </c>
    </row>
    <row r="40" s="313" customFormat="1" ht="18.75" hidden="1" spans="1:7">
      <c r="A40" s="331">
        <v>2079805</v>
      </c>
      <c r="B40" s="327" t="s">
        <v>1329</v>
      </c>
      <c r="C40" s="400">
        <f>'07'!F41</f>
        <v>0</v>
      </c>
      <c r="D40" s="400">
        <v>0</v>
      </c>
      <c r="E40" s="404" t="str">
        <f t="shared" si="2"/>
        <v/>
      </c>
      <c r="F40" s="349" t="str">
        <f t="shared" si="0"/>
        <v>否</v>
      </c>
      <c r="G40" s="313" t="str">
        <f t="shared" si="1"/>
        <v>项</v>
      </c>
    </row>
    <row r="41" s="313" customFormat="1" ht="18.75" hidden="1" spans="1:7">
      <c r="A41" s="331">
        <v>2079899</v>
      </c>
      <c r="B41" s="327" t="s">
        <v>579</v>
      </c>
      <c r="C41" s="400">
        <f>'07'!F42</f>
        <v>0</v>
      </c>
      <c r="D41" s="400">
        <v>0</v>
      </c>
      <c r="E41" s="404" t="str">
        <f t="shared" si="2"/>
        <v/>
      </c>
      <c r="F41" s="349" t="str">
        <f t="shared" si="0"/>
        <v>否</v>
      </c>
      <c r="G41" s="313" t="str">
        <f t="shared" si="1"/>
        <v>项</v>
      </c>
    </row>
    <row r="42" s="309" customFormat="1" ht="18.75" spans="1:7">
      <c r="A42" s="332">
        <v>208</v>
      </c>
      <c r="B42" s="333" t="s">
        <v>1330</v>
      </c>
      <c r="C42" s="399">
        <f>C43</f>
        <v>0</v>
      </c>
      <c r="D42" s="399">
        <f>D43</f>
        <v>0</v>
      </c>
      <c r="E42" s="403" t="str">
        <f t="shared" si="2"/>
        <v/>
      </c>
      <c r="F42" s="349" t="str">
        <f t="shared" si="0"/>
        <v>是</v>
      </c>
      <c r="G42" s="309" t="str">
        <f t="shared" si="1"/>
        <v>类</v>
      </c>
    </row>
    <row r="43" s="309" customFormat="1" ht="18.75" hidden="1" spans="1:7">
      <c r="A43" s="334">
        <v>20898</v>
      </c>
      <c r="B43" s="335" t="s">
        <v>1331</v>
      </c>
      <c r="C43" s="400">
        <f>SUM(C44:C46)</f>
        <v>0</v>
      </c>
      <c r="D43" s="400">
        <f>SUM(D44:D46)</f>
        <v>0</v>
      </c>
      <c r="E43" s="404" t="str">
        <f t="shared" si="2"/>
        <v/>
      </c>
      <c r="F43" s="349" t="str">
        <f t="shared" si="0"/>
        <v>否</v>
      </c>
      <c r="G43" s="309" t="str">
        <f t="shared" si="1"/>
        <v>款</v>
      </c>
    </row>
    <row r="44" s="309" customFormat="1" ht="18.75" hidden="1" spans="1:7">
      <c r="A44" s="334">
        <v>2089801</v>
      </c>
      <c r="B44" s="335" t="s">
        <v>1332</v>
      </c>
      <c r="C44" s="400">
        <f>'07'!F45</f>
        <v>0</v>
      </c>
      <c r="D44" s="400">
        <v>0</v>
      </c>
      <c r="E44" s="404" t="str">
        <f t="shared" si="2"/>
        <v/>
      </c>
      <c r="F44" s="349" t="str">
        <f t="shared" si="0"/>
        <v>否</v>
      </c>
      <c r="G44" s="309" t="str">
        <f t="shared" si="1"/>
        <v>项</v>
      </c>
    </row>
    <row r="45" s="309" customFormat="1" ht="18.75" hidden="1" spans="1:7">
      <c r="A45" s="334">
        <v>2089802</v>
      </c>
      <c r="B45" s="335" t="s">
        <v>1333</v>
      </c>
      <c r="C45" s="400">
        <f>'07'!F46</f>
        <v>0</v>
      </c>
      <c r="D45" s="400">
        <v>0</v>
      </c>
      <c r="E45" s="404" t="str">
        <f t="shared" si="2"/>
        <v/>
      </c>
      <c r="F45" s="349" t="str">
        <f t="shared" si="0"/>
        <v>否</v>
      </c>
      <c r="G45" s="309" t="str">
        <f t="shared" si="1"/>
        <v>项</v>
      </c>
    </row>
    <row r="46" s="309" customFormat="1" ht="18.75" hidden="1" spans="1:7">
      <c r="A46" s="334">
        <v>2089899</v>
      </c>
      <c r="B46" s="335" t="s">
        <v>1334</v>
      </c>
      <c r="C46" s="400">
        <f>'07'!F47</f>
        <v>0</v>
      </c>
      <c r="D46" s="400">
        <v>0</v>
      </c>
      <c r="E46" s="404" t="str">
        <f t="shared" si="2"/>
        <v/>
      </c>
      <c r="F46" s="349" t="str">
        <f t="shared" si="0"/>
        <v>否</v>
      </c>
      <c r="G46" s="309" t="str">
        <f t="shared" si="1"/>
        <v>项</v>
      </c>
    </row>
    <row r="47" s="309" customFormat="1" ht="18.75" spans="1:7">
      <c r="A47" s="332">
        <v>210</v>
      </c>
      <c r="B47" s="333" t="s">
        <v>1335</v>
      </c>
      <c r="C47" s="399"/>
      <c r="D47" s="399">
        <v>0</v>
      </c>
      <c r="E47" s="403" t="str">
        <f t="shared" si="2"/>
        <v/>
      </c>
      <c r="F47" s="349" t="str">
        <f t="shared" si="0"/>
        <v>是</v>
      </c>
      <c r="G47" s="309" t="str">
        <f t="shared" si="1"/>
        <v>类</v>
      </c>
    </row>
    <row r="48" s="309" customFormat="1" ht="18.75" hidden="1" spans="1:7">
      <c r="A48" s="334">
        <v>21098</v>
      </c>
      <c r="B48" s="335" t="s">
        <v>1331</v>
      </c>
      <c r="C48" s="400"/>
      <c r="D48" s="399">
        <v>0</v>
      </c>
      <c r="E48" s="404" t="str">
        <f t="shared" si="2"/>
        <v/>
      </c>
      <c r="F48" s="349" t="str">
        <f t="shared" si="0"/>
        <v>否</v>
      </c>
      <c r="G48" s="309" t="str">
        <f t="shared" si="1"/>
        <v>款</v>
      </c>
    </row>
    <row r="49" s="309" customFormat="1" ht="18.75" hidden="1" spans="1:7">
      <c r="A49" s="334">
        <v>2109801</v>
      </c>
      <c r="B49" s="335" t="s">
        <v>1336</v>
      </c>
      <c r="C49" s="400">
        <f>'07'!F50</f>
        <v>0</v>
      </c>
      <c r="D49" s="400">
        <v>0</v>
      </c>
      <c r="E49" s="404" t="str">
        <f t="shared" si="2"/>
        <v/>
      </c>
      <c r="F49" s="349" t="str">
        <f t="shared" si="0"/>
        <v>否</v>
      </c>
      <c r="G49" s="309" t="str">
        <f t="shared" si="1"/>
        <v>项</v>
      </c>
    </row>
    <row r="50" s="309" customFormat="1" ht="18.75" hidden="1" spans="1:7">
      <c r="A50" s="334">
        <v>2109802</v>
      </c>
      <c r="B50" s="335" t="s">
        <v>1337</v>
      </c>
      <c r="C50" s="400">
        <f>'07'!F51</f>
        <v>0</v>
      </c>
      <c r="D50" s="400">
        <v>0</v>
      </c>
      <c r="E50" s="404" t="str">
        <f t="shared" si="2"/>
        <v/>
      </c>
      <c r="F50" s="349" t="str">
        <f t="shared" si="0"/>
        <v>否</v>
      </c>
      <c r="G50" s="309" t="str">
        <f t="shared" si="1"/>
        <v>项</v>
      </c>
    </row>
    <row r="51" s="309" customFormat="1" ht="18.75" hidden="1" spans="1:7">
      <c r="A51" s="334">
        <v>2109803</v>
      </c>
      <c r="B51" s="335" t="s">
        <v>1338</v>
      </c>
      <c r="C51" s="400">
        <f>'07'!F52</f>
        <v>0</v>
      </c>
      <c r="D51" s="400">
        <v>0</v>
      </c>
      <c r="E51" s="404" t="str">
        <f t="shared" si="2"/>
        <v/>
      </c>
      <c r="F51" s="349" t="str">
        <f t="shared" si="0"/>
        <v>否</v>
      </c>
      <c r="G51" s="309" t="str">
        <f t="shared" si="1"/>
        <v>项</v>
      </c>
    </row>
    <row r="52" s="309" customFormat="1" ht="18.75" hidden="1" spans="1:7">
      <c r="A52" s="336">
        <v>2109804</v>
      </c>
      <c r="B52" s="337" t="s">
        <v>1339</v>
      </c>
      <c r="C52" s="400">
        <f>'07'!F53</f>
        <v>0</v>
      </c>
      <c r="D52" s="400">
        <v>0</v>
      </c>
      <c r="E52" s="404" t="str">
        <f t="shared" si="2"/>
        <v/>
      </c>
      <c r="F52" s="349" t="str">
        <f t="shared" si="0"/>
        <v>否</v>
      </c>
      <c r="G52" s="309" t="str">
        <f t="shared" si="1"/>
        <v>项</v>
      </c>
    </row>
    <row r="53" s="309" customFormat="1" ht="18.75" hidden="1" spans="1:7">
      <c r="A53" s="334">
        <v>2109899</v>
      </c>
      <c r="B53" s="338" t="s">
        <v>1340</v>
      </c>
      <c r="C53" s="400">
        <f>'07'!F54</f>
        <v>0</v>
      </c>
      <c r="D53" s="400">
        <v>0</v>
      </c>
      <c r="E53" s="404" t="str">
        <f t="shared" si="2"/>
        <v/>
      </c>
      <c r="F53" s="349" t="str">
        <f t="shared" si="0"/>
        <v>否</v>
      </c>
      <c r="G53" s="309" t="str">
        <f t="shared" si="1"/>
        <v>项</v>
      </c>
    </row>
    <row r="54" ht="18.75" spans="1:7">
      <c r="A54" s="329">
        <v>211</v>
      </c>
      <c r="B54" s="377" t="s">
        <v>1341</v>
      </c>
      <c r="C54" s="399"/>
      <c r="D54" s="399">
        <v>0</v>
      </c>
      <c r="E54" s="403" t="str">
        <f t="shared" si="2"/>
        <v/>
      </c>
      <c r="F54" s="349" t="str">
        <f t="shared" si="0"/>
        <v>是</v>
      </c>
      <c r="G54" s="313" t="str">
        <f t="shared" si="1"/>
        <v>类</v>
      </c>
    </row>
    <row r="55" ht="18.75" hidden="1" spans="1:7">
      <c r="A55" s="330">
        <v>21160</v>
      </c>
      <c r="B55" s="379" t="s">
        <v>1342</v>
      </c>
      <c r="C55" s="400"/>
      <c r="D55" s="399">
        <v>0</v>
      </c>
      <c r="E55" s="404" t="str">
        <f t="shared" si="2"/>
        <v/>
      </c>
      <c r="F55" s="349" t="str">
        <f t="shared" si="0"/>
        <v>否</v>
      </c>
      <c r="G55" s="313" t="str">
        <f t="shared" si="1"/>
        <v>款</v>
      </c>
    </row>
    <row r="56" s="312" customFormat="1" ht="18.75" hidden="1" spans="1:7">
      <c r="A56" s="326">
        <v>2116001</v>
      </c>
      <c r="B56" s="379" t="s">
        <v>1343</v>
      </c>
      <c r="C56" s="400">
        <f>'07'!F57</f>
        <v>0</v>
      </c>
      <c r="D56" s="400">
        <v>0</v>
      </c>
      <c r="E56" s="404" t="str">
        <f t="shared" si="2"/>
        <v/>
      </c>
      <c r="F56" s="349" t="str">
        <f t="shared" si="0"/>
        <v>否</v>
      </c>
      <c r="G56" s="313" t="str">
        <f t="shared" si="1"/>
        <v>项</v>
      </c>
    </row>
    <row r="57" s="312" customFormat="1" ht="18.75" hidden="1" spans="1:7">
      <c r="A57" s="326">
        <v>2116002</v>
      </c>
      <c r="B57" s="379" t="s">
        <v>1344</v>
      </c>
      <c r="C57" s="400">
        <f>'07'!F58</f>
        <v>0</v>
      </c>
      <c r="D57" s="400">
        <v>0</v>
      </c>
      <c r="E57" s="404" t="str">
        <f t="shared" si="2"/>
        <v/>
      </c>
      <c r="F57" s="349" t="str">
        <f t="shared" si="0"/>
        <v>否</v>
      </c>
      <c r="G57" s="313" t="str">
        <f t="shared" si="1"/>
        <v>项</v>
      </c>
    </row>
    <row r="58" s="312" customFormat="1" ht="18.75" hidden="1" spans="1:7">
      <c r="A58" s="326">
        <v>2116003</v>
      </c>
      <c r="B58" s="379" t="s">
        <v>1345</v>
      </c>
      <c r="C58" s="400">
        <f>'07'!F59</f>
        <v>0</v>
      </c>
      <c r="D58" s="400">
        <v>0</v>
      </c>
      <c r="E58" s="404" t="str">
        <f t="shared" si="2"/>
        <v/>
      </c>
      <c r="F58" s="349" t="str">
        <f t="shared" si="0"/>
        <v>否</v>
      </c>
      <c r="G58" s="313" t="str">
        <f t="shared" si="1"/>
        <v>项</v>
      </c>
    </row>
    <row r="59" s="310" customFormat="1" ht="37.5" hidden="1" spans="1:7">
      <c r="A59" s="326">
        <v>2116099</v>
      </c>
      <c r="B59" s="379" t="s">
        <v>1346</v>
      </c>
      <c r="C59" s="400">
        <f>'07'!F60</f>
        <v>0</v>
      </c>
      <c r="D59" s="400">
        <v>0</v>
      </c>
      <c r="E59" s="404" t="str">
        <f t="shared" si="2"/>
        <v/>
      </c>
      <c r="F59" s="349" t="str">
        <f t="shared" si="0"/>
        <v>否</v>
      </c>
      <c r="G59" s="313" t="str">
        <f t="shared" si="1"/>
        <v>项</v>
      </c>
    </row>
    <row r="60" s="312" customFormat="1" ht="18.75" hidden="1" spans="1:7">
      <c r="A60" s="326">
        <v>21161</v>
      </c>
      <c r="B60" s="379" t="s">
        <v>1347</v>
      </c>
      <c r="C60" s="400"/>
      <c r="D60" s="399">
        <v>0</v>
      </c>
      <c r="E60" s="404" t="str">
        <f t="shared" si="2"/>
        <v/>
      </c>
      <c r="F60" s="349" t="str">
        <f t="shared" si="0"/>
        <v>否</v>
      </c>
      <c r="G60" s="313" t="str">
        <f t="shared" si="1"/>
        <v>款</v>
      </c>
    </row>
    <row r="61" ht="18.75" hidden="1" spans="1:7">
      <c r="A61" s="326">
        <v>2116101</v>
      </c>
      <c r="B61" s="379" t="s">
        <v>1348</v>
      </c>
      <c r="C61" s="400">
        <f>'07'!F62</f>
        <v>0</v>
      </c>
      <c r="D61" s="400">
        <v>0</v>
      </c>
      <c r="E61" s="404" t="str">
        <f t="shared" si="2"/>
        <v/>
      </c>
      <c r="F61" s="349" t="str">
        <f t="shared" si="0"/>
        <v>否</v>
      </c>
      <c r="G61" s="313" t="str">
        <f t="shared" si="1"/>
        <v>项</v>
      </c>
    </row>
    <row r="62" ht="18.75" hidden="1" spans="1:7">
      <c r="A62" s="326">
        <v>2116102</v>
      </c>
      <c r="B62" s="379" t="s">
        <v>1349</v>
      </c>
      <c r="C62" s="400">
        <f>'07'!F63</f>
        <v>0</v>
      </c>
      <c r="D62" s="400">
        <v>0</v>
      </c>
      <c r="E62" s="404" t="str">
        <f t="shared" si="2"/>
        <v/>
      </c>
      <c r="F62" s="349" t="str">
        <f t="shared" si="0"/>
        <v>否</v>
      </c>
      <c r="G62" s="313" t="str">
        <f t="shared" si="1"/>
        <v>项</v>
      </c>
    </row>
    <row r="63" ht="18.75" hidden="1" spans="1:7">
      <c r="A63" s="326">
        <v>2116103</v>
      </c>
      <c r="B63" s="379" t="s">
        <v>1350</v>
      </c>
      <c r="C63" s="400">
        <f>'07'!F64</f>
        <v>0</v>
      </c>
      <c r="D63" s="400">
        <v>0</v>
      </c>
      <c r="E63" s="404" t="str">
        <f t="shared" si="2"/>
        <v/>
      </c>
      <c r="F63" s="349" t="str">
        <f t="shared" si="0"/>
        <v>否</v>
      </c>
      <c r="G63" s="313" t="str">
        <f t="shared" si="1"/>
        <v>项</v>
      </c>
    </row>
    <row r="64" ht="18.75" hidden="1" spans="1:7">
      <c r="A64" s="326">
        <v>2116104</v>
      </c>
      <c r="B64" s="379" t="s">
        <v>1351</v>
      </c>
      <c r="C64" s="400">
        <f>'07'!F65</f>
        <v>0</v>
      </c>
      <c r="D64" s="400">
        <v>0</v>
      </c>
      <c r="E64" s="404" t="str">
        <f t="shared" si="2"/>
        <v/>
      </c>
      <c r="F64" s="349" t="str">
        <f t="shared" si="0"/>
        <v>否</v>
      </c>
      <c r="G64" s="313" t="str">
        <f t="shared" si="1"/>
        <v>项</v>
      </c>
    </row>
    <row r="65" s="309" customFormat="1" ht="18.75" hidden="1" spans="1:7">
      <c r="A65" s="334">
        <v>21198</v>
      </c>
      <c r="B65" s="338" t="s">
        <v>1331</v>
      </c>
      <c r="C65" s="400"/>
      <c r="D65" s="399">
        <v>0</v>
      </c>
      <c r="E65" s="404" t="str">
        <f t="shared" si="2"/>
        <v/>
      </c>
      <c r="F65" s="349" t="str">
        <f t="shared" si="0"/>
        <v>否</v>
      </c>
      <c r="G65" s="309" t="str">
        <f t="shared" si="1"/>
        <v>款</v>
      </c>
    </row>
    <row r="66" s="309" customFormat="1" ht="18.75" hidden="1" spans="1:7">
      <c r="A66" s="334">
        <v>2119801</v>
      </c>
      <c r="B66" s="338" t="s">
        <v>1352</v>
      </c>
      <c r="C66" s="400">
        <f>'07'!F67</f>
        <v>0</v>
      </c>
      <c r="D66" s="400">
        <v>0</v>
      </c>
      <c r="E66" s="404" t="str">
        <f t="shared" si="2"/>
        <v/>
      </c>
      <c r="F66" s="349" t="str">
        <f t="shared" si="0"/>
        <v>否</v>
      </c>
      <c r="G66" s="309" t="str">
        <f t="shared" si="1"/>
        <v>项</v>
      </c>
    </row>
    <row r="67" s="309" customFormat="1" ht="18.75" hidden="1" spans="1:7">
      <c r="A67" s="334">
        <v>2119802</v>
      </c>
      <c r="B67" s="338" t="s">
        <v>1353</v>
      </c>
      <c r="C67" s="400">
        <f>'07'!F68</f>
        <v>0</v>
      </c>
      <c r="D67" s="400">
        <v>0</v>
      </c>
      <c r="E67" s="404" t="str">
        <f t="shared" si="2"/>
        <v/>
      </c>
      <c r="F67" s="349" t="str">
        <f t="shared" si="0"/>
        <v>否</v>
      </c>
      <c r="G67" s="309" t="str">
        <f t="shared" si="1"/>
        <v>项</v>
      </c>
    </row>
    <row r="68" s="309" customFormat="1" ht="18.75" hidden="1" spans="1:7">
      <c r="A68" s="334">
        <v>2119803</v>
      </c>
      <c r="B68" s="338" t="s">
        <v>1354</v>
      </c>
      <c r="C68" s="400">
        <f>'07'!F69</f>
        <v>0</v>
      </c>
      <c r="D68" s="400">
        <v>0</v>
      </c>
      <c r="E68" s="404" t="str">
        <f t="shared" si="2"/>
        <v/>
      </c>
      <c r="F68" s="349" t="str">
        <f t="shared" ref="F68:F131" si="3">IF(LEN(A68)=3,"是",IF(B68&lt;&gt;"",IF(SUM(C68:D68)&lt;&gt;0,"是","否"),"是"))</f>
        <v>否</v>
      </c>
      <c r="G68" s="309" t="str">
        <f t="shared" ref="G68:G131" si="4">IF(LEN(A68)=3,"类",IF(LEN(A68)=5,"款","项"))</f>
        <v>项</v>
      </c>
    </row>
    <row r="69" s="309" customFormat="1" ht="18.75" hidden="1" spans="1:7">
      <c r="A69" s="334">
        <v>2119899</v>
      </c>
      <c r="B69" s="338" t="s">
        <v>1355</v>
      </c>
      <c r="C69" s="400">
        <f>'07'!F70</f>
        <v>0</v>
      </c>
      <c r="D69" s="400">
        <v>0</v>
      </c>
      <c r="E69" s="404" t="str">
        <f t="shared" ref="E69:E132" si="5">IFERROR((D69-C69)/C69,"")</f>
        <v/>
      </c>
      <c r="F69" s="349" t="str">
        <f t="shared" si="3"/>
        <v>否</v>
      </c>
      <c r="G69" s="309" t="str">
        <f t="shared" si="4"/>
        <v>项</v>
      </c>
    </row>
    <row r="70" ht="18.75" spans="1:7">
      <c r="A70" s="329">
        <v>212</v>
      </c>
      <c r="B70" s="377" t="s">
        <v>1356</v>
      </c>
      <c r="C70" s="401">
        <f>C71+C87+C91+C92+C98+C102+C106+C110+C116+C119+C128</f>
        <v>84906</v>
      </c>
      <c r="D70" s="401">
        <f>D71+D87+D91+D92+D98+D102+D106+D110+D116+D119+D128</f>
        <v>65417</v>
      </c>
      <c r="E70" s="403">
        <f t="shared" si="5"/>
        <v>-0.229536192966339</v>
      </c>
      <c r="F70" s="349" t="str">
        <f t="shared" si="3"/>
        <v>是</v>
      </c>
      <c r="G70" s="313" t="str">
        <f t="shared" si="4"/>
        <v>类</v>
      </c>
    </row>
    <row r="71" ht="18.75" spans="1:7">
      <c r="A71" s="330">
        <v>21208</v>
      </c>
      <c r="B71" s="379" t="s">
        <v>1357</v>
      </c>
      <c r="C71" s="402">
        <f>SUM(C72:C86)</f>
        <v>33021</v>
      </c>
      <c r="D71" s="402">
        <f>SUM(D72:D86)</f>
        <v>51242</v>
      </c>
      <c r="E71" s="404">
        <f t="shared" si="5"/>
        <v>0.551800369461858</v>
      </c>
      <c r="F71" s="349" t="str">
        <f t="shared" si="3"/>
        <v>是</v>
      </c>
      <c r="G71" s="313" t="str">
        <f t="shared" si="4"/>
        <v>款</v>
      </c>
    </row>
    <row r="72" ht="18.75" hidden="1" spans="1:7">
      <c r="A72" s="330">
        <v>2120801</v>
      </c>
      <c r="B72" s="379" t="s">
        <v>1358</v>
      </c>
      <c r="C72" s="400">
        <f>'07'!F73</f>
        <v>5018</v>
      </c>
      <c r="D72" s="400">
        <v>8048</v>
      </c>
      <c r="E72" s="404">
        <f t="shared" si="5"/>
        <v>0.603826225587884</v>
      </c>
      <c r="F72" s="349" t="str">
        <f t="shared" si="3"/>
        <v>是</v>
      </c>
      <c r="G72" s="313" t="str">
        <f t="shared" si="4"/>
        <v>项</v>
      </c>
    </row>
    <row r="73" ht="18.75" hidden="1" spans="1:7">
      <c r="A73" s="330">
        <v>2120802</v>
      </c>
      <c r="B73" s="379" t="s">
        <v>1359</v>
      </c>
      <c r="C73" s="400">
        <f>'07'!F74</f>
        <v>6984</v>
      </c>
      <c r="D73" s="400">
        <v>15500</v>
      </c>
      <c r="E73" s="404">
        <f t="shared" si="5"/>
        <v>1.21935853379152</v>
      </c>
      <c r="F73" s="349" t="str">
        <f t="shared" si="3"/>
        <v>是</v>
      </c>
      <c r="G73" s="313" t="str">
        <f t="shared" si="4"/>
        <v>项</v>
      </c>
    </row>
    <row r="74" ht="18.75" hidden="1" spans="1:7">
      <c r="A74" s="330">
        <v>2120803</v>
      </c>
      <c r="B74" s="379" t="s">
        <v>1360</v>
      </c>
      <c r="C74" s="400">
        <f>'07'!F75</f>
        <v>0</v>
      </c>
      <c r="D74" s="400">
        <v>0</v>
      </c>
      <c r="E74" s="404" t="str">
        <f t="shared" si="5"/>
        <v/>
      </c>
      <c r="F74" s="349" t="str">
        <f t="shared" si="3"/>
        <v>否</v>
      </c>
      <c r="G74" s="313" t="str">
        <f t="shared" si="4"/>
        <v>项</v>
      </c>
    </row>
    <row r="75" ht="18.75" hidden="1" spans="1:7">
      <c r="A75" s="330">
        <v>2120804</v>
      </c>
      <c r="B75" s="379" t="s">
        <v>1361</v>
      </c>
      <c r="C75" s="400">
        <f>'07'!F76</f>
        <v>828</v>
      </c>
      <c r="D75" s="400">
        <v>895</v>
      </c>
      <c r="E75" s="404">
        <f t="shared" si="5"/>
        <v>0.0809178743961353</v>
      </c>
      <c r="F75" s="349" t="str">
        <f t="shared" si="3"/>
        <v>是</v>
      </c>
      <c r="G75" s="313" t="str">
        <f t="shared" si="4"/>
        <v>项</v>
      </c>
    </row>
    <row r="76" ht="18.75" hidden="1" spans="1:7">
      <c r="A76" s="330">
        <v>2120805</v>
      </c>
      <c r="B76" s="379" t="s">
        <v>1362</v>
      </c>
      <c r="C76" s="400">
        <f>'07'!F77</f>
        <v>8</v>
      </c>
      <c r="D76" s="400">
        <v>399</v>
      </c>
      <c r="E76" s="404">
        <f t="shared" si="5"/>
        <v>48.875</v>
      </c>
      <c r="F76" s="349" t="str">
        <f t="shared" si="3"/>
        <v>是</v>
      </c>
      <c r="G76" s="313" t="str">
        <f t="shared" si="4"/>
        <v>项</v>
      </c>
    </row>
    <row r="77" ht="18.75" hidden="1" spans="1:7">
      <c r="A77" s="330">
        <v>2120806</v>
      </c>
      <c r="B77" s="379" t="s">
        <v>1363</v>
      </c>
      <c r="C77" s="400">
        <f>'07'!F78</f>
        <v>220</v>
      </c>
      <c r="D77" s="400">
        <v>350</v>
      </c>
      <c r="E77" s="404">
        <f t="shared" si="5"/>
        <v>0.590909090909091</v>
      </c>
      <c r="F77" s="349" t="str">
        <f t="shared" si="3"/>
        <v>是</v>
      </c>
      <c r="G77" s="313" t="str">
        <f t="shared" si="4"/>
        <v>项</v>
      </c>
    </row>
    <row r="78" ht="18.75" hidden="1" spans="1:7">
      <c r="A78" s="330">
        <v>2120807</v>
      </c>
      <c r="B78" s="379" t="s">
        <v>1364</v>
      </c>
      <c r="C78" s="400">
        <f>'07'!F79</f>
        <v>0</v>
      </c>
      <c r="D78" s="400">
        <v>0</v>
      </c>
      <c r="E78" s="404" t="str">
        <f t="shared" si="5"/>
        <v/>
      </c>
      <c r="F78" s="349" t="str">
        <f t="shared" si="3"/>
        <v>否</v>
      </c>
      <c r="G78" s="313" t="str">
        <f t="shared" si="4"/>
        <v>项</v>
      </c>
    </row>
    <row r="79" ht="18.75" hidden="1" spans="1:7">
      <c r="A79" s="330">
        <v>2120809</v>
      </c>
      <c r="B79" s="379" t="s">
        <v>1365</v>
      </c>
      <c r="C79" s="400">
        <f>'07'!F80</f>
        <v>0</v>
      </c>
      <c r="D79" s="400">
        <v>0</v>
      </c>
      <c r="E79" s="404" t="str">
        <f t="shared" si="5"/>
        <v/>
      </c>
      <c r="F79" s="349" t="str">
        <f t="shared" si="3"/>
        <v>否</v>
      </c>
      <c r="G79" s="313" t="str">
        <f t="shared" si="4"/>
        <v>项</v>
      </c>
    </row>
    <row r="80" ht="18.75" hidden="1" spans="1:7">
      <c r="A80" s="330">
        <v>2120810</v>
      </c>
      <c r="B80" s="379" t="s">
        <v>1366</v>
      </c>
      <c r="C80" s="400">
        <f>'07'!F81</f>
        <v>0</v>
      </c>
      <c r="D80" s="400">
        <v>0</v>
      </c>
      <c r="E80" s="404" t="str">
        <f t="shared" si="5"/>
        <v/>
      </c>
      <c r="F80" s="349" t="str">
        <f t="shared" si="3"/>
        <v>否</v>
      </c>
      <c r="G80" s="313" t="str">
        <f t="shared" si="4"/>
        <v>项</v>
      </c>
    </row>
    <row r="81" ht="18.75" hidden="1" spans="1:7">
      <c r="A81" s="330">
        <v>2120811</v>
      </c>
      <c r="B81" s="379" t="s">
        <v>1367</v>
      </c>
      <c r="C81" s="400">
        <f>'07'!F82</f>
        <v>0</v>
      </c>
      <c r="D81" s="400">
        <v>0</v>
      </c>
      <c r="E81" s="404" t="str">
        <f t="shared" si="5"/>
        <v/>
      </c>
      <c r="F81" s="349" t="str">
        <f t="shared" si="3"/>
        <v>否</v>
      </c>
      <c r="G81" s="313" t="str">
        <f t="shared" si="4"/>
        <v>项</v>
      </c>
    </row>
    <row r="82" ht="18.75" hidden="1" spans="1:7">
      <c r="A82" s="330">
        <v>2120813</v>
      </c>
      <c r="B82" s="379" t="s">
        <v>1368</v>
      </c>
      <c r="C82" s="400">
        <f>'07'!F83</f>
        <v>0</v>
      </c>
      <c r="D82" s="400">
        <v>0</v>
      </c>
      <c r="E82" s="404" t="str">
        <f t="shared" si="5"/>
        <v/>
      </c>
      <c r="F82" s="349" t="str">
        <f t="shared" si="3"/>
        <v>否</v>
      </c>
      <c r="G82" s="313" t="str">
        <f t="shared" si="4"/>
        <v>项</v>
      </c>
    </row>
    <row r="83" ht="18.75" hidden="1" spans="1:7">
      <c r="A83" s="330">
        <v>2120814</v>
      </c>
      <c r="B83" s="405" t="s">
        <v>1369</v>
      </c>
      <c r="C83" s="400">
        <f>'07'!F84</f>
        <v>3383</v>
      </c>
      <c r="D83" s="400">
        <v>3876</v>
      </c>
      <c r="E83" s="404">
        <f t="shared" si="5"/>
        <v>0.14572864321608</v>
      </c>
      <c r="F83" s="349" t="str">
        <f t="shared" si="3"/>
        <v>是</v>
      </c>
      <c r="G83" s="313" t="str">
        <f t="shared" si="4"/>
        <v>项</v>
      </c>
    </row>
    <row r="84" ht="18.75" hidden="1" spans="1:7">
      <c r="A84" s="330">
        <v>2120815</v>
      </c>
      <c r="B84" s="405" t="s">
        <v>1370</v>
      </c>
      <c r="C84" s="400">
        <f>'07'!F85</f>
        <v>1426</v>
      </c>
      <c r="D84" s="400">
        <v>2123</v>
      </c>
      <c r="E84" s="404">
        <f t="shared" si="5"/>
        <v>0.488779803646564</v>
      </c>
      <c r="F84" s="349" t="str">
        <f t="shared" si="3"/>
        <v>是</v>
      </c>
      <c r="G84" s="313" t="str">
        <f t="shared" si="4"/>
        <v>项</v>
      </c>
    </row>
    <row r="85" ht="18.75" hidden="1" spans="1:7">
      <c r="A85" s="330">
        <v>2120816</v>
      </c>
      <c r="B85" s="405" t="s">
        <v>1371</v>
      </c>
      <c r="C85" s="400">
        <f>'07'!F86</f>
        <v>92</v>
      </c>
      <c r="D85" s="400">
        <v>2185</v>
      </c>
      <c r="E85" s="404">
        <f t="shared" si="5"/>
        <v>22.75</v>
      </c>
      <c r="F85" s="349" t="str">
        <f t="shared" si="3"/>
        <v>是</v>
      </c>
      <c r="G85" s="313" t="str">
        <f t="shared" si="4"/>
        <v>项</v>
      </c>
    </row>
    <row r="86" ht="37.5" hidden="1" spans="1:7">
      <c r="A86" s="330">
        <v>2120899</v>
      </c>
      <c r="B86" s="379" t="s">
        <v>1372</v>
      </c>
      <c r="C86" s="400">
        <f>'07'!F87</f>
        <v>15062</v>
      </c>
      <c r="D86" s="400">
        <v>17866</v>
      </c>
      <c r="E86" s="404">
        <f t="shared" si="5"/>
        <v>0.186163856061612</v>
      </c>
      <c r="F86" s="349" t="str">
        <f t="shared" si="3"/>
        <v>是</v>
      </c>
      <c r="G86" s="313" t="str">
        <f t="shared" si="4"/>
        <v>项</v>
      </c>
    </row>
    <row r="87" ht="18.75" hidden="1" spans="1:7">
      <c r="A87" s="330">
        <v>21210</v>
      </c>
      <c r="B87" s="379" t="s">
        <v>1373</v>
      </c>
      <c r="C87" s="402">
        <f>SUM(C88:C90)</f>
        <v>0</v>
      </c>
      <c r="D87" s="402">
        <f>SUM(D88:D90)</f>
        <v>0</v>
      </c>
      <c r="E87" s="404" t="str">
        <f t="shared" si="5"/>
        <v/>
      </c>
      <c r="F87" s="349" t="str">
        <f t="shared" si="3"/>
        <v>否</v>
      </c>
      <c r="G87" s="313" t="str">
        <f t="shared" si="4"/>
        <v>款</v>
      </c>
    </row>
    <row r="88" ht="18.75" hidden="1" spans="1:7">
      <c r="A88" s="330">
        <v>2121001</v>
      </c>
      <c r="B88" s="379" t="s">
        <v>1358</v>
      </c>
      <c r="C88" s="400">
        <f>'07'!F89</f>
        <v>0</v>
      </c>
      <c r="D88" s="400">
        <v>0</v>
      </c>
      <c r="E88" s="404" t="str">
        <f t="shared" si="5"/>
        <v/>
      </c>
      <c r="F88" s="349" t="str">
        <f t="shared" si="3"/>
        <v>否</v>
      </c>
      <c r="G88" s="313" t="str">
        <f t="shared" si="4"/>
        <v>项</v>
      </c>
    </row>
    <row r="89" ht="18.75" hidden="1" spans="1:7">
      <c r="A89" s="330">
        <v>2121002</v>
      </c>
      <c r="B89" s="379" t="s">
        <v>1359</v>
      </c>
      <c r="C89" s="400">
        <f>'07'!F90</f>
        <v>0</v>
      </c>
      <c r="D89" s="400">
        <v>0</v>
      </c>
      <c r="E89" s="404" t="str">
        <f t="shared" si="5"/>
        <v/>
      </c>
      <c r="F89" s="349" t="str">
        <f t="shared" si="3"/>
        <v>否</v>
      </c>
      <c r="G89" s="313" t="str">
        <f t="shared" si="4"/>
        <v>项</v>
      </c>
    </row>
    <row r="90" ht="18.75" hidden="1" spans="1:7">
      <c r="A90" s="330">
        <v>2121099</v>
      </c>
      <c r="B90" s="379" t="s">
        <v>1374</v>
      </c>
      <c r="C90" s="400">
        <f>'07'!F91</f>
        <v>0</v>
      </c>
      <c r="D90" s="400">
        <v>0</v>
      </c>
      <c r="E90" s="404" t="str">
        <f t="shared" si="5"/>
        <v/>
      </c>
      <c r="F90" s="349" t="str">
        <f t="shared" si="3"/>
        <v>否</v>
      </c>
      <c r="G90" s="313" t="str">
        <f t="shared" si="4"/>
        <v>项</v>
      </c>
    </row>
    <row r="91" ht="18.75" hidden="1" spans="1:7">
      <c r="A91" s="330">
        <v>21211</v>
      </c>
      <c r="B91" s="379" t="s">
        <v>1375</v>
      </c>
      <c r="C91" s="400"/>
      <c r="D91" s="399">
        <v>0</v>
      </c>
      <c r="E91" s="404" t="str">
        <f t="shared" si="5"/>
        <v/>
      </c>
      <c r="F91" s="349" t="str">
        <f t="shared" si="3"/>
        <v>否</v>
      </c>
      <c r="G91" s="313" t="str">
        <f t="shared" si="4"/>
        <v>款</v>
      </c>
    </row>
    <row r="92" ht="18.75" spans="1:7">
      <c r="A92" s="330">
        <v>21213</v>
      </c>
      <c r="B92" s="379" t="s">
        <v>1376</v>
      </c>
      <c r="C92" s="402">
        <f>SUM(C93:C97)</f>
        <v>55</v>
      </c>
      <c r="D92" s="402">
        <f>SUM(D93:D97)</f>
        <v>0</v>
      </c>
      <c r="E92" s="404">
        <f t="shared" si="5"/>
        <v>-1</v>
      </c>
      <c r="F92" s="349" t="str">
        <f t="shared" si="3"/>
        <v>是</v>
      </c>
      <c r="G92" s="313" t="str">
        <f t="shared" si="4"/>
        <v>款</v>
      </c>
    </row>
    <row r="93" ht="18.75" hidden="1" spans="1:7">
      <c r="A93" s="330">
        <v>2121301</v>
      </c>
      <c r="B93" s="379" t="s">
        <v>1377</v>
      </c>
      <c r="C93" s="400">
        <f>'07'!F94</f>
        <v>0</v>
      </c>
      <c r="D93" s="400">
        <v>0</v>
      </c>
      <c r="E93" s="404" t="str">
        <f t="shared" si="5"/>
        <v/>
      </c>
      <c r="F93" s="349" t="str">
        <f t="shared" si="3"/>
        <v>否</v>
      </c>
      <c r="G93" s="313" t="str">
        <f t="shared" si="4"/>
        <v>项</v>
      </c>
    </row>
    <row r="94" ht="18.75" hidden="1" spans="1:7">
      <c r="A94" s="330">
        <v>2121302</v>
      </c>
      <c r="B94" s="379" t="s">
        <v>1378</v>
      </c>
      <c r="C94" s="400">
        <f>'07'!F95</f>
        <v>0</v>
      </c>
      <c r="D94" s="400">
        <v>0</v>
      </c>
      <c r="E94" s="404" t="str">
        <f t="shared" si="5"/>
        <v/>
      </c>
      <c r="F94" s="349" t="str">
        <f t="shared" si="3"/>
        <v>否</v>
      </c>
      <c r="G94" s="313" t="str">
        <f t="shared" si="4"/>
        <v>项</v>
      </c>
    </row>
    <row r="95" ht="18.75" hidden="1" spans="1:7">
      <c r="A95" s="330">
        <v>2121303</v>
      </c>
      <c r="B95" s="379" t="s">
        <v>1379</v>
      </c>
      <c r="C95" s="400">
        <f>'07'!F96</f>
        <v>0</v>
      </c>
      <c r="D95" s="400">
        <v>0</v>
      </c>
      <c r="E95" s="404" t="str">
        <f t="shared" si="5"/>
        <v/>
      </c>
      <c r="F95" s="349" t="str">
        <f t="shared" si="3"/>
        <v>否</v>
      </c>
      <c r="G95" s="313" t="str">
        <f t="shared" si="4"/>
        <v>项</v>
      </c>
    </row>
    <row r="96" ht="18.75" hidden="1" spans="1:7">
      <c r="A96" s="330">
        <v>2121304</v>
      </c>
      <c r="B96" s="379" t="s">
        <v>1380</v>
      </c>
      <c r="C96" s="400">
        <f>'07'!F97</f>
        <v>0</v>
      </c>
      <c r="D96" s="400">
        <v>0</v>
      </c>
      <c r="E96" s="404" t="str">
        <f t="shared" si="5"/>
        <v/>
      </c>
      <c r="F96" s="349" t="str">
        <f t="shared" si="3"/>
        <v>否</v>
      </c>
      <c r="G96" s="313" t="str">
        <f t="shared" si="4"/>
        <v>项</v>
      </c>
    </row>
    <row r="97" ht="18.75" hidden="1" spans="1:7">
      <c r="A97" s="330">
        <v>2121399</v>
      </c>
      <c r="B97" s="379" t="s">
        <v>1381</v>
      </c>
      <c r="C97" s="400">
        <f>'07'!F98</f>
        <v>55</v>
      </c>
      <c r="D97" s="400">
        <v>0</v>
      </c>
      <c r="E97" s="404">
        <f t="shared" si="5"/>
        <v>-1</v>
      </c>
      <c r="F97" s="349" t="str">
        <f t="shared" si="3"/>
        <v>是</v>
      </c>
      <c r="G97" s="313" t="str">
        <f t="shared" si="4"/>
        <v>项</v>
      </c>
    </row>
    <row r="98" ht="18.75" hidden="1" spans="1:7">
      <c r="A98" s="330">
        <v>21214</v>
      </c>
      <c r="B98" s="379" t="s">
        <v>1382</v>
      </c>
      <c r="C98" s="400"/>
      <c r="D98" s="399">
        <v>0</v>
      </c>
      <c r="E98" s="404" t="str">
        <f t="shared" si="5"/>
        <v/>
      </c>
      <c r="F98" s="349" t="str">
        <f t="shared" si="3"/>
        <v>否</v>
      </c>
      <c r="G98" s="313" t="str">
        <f t="shared" si="4"/>
        <v>款</v>
      </c>
    </row>
    <row r="99" ht="18.75" hidden="1" spans="1:7">
      <c r="A99" s="330">
        <v>2121401</v>
      </c>
      <c r="B99" s="379" t="s">
        <v>1383</v>
      </c>
      <c r="C99" s="400">
        <f>'07'!F100</f>
        <v>0</v>
      </c>
      <c r="D99" s="400">
        <v>0</v>
      </c>
      <c r="E99" s="404" t="str">
        <f t="shared" si="5"/>
        <v/>
      </c>
      <c r="F99" s="349" t="str">
        <f t="shared" si="3"/>
        <v>否</v>
      </c>
      <c r="G99" s="313" t="str">
        <f t="shared" si="4"/>
        <v>项</v>
      </c>
    </row>
    <row r="100" ht="18.75" hidden="1" spans="1:7">
      <c r="A100" s="330">
        <v>2121402</v>
      </c>
      <c r="B100" s="379" t="s">
        <v>1384</v>
      </c>
      <c r="C100" s="400">
        <f>'07'!F101</f>
        <v>0</v>
      </c>
      <c r="D100" s="400">
        <v>0</v>
      </c>
      <c r="E100" s="404" t="str">
        <f t="shared" si="5"/>
        <v/>
      </c>
      <c r="F100" s="349" t="str">
        <f t="shared" si="3"/>
        <v>否</v>
      </c>
      <c r="G100" s="313" t="str">
        <f t="shared" si="4"/>
        <v>项</v>
      </c>
    </row>
    <row r="101" ht="18.75" hidden="1" spans="1:7">
      <c r="A101" s="330">
        <v>2121499</v>
      </c>
      <c r="B101" s="379" t="s">
        <v>1385</v>
      </c>
      <c r="C101" s="400">
        <f>'07'!F102</f>
        <v>0</v>
      </c>
      <c r="D101" s="400">
        <v>0</v>
      </c>
      <c r="E101" s="404" t="str">
        <f t="shared" si="5"/>
        <v/>
      </c>
      <c r="F101" s="349" t="str">
        <f t="shared" si="3"/>
        <v>否</v>
      </c>
      <c r="G101" s="313" t="str">
        <f t="shared" si="4"/>
        <v>项</v>
      </c>
    </row>
    <row r="102" ht="18.75" spans="1:7">
      <c r="A102" s="330">
        <v>21215</v>
      </c>
      <c r="B102" s="379" t="s">
        <v>1386</v>
      </c>
      <c r="C102" s="400">
        <f>SUM(C103:C105)</f>
        <v>17600</v>
      </c>
      <c r="D102" s="400">
        <f>SUM(D103:D105)</f>
        <v>0</v>
      </c>
      <c r="E102" s="404">
        <f t="shared" si="5"/>
        <v>-1</v>
      </c>
      <c r="F102" s="349" t="str">
        <f t="shared" si="3"/>
        <v>是</v>
      </c>
      <c r="G102" s="313" t="str">
        <f t="shared" si="4"/>
        <v>款</v>
      </c>
    </row>
    <row r="103" ht="18.75" hidden="1" spans="1:7">
      <c r="A103" s="330">
        <v>2121501</v>
      </c>
      <c r="B103" s="379" t="s">
        <v>1358</v>
      </c>
      <c r="C103" s="400">
        <f>'07'!F104</f>
        <v>17600</v>
      </c>
      <c r="D103" s="400">
        <v>0</v>
      </c>
      <c r="E103" s="404">
        <f t="shared" si="5"/>
        <v>-1</v>
      </c>
      <c r="F103" s="349" t="str">
        <f t="shared" si="3"/>
        <v>是</v>
      </c>
      <c r="G103" s="313" t="str">
        <f t="shared" si="4"/>
        <v>项</v>
      </c>
    </row>
    <row r="104" ht="18.75" hidden="1" spans="1:7">
      <c r="A104" s="330">
        <v>2121502</v>
      </c>
      <c r="B104" s="379" t="s">
        <v>1359</v>
      </c>
      <c r="C104" s="400">
        <f>'07'!F105</f>
        <v>0</v>
      </c>
      <c r="D104" s="400">
        <v>0</v>
      </c>
      <c r="E104" s="404" t="str">
        <f t="shared" si="5"/>
        <v/>
      </c>
      <c r="F104" s="349" t="str">
        <f t="shared" si="3"/>
        <v>否</v>
      </c>
      <c r="G104" s="313" t="str">
        <f t="shared" si="4"/>
        <v>项</v>
      </c>
    </row>
    <row r="105" ht="18.75" hidden="1" spans="1:7">
      <c r="A105" s="330">
        <v>2121599</v>
      </c>
      <c r="B105" s="379" t="s">
        <v>1387</v>
      </c>
      <c r="C105" s="400">
        <f>'07'!F106</f>
        <v>0</v>
      </c>
      <c r="D105" s="400">
        <v>0</v>
      </c>
      <c r="E105" s="404" t="str">
        <f t="shared" si="5"/>
        <v/>
      </c>
      <c r="F105" s="349" t="str">
        <f t="shared" si="3"/>
        <v>否</v>
      </c>
      <c r="G105" s="313" t="str">
        <f t="shared" si="4"/>
        <v>项</v>
      </c>
    </row>
    <row r="106" ht="18.75" hidden="1" spans="1:7">
      <c r="A106" s="330">
        <v>21216</v>
      </c>
      <c r="B106" s="379" t="s">
        <v>1388</v>
      </c>
      <c r="C106" s="400"/>
      <c r="D106" s="399">
        <v>0</v>
      </c>
      <c r="E106" s="404" t="str">
        <f t="shared" si="5"/>
        <v/>
      </c>
      <c r="F106" s="349" t="str">
        <f t="shared" si="3"/>
        <v>否</v>
      </c>
      <c r="G106" s="313" t="str">
        <f t="shared" si="4"/>
        <v>款</v>
      </c>
    </row>
    <row r="107" ht="18.75" hidden="1" spans="1:7">
      <c r="A107" s="330">
        <v>2121601</v>
      </c>
      <c r="B107" s="379" t="s">
        <v>1358</v>
      </c>
      <c r="C107" s="400">
        <f>'07'!F108</f>
        <v>0</v>
      </c>
      <c r="D107" s="400">
        <v>0</v>
      </c>
      <c r="E107" s="404" t="str">
        <f t="shared" si="5"/>
        <v/>
      </c>
      <c r="F107" s="349" t="str">
        <f t="shared" si="3"/>
        <v>否</v>
      </c>
      <c r="G107" s="313" t="str">
        <f t="shared" si="4"/>
        <v>项</v>
      </c>
    </row>
    <row r="108" ht="18.75" hidden="1" spans="1:7">
      <c r="A108" s="330">
        <v>2121602</v>
      </c>
      <c r="B108" s="379" t="s">
        <v>1359</v>
      </c>
      <c r="C108" s="400">
        <f>'07'!F109</f>
        <v>0</v>
      </c>
      <c r="D108" s="400">
        <v>0</v>
      </c>
      <c r="E108" s="404" t="str">
        <f t="shared" si="5"/>
        <v/>
      </c>
      <c r="F108" s="349" t="str">
        <f t="shared" si="3"/>
        <v>否</v>
      </c>
      <c r="G108" s="313" t="str">
        <f t="shared" si="4"/>
        <v>项</v>
      </c>
    </row>
    <row r="109" s="312" customFormat="1" ht="37.5" hidden="1" spans="1:7">
      <c r="A109" s="330">
        <v>2121699</v>
      </c>
      <c r="B109" s="379" t="s">
        <v>1389</v>
      </c>
      <c r="C109" s="400">
        <f>'07'!F110</f>
        <v>0</v>
      </c>
      <c r="D109" s="400">
        <v>0</v>
      </c>
      <c r="E109" s="404" t="str">
        <f t="shared" si="5"/>
        <v/>
      </c>
      <c r="F109" s="349" t="str">
        <f t="shared" si="3"/>
        <v>否</v>
      </c>
      <c r="G109" s="313" t="str">
        <f t="shared" si="4"/>
        <v>项</v>
      </c>
    </row>
    <row r="110" s="312" customFormat="1" ht="37.5" hidden="1" spans="1:7">
      <c r="A110" s="330">
        <v>21217</v>
      </c>
      <c r="B110" s="379" t="s">
        <v>1390</v>
      </c>
      <c r="C110" s="400"/>
      <c r="D110" s="399">
        <v>0</v>
      </c>
      <c r="E110" s="404" t="str">
        <f t="shared" si="5"/>
        <v/>
      </c>
      <c r="F110" s="349" t="str">
        <f t="shared" si="3"/>
        <v>否</v>
      </c>
      <c r="G110" s="313" t="str">
        <f t="shared" si="4"/>
        <v>款</v>
      </c>
    </row>
    <row r="111" s="312" customFormat="1" ht="18.75" hidden="1" spans="1:7">
      <c r="A111" s="330">
        <v>2121701</v>
      </c>
      <c r="B111" s="379" t="s">
        <v>1377</v>
      </c>
      <c r="C111" s="400">
        <f>'07'!F112</f>
        <v>0</v>
      </c>
      <c r="D111" s="400">
        <v>0</v>
      </c>
      <c r="E111" s="404" t="str">
        <f t="shared" si="5"/>
        <v/>
      </c>
      <c r="F111" s="349" t="str">
        <f t="shared" si="3"/>
        <v>否</v>
      </c>
      <c r="G111" s="313" t="str">
        <f t="shared" si="4"/>
        <v>项</v>
      </c>
    </row>
    <row r="112" s="312" customFormat="1" ht="18.75" hidden="1" spans="1:7">
      <c r="A112" s="330">
        <v>2121702</v>
      </c>
      <c r="B112" s="379" t="s">
        <v>1378</v>
      </c>
      <c r="C112" s="400">
        <f>'07'!F113</f>
        <v>0</v>
      </c>
      <c r="D112" s="400">
        <v>0</v>
      </c>
      <c r="E112" s="404" t="str">
        <f t="shared" si="5"/>
        <v/>
      </c>
      <c r="F112" s="349" t="str">
        <f t="shared" si="3"/>
        <v>否</v>
      </c>
      <c r="G112" s="313" t="str">
        <f t="shared" si="4"/>
        <v>项</v>
      </c>
    </row>
    <row r="113" s="312" customFormat="1" ht="18.75" hidden="1" spans="1:7">
      <c r="A113" s="330">
        <v>2121703</v>
      </c>
      <c r="B113" s="379" t="s">
        <v>1379</v>
      </c>
      <c r="C113" s="400">
        <f>'07'!F114</f>
        <v>0</v>
      </c>
      <c r="D113" s="400">
        <v>0</v>
      </c>
      <c r="E113" s="404" t="str">
        <f t="shared" si="5"/>
        <v/>
      </c>
      <c r="F113" s="349" t="str">
        <f t="shared" si="3"/>
        <v>否</v>
      </c>
      <c r="G113" s="313" t="str">
        <f t="shared" si="4"/>
        <v>项</v>
      </c>
    </row>
    <row r="114" s="312" customFormat="1" ht="18.75" hidden="1" spans="1:7">
      <c r="A114" s="330">
        <v>2121704</v>
      </c>
      <c r="B114" s="379" t="s">
        <v>1380</v>
      </c>
      <c r="C114" s="400">
        <f>'07'!F115</f>
        <v>0</v>
      </c>
      <c r="D114" s="400">
        <v>0</v>
      </c>
      <c r="E114" s="404" t="str">
        <f t="shared" si="5"/>
        <v/>
      </c>
      <c r="F114" s="349" t="str">
        <f t="shared" si="3"/>
        <v>否</v>
      </c>
      <c r="G114" s="313" t="str">
        <f t="shared" si="4"/>
        <v>项</v>
      </c>
    </row>
    <row r="115" s="312" customFormat="1" ht="37.5" hidden="1" spans="1:7">
      <c r="A115" s="330">
        <v>2121799</v>
      </c>
      <c r="B115" s="379" t="s">
        <v>1391</v>
      </c>
      <c r="C115" s="400">
        <f>'07'!F116</f>
        <v>0</v>
      </c>
      <c r="D115" s="400">
        <v>0</v>
      </c>
      <c r="E115" s="404" t="str">
        <f t="shared" si="5"/>
        <v/>
      </c>
      <c r="F115" s="349" t="str">
        <f t="shared" si="3"/>
        <v>否</v>
      </c>
      <c r="G115" s="313" t="str">
        <f t="shared" si="4"/>
        <v>项</v>
      </c>
    </row>
    <row r="116" s="312" customFormat="1" ht="18.75" hidden="1" spans="1:7">
      <c r="A116" s="330">
        <v>21218</v>
      </c>
      <c r="B116" s="379" t="s">
        <v>1392</v>
      </c>
      <c r="C116" s="400"/>
      <c r="D116" s="399">
        <v>0</v>
      </c>
      <c r="E116" s="404" t="str">
        <f t="shared" si="5"/>
        <v/>
      </c>
      <c r="F116" s="349" t="str">
        <f t="shared" si="3"/>
        <v>否</v>
      </c>
      <c r="G116" s="313" t="str">
        <f t="shared" si="4"/>
        <v>款</v>
      </c>
    </row>
    <row r="117" s="312" customFormat="1" ht="18.75" hidden="1" spans="1:7">
      <c r="A117" s="330">
        <v>2121801</v>
      </c>
      <c r="B117" s="379" t="s">
        <v>1383</v>
      </c>
      <c r="C117" s="400">
        <f>'07'!F118</f>
        <v>0</v>
      </c>
      <c r="D117" s="400">
        <v>0</v>
      </c>
      <c r="E117" s="404" t="str">
        <f t="shared" si="5"/>
        <v/>
      </c>
      <c r="F117" s="349" t="str">
        <f t="shared" si="3"/>
        <v>否</v>
      </c>
      <c r="G117" s="313" t="str">
        <f t="shared" si="4"/>
        <v>项</v>
      </c>
    </row>
    <row r="118" s="312" customFormat="1" ht="37.5" hidden="1" spans="1:7">
      <c r="A118" s="330">
        <v>2121899</v>
      </c>
      <c r="B118" s="379" t="s">
        <v>1393</v>
      </c>
      <c r="C118" s="400">
        <f>'07'!F119</f>
        <v>0</v>
      </c>
      <c r="D118" s="400">
        <v>0</v>
      </c>
      <c r="E118" s="404" t="str">
        <f t="shared" si="5"/>
        <v/>
      </c>
      <c r="F118" s="349" t="str">
        <f t="shared" si="3"/>
        <v>否</v>
      </c>
      <c r="G118" s="313" t="str">
        <f t="shared" si="4"/>
        <v>项</v>
      </c>
    </row>
    <row r="119" s="312" customFormat="1" ht="37.5" hidden="1" spans="1:7">
      <c r="A119" s="330">
        <v>21219</v>
      </c>
      <c r="B119" s="379" t="s">
        <v>1394</v>
      </c>
      <c r="C119" s="400"/>
      <c r="D119" s="399">
        <v>0</v>
      </c>
      <c r="E119" s="404" t="str">
        <f t="shared" si="5"/>
        <v/>
      </c>
      <c r="F119" s="349" t="str">
        <f t="shared" si="3"/>
        <v>否</v>
      </c>
      <c r="G119" s="313" t="str">
        <f t="shared" si="4"/>
        <v>款</v>
      </c>
    </row>
    <row r="120" s="312" customFormat="1" ht="18.75" hidden="1" spans="1:7">
      <c r="A120" s="330">
        <v>2121901</v>
      </c>
      <c r="B120" s="379" t="s">
        <v>1358</v>
      </c>
      <c r="C120" s="400">
        <f>'07'!F121</f>
        <v>0</v>
      </c>
      <c r="D120" s="400">
        <v>0</v>
      </c>
      <c r="E120" s="404" t="str">
        <f t="shared" si="5"/>
        <v/>
      </c>
      <c r="F120" s="349" t="str">
        <f t="shared" si="3"/>
        <v>否</v>
      </c>
      <c r="G120" s="313" t="str">
        <f t="shared" si="4"/>
        <v>项</v>
      </c>
    </row>
    <row r="121" s="312" customFormat="1" ht="18.75" hidden="1" spans="1:7">
      <c r="A121" s="330">
        <v>2121902</v>
      </c>
      <c r="B121" s="379" t="s">
        <v>1359</v>
      </c>
      <c r="C121" s="400">
        <f>'07'!F122</f>
        <v>0</v>
      </c>
      <c r="D121" s="400">
        <v>0</v>
      </c>
      <c r="E121" s="404" t="str">
        <f t="shared" si="5"/>
        <v/>
      </c>
      <c r="F121" s="349" t="str">
        <f t="shared" si="3"/>
        <v>否</v>
      </c>
      <c r="G121" s="313" t="str">
        <f t="shared" si="4"/>
        <v>项</v>
      </c>
    </row>
    <row r="122" s="312" customFormat="1" ht="18.75" hidden="1" spans="1:7">
      <c r="A122" s="330">
        <v>2121903</v>
      </c>
      <c r="B122" s="379" t="s">
        <v>1360</v>
      </c>
      <c r="C122" s="400">
        <f>'07'!F123</f>
        <v>0</v>
      </c>
      <c r="D122" s="400">
        <v>0</v>
      </c>
      <c r="E122" s="404" t="str">
        <f t="shared" si="5"/>
        <v/>
      </c>
      <c r="F122" s="349" t="str">
        <f t="shared" si="3"/>
        <v>否</v>
      </c>
      <c r="G122" s="313" t="str">
        <f t="shared" si="4"/>
        <v>项</v>
      </c>
    </row>
    <row r="123" s="312" customFormat="1" ht="18.75" hidden="1" spans="1:7">
      <c r="A123" s="330">
        <v>2121904</v>
      </c>
      <c r="B123" s="379" t="s">
        <v>1361</v>
      </c>
      <c r="C123" s="400">
        <f>'07'!F124</f>
        <v>0</v>
      </c>
      <c r="D123" s="400">
        <v>0</v>
      </c>
      <c r="E123" s="404" t="str">
        <f t="shared" si="5"/>
        <v/>
      </c>
      <c r="F123" s="349" t="str">
        <f t="shared" si="3"/>
        <v>否</v>
      </c>
      <c r="G123" s="313" t="str">
        <f t="shared" si="4"/>
        <v>项</v>
      </c>
    </row>
    <row r="124" ht="18.75" hidden="1" spans="1:7">
      <c r="A124" s="330">
        <v>2121905</v>
      </c>
      <c r="B124" s="379" t="s">
        <v>1364</v>
      </c>
      <c r="C124" s="400">
        <f>'07'!F125</f>
        <v>0</v>
      </c>
      <c r="D124" s="400">
        <v>0</v>
      </c>
      <c r="E124" s="404" t="str">
        <f t="shared" si="5"/>
        <v/>
      </c>
      <c r="F124" s="349" t="str">
        <f t="shared" si="3"/>
        <v>否</v>
      </c>
      <c r="G124" s="313" t="str">
        <f t="shared" si="4"/>
        <v>项</v>
      </c>
    </row>
    <row r="125" ht="18.75" hidden="1" spans="1:7">
      <c r="A125" s="330">
        <v>2121906</v>
      </c>
      <c r="B125" s="379" t="s">
        <v>1366</v>
      </c>
      <c r="C125" s="400">
        <f>'07'!F126</f>
        <v>0</v>
      </c>
      <c r="D125" s="400">
        <v>0</v>
      </c>
      <c r="E125" s="404" t="str">
        <f t="shared" si="5"/>
        <v/>
      </c>
      <c r="F125" s="349" t="str">
        <f t="shared" si="3"/>
        <v>否</v>
      </c>
      <c r="G125" s="313" t="str">
        <f t="shared" si="4"/>
        <v>项</v>
      </c>
    </row>
    <row r="126" ht="18.75" hidden="1" spans="1:7">
      <c r="A126" s="330">
        <v>2121907</v>
      </c>
      <c r="B126" s="379" t="s">
        <v>1367</v>
      </c>
      <c r="C126" s="400">
        <f>'07'!F127</f>
        <v>0</v>
      </c>
      <c r="D126" s="400">
        <v>0</v>
      </c>
      <c r="E126" s="404" t="str">
        <f t="shared" si="5"/>
        <v/>
      </c>
      <c r="F126" s="349" t="str">
        <f t="shared" si="3"/>
        <v>否</v>
      </c>
      <c r="G126" s="313" t="str">
        <f t="shared" si="4"/>
        <v>项</v>
      </c>
    </row>
    <row r="127" s="312" customFormat="1" ht="37.5" hidden="1" spans="1:7">
      <c r="A127" s="330">
        <v>2121999</v>
      </c>
      <c r="B127" s="379" t="s">
        <v>1395</v>
      </c>
      <c r="C127" s="400">
        <f>'07'!F128</f>
        <v>0</v>
      </c>
      <c r="D127" s="400">
        <v>0</v>
      </c>
      <c r="E127" s="404" t="str">
        <f t="shared" si="5"/>
        <v/>
      </c>
      <c r="F127" s="349" t="str">
        <f t="shared" si="3"/>
        <v>否</v>
      </c>
      <c r="G127" s="313" t="str">
        <f t="shared" si="4"/>
        <v>项</v>
      </c>
    </row>
    <row r="128" s="309" customFormat="1" ht="18.75" spans="1:7">
      <c r="A128" s="334">
        <v>21298</v>
      </c>
      <c r="B128" s="338" t="s">
        <v>1331</v>
      </c>
      <c r="C128" s="402">
        <f>SUM(C129:C130)</f>
        <v>34230</v>
      </c>
      <c r="D128" s="402">
        <f>SUM(D129:D130)</f>
        <v>14175</v>
      </c>
      <c r="E128" s="404">
        <f t="shared" si="5"/>
        <v>-0.585889570552147</v>
      </c>
      <c r="F128" s="349" t="str">
        <f t="shared" si="3"/>
        <v>是</v>
      </c>
      <c r="G128" s="309" t="str">
        <f t="shared" si="4"/>
        <v>款</v>
      </c>
    </row>
    <row r="129" s="309" customFormat="1" ht="18.75" hidden="1" spans="1:7">
      <c r="A129" s="334">
        <v>2129801</v>
      </c>
      <c r="B129" s="338" t="s">
        <v>1396</v>
      </c>
      <c r="C129" s="400">
        <f>'07'!F130</f>
        <v>32799</v>
      </c>
      <c r="D129" s="400">
        <v>9380</v>
      </c>
      <c r="E129" s="404">
        <f t="shared" si="5"/>
        <v>-0.714015671209488</v>
      </c>
      <c r="F129" s="349" t="str">
        <f t="shared" si="3"/>
        <v>是</v>
      </c>
      <c r="G129" s="309" t="str">
        <f t="shared" si="4"/>
        <v>项</v>
      </c>
    </row>
    <row r="130" s="309" customFormat="1" ht="18.75" hidden="1" spans="1:7">
      <c r="A130" s="334">
        <v>2129899</v>
      </c>
      <c r="B130" s="338" t="s">
        <v>1397</v>
      </c>
      <c r="C130" s="400">
        <f>'07'!F131</f>
        <v>1431</v>
      </c>
      <c r="D130" s="400">
        <v>4795</v>
      </c>
      <c r="E130" s="404">
        <f t="shared" si="5"/>
        <v>2.3508036338225</v>
      </c>
      <c r="F130" s="349" t="str">
        <f t="shared" si="3"/>
        <v>是</v>
      </c>
      <c r="G130" s="309" t="str">
        <f t="shared" si="4"/>
        <v>项</v>
      </c>
    </row>
    <row r="131" s="312" customFormat="1" ht="18.75" spans="1:7">
      <c r="A131" s="329">
        <v>213</v>
      </c>
      <c r="B131" s="377" t="s">
        <v>1398</v>
      </c>
      <c r="C131" s="401">
        <f>C132+C137+C142+C147+C150+C155+C159+C163+C166</f>
        <v>12025</v>
      </c>
      <c r="D131" s="401">
        <f>D132+D137+D142+D147+D150+D155+D159+D163+D166</f>
        <v>26312</v>
      </c>
      <c r="E131" s="403">
        <f t="shared" si="5"/>
        <v>1.18810810810811</v>
      </c>
      <c r="F131" s="349" t="str">
        <f t="shared" si="3"/>
        <v>是</v>
      </c>
      <c r="G131" s="313" t="str">
        <f t="shared" si="4"/>
        <v>类</v>
      </c>
    </row>
    <row r="132" ht="18.75" spans="1:7">
      <c r="A132" s="330">
        <v>21366</v>
      </c>
      <c r="B132" s="379" t="s">
        <v>1399</v>
      </c>
      <c r="C132" s="402">
        <f>SUM(C133:C136)</f>
        <v>4095</v>
      </c>
      <c r="D132" s="402">
        <f>SUM(D133:D136)</f>
        <v>15928</v>
      </c>
      <c r="E132" s="404">
        <f t="shared" si="5"/>
        <v>2.88962148962149</v>
      </c>
      <c r="F132" s="349" t="str">
        <f t="shared" ref="F132:F195" si="6">IF(LEN(A132)=3,"是",IF(B132&lt;&gt;"",IF(SUM(C132:D132)&lt;&gt;0,"是","否"),"是"))</f>
        <v>是</v>
      </c>
      <c r="G132" s="313" t="str">
        <f t="shared" ref="G132:G195" si="7">IF(LEN(A132)=3,"类",IF(LEN(A132)=5,"款","项"))</f>
        <v>款</v>
      </c>
    </row>
    <row r="133" s="312" customFormat="1" ht="18.75" hidden="1" spans="1:7">
      <c r="A133" s="330">
        <v>2136601</v>
      </c>
      <c r="B133" s="379" t="s">
        <v>1400</v>
      </c>
      <c r="C133" s="400">
        <f>'07'!F134</f>
        <v>3353</v>
      </c>
      <c r="D133" s="400">
        <v>15928</v>
      </c>
      <c r="E133" s="404">
        <f t="shared" ref="E133:E196" si="8">IFERROR((D133-C133)/C133,"")</f>
        <v>3.75037280047718</v>
      </c>
      <c r="F133" s="349" t="str">
        <f t="shared" si="6"/>
        <v>是</v>
      </c>
      <c r="G133" s="313" t="str">
        <f t="shared" si="7"/>
        <v>项</v>
      </c>
    </row>
    <row r="134" s="312" customFormat="1" ht="18.75" hidden="1" spans="1:7">
      <c r="A134" s="330">
        <v>2136602</v>
      </c>
      <c r="B134" s="379" t="s">
        <v>1401</v>
      </c>
      <c r="C134" s="400">
        <f>'07'!F135</f>
        <v>0</v>
      </c>
      <c r="D134" s="400">
        <v>0</v>
      </c>
      <c r="E134" s="404" t="str">
        <f t="shared" si="8"/>
        <v/>
      </c>
      <c r="F134" s="349" t="str">
        <f t="shared" si="6"/>
        <v>否</v>
      </c>
      <c r="G134" s="313" t="str">
        <f t="shared" si="7"/>
        <v>项</v>
      </c>
    </row>
    <row r="135" s="312" customFormat="1" ht="18.75" hidden="1" spans="1:7">
      <c r="A135" s="330">
        <v>2136603</v>
      </c>
      <c r="B135" s="379" t="s">
        <v>1402</v>
      </c>
      <c r="C135" s="400">
        <f>'07'!F136</f>
        <v>0</v>
      </c>
      <c r="D135" s="400">
        <v>0</v>
      </c>
      <c r="E135" s="404" t="str">
        <f t="shared" si="8"/>
        <v/>
      </c>
      <c r="F135" s="349" t="str">
        <f t="shared" si="6"/>
        <v>否</v>
      </c>
      <c r="G135" s="313" t="str">
        <f t="shared" si="7"/>
        <v>项</v>
      </c>
    </row>
    <row r="136" s="312" customFormat="1" ht="18.75" hidden="1" spans="1:7">
      <c r="A136" s="330">
        <v>2136699</v>
      </c>
      <c r="B136" s="379" t="s">
        <v>1403</v>
      </c>
      <c r="C136" s="400">
        <f>'07'!F137</f>
        <v>742</v>
      </c>
      <c r="D136" s="400">
        <v>0</v>
      </c>
      <c r="E136" s="404">
        <f t="shared" si="8"/>
        <v>-1</v>
      </c>
      <c r="F136" s="349" t="str">
        <f t="shared" si="6"/>
        <v>是</v>
      </c>
      <c r="G136" s="313" t="str">
        <f t="shared" si="7"/>
        <v>项</v>
      </c>
    </row>
    <row r="137" s="312" customFormat="1" ht="18.75" hidden="1" spans="1:7">
      <c r="A137" s="330">
        <v>21367</v>
      </c>
      <c r="B137" s="379" t="s">
        <v>1404</v>
      </c>
      <c r="C137" s="400"/>
      <c r="D137" s="399">
        <v>0</v>
      </c>
      <c r="E137" s="404" t="str">
        <f t="shared" si="8"/>
        <v/>
      </c>
      <c r="F137" s="349" t="str">
        <f t="shared" si="6"/>
        <v>否</v>
      </c>
      <c r="G137" s="313" t="str">
        <f t="shared" si="7"/>
        <v>款</v>
      </c>
    </row>
    <row r="138" ht="18.75" hidden="1" spans="1:7">
      <c r="A138" s="330">
        <v>2136701</v>
      </c>
      <c r="B138" s="379" t="s">
        <v>1400</v>
      </c>
      <c r="C138" s="400">
        <f>'07'!F139</f>
        <v>0</v>
      </c>
      <c r="D138" s="400">
        <v>0</v>
      </c>
      <c r="E138" s="404" t="str">
        <f t="shared" si="8"/>
        <v/>
      </c>
      <c r="F138" s="349" t="str">
        <f t="shared" si="6"/>
        <v>否</v>
      </c>
      <c r="G138" s="313" t="str">
        <f t="shared" si="7"/>
        <v>项</v>
      </c>
    </row>
    <row r="139" s="312" customFormat="1" ht="18.75" hidden="1" spans="1:7">
      <c r="A139" s="330">
        <v>2136702</v>
      </c>
      <c r="B139" s="379" t="s">
        <v>1401</v>
      </c>
      <c r="C139" s="400">
        <f>'07'!F140</f>
        <v>0</v>
      </c>
      <c r="D139" s="400">
        <v>0</v>
      </c>
      <c r="E139" s="404" t="str">
        <f t="shared" si="8"/>
        <v/>
      </c>
      <c r="F139" s="349" t="str">
        <f t="shared" si="6"/>
        <v>否</v>
      </c>
      <c r="G139" s="313" t="str">
        <f t="shared" si="7"/>
        <v>项</v>
      </c>
    </row>
    <row r="140" s="312" customFormat="1" ht="18.75" hidden="1" spans="1:7">
      <c r="A140" s="330">
        <v>2136703</v>
      </c>
      <c r="B140" s="379" t="s">
        <v>1405</v>
      </c>
      <c r="C140" s="400">
        <f>'07'!F141</f>
        <v>0</v>
      </c>
      <c r="D140" s="400">
        <v>0</v>
      </c>
      <c r="E140" s="404" t="str">
        <f t="shared" si="8"/>
        <v/>
      </c>
      <c r="F140" s="349" t="str">
        <f t="shared" si="6"/>
        <v>否</v>
      </c>
      <c r="G140" s="313" t="str">
        <f t="shared" si="7"/>
        <v>项</v>
      </c>
    </row>
    <row r="141" s="312" customFormat="1" ht="18.75" hidden="1" spans="1:7">
      <c r="A141" s="330">
        <v>2136799</v>
      </c>
      <c r="B141" s="379" t="s">
        <v>1406</v>
      </c>
      <c r="C141" s="400">
        <f>'07'!F142</f>
        <v>0</v>
      </c>
      <c r="D141" s="400">
        <v>0</v>
      </c>
      <c r="E141" s="404" t="str">
        <f t="shared" si="8"/>
        <v/>
      </c>
      <c r="F141" s="349" t="str">
        <f t="shared" si="6"/>
        <v>否</v>
      </c>
      <c r="G141" s="313" t="str">
        <f t="shared" si="7"/>
        <v>项</v>
      </c>
    </row>
    <row r="142" ht="18.75" hidden="1" spans="1:7">
      <c r="A142" s="330">
        <v>21369</v>
      </c>
      <c r="B142" s="379" t="s">
        <v>1407</v>
      </c>
      <c r="C142" s="400"/>
      <c r="D142" s="399">
        <v>0</v>
      </c>
      <c r="E142" s="404" t="str">
        <f t="shared" si="8"/>
        <v/>
      </c>
      <c r="F142" s="349" t="str">
        <f t="shared" si="6"/>
        <v>否</v>
      </c>
      <c r="G142" s="313" t="str">
        <f t="shared" si="7"/>
        <v>款</v>
      </c>
    </row>
    <row r="143" s="312" customFormat="1" ht="18.75" hidden="1" spans="1:7">
      <c r="A143" s="330">
        <v>2136901</v>
      </c>
      <c r="B143" s="379" t="s">
        <v>1408</v>
      </c>
      <c r="C143" s="400">
        <f>'07'!F144</f>
        <v>0</v>
      </c>
      <c r="D143" s="400">
        <v>0</v>
      </c>
      <c r="E143" s="404" t="str">
        <f t="shared" si="8"/>
        <v/>
      </c>
      <c r="F143" s="349" t="str">
        <f t="shared" si="6"/>
        <v>否</v>
      </c>
      <c r="G143" s="313" t="str">
        <f t="shared" si="7"/>
        <v>项</v>
      </c>
    </row>
    <row r="144" s="312" customFormat="1" ht="18.75" hidden="1" spans="1:7">
      <c r="A144" s="330">
        <v>2136902</v>
      </c>
      <c r="B144" s="379" t="s">
        <v>1409</v>
      </c>
      <c r="C144" s="400">
        <f>'07'!F145</f>
        <v>0</v>
      </c>
      <c r="D144" s="400">
        <v>0</v>
      </c>
      <c r="E144" s="404" t="str">
        <f t="shared" si="8"/>
        <v/>
      </c>
      <c r="F144" s="349" t="str">
        <f t="shared" si="6"/>
        <v>否</v>
      </c>
      <c r="G144" s="313" t="str">
        <f t="shared" si="7"/>
        <v>项</v>
      </c>
    </row>
    <row r="145" s="312" customFormat="1" ht="18.75" hidden="1" spans="1:7">
      <c r="A145" s="330">
        <v>2136903</v>
      </c>
      <c r="B145" s="379" t="s">
        <v>1410</v>
      </c>
      <c r="C145" s="400">
        <f>'07'!F146</f>
        <v>0</v>
      </c>
      <c r="D145" s="400">
        <v>0</v>
      </c>
      <c r="E145" s="404" t="str">
        <f t="shared" si="8"/>
        <v/>
      </c>
      <c r="F145" s="349" t="str">
        <f t="shared" si="6"/>
        <v>否</v>
      </c>
      <c r="G145" s="313" t="str">
        <f t="shared" si="7"/>
        <v>项</v>
      </c>
    </row>
    <row r="146" ht="18.75" hidden="1" spans="1:7">
      <c r="A146" s="330">
        <v>2136999</v>
      </c>
      <c r="B146" s="379" t="s">
        <v>1411</v>
      </c>
      <c r="C146" s="400">
        <f>'07'!F147</f>
        <v>0</v>
      </c>
      <c r="D146" s="400">
        <v>0</v>
      </c>
      <c r="E146" s="404" t="str">
        <f t="shared" si="8"/>
        <v/>
      </c>
      <c r="F146" s="349" t="str">
        <f t="shared" si="6"/>
        <v>否</v>
      </c>
      <c r="G146" s="313" t="str">
        <f t="shared" si="7"/>
        <v>项</v>
      </c>
    </row>
    <row r="147" s="312" customFormat="1" ht="37.5" hidden="1" spans="1:7">
      <c r="A147" s="406">
        <v>21370</v>
      </c>
      <c r="B147" s="379" t="s">
        <v>1412</v>
      </c>
      <c r="C147" s="402">
        <f>SUM(C148:C149)</f>
        <v>0</v>
      </c>
      <c r="D147" s="402">
        <f>SUM(D148:D149)</f>
        <v>0</v>
      </c>
      <c r="E147" s="404" t="str">
        <f t="shared" si="8"/>
        <v/>
      </c>
      <c r="F147" s="349" t="str">
        <f t="shared" si="6"/>
        <v>否</v>
      </c>
      <c r="G147" s="313" t="str">
        <f t="shared" si="7"/>
        <v>款</v>
      </c>
    </row>
    <row r="148" s="312" customFormat="1" ht="18.75" hidden="1" spans="1:7">
      <c r="A148" s="406">
        <v>2137001</v>
      </c>
      <c r="B148" s="379" t="s">
        <v>1400</v>
      </c>
      <c r="C148" s="400">
        <f>'07'!F149</f>
        <v>0</v>
      </c>
      <c r="D148" s="400">
        <v>0</v>
      </c>
      <c r="E148" s="404" t="str">
        <f t="shared" si="8"/>
        <v/>
      </c>
      <c r="F148" s="349" t="str">
        <f t="shared" si="6"/>
        <v>否</v>
      </c>
      <c r="G148" s="313" t="str">
        <f t="shared" si="7"/>
        <v>项</v>
      </c>
    </row>
    <row r="149" ht="37.5" hidden="1" spans="1:7">
      <c r="A149" s="406">
        <v>2137099</v>
      </c>
      <c r="B149" s="379" t="s">
        <v>1413</v>
      </c>
      <c r="C149" s="400">
        <f>'07'!F150</f>
        <v>0</v>
      </c>
      <c r="D149" s="400">
        <v>0</v>
      </c>
      <c r="E149" s="404" t="str">
        <f t="shared" si="8"/>
        <v/>
      </c>
      <c r="F149" s="349" t="str">
        <f t="shared" si="6"/>
        <v>否</v>
      </c>
      <c r="G149" s="313" t="str">
        <f t="shared" si="7"/>
        <v>项</v>
      </c>
    </row>
    <row r="150" s="312" customFormat="1" ht="37.5" hidden="1" spans="1:7">
      <c r="A150" s="406">
        <v>21371</v>
      </c>
      <c r="B150" s="379" t="s">
        <v>1414</v>
      </c>
      <c r="C150" s="400"/>
      <c r="D150" s="399">
        <v>0</v>
      </c>
      <c r="E150" s="404" t="str">
        <f t="shared" si="8"/>
        <v/>
      </c>
      <c r="F150" s="349" t="str">
        <f t="shared" si="6"/>
        <v>否</v>
      </c>
      <c r="G150" s="313" t="str">
        <f t="shared" si="7"/>
        <v>款</v>
      </c>
    </row>
    <row r="151" ht="18.75" hidden="1" spans="1:7">
      <c r="A151" s="406">
        <v>2137101</v>
      </c>
      <c r="B151" s="379" t="s">
        <v>1408</v>
      </c>
      <c r="C151" s="400">
        <f>'07'!F152</f>
        <v>0</v>
      </c>
      <c r="D151" s="400">
        <v>0</v>
      </c>
      <c r="E151" s="404" t="str">
        <f t="shared" si="8"/>
        <v/>
      </c>
      <c r="F151" s="349" t="str">
        <f t="shared" si="6"/>
        <v>否</v>
      </c>
      <c r="G151" s="313" t="str">
        <f t="shared" si="7"/>
        <v>项</v>
      </c>
    </row>
    <row r="152" s="312" customFormat="1" ht="18.75" hidden="1" spans="1:7">
      <c r="A152" s="406">
        <v>2137102</v>
      </c>
      <c r="B152" s="379" t="s">
        <v>1415</v>
      </c>
      <c r="C152" s="400">
        <f>'07'!F153</f>
        <v>0</v>
      </c>
      <c r="D152" s="400">
        <v>0</v>
      </c>
      <c r="E152" s="404" t="str">
        <f t="shared" si="8"/>
        <v/>
      </c>
      <c r="F152" s="349" t="str">
        <f t="shared" si="6"/>
        <v>否</v>
      </c>
      <c r="G152" s="313" t="str">
        <f t="shared" si="7"/>
        <v>项</v>
      </c>
    </row>
    <row r="153" s="312" customFormat="1" ht="18.75" hidden="1" spans="1:7">
      <c r="A153" s="406">
        <v>2137103</v>
      </c>
      <c r="B153" s="379" t="s">
        <v>1410</v>
      </c>
      <c r="C153" s="400">
        <f>'07'!F154</f>
        <v>0</v>
      </c>
      <c r="D153" s="400">
        <v>0</v>
      </c>
      <c r="E153" s="404" t="str">
        <f t="shared" si="8"/>
        <v/>
      </c>
      <c r="F153" s="349" t="str">
        <f t="shared" si="6"/>
        <v>否</v>
      </c>
      <c r="G153" s="313" t="str">
        <f t="shared" si="7"/>
        <v>项</v>
      </c>
    </row>
    <row r="154" s="312" customFormat="1" ht="37.5" hidden="1" spans="1:7">
      <c r="A154" s="406">
        <v>2137199</v>
      </c>
      <c r="B154" s="379" t="s">
        <v>1416</v>
      </c>
      <c r="C154" s="400">
        <f>'07'!F155</f>
        <v>0</v>
      </c>
      <c r="D154" s="400">
        <v>0</v>
      </c>
      <c r="E154" s="404" t="str">
        <f t="shared" si="8"/>
        <v/>
      </c>
      <c r="F154" s="349" t="str">
        <f t="shared" si="6"/>
        <v>否</v>
      </c>
      <c r="G154" s="313" t="str">
        <f t="shared" si="7"/>
        <v>项</v>
      </c>
    </row>
    <row r="155" s="312" customFormat="1" ht="18.75" spans="1:7">
      <c r="A155" s="407">
        <v>21372</v>
      </c>
      <c r="B155" s="379" t="s">
        <v>1417</v>
      </c>
      <c r="C155" s="402">
        <f>SUM(C156:C158)</f>
        <v>7930</v>
      </c>
      <c r="D155" s="402">
        <f>SUM(D156:D158)</f>
        <v>10384</v>
      </c>
      <c r="E155" s="404">
        <f t="shared" si="8"/>
        <v>0.309457755359395</v>
      </c>
      <c r="F155" s="349" t="str">
        <f t="shared" si="6"/>
        <v>是</v>
      </c>
      <c r="G155" s="313" t="str">
        <f t="shared" si="7"/>
        <v>款</v>
      </c>
    </row>
    <row r="156" s="312" customFormat="1" ht="18.75" hidden="1" spans="1:7">
      <c r="A156" s="407">
        <v>2137201</v>
      </c>
      <c r="B156" s="379" t="s">
        <v>1418</v>
      </c>
      <c r="C156" s="400">
        <f>'07'!F157</f>
        <v>2464</v>
      </c>
      <c r="D156" s="400">
        <v>3958</v>
      </c>
      <c r="E156" s="404">
        <f t="shared" si="8"/>
        <v>0.606331168831169</v>
      </c>
      <c r="F156" s="349" t="str">
        <f t="shared" si="6"/>
        <v>是</v>
      </c>
      <c r="G156" s="313" t="str">
        <f t="shared" si="7"/>
        <v>项</v>
      </c>
    </row>
    <row r="157" ht="18.75" hidden="1" spans="1:7">
      <c r="A157" s="407">
        <v>2137202</v>
      </c>
      <c r="B157" s="379" t="s">
        <v>1400</v>
      </c>
      <c r="C157" s="400">
        <f>'07'!F158</f>
        <v>5466</v>
      </c>
      <c r="D157" s="400">
        <v>6426</v>
      </c>
      <c r="E157" s="404">
        <f t="shared" si="8"/>
        <v>0.17563117453348</v>
      </c>
      <c r="F157" s="349" t="str">
        <f t="shared" si="6"/>
        <v>是</v>
      </c>
      <c r="G157" s="313" t="str">
        <f t="shared" si="7"/>
        <v>项</v>
      </c>
    </row>
    <row r="158" s="312" customFormat="1" ht="18.75" hidden="1" spans="1:7">
      <c r="A158" s="407">
        <v>2137299</v>
      </c>
      <c r="B158" s="379" t="s">
        <v>1419</v>
      </c>
      <c r="C158" s="400">
        <f>'07'!F159</f>
        <v>0</v>
      </c>
      <c r="D158" s="400">
        <v>0</v>
      </c>
      <c r="E158" s="404" t="str">
        <f t="shared" si="8"/>
        <v/>
      </c>
      <c r="F158" s="349" t="str">
        <f t="shared" si="6"/>
        <v>否</v>
      </c>
      <c r="G158" s="313" t="str">
        <f t="shared" si="7"/>
        <v>项</v>
      </c>
    </row>
    <row r="159" s="312" customFormat="1" ht="18.75" hidden="1" spans="1:7">
      <c r="A159" s="407">
        <v>21373</v>
      </c>
      <c r="B159" s="379" t="s">
        <v>1420</v>
      </c>
      <c r="C159" s="400"/>
      <c r="D159" s="399">
        <v>0</v>
      </c>
      <c r="E159" s="404" t="str">
        <f t="shared" si="8"/>
        <v/>
      </c>
      <c r="F159" s="349" t="str">
        <f t="shared" si="6"/>
        <v>否</v>
      </c>
      <c r="G159" s="313" t="str">
        <f t="shared" si="7"/>
        <v>款</v>
      </c>
    </row>
    <row r="160" s="312" customFormat="1" ht="18.75" hidden="1" spans="1:7">
      <c r="A160" s="407">
        <v>2137301</v>
      </c>
      <c r="B160" s="379" t="s">
        <v>1418</v>
      </c>
      <c r="C160" s="400">
        <f>'07'!F161</f>
        <v>0</v>
      </c>
      <c r="D160" s="400">
        <v>0</v>
      </c>
      <c r="E160" s="404" t="str">
        <f t="shared" si="8"/>
        <v/>
      </c>
      <c r="F160" s="349" t="str">
        <f t="shared" si="6"/>
        <v>否</v>
      </c>
      <c r="G160" s="313" t="str">
        <f t="shared" si="7"/>
        <v>项</v>
      </c>
    </row>
    <row r="161" ht="18.75" hidden="1" spans="1:7">
      <c r="A161" s="407">
        <v>2137302</v>
      </c>
      <c r="B161" s="379" t="s">
        <v>1400</v>
      </c>
      <c r="C161" s="400">
        <f>'07'!F162</f>
        <v>0</v>
      </c>
      <c r="D161" s="400">
        <v>0</v>
      </c>
      <c r="E161" s="404" t="str">
        <f t="shared" si="8"/>
        <v/>
      </c>
      <c r="F161" s="349" t="str">
        <f t="shared" si="6"/>
        <v>否</v>
      </c>
      <c r="G161" s="313" t="str">
        <f t="shared" si="7"/>
        <v>项</v>
      </c>
    </row>
    <row r="162" ht="18.75" hidden="1" spans="1:7">
      <c r="A162" s="407">
        <v>2137399</v>
      </c>
      <c r="B162" s="379" t="s">
        <v>1421</v>
      </c>
      <c r="C162" s="400">
        <f>'07'!F163</f>
        <v>0</v>
      </c>
      <c r="D162" s="400">
        <v>0</v>
      </c>
      <c r="E162" s="404" t="str">
        <f t="shared" si="8"/>
        <v/>
      </c>
      <c r="F162" s="349" t="str">
        <f t="shared" si="6"/>
        <v>否</v>
      </c>
      <c r="G162" s="313" t="str">
        <f t="shared" si="7"/>
        <v>项</v>
      </c>
    </row>
    <row r="163" s="312" customFormat="1" ht="37.5" hidden="1" spans="1:7">
      <c r="A163" s="407">
        <v>21374</v>
      </c>
      <c r="B163" s="379" t="s">
        <v>1422</v>
      </c>
      <c r="C163" s="400"/>
      <c r="D163" s="399">
        <v>0</v>
      </c>
      <c r="E163" s="404" t="str">
        <f t="shared" si="8"/>
        <v/>
      </c>
      <c r="F163" s="349" t="str">
        <f t="shared" si="6"/>
        <v>否</v>
      </c>
      <c r="G163" s="313" t="str">
        <f t="shared" si="7"/>
        <v>款</v>
      </c>
    </row>
    <row r="164" ht="18.75" hidden="1" spans="1:7">
      <c r="A164" s="407">
        <v>2137401</v>
      </c>
      <c r="B164" s="379" t="s">
        <v>1400</v>
      </c>
      <c r="C164" s="400">
        <f>'07'!F165</f>
        <v>0</v>
      </c>
      <c r="D164" s="400">
        <v>0</v>
      </c>
      <c r="E164" s="404" t="str">
        <f t="shared" si="8"/>
        <v/>
      </c>
      <c r="F164" s="349" t="str">
        <f t="shared" si="6"/>
        <v>否</v>
      </c>
      <c r="G164" s="313" t="str">
        <f t="shared" si="7"/>
        <v>项</v>
      </c>
    </row>
    <row r="165" ht="37.5" hidden="1" spans="1:7">
      <c r="A165" s="407">
        <v>2137499</v>
      </c>
      <c r="B165" s="379" t="s">
        <v>1423</v>
      </c>
      <c r="C165" s="400">
        <f>'07'!F166</f>
        <v>0</v>
      </c>
      <c r="D165" s="400">
        <v>0</v>
      </c>
      <c r="E165" s="404" t="str">
        <f t="shared" si="8"/>
        <v/>
      </c>
      <c r="F165" s="349" t="str">
        <f t="shared" si="6"/>
        <v>否</v>
      </c>
      <c r="G165" s="313" t="str">
        <f t="shared" si="7"/>
        <v>项</v>
      </c>
    </row>
    <row r="166" s="311" customFormat="1" ht="18.75" hidden="1" spans="1:7">
      <c r="A166" s="334">
        <v>21398</v>
      </c>
      <c r="B166" s="338" t="s">
        <v>1331</v>
      </c>
      <c r="C166" s="400"/>
      <c r="D166" s="399">
        <v>0</v>
      </c>
      <c r="E166" s="404" t="str">
        <f t="shared" si="8"/>
        <v/>
      </c>
      <c r="F166" s="349" t="str">
        <f t="shared" si="6"/>
        <v>否</v>
      </c>
      <c r="G166" s="309" t="str">
        <f t="shared" si="7"/>
        <v>款</v>
      </c>
    </row>
    <row r="167" s="311" customFormat="1" ht="18.75" hidden="1" spans="1:7">
      <c r="A167" s="334">
        <v>2139801</v>
      </c>
      <c r="B167" s="338" t="s">
        <v>1424</v>
      </c>
      <c r="C167" s="400">
        <f>'07'!F168</f>
        <v>0</v>
      </c>
      <c r="D167" s="400">
        <v>0</v>
      </c>
      <c r="E167" s="404" t="str">
        <f t="shared" si="8"/>
        <v/>
      </c>
      <c r="F167" s="349" t="str">
        <f t="shared" si="6"/>
        <v>否</v>
      </c>
      <c r="G167" s="309" t="str">
        <f t="shared" si="7"/>
        <v>项</v>
      </c>
    </row>
    <row r="168" s="311" customFormat="1" ht="18.75" hidden="1" spans="1:7">
      <c r="A168" s="334">
        <v>2139802</v>
      </c>
      <c r="B168" s="338" t="s">
        <v>1425</v>
      </c>
      <c r="C168" s="400">
        <f>'07'!F169</f>
        <v>0</v>
      </c>
      <c r="D168" s="400">
        <v>0</v>
      </c>
      <c r="E168" s="404" t="str">
        <f t="shared" si="8"/>
        <v/>
      </c>
      <c r="F168" s="349" t="str">
        <f t="shared" si="6"/>
        <v>否</v>
      </c>
      <c r="G168" s="309" t="str">
        <f t="shared" si="7"/>
        <v>项</v>
      </c>
    </row>
    <row r="169" s="311" customFormat="1" ht="18.75" hidden="1" spans="1:7">
      <c r="A169" s="334">
        <v>2139899</v>
      </c>
      <c r="B169" s="338" t="s">
        <v>1426</v>
      </c>
      <c r="C169" s="400">
        <f>'07'!F170</f>
        <v>0</v>
      </c>
      <c r="D169" s="400">
        <v>0</v>
      </c>
      <c r="E169" s="404" t="str">
        <f t="shared" si="8"/>
        <v/>
      </c>
      <c r="F169" s="349" t="str">
        <f t="shared" si="6"/>
        <v>否</v>
      </c>
      <c r="G169" s="309" t="str">
        <f t="shared" si="7"/>
        <v>项</v>
      </c>
    </row>
    <row r="170" s="312" customFormat="1" ht="18.75" spans="1:7">
      <c r="A170" s="329">
        <v>214</v>
      </c>
      <c r="B170" s="377" t="s">
        <v>1427</v>
      </c>
      <c r="C170" s="399">
        <f>C171+C176+C181+C190+C197+C207+C210+C213+C214</f>
        <v>0</v>
      </c>
      <c r="D170" s="399">
        <v>0</v>
      </c>
      <c r="E170" s="403" t="str">
        <f t="shared" si="8"/>
        <v/>
      </c>
      <c r="F170" s="349" t="str">
        <f t="shared" si="6"/>
        <v>是</v>
      </c>
      <c r="G170" s="313" t="str">
        <f t="shared" si="7"/>
        <v>类</v>
      </c>
    </row>
    <row r="171" s="312" customFormat="1" ht="37.5" hidden="1" spans="1:7">
      <c r="A171" s="330">
        <v>21460</v>
      </c>
      <c r="B171" s="379" t="s">
        <v>1428</v>
      </c>
      <c r="C171" s="400"/>
      <c r="D171" s="399">
        <v>0</v>
      </c>
      <c r="E171" s="404" t="str">
        <f t="shared" si="8"/>
        <v/>
      </c>
      <c r="F171" s="349" t="str">
        <f t="shared" si="6"/>
        <v>否</v>
      </c>
      <c r="G171" s="313" t="str">
        <f t="shared" si="7"/>
        <v>款</v>
      </c>
    </row>
    <row r="172" s="312" customFormat="1" ht="18.75" hidden="1" spans="1:7">
      <c r="A172" s="330">
        <v>2146001</v>
      </c>
      <c r="B172" s="379" t="s">
        <v>1429</v>
      </c>
      <c r="C172" s="400">
        <f>'07'!F173</f>
        <v>0</v>
      </c>
      <c r="D172" s="400">
        <v>0</v>
      </c>
      <c r="E172" s="404" t="str">
        <f t="shared" si="8"/>
        <v/>
      </c>
      <c r="F172" s="349" t="str">
        <f t="shared" si="6"/>
        <v>否</v>
      </c>
      <c r="G172" s="313" t="str">
        <f t="shared" si="7"/>
        <v>项</v>
      </c>
    </row>
    <row r="173" s="312" customFormat="1" ht="18.75" hidden="1" spans="1:7">
      <c r="A173" s="330">
        <v>2146002</v>
      </c>
      <c r="B173" s="379" t="s">
        <v>1430</v>
      </c>
      <c r="C173" s="400">
        <f>'07'!F174</f>
        <v>0</v>
      </c>
      <c r="D173" s="400">
        <v>0</v>
      </c>
      <c r="E173" s="404" t="str">
        <f t="shared" si="8"/>
        <v/>
      </c>
      <c r="F173" s="349" t="str">
        <f t="shared" si="6"/>
        <v>否</v>
      </c>
      <c r="G173" s="313" t="str">
        <f t="shared" si="7"/>
        <v>项</v>
      </c>
    </row>
    <row r="174" s="312" customFormat="1" ht="18.75" hidden="1" spans="1:7">
      <c r="A174" s="330">
        <v>2146003</v>
      </c>
      <c r="B174" s="379" t="s">
        <v>1431</v>
      </c>
      <c r="C174" s="400">
        <f>'07'!F175</f>
        <v>0</v>
      </c>
      <c r="D174" s="400">
        <v>0</v>
      </c>
      <c r="E174" s="404" t="str">
        <f t="shared" si="8"/>
        <v/>
      </c>
      <c r="F174" s="349" t="str">
        <f t="shared" si="6"/>
        <v>否</v>
      </c>
      <c r="G174" s="313" t="str">
        <f t="shared" si="7"/>
        <v>项</v>
      </c>
    </row>
    <row r="175" s="312" customFormat="1" ht="37.5" hidden="1" spans="1:7">
      <c r="A175" s="330">
        <v>2146099</v>
      </c>
      <c r="B175" s="379" t="s">
        <v>1432</v>
      </c>
      <c r="C175" s="400">
        <f>'07'!F176</f>
        <v>0</v>
      </c>
      <c r="D175" s="400">
        <v>0</v>
      </c>
      <c r="E175" s="404" t="str">
        <f t="shared" si="8"/>
        <v/>
      </c>
      <c r="F175" s="349" t="str">
        <f t="shared" si="6"/>
        <v>否</v>
      </c>
      <c r="G175" s="313" t="str">
        <f t="shared" si="7"/>
        <v>项</v>
      </c>
    </row>
    <row r="176" s="312" customFormat="1" ht="18.75" hidden="1" spans="1:7">
      <c r="A176" s="330">
        <v>21462</v>
      </c>
      <c r="B176" s="379" t="s">
        <v>1433</v>
      </c>
      <c r="C176" s="400"/>
      <c r="D176" s="399">
        <v>0</v>
      </c>
      <c r="E176" s="404" t="str">
        <f t="shared" si="8"/>
        <v/>
      </c>
      <c r="F176" s="349" t="str">
        <f t="shared" si="6"/>
        <v>否</v>
      </c>
      <c r="G176" s="313" t="str">
        <f t="shared" si="7"/>
        <v>款</v>
      </c>
    </row>
    <row r="177" s="312" customFormat="1" ht="18.75" hidden="1" spans="1:7">
      <c r="A177" s="330">
        <v>2146201</v>
      </c>
      <c r="B177" s="379" t="s">
        <v>1431</v>
      </c>
      <c r="C177" s="400">
        <f>'07'!F178</f>
        <v>0</v>
      </c>
      <c r="D177" s="400">
        <v>0</v>
      </c>
      <c r="E177" s="404" t="str">
        <f t="shared" si="8"/>
        <v/>
      </c>
      <c r="F177" s="349" t="str">
        <f t="shared" si="6"/>
        <v>否</v>
      </c>
      <c r="G177" s="313" t="str">
        <f t="shared" si="7"/>
        <v>项</v>
      </c>
    </row>
    <row r="178" s="312" customFormat="1" ht="18.75" hidden="1" spans="1:7">
      <c r="A178" s="330">
        <v>2146202</v>
      </c>
      <c r="B178" s="379" t="s">
        <v>1434</v>
      </c>
      <c r="C178" s="400">
        <f>'07'!F179</f>
        <v>0</v>
      </c>
      <c r="D178" s="400">
        <v>0</v>
      </c>
      <c r="E178" s="404" t="str">
        <f t="shared" si="8"/>
        <v/>
      </c>
      <c r="F178" s="349" t="str">
        <f t="shared" si="6"/>
        <v>否</v>
      </c>
      <c r="G178" s="313" t="str">
        <f t="shared" si="7"/>
        <v>项</v>
      </c>
    </row>
    <row r="179" s="312" customFormat="1" ht="18.75" hidden="1" spans="1:7">
      <c r="A179" s="330">
        <v>2146203</v>
      </c>
      <c r="B179" s="379" t="s">
        <v>1435</v>
      </c>
      <c r="C179" s="400">
        <f>'07'!F180</f>
        <v>0</v>
      </c>
      <c r="D179" s="400">
        <v>0</v>
      </c>
      <c r="E179" s="404" t="str">
        <f t="shared" si="8"/>
        <v/>
      </c>
      <c r="F179" s="349" t="str">
        <f t="shared" si="6"/>
        <v>否</v>
      </c>
      <c r="G179" s="313" t="str">
        <f t="shared" si="7"/>
        <v>项</v>
      </c>
    </row>
    <row r="180" s="312" customFormat="1" ht="18.75" hidden="1" spans="1:7">
      <c r="A180" s="330">
        <v>2146299</v>
      </c>
      <c r="B180" s="379" t="s">
        <v>1436</v>
      </c>
      <c r="C180" s="400">
        <f>'07'!F181</f>
        <v>0</v>
      </c>
      <c r="D180" s="400">
        <v>0</v>
      </c>
      <c r="E180" s="404" t="str">
        <f t="shared" si="8"/>
        <v/>
      </c>
      <c r="F180" s="349" t="str">
        <f t="shared" si="6"/>
        <v>否</v>
      </c>
      <c r="G180" s="313" t="str">
        <f t="shared" si="7"/>
        <v>项</v>
      </c>
    </row>
    <row r="181" s="312" customFormat="1" ht="18.75" hidden="1" spans="1:7">
      <c r="A181" s="330">
        <v>21464</v>
      </c>
      <c r="B181" s="379" t="s">
        <v>1437</v>
      </c>
      <c r="C181" s="400"/>
      <c r="D181" s="399">
        <v>0</v>
      </c>
      <c r="E181" s="404" t="str">
        <f t="shared" si="8"/>
        <v/>
      </c>
      <c r="F181" s="349" t="str">
        <f t="shared" si="6"/>
        <v>否</v>
      </c>
      <c r="G181" s="313" t="str">
        <f t="shared" si="7"/>
        <v>款</v>
      </c>
    </row>
    <row r="182" s="312" customFormat="1" ht="18.75" hidden="1" spans="1:7">
      <c r="A182" s="330">
        <v>2146401</v>
      </c>
      <c r="B182" s="379" t="s">
        <v>1438</v>
      </c>
      <c r="C182" s="400">
        <f>'07'!F183</f>
        <v>0</v>
      </c>
      <c r="D182" s="400">
        <v>0</v>
      </c>
      <c r="E182" s="404" t="str">
        <f t="shared" si="8"/>
        <v/>
      </c>
      <c r="F182" s="349" t="str">
        <f t="shared" si="6"/>
        <v>否</v>
      </c>
      <c r="G182" s="313" t="str">
        <f t="shared" si="7"/>
        <v>项</v>
      </c>
    </row>
    <row r="183" s="312" customFormat="1" ht="18.75" hidden="1" spans="1:7">
      <c r="A183" s="330">
        <v>2146402</v>
      </c>
      <c r="B183" s="379" t="s">
        <v>1439</v>
      </c>
      <c r="C183" s="400">
        <f>'07'!F184</f>
        <v>0</v>
      </c>
      <c r="D183" s="400">
        <v>0</v>
      </c>
      <c r="E183" s="404" t="str">
        <f t="shared" si="8"/>
        <v/>
      </c>
      <c r="F183" s="349" t="str">
        <f t="shared" si="6"/>
        <v>否</v>
      </c>
      <c r="G183" s="313" t="str">
        <f t="shared" si="7"/>
        <v>项</v>
      </c>
    </row>
    <row r="184" s="312" customFormat="1" ht="18.75" hidden="1" spans="1:7">
      <c r="A184" s="330">
        <v>2146403</v>
      </c>
      <c r="B184" s="379" t="s">
        <v>1440</v>
      </c>
      <c r="C184" s="400">
        <f>'07'!F185</f>
        <v>0</v>
      </c>
      <c r="D184" s="400">
        <v>0</v>
      </c>
      <c r="E184" s="404" t="str">
        <f t="shared" si="8"/>
        <v/>
      </c>
      <c r="F184" s="349" t="str">
        <f t="shared" si="6"/>
        <v>否</v>
      </c>
      <c r="G184" s="313" t="str">
        <f t="shared" si="7"/>
        <v>项</v>
      </c>
    </row>
    <row r="185" s="312" customFormat="1" ht="18.75" hidden="1" spans="1:7">
      <c r="A185" s="330">
        <v>2146404</v>
      </c>
      <c r="B185" s="379" t="s">
        <v>1441</v>
      </c>
      <c r="C185" s="400">
        <f>'07'!F186</f>
        <v>0</v>
      </c>
      <c r="D185" s="400">
        <v>0</v>
      </c>
      <c r="E185" s="404" t="str">
        <f t="shared" si="8"/>
        <v/>
      </c>
      <c r="F185" s="349" t="str">
        <f t="shared" si="6"/>
        <v>否</v>
      </c>
      <c r="G185" s="313" t="str">
        <f t="shared" si="7"/>
        <v>项</v>
      </c>
    </row>
    <row r="186" s="312" customFormat="1" ht="18.75" hidden="1" spans="1:7">
      <c r="A186" s="330">
        <v>2146405</v>
      </c>
      <c r="B186" s="379" t="s">
        <v>1442</v>
      </c>
      <c r="C186" s="400">
        <f>'07'!F187</f>
        <v>0</v>
      </c>
      <c r="D186" s="400">
        <v>0</v>
      </c>
      <c r="E186" s="404" t="str">
        <f t="shared" si="8"/>
        <v/>
      </c>
      <c r="F186" s="349" t="str">
        <f t="shared" si="6"/>
        <v>否</v>
      </c>
      <c r="G186" s="313" t="str">
        <f t="shared" si="7"/>
        <v>项</v>
      </c>
    </row>
    <row r="187" ht="18.75" hidden="1" spans="1:7">
      <c r="A187" s="330">
        <v>2146406</v>
      </c>
      <c r="B187" s="379" t="s">
        <v>1443</v>
      </c>
      <c r="C187" s="400">
        <f>'07'!F188</f>
        <v>0</v>
      </c>
      <c r="D187" s="400">
        <v>0</v>
      </c>
      <c r="E187" s="404" t="str">
        <f t="shared" si="8"/>
        <v/>
      </c>
      <c r="F187" s="349" t="str">
        <f t="shared" si="6"/>
        <v>否</v>
      </c>
      <c r="G187" s="313" t="str">
        <f t="shared" si="7"/>
        <v>项</v>
      </c>
    </row>
    <row r="188" ht="18.75" hidden="1" spans="1:7">
      <c r="A188" s="330">
        <v>2146407</v>
      </c>
      <c r="B188" s="379" t="s">
        <v>1444</v>
      </c>
      <c r="C188" s="400">
        <f>'07'!F189</f>
        <v>0</v>
      </c>
      <c r="D188" s="400">
        <v>0</v>
      </c>
      <c r="E188" s="404" t="str">
        <f t="shared" si="8"/>
        <v/>
      </c>
      <c r="F188" s="349" t="str">
        <f t="shared" si="6"/>
        <v>否</v>
      </c>
      <c r="G188" s="313" t="str">
        <f t="shared" si="7"/>
        <v>项</v>
      </c>
    </row>
    <row r="189" s="312" customFormat="1" ht="18.75" hidden="1" spans="1:7">
      <c r="A189" s="330">
        <v>2146499</v>
      </c>
      <c r="B189" s="379" t="s">
        <v>1445</v>
      </c>
      <c r="C189" s="400">
        <f>'07'!F190</f>
        <v>0</v>
      </c>
      <c r="D189" s="400">
        <v>0</v>
      </c>
      <c r="E189" s="404" t="str">
        <f t="shared" si="8"/>
        <v/>
      </c>
      <c r="F189" s="349" t="str">
        <f t="shared" si="6"/>
        <v>否</v>
      </c>
      <c r="G189" s="313" t="str">
        <f t="shared" si="7"/>
        <v>项</v>
      </c>
    </row>
    <row r="190" ht="18.75" hidden="1" spans="1:7">
      <c r="A190" s="330">
        <v>21468</v>
      </c>
      <c r="B190" s="379" t="s">
        <v>1446</v>
      </c>
      <c r="C190" s="400"/>
      <c r="D190" s="399">
        <v>0</v>
      </c>
      <c r="E190" s="404" t="str">
        <f t="shared" si="8"/>
        <v/>
      </c>
      <c r="F190" s="349" t="str">
        <f t="shared" si="6"/>
        <v>否</v>
      </c>
      <c r="G190" s="313" t="str">
        <f t="shared" si="7"/>
        <v>款</v>
      </c>
    </row>
    <row r="191" ht="18.75" hidden="1" spans="1:7">
      <c r="A191" s="330">
        <v>2146801</v>
      </c>
      <c r="B191" s="379" t="s">
        <v>1447</v>
      </c>
      <c r="C191" s="400">
        <f>'07'!F192</f>
        <v>0</v>
      </c>
      <c r="D191" s="400">
        <v>0</v>
      </c>
      <c r="E191" s="404" t="str">
        <f t="shared" si="8"/>
        <v/>
      </c>
      <c r="F191" s="349" t="str">
        <f t="shared" si="6"/>
        <v>否</v>
      </c>
      <c r="G191" s="313" t="str">
        <f t="shared" si="7"/>
        <v>项</v>
      </c>
    </row>
    <row r="192" s="312" customFormat="1" ht="18.75" hidden="1" spans="1:7">
      <c r="A192" s="330">
        <v>2146802</v>
      </c>
      <c r="B192" s="379" t="s">
        <v>1448</v>
      </c>
      <c r="C192" s="400">
        <f>'07'!F193</f>
        <v>0</v>
      </c>
      <c r="D192" s="400">
        <v>0</v>
      </c>
      <c r="E192" s="404" t="str">
        <f t="shared" si="8"/>
        <v/>
      </c>
      <c r="F192" s="349" t="str">
        <f t="shared" si="6"/>
        <v>否</v>
      </c>
      <c r="G192" s="313" t="str">
        <f t="shared" si="7"/>
        <v>项</v>
      </c>
    </row>
    <row r="193" s="312" customFormat="1" ht="18.75" hidden="1" spans="1:7">
      <c r="A193" s="330">
        <v>2146803</v>
      </c>
      <c r="B193" s="379" t="s">
        <v>1449</v>
      </c>
      <c r="C193" s="400">
        <f>'07'!F194</f>
        <v>0</v>
      </c>
      <c r="D193" s="400">
        <v>0</v>
      </c>
      <c r="E193" s="404" t="str">
        <f t="shared" si="8"/>
        <v/>
      </c>
      <c r="F193" s="349" t="str">
        <f t="shared" si="6"/>
        <v>否</v>
      </c>
      <c r="G193" s="313" t="str">
        <f t="shared" si="7"/>
        <v>项</v>
      </c>
    </row>
    <row r="194" s="312" customFormat="1" ht="18.75" hidden="1" spans="1:7">
      <c r="A194" s="330">
        <v>2146804</v>
      </c>
      <c r="B194" s="379" t="s">
        <v>1450</v>
      </c>
      <c r="C194" s="400">
        <f>'07'!F195</f>
        <v>0</v>
      </c>
      <c r="D194" s="400">
        <v>0</v>
      </c>
      <c r="E194" s="404" t="str">
        <f t="shared" si="8"/>
        <v/>
      </c>
      <c r="F194" s="349" t="str">
        <f t="shared" si="6"/>
        <v>否</v>
      </c>
      <c r="G194" s="313" t="str">
        <f t="shared" si="7"/>
        <v>项</v>
      </c>
    </row>
    <row r="195" s="312" customFormat="1" ht="18.75" hidden="1" spans="1:7">
      <c r="A195" s="330">
        <v>2146805</v>
      </c>
      <c r="B195" s="379" t="s">
        <v>1451</v>
      </c>
      <c r="C195" s="400">
        <f>'07'!F196</f>
        <v>0</v>
      </c>
      <c r="D195" s="400">
        <v>0</v>
      </c>
      <c r="E195" s="404" t="str">
        <f t="shared" si="8"/>
        <v/>
      </c>
      <c r="F195" s="349" t="str">
        <f t="shared" si="6"/>
        <v>否</v>
      </c>
      <c r="G195" s="313" t="str">
        <f t="shared" si="7"/>
        <v>项</v>
      </c>
    </row>
    <row r="196" s="312" customFormat="1" ht="18.75" hidden="1" spans="1:7">
      <c r="A196" s="330">
        <v>2146899</v>
      </c>
      <c r="B196" s="379" t="s">
        <v>1452</v>
      </c>
      <c r="C196" s="400">
        <f>'07'!F197</f>
        <v>0</v>
      </c>
      <c r="D196" s="400">
        <v>0</v>
      </c>
      <c r="E196" s="404" t="str">
        <f t="shared" si="8"/>
        <v/>
      </c>
      <c r="F196" s="349" t="str">
        <f t="shared" ref="F196:F259" si="9">IF(LEN(A196)=3,"是",IF(B196&lt;&gt;"",IF(SUM(C196:D196)&lt;&gt;0,"是","否"),"是"))</f>
        <v>否</v>
      </c>
      <c r="G196" s="313" t="str">
        <f t="shared" ref="G196:G259" si="10">IF(LEN(A196)=3,"类",IF(LEN(A196)=5,"款","项"))</f>
        <v>项</v>
      </c>
    </row>
    <row r="197" s="312" customFormat="1" ht="18.75" hidden="1" spans="1:7">
      <c r="A197" s="330">
        <v>21469</v>
      </c>
      <c r="B197" s="379" t="s">
        <v>1453</v>
      </c>
      <c r="C197" s="400"/>
      <c r="D197" s="399">
        <v>0</v>
      </c>
      <c r="E197" s="404" t="str">
        <f t="shared" ref="E197:E260" si="11">IFERROR((D197-C197)/C197,"")</f>
        <v/>
      </c>
      <c r="F197" s="349" t="str">
        <f t="shared" si="9"/>
        <v>否</v>
      </c>
      <c r="G197" s="313" t="str">
        <f t="shared" si="10"/>
        <v>款</v>
      </c>
    </row>
    <row r="198" s="312" customFormat="1" ht="18.75" hidden="1" spans="1:7">
      <c r="A198" s="330">
        <v>2146901</v>
      </c>
      <c r="B198" s="379" t="s">
        <v>1454</v>
      </c>
      <c r="C198" s="400">
        <f>'07'!F199</f>
        <v>0</v>
      </c>
      <c r="D198" s="400">
        <v>0</v>
      </c>
      <c r="E198" s="404" t="str">
        <f t="shared" si="11"/>
        <v/>
      </c>
      <c r="F198" s="349" t="str">
        <f t="shared" si="9"/>
        <v>否</v>
      </c>
      <c r="G198" s="313" t="str">
        <f t="shared" si="10"/>
        <v>项</v>
      </c>
    </row>
    <row r="199" ht="18.75" hidden="1" spans="1:7">
      <c r="A199" s="330">
        <v>2146902</v>
      </c>
      <c r="B199" s="379" t="s">
        <v>1455</v>
      </c>
      <c r="C199" s="400">
        <f>'07'!F200</f>
        <v>0</v>
      </c>
      <c r="D199" s="400">
        <v>0</v>
      </c>
      <c r="E199" s="404" t="str">
        <f t="shared" si="11"/>
        <v/>
      </c>
      <c r="F199" s="349" t="str">
        <f t="shared" si="9"/>
        <v>否</v>
      </c>
      <c r="G199" s="313" t="str">
        <f t="shared" si="10"/>
        <v>项</v>
      </c>
    </row>
    <row r="200" ht="18.75" hidden="1" spans="1:7">
      <c r="A200" s="330">
        <v>2146903</v>
      </c>
      <c r="B200" s="379" t="s">
        <v>1456</v>
      </c>
      <c r="C200" s="400">
        <f>'07'!F201</f>
        <v>0</v>
      </c>
      <c r="D200" s="400">
        <v>0</v>
      </c>
      <c r="E200" s="404" t="str">
        <f t="shared" si="11"/>
        <v/>
      </c>
      <c r="F200" s="349" t="str">
        <f t="shared" si="9"/>
        <v>否</v>
      </c>
      <c r="G200" s="313" t="str">
        <f t="shared" si="10"/>
        <v>项</v>
      </c>
    </row>
    <row r="201" s="312" customFormat="1" ht="18.75" hidden="1" spans="1:7">
      <c r="A201" s="330">
        <v>2146904</v>
      </c>
      <c r="B201" s="379" t="s">
        <v>1457</v>
      </c>
      <c r="C201" s="400">
        <f>'07'!F202</f>
        <v>0</v>
      </c>
      <c r="D201" s="400">
        <v>0</v>
      </c>
      <c r="E201" s="404" t="str">
        <f t="shared" si="11"/>
        <v/>
      </c>
      <c r="F201" s="349" t="str">
        <f t="shared" si="9"/>
        <v>否</v>
      </c>
      <c r="G201" s="313" t="str">
        <f t="shared" si="10"/>
        <v>项</v>
      </c>
    </row>
    <row r="202" s="312" customFormat="1" ht="18.75" hidden="1" spans="1:7">
      <c r="A202" s="330">
        <v>2146906</v>
      </c>
      <c r="B202" s="379" t="s">
        <v>1458</v>
      </c>
      <c r="C202" s="400">
        <f>'07'!F203</f>
        <v>0</v>
      </c>
      <c r="D202" s="400">
        <v>0</v>
      </c>
      <c r="E202" s="404" t="str">
        <f t="shared" si="11"/>
        <v/>
      </c>
      <c r="F202" s="349" t="str">
        <f t="shared" si="9"/>
        <v>否</v>
      </c>
      <c r="G202" s="313" t="str">
        <f t="shared" si="10"/>
        <v>项</v>
      </c>
    </row>
    <row r="203" s="312" customFormat="1" ht="18.75" hidden="1" spans="1:7">
      <c r="A203" s="330">
        <v>2146907</v>
      </c>
      <c r="B203" s="379" t="s">
        <v>1459</v>
      </c>
      <c r="C203" s="400">
        <f>'07'!F204</f>
        <v>0</v>
      </c>
      <c r="D203" s="400">
        <v>0</v>
      </c>
      <c r="E203" s="404" t="str">
        <f t="shared" si="11"/>
        <v/>
      </c>
      <c r="F203" s="349" t="str">
        <f t="shared" si="9"/>
        <v>否</v>
      </c>
      <c r="G203" s="313" t="str">
        <f t="shared" si="10"/>
        <v>项</v>
      </c>
    </row>
    <row r="204" s="312" customFormat="1" ht="18.75" hidden="1" spans="1:7">
      <c r="A204" s="330">
        <v>2146908</v>
      </c>
      <c r="B204" s="379" t="s">
        <v>1460</v>
      </c>
      <c r="C204" s="400">
        <f>'07'!F205</f>
        <v>0</v>
      </c>
      <c r="D204" s="400">
        <v>0</v>
      </c>
      <c r="E204" s="404" t="str">
        <f t="shared" si="11"/>
        <v/>
      </c>
      <c r="F204" s="349" t="str">
        <f t="shared" si="9"/>
        <v>否</v>
      </c>
      <c r="G204" s="313" t="str">
        <f t="shared" si="10"/>
        <v>项</v>
      </c>
    </row>
    <row r="205" s="312" customFormat="1" ht="18.75" hidden="1" spans="1:7">
      <c r="A205" s="339">
        <v>2146909</v>
      </c>
      <c r="B205" s="379" t="s">
        <v>1461</v>
      </c>
      <c r="C205" s="400">
        <f>'07'!F206</f>
        <v>0</v>
      </c>
      <c r="D205" s="400">
        <v>0</v>
      </c>
      <c r="E205" s="404" t="str">
        <f t="shared" si="11"/>
        <v/>
      </c>
      <c r="F205" s="349" t="str">
        <f t="shared" si="9"/>
        <v>否</v>
      </c>
      <c r="G205" s="313" t="str">
        <f t="shared" si="10"/>
        <v>项</v>
      </c>
    </row>
    <row r="206" s="312" customFormat="1" ht="18.75" hidden="1" spans="1:7">
      <c r="A206" s="330">
        <v>2146999</v>
      </c>
      <c r="B206" s="379" t="s">
        <v>1462</v>
      </c>
      <c r="C206" s="400">
        <f>'07'!F207</f>
        <v>0</v>
      </c>
      <c r="D206" s="400">
        <v>0</v>
      </c>
      <c r="E206" s="404" t="str">
        <f t="shared" si="11"/>
        <v/>
      </c>
      <c r="F206" s="349" t="str">
        <f t="shared" si="9"/>
        <v>否</v>
      </c>
      <c r="G206" s="313" t="str">
        <f t="shared" si="10"/>
        <v>项</v>
      </c>
    </row>
    <row r="207" ht="37.5" hidden="1" spans="1:7">
      <c r="A207" s="330">
        <v>21470</v>
      </c>
      <c r="B207" s="379" t="s">
        <v>1463</v>
      </c>
      <c r="C207" s="400"/>
      <c r="D207" s="399">
        <v>0</v>
      </c>
      <c r="E207" s="404" t="str">
        <f t="shared" si="11"/>
        <v/>
      </c>
      <c r="F207" s="349" t="str">
        <f t="shared" si="9"/>
        <v>否</v>
      </c>
      <c r="G207" s="313" t="str">
        <f t="shared" si="10"/>
        <v>款</v>
      </c>
    </row>
    <row r="208" ht="18.75" hidden="1" spans="1:7">
      <c r="A208" s="330">
        <v>2147001</v>
      </c>
      <c r="B208" s="379" t="s">
        <v>1429</v>
      </c>
      <c r="C208" s="400">
        <f>'07'!F209</f>
        <v>0</v>
      </c>
      <c r="D208" s="400">
        <v>0</v>
      </c>
      <c r="E208" s="404" t="str">
        <f t="shared" si="11"/>
        <v/>
      </c>
      <c r="F208" s="349" t="str">
        <f t="shared" si="9"/>
        <v>否</v>
      </c>
      <c r="G208" s="313" t="str">
        <f t="shared" si="10"/>
        <v>项</v>
      </c>
    </row>
    <row r="209" ht="37.5" hidden="1" spans="1:7">
      <c r="A209" s="330">
        <v>2147099</v>
      </c>
      <c r="B209" s="379" t="s">
        <v>1464</v>
      </c>
      <c r="C209" s="400">
        <f>'07'!F210</f>
        <v>0</v>
      </c>
      <c r="D209" s="400">
        <v>0</v>
      </c>
      <c r="E209" s="404" t="str">
        <f t="shared" si="11"/>
        <v/>
      </c>
      <c r="F209" s="349" t="str">
        <f t="shared" si="9"/>
        <v>否</v>
      </c>
      <c r="G209" s="313" t="str">
        <f t="shared" si="10"/>
        <v>项</v>
      </c>
    </row>
    <row r="210" s="312" customFormat="1" ht="18.75" hidden="1" spans="1:7">
      <c r="A210" s="330">
        <v>21471</v>
      </c>
      <c r="B210" s="379" t="s">
        <v>1465</v>
      </c>
      <c r="C210" s="400"/>
      <c r="D210" s="399">
        <v>0</v>
      </c>
      <c r="E210" s="404" t="str">
        <f t="shared" si="11"/>
        <v/>
      </c>
      <c r="F210" s="349" t="str">
        <f t="shared" si="9"/>
        <v>否</v>
      </c>
      <c r="G210" s="313" t="str">
        <f t="shared" si="10"/>
        <v>款</v>
      </c>
    </row>
    <row r="211" ht="18.75" hidden="1" spans="1:7">
      <c r="A211" s="330">
        <v>2147101</v>
      </c>
      <c r="B211" s="379" t="s">
        <v>1429</v>
      </c>
      <c r="C211" s="400">
        <f>'07'!F212</f>
        <v>0</v>
      </c>
      <c r="D211" s="400">
        <v>0</v>
      </c>
      <c r="E211" s="404" t="str">
        <f t="shared" si="11"/>
        <v/>
      </c>
      <c r="F211" s="349" t="str">
        <f t="shared" si="9"/>
        <v>否</v>
      </c>
      <c r="G211" s="313" t="str">
        <f t="shared" si="10"/>
        <v>项</v>
      </c>
    </row>
    <row r="212" ht="37.5" hidden="1" spans="1:7">
      <c r="A212" s="330">
        <v>2147199</v>
      </c>
      <c r="B212" s="379" t="s">
        <v>1466</v>
      </c>
      <c r="C212" s="400">
        <f>'07'!F213</f>
        <v>0</v>
      </c>
      <c r="D212" s="400">
        <v>0</v>
      </c>
      <c r="E212" s="404" t="str">
        <f t="shared" si="11"/>
        <v/>
      </c>
      <c r="F212" s="349" t="str">
        <f t="shared" si="9"/>
        <v>否</v>
      </c>
      <c r="G212" s="313" t="str">
        <f t="shared" si="10"/>
        <v>项</v>
      </c>
    </row>
    <row r="213" ht="18.75" hidden="1" spans="1:7">
      <c r="A213" s="330">
        <v>21472</v>
      </c>
      <c r="B213" s="379" t="s">
        <v>1467</v>
      </c>
      <c r="C213" s="400"/>
      <c r="D213" s="399">
        <v>0</v>
      </c>
      <c r="E213" s="404" t="str">
        <f t="shared" si="11"/>
        <v/>
      </c>
      <c r="F213" s="349" t="str">
        <f t="shared" si="9"/>
        <v>否</v>
      </c>
      <c r="G213" s="313" t="str">
        <f t="shared" si="10"/>
        <v>款</v>
      </c>
    </row>
    <row r="214" s="311" customFormat="1" ht="18.75" hidden="1" spans="1:7">
      <c r="A214" s="334">
        <v>21498</v>
      </c>
      <c r="B214" s="338" t="s">
        <v>1331</v>
      </c>
      <c r="C214" s="400"/>
      <c r="D214" s="399">
        <v>0</v>
      </c>
      <c r="E214" s="404" t="str">
        <f t="shared" si="11"/>
        <v/>
      </c>
      <c r="F214" s="349" t="str">
        <f t="shared" si="9"/>
        <v>否</v>
      </c>
      <c r="G214" s="309" t="str">
        <f t="shared" si="10"/>
        <v>款</v>
      </c>
    </row>
    <row r="215" s="311" customFormat="1" ht="18.75" hidden="1" spans="1:7">
      <c r="A215" s="334">
        <v>2149801</v>
      </c>
      <c r="B215" s="338" t="s">
        <v>1468</v>
      </c>
      <c r="C215" s="400">
        <f>'07'!F216</f>
        <v>0</v>
      </c>
      <c r="D215" s="400">
        <v>0</v>
      </c>
      <c r="E215" s="404" t="str">
        <f t="shared" si="11"/>
        <v/>
      </c>
      <c r="F215" s="349" t="str">
        <f t="shared" si="9"/>
        <v>否</v>
      </c>
      <c r="G215" s="309" t="str">
        <f t="shared" si="10"/>
        <v>项</v>
      </c>
    </row>
    <row r="216" s="311" customFormat="1" ht="18.75" hidden="1" spans="1:7">
      <c r="A216" s="334">
        <v>2149802</v>
      </c>
      <c r="B216" s="338" t="s">
        <v>1469</v>
      </c>
      <c r="C216" s="400">
        <f>'07'!F217</f>
        <v>0</v>
      </c>
      <c r="D216" s="400">
        <v>0</v>
      </c>
      <c r="E216" s="404" t="str">
        <f t="shared" si="11"/>
        <v/>
      </c>
      <c r="F216" s="349" t="str">
        <f t="shared" si="9"/>
        <v>否</v>
      </c>
      <c r="G216" s="309" t="str">
        <f t="shared" si="10"/>
        <v>项</v>
      </c>
    </row>
    <row r="217" s="311" customFormat="1" ht="18.75" hidden="1" spans="1:7">
      <c r="A217" s="334">
        <v>2149803</v>
      </c>
      <c r="B217" s="338" t="s">
        <v>1470</v>
      </c>
      <c r="C217" s="400">
        <f>'07'!F218</f>
        <v>0</v>
      </c>
      <c r="D217" s="400">
        <v>0</v>
      </c>
      <c r="E217" s="404" t="str">
        <f t="shared" si="11"/>
        <v/>
      </c>
      <c r="F217" s="349" t="str">
        <f t="shared" si="9"/>
        <v>否</v>
      </c>
      <c r="G217" s="309" t="str">
        <f t="shared" si="10"/>
        <v>项</v>
      </c>
    </row>
    <row r="218" s="311" customFormat="1" ht="18.75" hidden="1" spans="1:7">
      <c r="A218" s="334">
        <v>2149804</v>
      </c>
      <c r="B218" s="338" t="s">
        <v>1471</v>
      </c>
      <c r="C218" s="400">
        <f>'07'!F219</f>
        <v>0</v>
      </c>
      <c r="D218" s="400">
        <v>0</v>
      </c>
      <c r="E218" s="404" t="str">
        <f t="shared" si="11"/>
        <v/>
      </c>
      <c r="F218" s="349" t="str">
        <f t="shared" si="9"/>
        <v>否</v>
      </c>
      <c r="G218" s="309" t="str">
        <f t="shared" si="10"/>
        <v>项</v>
      </c>
    </row>
    <row r="219" s="311" customFormat="1" ht="18.75" hidden="1" spans="1:7">
      <c r="A219" s="334">
        <v>2149899</v>
      </c>
      <c r="B219" s="338" t="s">
        <v>1472</v>
      </c>
      <c r="C219" s="400">
        <f>'07'!F220</f>
        <v>0</v>
      </c>
      <c r="D219" s="400">
        <v>0</v>
      </c>
      <c r="E219" s="404" t="str">
        <f t="shared" si="11"/>
        <v/>
      </c>
      <c r="F219" s="349" t="str">
        <f t="shared" si="9"/>
        <v>否</v>
      </c>
      <c r="G219" s="309" t="str">
        <f t="shared" si="10"/>
        <v>项</v>
      </c>
    </row>
    <row r="220" s="312" customFormat="1" ht="18.75" spans="1:7">
      <c r="A220" s="329">
        <v>215</v>
      </c>
      <c r="B220" s="377" t="s">
        <v>1473</v>
      </c>
      <c r="C220" s="401">
        <f>C221+C224</f>
        <v>44</v>
      </c>
      <c r="D220" s="401">
        <f>D221+D224</f>
        <v>0</v>
      </c>
      <c r="E220" s="403">
        <f t="shared" si="11"/>
        <v>-1</v>
      </c>
      <c r="F220" s="349" t="str">
        <f t="shared" si="9"/>
        <v>是</v>
      </c>
      <c r="G220" s="313" t="str">
        <f t="shared" si="10"/>
        <v>类</v>
      </c>
    </row>
    <row r="221" s="312" customFormat="1" ht="18.75" hidden="1" spans="1:7">
      <c r="A221" s="330">
        <v>21562</v>
      </c>
      <c r="B221" s="379" t="s">
        <v>1474</v>
      </c>
      <c r="C221" s="400"/>
      <c r="D221" s="399">
        <v>0</v>
      </c>
      <c r="E221" s="404" t="str">
        <f t="shared" si="11"/>
        <v/>
      </c>
      <c r="F221" s="349" t="str">
        <f t="shared" si="9"/>
        <v>否</v>
      </c>
      <c r="G221" s="313" t="str">
        <f t="shared" si="10"/>
        <v>款</v>
      </c>
    </row>
    <row r="222" ht="18.75" hidden="1" spans="1:7">
      <c r="A222" s="330">
        <v>2156202</v>
      </c>
      <c r="B222" s="379" t="s">
        <v>1475</v>
      </c>
      <c r="C222" s="400">
        <f>'07'!F223</f>
        <v>0</v>
      </c>
      <c r="D222" s="400">
        <v>0</v>
      </c>
      <c r="E222" s="404" t="str">
        <f t="shared" si="11"/>
        <v/>
      </c>
      <c r="F222" s="349" t="str">
        <f t="shared" si="9"/>
        <v>否</v>
      </c>
      <c r="G222" s="313" t="str">
        <f t="shared" si="10"/>
        <v>项</v>
      </c>
    </row>
    <row r="223" ht="18.75" hidden="1" spans="1:7">
      <c r="A223" s="330">
        <v>2156299</v>
      </c>
      <c r="B223" s="379" t="s">
        <v>1476</v>
      </c>
      <c r="C223" s="400">
        <f>'07'!F224</f>
        <v>0</v>
      </c>
      <c r="D223" s="400">
        <v>0</v>
      </c>
      <c r="E223" s="404" t="str">
        <f t="shared" si="11"/>
        <v/>
      </c>
      <c r="F223" s="349" t="str">
        <f t="shared" si="9"/>
        <v>否</v>
      </c>
      <c r="G223" s="313" t="str">
        <f t="shared" si="10"/>
        <v>项</v>
      </c>
    </row>
    <row r="224" s="311" customFormat="1" ht="18.75" spans="1:7">
      <c r="A224" s="334">
        <v>21598</v>
      </c>
      <c r="B224" s="338" t="s">
        <v>1331</v>
      </c>
      <c r="C224" s="402">
        <f>SUM(C225:C228)</f>
        <v>44</v>
      </c>
      <c r="D224" s="402">
        <f>SUM(D225:D228)</f>
        <v>0</v>
      </c>
      <c r="E224" s="404">
        <f t="shared" si="11"/>
        <v>-1</v>
      </c>
      <c r="F224" s="349" t="str">
        <f t="shared" si="9"/>
        <v>是</v>
      </c>
      <c r="G224" s="313" t="str">
        <f t="shared" si="10"/>
        <v>款</v>
      </c>
    </row>
    <row r="225" s="311" customFormat="1" ht="18.75" hidden="1" spans="1:7">
      <c r="A225" s="334">
        <v>2159801</v>
      </c>
      <c r="B225" s="338" t="s">
        <v>1477</v>
      </c>
      <c r="C225" s="400">
        <f>'07'!F226</f>
        <v>0</v>
      </c>
      <c r="D225" s="400">
        <v>0</v>
      </c>
      <c r="E225" s="404" t="str">
        <f t="shared" si="11"/>
        <v/>
      </c>
      <c r="F225" s="349" t="str">
        <f t="shared" si="9"/>
        <v>否</v>
      </c>
      <c r="G225" s="313" t="str">
        <f t="shared" si="10"/>
        <v>项</v>
      </c>
    </row>
    <row r="226" s="311" customFormat="1" ht="18.75" hidden="1" spans="1:7">
      <c r="A226" s="334">
        <v>2159802</v>
      </c>
      <c r="B226" s="338" t="s">
        <v>1478</v>
      </c>
      <c r="C226" s="400">
        <f>'07'!F227</f>
        <v>44</v>
      </c>
      <c r="D226" s="400">
        <v>0</v>
      </c>
      <c r="E226" s="404">
        <f t="shared" si="11"/>
        <v>-1</v>
      </c>
      <c r="F226" s="349" t="str">
        <f t="shared" si="9"/>
        <v>是</v>
      </c>
      <c r="G226" s="313" t="str">
        <f t="shared" si="10"/>
        <v>项</v>
      </c>
    </row>
    <row r="227" s="311" customFormat="1" ht="18.75" hidden="1" spans="1:7">
      <c r="A227" s="334">
        <v>2159803</v>
      </c>
      <c r="B227" s="338" t="s">
        <v>1479</v>
      </c>
      <c r="C227" s="400">
        <f>'07'!F228</f>
        <v>0</v>
      </c>
      <c r="D227" s="400">
        <v>0</v>
      </c>
      <c r="E227" s="404" t="str">
        <f t="shared" si="11"/>
        <v/>
      </c>
      <c r="F227" s="349" t="str">
        <f t="shared" si="9"/>
        <v>否</v>
      </c>
      <c r="G227" s="313" t="str">
        <f t="shared" si="10"/>
        <v>项</v>
      </c>
    </row>
    <row r="228" s="311" customFormat="1" ht="18.75" hidden="1" spans="1:7">
      <c r="A228" s="334">
        <v>2159899</v>
      </c>
      <c r="B228" s="338" t="s">
        <v>1480</v>
      </c>
      <c r="C228" s="400">
        <f>'07'!F229</f>
        <v>0</v>
      </c>
      <c r="D228" s="400">
        <v>0</v>
      </c>
      <c r="E228" s="404" t="str">
        <f t="shared" si="11"/>
        <v/>
      </c>
      <c r="F228" s="349" t="str">
        <f t="shared" si="9"/>
        <v>否</v>
      </c>
      <c r="G228" s="313" t="str">
        <f t="shared" si="10"/>
        <v>项</v>
      </c>
    </row>
    <row r="229" s="311" customFormat="1" ht="18.75" spans="1:7">
      <c r="A229" s="332">
        <v>217</v>
      </c>
      <c r="B229" s="324" t="s">
        <v>1481</v>
      </c>
      <c r="C229" s="399"/>
      <c r="D229" s="399"/>
      <c r="E229" s="403" t="str">
        <f t="shared" si="11"/>
        <v/>
      </c>
      <c r="F229" s="349" t="str">
        <f t="shared" si="9"/>
        <v>是</v>
      </c>
      <c r="G229" s="313" t="str">
        <f t="shared" si="10"/>
        <v>类</v>
      </c>
    </row>
    <row r="230" s="311" customFormat="1" ht="18.75" hidden="1" spans="1:7">
      <c r="A230" s="352">
        <v>21704</v>
      </c>
      <c r="B230" s="338" t="s">
        <v>1482</v>
      </c>
      <c r="C230" s="400"/>
      <c r="D230" s="399"/>
      <c r="E230" s="404" t="str">
        <f t="shared" si="11"/>
        <v/>
      </c>
      <c r="F230" s="349" t="str">
        <f t="shared" si="9"/>
        <v>否</v>
      </c>
      <c r="G230" s="313" t="str">
        <f t="shared" si="10"/>
        <v>款</v>
      </c>
    </row>
    <row r="231" s="311" customFormat="1" ht="18.75" hidden="1" spans="1:7">
      <c r="A231" s="326">
        <v>2170402</v>
      </c>
      <c r="B231" s="327" t="s">
        <v>1483</v>
      </c>
      <c r="C231" s="400">
        <f>'07'!F232</f>
        <v>0</v>
      </c>
      <c r="D231" s="400"/>
      <c r="E231" s="404" t="str">
        <f t="shared" si="11"/>
        <v/>
      </c>
      <c r="F231" s="349" t="str">
        <f t="shared" si="9"/>
        <v>否</v>
      </c>
      <c r="G231" s="313" t="str">
        <f t="shared" si="10"/>
        <v>项</v>
      </c>
    </row>
    <row r="232" s="311" customFormat="1" ht="18.75" hidden="1" spans="1:7">
      <c r="A232" s="326">
        <v>2170403</v>
      </c>
      <c r="B232" s="327" t="s">
        <v>1484</v>
      </c>
      <c r="C232" s="400">
        <f>'07'!F233</f>
        <v>0</v>
      </c>
      <c r="D232" s="400"/>
      <c r="E232" s="404" t="str">
        <f t="shared" si="11"/>
        <v/>
      </c>
      <c r="F232" s="349" t="str">
        <f t="shared" si="9"/>
        <v>否</v>
      </c>
      <c r="G232" s="313" t="str">
        <f t="shared" si="10"/>
        <v>项</v>
      </c>
    </row>
    <row r="233" s="311" customFormat="1" ht="18.75" hidden="1" spans="1:7">
      <c r="A233" s="326">
        <v>2170404</v>
      </c>
      <c r="B233" s="327" t="s">
        <v>1485</v>
      </c>
      <c r="C233" s="400">
        <f>'07'!F234</f>
        <v>0</v>
      </c>
      <c r="D233" s="400"/>
      <c r="E233" s="404" t="str">
        <f t="shared" si="11"/>
        <v/>
      </c>
      <c r="F233" s="349" t="str">
        <f t="shared" si="9"/>
        <v>否</v>
      </c>
      <c r="G233" s="313" t="str">
        <f t="shared" si="10"/>
        <v>项</v>
      </c>
    </row>
    <row r="234" s="311" customFormat="1" ht="18.75" spans="1:7">
      <c r="A234" s="332">
        <v>220</v>
      </c>
      <c r="B234" s="333" t="s">
        <v>1486</v>
      </c>
      <c r="C234" s="399"/>
      <c r="D234" s="399"/>
      <c r="E234" s="403" t="str">
        <f t="shared" si="11"/>
        <v/>
      </c>
      <c r="F234" s="349" t="str">
        <f t="shared" si="9"/>
        <v>是</v>
      </c>
      <c r="G234" s="309" t="str">
        <f t="shared" si="10"/>
        <v>类</v>
      </c>
    </row>
    <row r="235" s="311" customFormat="1" ht="18.75" hidden="1" spans="1:7">
      <c r="A235" s="334">
        <v>22006</v>
      </c>
      <c r="B235" s="338" t="s">
        <v>1487</v>
      </c>
      <c r="C235" s="400"/>
      <c r="D235" s="399">
        <v>0</v>
      </c>
      <c r="E235" s="404" t="str">
        <f t="shared" si="11"/>
        <v/>
      </c>
      <c r="F235" s="349" t="str">
        <f t="shared" si="9"/>
        <v>否</v>
      </c>
      <c r="G235" s="309" t="str">
        <f t="shared" si="10"/>
        <v>款</v>
      </c>
    </row>
    <row r="236" s="311" customFormat="1" ht="18.75" hidden="1" spans="1:7">
      <c r="A236" s="334">
        <v>2200601</v>
      </c>
      <c r="B236" s="338" t="s">
        <v>1488</v>
      </c>
      <c r="C236" s="400">
        <f>'07'!F237</f>
        <v>0</v>
      </c>
      <c r="D236" s="400">
        <v>0</v>
      </c>
      <c r="E236" s="404" t="str">
        <f t="shared" si="11"/>
        <v/>
      </c>
      <c r="F236" s="349" t="str">
        <f t="shared" si="9"/>
        <v>否</v>
      </c>
      <c r="G236" s="309" t="str">
        <f t="shared" si="10"/>
        <v>项</v>
      </c>
    </row>
    <row r="237" s="311" customFormat="1" ht="18.75" hidden="1" spans="1:7">
      <c r="A237" s="334">
        <v>2200602</v>
      </c>
      <c r="B237" s="335" t="s">
        <v>1489</v>
      </c>
      <c r="C237" s="400">
        <f>'07'!F238</f>
        <v>0</v>
      </c>
      <c r="D237" s="400">
        <v>0</v>
      </c>
      <c r="E237" s="404" t="str">
        <f t="shared" si="11"/>
        <v/>
      </c>
      <c r="F237" s="349" t="str">
        <f t="shared" si="9"/>
        <v>否</v>
      </c>
      <c r="G237" s="309" t="str">
        <f t="shared" si="10"/>
        <v>项</v>
      </c>
    </row>
    <row r="238" s="311" customFormat="1" ht="18.75" spans="1:7">
      <c r="A238" s="332">
        <v>221</v>
      </c>
      <c r="B238" s="353" t="s">
        <v>1490</v>
      </c>
      <c r="C238" s="401">
        <f>C239</f>
        <v>165</v>
      </c>
      <c r="D238" s="401">
        <f>D239</f>
        <v>0</v>
      </c>
      <c r="E238" s="403">
        <f t="shared" si="11"/>
        <v>-1</v>
      </c>
      <c r="F238" s="349" t="str">
        <f t="shared" si="9"/>
        <v>是</v>
      </c>
      <c r="G238" s="309" t="str">
        <f t="shared" si="10"/>
        <v>类</v>
      </c>
    </row>
    <row r="239" s="311" customFormat="1" ht="18.75" spans="1:7">
      <c r="A239" s="334">
        <v>22198</v>
      </c>
      <c r="B239" s="338" t="s">
        <v>1331</v>
      </c>
      <c r="C239" s="402">
        <f>SUM(C240:C241)</f>
        <v>165</v>
      </c>
      <c r="D239" s="402">
        <f>SUM(D240:D241)</f>
        <v>0</v>
      </c>
      <c r="E239" s="404">
        <f t="shared" si="11"/>
        <v>-1</v>
      </c>
      <c r="F239" s="349" t="str">
        <f t="shared" si="9"/>
        <v>是</v>
      </c>
      <c r="G239" s="309" t="str">
        <f t="shared" si="10"/>
        <v>款</v>
      </c>
    </row>
    <row r="240" s="311" customFormat="1" ht="18.75" hidden="1" spans="1:7">
      <c r="A240" s="334">
        <v>2219801</v>
      </c>
      <c r="B240" s="338" t="s">
        <v>1491</v>
      </c>
      <c r="C240" s="400">
        <f>'07'!F241</f>
        <v>0</v>
      </c>
      <c r="D240" s="400">
        <v>0</v>
      </c>
      <c r="E240" s="404" t="str">
        <f t="shared" si="11"/>
        <v/>
      </c>
      <c r="F240" s="349" t="str">
        <f t="shared" si="9"/>
        <v>否</v>
      </c>
      <c r="G240" s="309" t="str">
        <f t="shared" si="10"/>
        <v>项</v>
      </c>
    </row>
    <row r="241" s="311" customFormat="1" ht="18.75" hidden="1" spans="1:7">
      <c r="A241" s="334">
        <v>2219899</v>
      </c>
      <c r="B241" s="338" t="s">
        <v>1492</v>
      </c>
      <c r="C241" s="400">
        <f>'07'!F242</f>
        <v>165</v>
      </c>
      <c r="D241" s="400">
        <v>0</v>
      </c>
      <c r="E241" s="404">
        <f t="shared" si="11"/>
        <v>-1</v>
      </c>
      <c r="F241" s="349" t="str">
        <f t="shared" si="9"/>
        <v>是</v>
      </c>
      <c r="G241" s="309" t="str">
        <f t="shared" si="10"/>
        <v>项</v>
      </c>
    </row>
    <row r="242" s="311" customFormat="1" ht="18.75" spans="1:7">
      <c r="A242" s="332">
        <v>222</v>
      </c>
      <c r="B242" s="353" t="s">
        <v>1493</v>
      </c>
      <c r="C242" s="399"/>
      <c r="D242" s="399">
        <v>0</v>
      </c>
      <c r="E242" s="403" t="str">
        <f t="shared" si="11"/>
        <v/>
      </c>
      <c r="F242" s="349" t="str">
        <f t="shared" si="9"/>
        <v>是</v>
      </c>
      <c r="G242" s="309" t="str">
        <f t="shared" si="10"/>
        <v>类</v>
      </c>
    </row>
    <row r="243" s="311" customFormat="1" ht="18.75" hidden="1" spans="1:7">
      <c r="A243" s="334">
        <v>22298</v>
      </c>
      <c r="B243" s="338" t="s">
        <v>1331</v>
      </c>
      <c r="C243" s="400"/>
      <c r="D243" s="399">
        <v>0</v>
      </c>
      <c r="E243" s="404" t="str">
        <f t="shared" si="11"/>
        <v/>
      </c>
      <c r="F243" s="349" t="str">
        <f t="shared" si="9"/>
        <v>否</v>
      </c>
      <c r="G243" s="309" t="str">
        <f t="shared" si="10"/>
        <v>款</v>
      </c>
    </row>
    <row r="244" s="311" customFormat="1" ht="18.75" hidden="1" spans="1:7">
      <c r="A244" s="334">
        <v>2229801</v>
      </c>
      <c r="B244" s="338" t="s">
        <v>1494</v>
      </c>
      <c r="C244" s="400">
        <f>'07'!F245</f>
        <v>0</v>
      </c>
      <c r="D244" s="400">
        <v>0</v>
      </c>
      <c r="E244" s="404" t="str">
        <f t="shared" si="11"/>
        <v/>
      </c>
      <c r="F244" s="349" t="str">
        <f t="shared" si="9"/>
        <v>否</v>
      </c>
      <c r="G244" s="309" t="str">
        <f t="shared" si="10"/>
        <v>项</v>
      </c>
    </row>
    <row r="245" s="311" customFormat="1" ht="18.75" hidden="1" spans="1:7">
      <c r="A245" s="334">
        <v>2229899</v>
      </c>
      <c r="B245" s="338" t="s">
        <v>1495</v>
      </c>
      <c r="C245" s="400">
        <f>'07'!F246</f>
        <v>0</v>
      </c>
      <c r="D245" s="400">
        <v>0</v>
      </c>
      <c r="E245" s="404" t="str">
        <f t="shared" si="11"/>
        <v/>
      </c>
      <c r="F245" s="349" t="str">
        <f t="shared" si="9"/>
        <v>否</v>
      </c>
      <c r="G245" s="309" t="str">
        <f t="shared" si="10"/>
        <v>项</v>
      </c>
    </row>
    <row r="246" s="311" customFormat="1" ht="18.75" spans="1:7">
      <c r="A246" s="332">
        <v>224</v>
      </c>
      <c r="B246" s="353" t="s">
        <v>1496</v>
      </c>
      <c r="C246" s="399"/>
      <c r="D246" s="399">
        <v>0</v>
      </c>
      <c r="E246" s="403" t="str">
        <f t="shared" si="11"/>
        <v/>
      </c>
      <c r="F246" s="349" t="str">
        <f t="shared" si="9"/>
        <v>是</v>
      </c>
      <c r="G246" s="309" t="str">
        <f t="shared" si="10"/>
        <v>类</v>
      </c>
    </row>
    <row r="247" s="308" customFormat="1" ht="18.75" hidden="1" spans="1:7">
      <c r="A247" s="338">
        <v>22498</v>
      </c>
      <c r="B247" s="338" t="s">
        <v>1331</v>
      </c>
      <c r="C247" s="400"/>
      <c r="D247" s="399">
        <v>0</v>
      </c>
      <c r="E247" s="404" t="str">
        <f t="shared" si="11"/>
        <v/>
      </c>
      <c r="F247" s="349" t="str">
        <f t="shared" si="9"/>
        <v>否</v>
      </c>
      <c r="G247" s="313" t="str">
        <f t="shared" si="10"/>
        <v>款</v>
      </c>
    </row>
    <row r="248" s="311" customFormat="1" ht="18.75" hidden="1" spans="1:7">
      <c r="A248" s="334">
        <v>2249801</v>
      </c>
      <c r="B248" s="338" t="s">
        <v>1497</v>
      </c>
      <c r="C248" s="400">
        <f>'07'!F249</f>
        <v>0</v>
      </c>
      <c r="D248" s="400">
        <v>0</v>
      </c>
      <c r="E248" s="404" t="str">
        <f t="shared" si="11"/>
        <v/>
      </c>
      <c r="F248" s="349" t="str">
        <f t="shared" si="9"/>
        <v>否</v>
      </c>
      <c r="G248" s="309" t="str">
        <f t="shared" si="10"/>
        <v>项</v>
      </c>
    </row>
    <row r="249" s="311" customFormat="1" ht="18.75" hidden="1" spans="1:7">
      <c r="A249" s="334">
        <v>2249802</v>
      </c>
      <c r="B249" s="338" t="s">
        <v>1498</v>
      </c>
      <c r="C249" s="400">
        <f>'07'!F250</f>
        <v>0</v>
      </c>
      <c r="D249" s="400">
        <v>0</v>
      </c>
      <c r="E249" s="404" t="str">
        <f t="shared" si="11"/>
        <v/>
      </c>
      <c r="F249" s="349" t="str">
        <f t="shared" si="9"/>
        <v>否</v>
      </c>
      <c r="G249" s="309" t="str">
        <f t="shared" si="10"/>
        <v>项</v>
      </c>
    </row>
    <row r="250" s="308" customFormat="1" ht="18.75" hidden="1" spans="1:7">
      <c r="A250" s="338">
        <v>2249899</v>
      </c>
      <c r="B250" s="338" t="s">
        <v>1499</v>
      </c>
      <c r="C250" s="400">
        <f>'07'!F251</f>
        <v>0</v>
      </c>
      <c r="D250" s="400">
        <v>0</v>
      </c>
      <c r="E250" s="404" t="str">
        <f t="shared" si="11"/>
        <v/>
      </c>
      <c r="F250" s="349" t="str">
        <f t="shared" si="9"/>
        <v>否</v>
      </c>
      <c r="G250" s="313" t="str">
        <f t="shared" si="10"/>
        <v>项</v>
      </c>
    </row>
    <row r="251" s="312" customFormat="1" ht="18.75" spans="1:7">
      <c r="A251" s="329">
        <v>229</v>
      </c>
      <c r="B251" s="377" t="s">
        <v>1500</v>
      </c>
      <c r="C251" s="401">
        <f>C252+C256+C265+C267+C269+C281</f>
        <v>145278</v>
      </c>
      <c r="D251" s="401">
        <f>D252+D256+D265+D267+D269+D281</f>
        <v>161110</v>
      </c>
      <c r="E251" s="403">
        <f t="shared" si="11"/>
        <v>0.108977271162874</v>
      </c>
      <c r="F251" s="349" t="str">
        <f t="shared" si="9"/>
        <v>是</v>
      </c>
      <c r="G251" s="313" t="str">
        <f t="shared" si="10"/>
        <v>类</v>
      </c>
    </row>
    <row r="252" s="312" customFormat="1" ht="37.5" spans="1:7">
      <c r="A252" s="330">
        <v>22904</v>
      </c>
      <c r="B252" s="379" t="s">
        <v>1501</v>
      </c>
      <c r="C252" s="402">
        <f>SUM(C253:C255)</f>
        <v>134700</v>
      </c>
      <c r="D252" s="402">
        <f>SUM(D253:D255)</f>
        <v>150000</v>
      </c>
      <c r="E252" s="404">
        <f t="shared" si="11"/>
        <v>0.11358574610245</v>
      </c>
      <c r="F252" s="349" t="str">
        <f t="shared" si="9"/>
        <v>是</v>
      </c>
      <c r="G252" s="313" t="str">
        <f t="shared" si="10"/>
        <v>款</v>
      </c>
    </row>
    <row r="253" ht="18.75" hidden="1" spans="1:7">
      <c r="A253" s="330">
        <v>2290401</v>
      </c>
      <c r="B253" s="379" t="s">
        <v>1502</v>
      </c>
      <c r="C253" s="400">
        <f>'07'!F254</f>
        <v>0</v>
      </c>
      <c r="D253" s="400">
        <v>0</v>
      </c>
      <c r="E253" s="404" t="str">
        <f t="shared" si="11"/>
        <v/>
      </c>
      <c r="F253" s="349" t="str">
        <f t="shared" si="9"/>
        <v>否</v>
      </c>
      <c r="G253" s="313" t="str">
        <f t="shared" si="10"/>
        <v>项</v>
      </c>
    </row>
    <row r="254" s="312" customFormat="1" ht="37.5" hidden="1" spans="1:7">
      <c r="A254" s="330">
        <v>2290402</v>
      </c>
      <c r="B254" s="379" t="s">
        <v>1503</v>
      </c>
      <c r="C254" s="400">
        <f>'07'!F255</f>
        <v>9700</v>
      </c>
      <c r="D254" s="400">
        <v>30000</v>
      </c>
      <c r="E254" s="404">
        <f t="shared" si="11"/>
        <v>2.09278350515464</v>
      </c>
      <c r="F254" s="349" t="str">
        <f t="shared" si="9"/>
        <v>是</v>
      </c>
      <c r="G254" s="313" t="str">
        <f t="shared" si="10"/>
        <v>项</v>
      </c>
    </row>
    <row r="255" ht="18.75" hidden="1" spans="1:7">
      <c r="A255" s="330">
        <v>2290403</v>
      </c>
      <c r="B255" s="379" t="s">
        <v>1504</v>
      </c>
      <c r="C255" s="400">
        <f>'07'!F256</f>
        <v>125000</v>
      </c>
      <c r="D255" s="400">
        <v>120000</v>
      </c>
      <c r="E255" s="404">
        <f t="shared" si="11"/>
        <v>-0.04</v>
      </c>
      <c r="F255" s="349" t="str">
        <f t="shared" si="9"/>
        <v>是</v>
      </c>
      <c r="G255" s="313" t="str">
        <f t="shared" si="10"/>
        <v>项</v>
      </c>
    </row>
    <row r="256" ht="18.75" spans="1:7">
      <c r="A256" s="330">
        <v>22908</v>
      </c>
      <c r="B256" s="379" t="s">
        <v>1505</v>
      </c>
      <c r="C256" s="402">
        <f>SUM(C257:C264)</f>
        <v>348</v>
      </c>
      <c r="D256" s="402">
        <f>SUM(D257:D264)</f>
        <v>550</v>
      </c>
      <c r="E256" s="404">
        <f t="shared" si="11"/>
        <v>0.580459770114943</v>
      </c>
      <c r="F256" s="349" t="str">
        <f t="shared" si="9"/>
        <v>是</v>
      </c>
      <c r="G256" s="313" t="str">
        <f t="shared" si="10"/>
        <v>款</v>
      </c>
    </row>
    <row r="257" ht="18.75" hidden="1" spans="1:7">
      <c r="A257" s="330">
        <v>2290802</v>
      </c>
      <c r="B257" s="379" t="s">
        <v>1506</v>
      </c>
      <c r="C257" s="400">
        <f>'07'!F258</f>
        <v>0</v>
      </c>
      <c r="D257" s="400">
        <v>0</v>
      </c>
      <c r="E257" s="404" t="str">
        <f t="shared" si="11"/>
        <v/>
      </c>
      <c r="F257" s="349" t="str">
        <f t="shared" si="9"/>
        <v>否</v>
      </c>
      <c r="G257" s="313" t="str">
        <f t="shared" si="10"/>
        <v>项</v>
      </c>
    </row>
    <row r="258" ht="18.75" hidden="1" spans="1:7">
      <c r="A258" s="330">
        <v>2290803</v>
      </c>
      <c r="B258" s="379" t="s">
        <v>1507</v>
      </c>
      <c r="C258" s="400">
        <f>'07'!F259</f>
        <v>0</v>
      </c>
      <c r="D258" s="400">
        <v>0</v>
      </c>
      <c r="E258" s="404" t="str">
        <f t="shared" si="11"/>
        <v/>
      </c>
      <c r="F258" s="349" t="str">
        <f t="shared" si="9"/>
        <v>否</v>
      </c>
      <c r="G258" s="313" t="str">
        <f t="shared" si="10"/>
        <v>项</v>
      </c>
    </row>
    <row r="259" ht="18.75" hidden="1" spans="1:7">
      <c r="A259" s="330">
        <v>2290804</v>
      </c>
      <c r="B259" s="379" t="s">
        <v>1508</v>
      </c>
      <c r="C259" s="400">
        <f>'07'!F260</f>
        <v>348</v>
      </c>
      <c r="D259" s="400">
        <v>550</v>
      </c>
      <c r="E259" s="404">
        <f t="shared" si="11"/>
        <v>0.580459770114943</v>
      </c>
      <c r="F259" s="349" t="str">
        <f t="shared" si="9"/>
        <v>是</v>
      </c>
      <c r="G259" s="313" t="str">
        <f t="shared" si="10"/>
        <v>项</v>
      </c>
    </row>
    <row r="260" s="312" customFormat="1" ht="18.75" hidden="1" spans="1:7">
      <c r="A260" s="330">
        <v>2290805</v>
      </c>
      <c r="B260" s="379" t="s">
        <v>1509</v>
      </c>
      <c r="C260" s="400">
        <f>'07'!F261</f>
        <v>0</v>
      </c>
      <c r="D260" s="400">
        <v>0</v>
      </c>
      <c r="E260" s="404" t="str">
        <f t="shared" si="11"/>
        <v/>
      </c>
      <c r="F260" s="349" t="str">
        <f>IF(LEN(A260)=3,"是",IF(B260&lt;&gt;"",IF(SUM(C260:D260)&lt;&gt;0,"是","否"),"是"))</f>
        <v>否</v>
      </c>
      <c r="G260" s="313" t="str">
        <f>IF(LEN(A260)=3,"类",IF(LEN(A260)=5,"款","项"))</f>
        <v>项</v>
      </c>
    </row>
    <row r="261" ht="18.75" hidden="1" spans="1:7">
      <c r="A261" s="330">
        <v>2290806</v>
      </c>
      <c r="B261" s="379" t="s">
        <v>1510</v>
      </c>
      <c r="C261" s="400">
        <f>'07'!F262</f>
        <v>0</v>
      </c>
      <c r="D261" s="400">
        <v>0</v>
      </c>
      <c r="E261" s="404" t="str">
        <f>IFERROR((D261-C261)/C261,"")</f>
        <v/>
      </c>
      <c r="F261" s="349" t="str">
        <f t="shared" ref="F261:F324" si="12">IF(LEN(A261)=3,"是",IF(B261&lt;&gt;"",IF(SUM(C261:D261)&lt;&gt;0,"是","否"),"是"))</f>
        <v>否</v>
      </c>
      <c r="G261" s="313" t="str">
        <f t="shared" ref="G261:G324" si="13">IF(LEN(A261)=3,"类",IF(LEN(A261)=5,"款","项"))</f>
        <v>项</v>
      </c>
    </row>
    <row r="262" ht="18.75" hidden="1" spans="1:7">
      <c r="A262" s="330">
        <v>2290807</v>
      </c>
      <c r="B262" s="379" t="s">
        <v>1511</v>
      </c>
      <c r="C262" s="400">
        <f>'07'!F263</f>
        <v>0</v>
      </c>
      <c r="D262" s="400">
        <v>0</v>
      </c>
      <c r="E262" s="404" t="str">
        <f t="shared" ref="E262:E325" si="14">IFERROR((D262-C262)/C262,"")</f>
        <v/>
      </c>
      <c r="F262" s="349" t="str">
        <f t="shared" si="12"/>
        <v>否</v>
      </c>
      <c r="G262" s="313" t="str">
        <f t="shared" si="13"/>
        <v>项</v>
      </c>
    </row>
    <row r="263" ht="18.75" hidden="1" spans="1:7">
      <c r="A263" s="330">
        <v>2290808</v>
      </c>
      <c r="B263" s="379" t="s">
        <v>1512</v>
      </c>
      <c r="C263" s="400">
        <f>'07'!F264</f>
        <v>0</v>
      </c>
      <c r="D263" s="400">
        <v>0</v>
      </c>
      <c r="E263" s="404" t="str">
        <f t="shared" si="14"/>
        <v/>
      </c>
      <c r="F263" s="349" t="str">
        <f t="shared" si="12"/>
        <v>否</v>
      </c>
      <c r="G263" s="313" t="str">
        <f t="shared" si="13"/>
        <v>项</v>
      </c>
    </row>
    <row r="264" ht="37.5" hidden="1" spans="1:7">
      <c r="A264" s="330">
        <v>2290899</v>
      </c>
      <c r="B264" s="379" t="s">
        <v>1513</v>
      </c>
      <c r="C264" s="400">
        <f>'07'!F265</f>
        <v>0</v>
      </c>
      <c r="D264" s="400">
        <v>0</v>
      </c>
      <c r="E264" s="404" t="str">
        <f t="shared" si="14"/>
        <v/>
      </c>
      <c r="F264" s="349" t="str">
        <f t="shared" si="12"/>
        <v>否</v>
      </c>
      <c r="G264" s="313" t="str">
        <f t="shared" si="13"/>
        <v>项</v>
      </c>
    </row>
    <row r="265" s="311" customFormat="1" ht="18.75" hidden="1" spans="1:7">
      <c r="A265" s="326">
        <v>22909</v>
      </c>
      <c r="B265" s="327" t="s">
        <v>1514</v>
      </c>
      <c r="C265" s="400"/>
      <c r="D265" s="399">
        <v>0</v>
      </c>
      <c r="E265" s="404" t="str">
        <f t="shared" si="14"/>
        <v/>
      </c>
      <c r="F265" s="349" t="str">
        <f t="shared" si="12"/>
        <v>否</v>
      </c>
      <c r="G265" s="309" t="str">
        <f t="shared" si="13"/>
        <v>款</v>
      </c>
    </row>
    <row r="266" s="308" customFormat="1" ht="18.75" hidden="1" spans="1:7">
      <c r="A266" s="354">
        <v>2290901</v>
      </c>
      <c r="B266" s="327" t="s">
        <v>1515</v>
      </c>
      <c r="C266" s="400">
        <f>'07'!F267</f>
        <v>0</v>
      </c>
      <c r="D266" s="400"/>
      <c r="E266" s="404" t="str">
        <f t="shared" si="14"/>
        <v/>
      </c>
      <c r="F266" s="349" t="str">
        <f t="shared" si="12"/>
        <v>否</v>
      </c>
      <c r="G266" s="313" t="str">
        <f t="shared" si="13"/>
        <v>项</v>
      </c>
    </row>
    <row r="267" s="311" customFormat="1" ht="18.75" hidden="1" spans="1:7">
      <c r="A267" s="334">
        <v>22910</v>
      </c>
      <c r="B267" s="338" t="s">
        <v>1516</v>
      </c>
      <c r="C267" s="400"/>
      <c r="D267" s="399">
        <v>0</v>
      </c>
      <c r="E267" s="404" t="str">
        <f t="shared" si="14"/>
        <v/>
      </c>
      <c r="F267" s="349" t="str">
        <f t="shared" si="12"/>
        <v>否</v>
      </c>
      <c r="G267" s="309" t="str">
        <f t="shared" si="13"/>
        <v>款</v>
      </c>
    </row>
    <row r="268" s="311" customFormat="1" ht="18.75" hidden="1" spans="1:7">
      <c r="A268" s="334">
        <v>2291001</v>
      </c>
      <c r="B268" s="338" t="s">
        <v>1517</v>
      </c>
      <c r="C268" s="400">
        <f>'07'!F269</f>
        <v>0</v>
      </c>
      <c r="D268" s="400">
        <v>0</v>
      </c>
      <c r="E268" s="404" t="str">
        <f t="shared" si="14"/>
        <v/>
      </c>
      <c r="F268" s="349" t="str">
        <f t="shared" si="12"/>
        <v>否</v>
      </c>
      <c r="G268" s="309" t="str">
        <f t="shared" si="13"/>
        <v>项</v>
      </c>
    </row>
    <row r="269" s="312" customFormat="1" ht="18.75" spans="1:7">
      <c r="A269" s="330">
        <v>22960</v>
      </c>
      <c r="B269" s="379" t="s">
        <v>1518</v>
      </c>
      <c r="C269" s="402">
        <f>SUM(C270:C280)</f>
        <v>10230</v>
      </c>
      <c r="D269" s="402">
        <f>SUM(D270:D280)</f>
        <v>10560</v>
      </c>
      <c r="E269" s="404">
        <f t="shared" si="14"/>
        <v>0.032258064516129</v>
      </c>
      <c r="F269" s="349" t="str">
        <f t="shared" si="12"/>
        <v>是</v>
      </c>
      <c r="G269" s="313" t="str">
        <f t="shared" si="13"/>
        <v>款</v>
      </c>
    </row>
    <row r="270" ht="37.5" hidden="1" spans="1:7">
      <c r="A270" s="406">
        <v>2296001</v>
      </c>
      <c r="B270" s="379" t="s">
        <v>1519</v>
      </c>
      <c r="C270" s="400">
        <f>'07'!F271</f>
        <v>0</v>
      </c>
      <c r="D270" s="400">
        <v>0</v>
      </c>
      <c r="E270" s="404" t="str">
        <f t="shared" si="14"/>
        <v/>
      </c>
      <c r="F270" s="349" t="str">
        <f t="shared" si="12"/>
        <v>否</v>
      </c>
      <c r="G270" s="313" t="str">
        <f t="shared" si="13"/>
        <v>项</v>
      </c>
    </row>
    <row r="271" ht="18.75" hidden="1" spans="1:7">
      <c r="A271" s="330">
        <v>2296002</v>
      </c>
      <c r="B271" s="379" t="s">
        <v>1520</v>
      </c>
      <c r="C271" s="400">
        <f>'07'!F272</f>
        <v>3257</v>
      </c>
      <c r="D271" s="400">
        <v>3435</v>
      </c>
      <c r="E271" s="404">
        <f t="shared" si="14"/>
        <v>0.0546515198035002</v>
      </c>
      <c r="F271" s="349" t="str">
        <f t="shared" si="12"/>
        <v>是</v>
      </c>
      <c r="G271" s="313" t="str">
        <f t="shared" si="13"/>
        <v>项</v>
      </c>
    </row>
    <row r="272" ht="18.75" hidden="1" spans="1:7">
      <c r="A272" s="330">
        <v>2296003</v>
      </c>
      <c r="B272" s="379" t="s">
        <v>1521</v>
      </c>
      <c r="C272" s="400">
        <f>'07'!F273</f>
        <v>3319</v>
      </c>
      <c r="D272" s="400">
        <v>3767</v>
      </c>
      <c r="E272" s="404">
        <f t="shared" si="14"/>
        <v>0.134980415787888</v>
      </c>
      <c r="F272" s="349" t="str">
        <f t="shared" si="12"/>
        <v>是</v>
      </c>
      <c r="G272" s="313" t="str">
        <f t="shared" si="13"/>
        <v>项</v>
      </c>
    </row>
    <row r="273" ht="18.75" hidden="1" spans="1:7">
      <c r="A273" s="330">
        <v>2296004</v>
      </c>
      <c r="B273" s="379" t="s">
        <v>1522</v>
      </c>
      <c r="C273" s="400">
        <f>'07'!F274</f>
        <v>64</v>
      </c>
      <c r="D273" s="400">
        <v>58</v>
      </c>
      <c r="E273" s="404">
        <f t="shared" si="14"/>
        <v>-0.09375</v>
      </c>
      <c r="F273" s="349" t="str">
        <f t="shared" si="12"/>
        <v>是</v>
      </c>
      <c r="G273" s="313" t="str">
        <f t="shared" si="13"/>
        <v>项</v>
      </c>
    </row>
    <row r="274" s="312" customFormat="1" ht="18.75" hidden="1" spans="1:7">
      <c r="A274" s="330">
        <v>2296005</v>
      </c>
      <c r="B274" s="379" t="s">
        <v>1523</v>
      </c>
      <c r="C274" s="400">
        <f>'07'!F275</f>
        <v>0</v>
      </c>
      <c r="D274" s="400">
        <v>0</v>
      </c>
      <c r="E274" s="404" t="str">
        <f t="shared" si="14"/>
        <v/>
      </c>
      <c r="F274" s="349" t="str">
        <f t="shared" si="12"/>
        <v>否</v>
      </c>
      <c r="G274" s="313" t="str">
        <f t="shared" si="13"/>
        <v>项</v>
      </c>
    </row>
    <row r="275" s="312" customFormat="1" ht="18.75" hidden="1" spans="1:7">
      <c r="A275" s="330">
        <v>2296006</v>
      </c>
      <c r="B275" s="379" t="s">
        <v>1524</v>
      </c>
      <c r="C275" s="400">
        <f>'07'!F276</f>
        <v>1010</v>
      </c>
      <c r="D275" s="400">
        <v>815</v>
      </c>
      <c r="E275" s="404">
        <f t="shared" si="14"/>
        <v>-0.193069306930693</v>
      </c>
      <c r="F275" s="349" t="str">
        <f t="shared" si="12"/>
        <v>是</v>
      </c>
      <c r="G275" s="313" t="str">
        <f t="shared" si="13"/>
        <v>项</v>
      </c>
    </row>
    <row r="276" s="312" customFormat="1" ht="18.75" hidden="1" spans="1:7">
      <c r="A276" s="330">
        <v>2296010</v>
      </c>
      <c r="B276" s="379" t="s">
        <v>1525</v>
      </c>
      <c r="C276" s="400">
        <f>'07'!F277</f>
        <v>0</v>
      </c>
      <c r="D276" s="400">
        <v>0</v>
      </c>
      <c r="E276" s="404" t="str">
        <f t="shared" si="14"/>
        <v/>
      </c>
      <c r="F276" s="349" t="str">
        <f t="shared" si="12"/>
        <v>否</v>
      </c>
      <c r="G276" s="313" t="str">
        <f t="shared" si="13"/>
        <v>项</v>
      </c>
    </row>
    <row r="277" ht="18.75" hidden="1" spans="1:7">
      <c r="A277" s="330">
        <v>2296011</v>
      </c>
      <c r="B277" s="379" t="s">
        <v>1526</v>
      </c>
      <c r="C277" s="400">
        <f>'07'!F278</f>
        <v>0</v>
      </c>
      <c r="D277" s="400">
        <v>0</v>
      </c>
      <c r="E277" s="404" t="str">
        <f t="shared" si="14"/>
        <v/>
      </c>
      <c r="F277" s="349" t="str">
        <f t="shared" si="12"/>
        <v>否</v>
      </c>
      <c r="G277" s="313" t="str">
        <f t="shared" si="13"/>
        <v>项</v>
      </c>
    </row>
    <row r="278" s="312" customFormat="1" ht="18.75" hidden="1" spans="1:7">
      <c r="A278" s="330">
        <v>2296012</v>
      </c>
      <c r="B278" s="379" t="s">
        <v>1527</v>
      </c>
      <c r="C278" s="400">
        <f>'07'!F279</f>
        <v>0</v>
      </c>
      <c r="D278" s="400">
        <v>0</v>
      </c>
      <c r="E278" s="404" t="str">
        <f t="shared" si="14"/>
        <v/>
      </c>
      <c r="F278" s="349" t="str">
        <f t="shared" si="12"/>
        <v>否</v>
      </c>
      <c r="G278" s="313" t="str">
        <f t="shared" si="13"/>
        <v>项</v>
      </c>
    </row>
    <row r="279" s="312" customFormat="1" ht="18.75" hidden="1" spans="1:7">
      <c r="A279" s="330">
        <v>2296013</v>
      </c>
      <c r="B279" s="379" t="s">
        <v>1528</v>
      </c>
      <c r="C279" s="400">
        <f>'07'!F280</f>
        <v>0</v>
      </c>
      <c r="D279" s="400">
        <v>0</v>
      </c>
      <c r="E279" s="404" t="str">
        <f t="shared" si="14"/>
        <v/>
      </c>
      <c r="F279" s="349" t="str">
        <f t="shared" si="12"/>
        <v>否</v>
      </c>
      <c r="G279" s="313" t="str">
        <f t="shared" si="13"/>
        <v>项</v>
      </c>
    </row>
    <row r="280" s="312" customFormat="1" ht="37.5" hidden="1" spans="1:7">
      <c r="A280" s="408">
        <v>2296099</v>
      </c>
      <c r="B280" s="409" t="s">
        <v>1529</v>
      </c>
      <c r="C280" s="400">
        <f>'07'!F281</f>
        <v>2580</v>
      </c>
      <c r="D280" s="400">
        <v>2485</v>
      </c>
      <c r="E280" s="404">
        <f t="shared" si="14"/>
        <v>-0.0368217054263566</v>
      </c>
      <c r="F280" s="349" t="str">
        <f t="shared" si="12"/>
        <v>是</v>
      </c>
      <c r="G280" s="313" t="str">
        <f t="shared" si="13"/>
        <v>项</v>
      </c>
    </row>
    <row r="281" s="309" customFormat="1" ht="18.75" hidden="1" spans="1:7">
      <c r="A281" s="334">
        <v>22998</v>
      </c>
      <c r="B281" s="338" t="s">
        <v>1530</v>
      </c>
      <c r="C281" s="402"/>
      <c r="D281" s="399">
        <v>0</v>
      </c>
      <c r="E281" s="404" t="str">
        <f t="shared" si="14"/>
        <v/>
      </c>
      <c r="F281" s="349" t="str">
        <f t="shared" si="12"/>
        <v>否</v>
      </c>
      <c r="G281" s="309" t="str">
        <f t="shared" si="13"/>
        <v>款</v>
      </c>
    </row>
    <row r="282" s="309" customFormat="1" ht="18.75" hidden="1" spans="1:7">
      <c r="A282" s="334">
        <v>2299899</v>
      </c>
      <c r="B282" s="338" t="s">
        <v>1531</v>
      </c>
      <c r="C282" s="400">
        <f>'07'!F283</f>
        <v>0</v>
      </c>
      <c r="D282" s="400">
        <v>0</v>
      </c>
      <c r="E282" s="404" t="str">
        <f t="shared" si="14"/>
        <v/>
      </c>
      <c r="F282" s="349" t="str">
        <f t="shared" si="12"/>
        <v>否</v>
      </c>
      <c r="G282" s="309" t="str">
        <f t="shared" si="13"/>
        <v>项</v>
      </c>
    </row>
    <row r="283" s="312" customFormat="1" ht="18.75" spans="1:7">
      <c r="A283" s="329">
        <v>232</v>
      </c>
      <c r="B283" s="410" t="s">
        <v>1532</v>
      </c>
      <c r="C283" s="401">
        <f>C284</f>
        <v>96233</v>
      </c>
      <c r="D283" s="401">
        <f>D284</f>
        <v>95844</v>
      </c>
      <c r="E283" s="403">
        <f t="shared" si="14"/>
        <v>-0.0040422724013592</v>
      </c>
      <c r="F283" s="349" t="str">
        <f t="shared" si="12"/>
        <v>是</v>
      </c>
      <c r="G283" s="313" t="str">
        <f t="shared" si="13"/>
        <v>类</v>
      </c>
    </row>
    <row r="284" s="312" customFormat="1" ht="18.75" spans="1:7">
      <c r="A284" s="339">
        <v>23204</v>
      </c>
      <c r="B284" s="379" t="s">
        <v>1533</v>
      </c>
      <c r="C284" s="402">
        <f>SUM(C285:C299)</f>
        <v>96233</v>
      </c>
      <c r="D284" s="402">
        <f>SUM(D285:D299)</f>
        <v>95844</v>
      </c>
      <c r="E284" s="404">
        <f t="shared" si="14"/>
        <v>-0.0040422724013592</v>
      </c>
      <c r="F284" s="349" t="str">
        <f t="shared" si="12"/>
        <v>是</v>
      </c>
      <c r="G284" s="313" t="str">
        <f t="shared" si="13"/>
        <v>款</v>
      </c>
    </row>
    <row r="285" s="312" customFormat="1" ht="37.5" hidden="1" spans="1:7">
      <c r="A285" s="330">
        <v>2320401</v>
      </c>
      <c r="B285" s="379" t="s">
        <v>1534</v>
      </c>
      <c r="C285" s="400">
        <f>'07'!F286</f>
        <v>0</v>
      </c>
      <c r="D285" s="400">
        <v>0</v>
      </c>
      <c r="E285" s="404" t="str">
        <f t="shared" si="14"/>
        <v/>
      </c>
      <c r="F285" s="349" t="str">
        <f t="shared" si="12"/>
        <v>否</v>
      </c>
      <c r="G285" s="313" t="str">
        <f t="shared" si="13"/>
        <v>项</v>
      </c>
    </row>
    <row r="286" s="312" customFormat="1" ht="37.5" hidden="1" spans="1:7">
      <c r="A286" s="330">
        <v>2320405</v>
      </c>
      <c r="B286" s="379" t="s">
        <v>1535</v>
      </c>
      <c r="C286" s="400">
        <f>'07'!F287</f>
        <v>0</v>
      </c>
      <c r="D286" s="400">
        <v>0</v>
      </c>
      <c r="E286" s="404" t="str">
        <f t="shared" si="14"/>
        <v/>
      </c>
      <c r="F286" s="349" t="str">
        <f t="shared" si="12"/>
        <v>否</v>
      </c>
      <c r="G286" s="313" t="str">
        <f t="shared" si="13"/>
        <v>项</v>
      </c>
    </row>
    <row r="287" s="312" customFormat="1" ht="18.75" hidden="1" spans="1:7">
      <c r="A287" s="330">
        <v>2320411</v>
      </c>
      <c r="B287" s="379" t="s">
        <v>1536</v>
      </c>
      <c r="C287" s="400">
        <f>'07'!F288</f>
        <v>1577</v>
      </c>
      <c r="D287" s="400">
        <v>1261</v>
      </c>
      <c r="E287" s="404">
        <f t="shared" si="14"/>
        <v>-0.200380469245403</v>
      </c>
      <c r="F287" s="349" t="str">
        <f t="shared" si="12"/>
        <v>是</v>
      </c>
      <c r="G287" s="313" t="str">
        <f t="shared" si="13"/>
        <v>项</v>
      </c>
    </row>
    <row r="288" ht="18.75" hidden="1" spans="1:7">
      <c r="A288" s="330">
        <v>2320413</v>
      </c>
      <c r="B288" s="379" t="s">
        <v>1537</v>
      </c>
      <c r="C288" s="400">
        <f>'07'!F289</f>
        <v>0</v>
      </c>
      <c r="D288" s="400">
        <v>0</v>
      </c>
      <c r="E288" s="404" t="str">
        <f t="shared" si="14"/>
        <v/>
      </c>
      <c r="F288" s="349" t="str">
        <f t="shared" si="12"/>
        <v>否</v>
      </c>
      <c r="G288" s="313" t="str">
        <f t="shared" si="13"/>
        <v>项</v>
      </c>
    </row>
    <row r="289" ht="18.75" hidden="1" spans="1:7">
      <c r="A289" s="330">
        <v>2320414</v>
      </c>
      <c r="B289" s="379" t="s">
        <v>1538</v>
      </c>
      <c r="C289" s="400">
        <f>'07'!F290</f>
        <v>0</v>
      </c>
      <c r="D289" s="400">
        <v>0</v>
      </c>
      <c r="E289" s="404" t="str">
        <f t="shared" si="14"/>
        <v/>
      </c>
      <c r="F289" s="349" t="str">
        <f t="shared" si="12"/>
        <v>否</v>
      </c>
      <c r="G289" s="313" t="str">
        <f t="shared" si="13"/>
        <v>项</v>
      </c>
    </row>
    <row r="290" ht="18.75" hidden="1" spans="1:7">
      <c r="A290" s="330">
        <v>2320416</v>
      </c>
      <c r="B290" s="379" t="s">
        <v>1539</v>
      </c>
      <c r="C290" s="400">
        <f>'07'!F291</f>
        <v>0</v>
      </c>
      <c r="D290" s="400">
        <v>0</v>
      </c>
      <c r="E290" s="404" t="str">
        <f t="shared" si="14"/>
        <v/>
      </c>
      <c r="F290" s="349" t="str">
        <f t="shared" si="12"/>
        <v>否</v>
      </c>
      <c r="G290" s="313" t="str">
        <f t="shared" si="13"/>
        <v>项</v>
      </c>
    </row>
    <row r="291" ht="18.75" hidden="1" spans="1:7">
      <c r="A291" s="330">
        <v>2320417</v>
      </c>
      <c r="B291" s="379" t="s">
        <v>1540</v>
      </c>
      <c r="C291" s="400">
        <f>'07'!F292</f>
        <v>0</v>
      </c>
      <c r="D291" s="400">
        <v>0</v>
      </c>
      <c r="E291" s="404" t="str">
        <f t="shared" si="14"/>
        <v/>
      </c>
      <c r="F291" s="349" t="str">
        <f t="shared" si="12"/>
        <v>否</v>
      </c>
      <c r="G291" s="313" t="str">
        <f t="shared" si="13"/>
        <v>项</v>
      </c>
    </row>
    <row r="292" ht="37.5" hidden="1" spans="1:7">
      <c r="A292" s="330">
        <v>2320418</v>
      </c>
      <c r="B292" s="379" t="s">
        <v>1541</v>
      </c>
      <c r="C292" s="400">
        <f>'07'!F293</f>
        <v>0</v>
      </c>
      <c r="D292" s="400">
        <v>0</v>
      </c>
      <c r="E292" s="404" t="str">
        <f t="shared" si="14"/>
        <v/>
      </c>
      <c r="F292" s="349" t="str">
        <f t="shared" si="12"/>
        <v>否</v>
      </c>
      <c r="G292" s="313" t="str">
        <f t="shared" si="13"/>
        <v>项</v>
      </c>
    </row>
    <row r="293" ht="18.75" hidden="1" spans="1:7">
      <c r="A293" s="330">
        <v>2320419</v>
      </c>
      <c r="B293" s="379" t="s">
        <v>1542</v>
      </c>
      <c r="C293" s="400">
        <f>'07'!F294</f>
        <v>0</v>
      </c>
      <c r="D293" s="400">
        <v>0</v>
      </c>
      <c r="E293" s="404" t="str">
        <f t="shared" si="14"/>
        <v/>
      </c>
      <c r="F293" s="349" t="str">
        <f t="shared" si="12"/>
        <v>否</v>
      </c>
      <c r="G293" s="313" t="str">
        <f t="shared" si="13"/>
        <v>项</v>
      </c>
    </row>
    <row r="294" ht="18.75" hidden="1" spans="1:7">
      <c r="A294" s="330">
        <v>2320420</v>
      </c>
      <c r="B294" s="379" t="s">
        <v>1543</v>
      </c>
      <c r="C294" s="400">
        <f>'07'!F295</f>
        <v>0</v>
      </c>
      <c r="D294" s="400">
        <v>0</v>
      </c>
      <c r="E294" s="404" t="str">
        <f t="shared" si="14"/>
        <v/>
      </c>
      <c r="F294" s="349" t="str">
        <f t="shared" si="12"/>
        <v>否</v>
      </c>
      <c r="G294" s="313" t="str">
        <f t="shared" si="13"/>
        <v>项</v>
      </c>
    </row>
    <row r="295" s="312" customFormat="1" ht="18.75" hidden="1" spans="1:7">
      <c r="A295" s="330">
        <v>2320431</v>
      </c>
      <c r="B295" s="379" t="s">
        <v>1544</v>
      </c>
      <c r="C295" s="400">
        <f>'07'!F296</f>
        <v>2552</v>
      </c>
      <c r="D295" s="400">
        <v>2851</v>
      </c>
      <c r="E295" s="404">
        <f t="shared" si="14"/>
        <v>0.117163009404389</v>
      </c>
      <c r="F295" s="349" t="str">
        <f t="shared" si="12"/>
        <v>是</v>
      </c>
      <c r="G295" s="313" t="str">
        <f t="shared" si="13"/>
        <v>项</v>
      </c>
    </row>
    <row r="296" s="312" customFormat="1" ht="18.75" hidden="1" spans="1:7">
      <c r="A296" s="330">
        <v>2320432</v>
      </c>
      <c r="B296" s="379" t="s">
        <v>1545</v>
      </c>
      <c r="C296" s="400">
        <f>'07'!F297</f>
        <v>31655</v>
      </c>
      <c r="D296" s="400">
        <v>31657</v>
      </c>
      <c r="E296" s="404">
        <f t="shared" si="14"/>
        <v>6.31811720107408e-5</v>
      </c>
      <c r="F296" s="349" t="str">
        <f t="shared" si="12"/>
        <v>是</v>
      </c>
      <c r="G296" s="313" t="str">
        <f t="shared" si="13"/>
        <v>项</v>
      </c>
    </row>
    <row r="297" s="312" customFormat="1" ht="18.75" hidden="1" spans="1:7">
      <c r="A297" s="330">
        <v>2320433</v>
      </c>
      <c r="B297" s="379" t="s">
        <v>1546</v>
      </c>
      <c r="C297" s="400">
        <f>'07'!F298</f>
        <v>1708</v>
      </c>
      <c r="D297" s="400">
        <v>1708</v>
      </c>
      <c r="E297" s="404">
        <f t="shared" si="14"/>
        <v>0</v>
      </c>
      <c r="F297" s="349" t="str">
        <f t="shared" si="12"/>
        <v>是</v>
      </c>
      <c r="G297" s="313" t="str">
        <f t="shared" si="13"/>
        <v>项</v>
      </c>
    </row>
    <row r="298" ht="37.5" hidden="1" spans="1:7">
      <c r="A298" s="330">
        <v>2320498</v>
      </c>
      <c r="B298" s="379" t="s">
        <v>1547</v>
      </c>
      <c r="C298" s="400">
        <f>'07'!F299</f>
        <v>53065</v>
      </c>
      <c r="D298" s="400">
        <v>48847</v>
      </c>
      <c r="E298" s="404">
        <f t="shared" si="14"/>
        <v>-0.0794874210873457</v>
      </c>
      <c r="F298" s="349" t="str">
        <f t="shared" si="12"/>
        <v>是</v>
      </c>
      <c r="G298" s="313" t="str">
        <f t="shared" si="13"/>
        <v>项</v>
      </c>
    </row>
    <row r="299" s="312" customFormat="1" ht="18.75" hidden="1" spans="1:7">
      <c r="A299" s="330">
        <v>2320499</v>
      </c>
      <c r="B299" s="379" t="s">
        <v>1548</v>
      </c>
      <c r="C299" s="400">
        <f>'07'!F300</f>
        <v>5676</v>
      </c>
      <c r="D299" s="400">
        <v>9520</v>
      </c>
      <c r="E299" s="404">
        <f t="shared" si="14"/>
        <v>0.67723749119098</v>
      </c>
      <c r="F299" s="349" t="str">
        <f t="shared" si="12"/>
        <v>是</v>
      </c>
      <c r="G299" s="313" t="str">
        <f t="shared" si="13"/>
        <v>项</v>
      </c>
    </row>
    <row r="300" s="312" customFormat="1" ht="18.75" spans="1:7">
      <c r="A300" s="329">
        <v>233</v>
      </c>
      <c r="B300" s="377" t="s">
        <v>1549</v>
      </c>
      <c r="C300" s="401">
        <f>C301</f>
        <v>505</v>
      </c>
      <c r="D300" s="401">
        <f>D301</f>
        <v>506</v>
      </c>
      <c r="E300" s="403">
        <f t="shared" si="14"/>
        <v>0.00198019801980198</v>
      </c>
      <c r="F300" s="349" t="str">
        <f t="shared" si="12"/>
        <v>是</v>
      </c>
      <c r="G300" s="313" t="str">
        <f t="shared" si="13"/>
        <v>类</v>
      </c>
    </row>
    <row r="301" ht="18.75" spans="1:7">
      <c r="A301" s="406">
        <v>23304</v>
      </c>
      <c r="B301" s="379" t="s">
        <v>1550</v>
      </c>
      <c r="C301" s="402">
        <f>SUM(C302:C316)</f>
        <v>505</v>
      </c>
      <c r="D301" s="402">
        <f>SUM(D302:D316)</f>
        <v>506</v>
      </c>
      <c r="E301" s="404">
        <f t="shared" si="14"/>
        <v>0.00198019801980198</v>
      </c>
      <c r="F301" s="349" t="str">
        <f t="shared" si="12"/>
        <v>是</v>
      </c>
      <c r="G301" s="313" t="str">
        <f t="shared" si="13"/>
        <v>款</v>
      </c>
    </row>
    <row r="302" s="312" customFormat="1" ht="37.5" hidden="1" spans="1:7">
      <c r="A302" s="330">
        <v>2330401</v>
      </c>
      <c r="B302" s="379" t="s">
        <v>1551</v>
      </c>
      <c r="C302" s="400">
        <f>'07'!F303</f>
        <v>0</v>
      </c>
      <c r="D302" s="400">
        <v>0</v>
      </c>
      <c r="E302" s="404" t="str">
        <f t="shared" si="14"/>
        <v/>
      </c>
      <c r="F302" s="349" t="str">
        <f t="shared" si="12"/>
        <v>否</v>
      </c>
      <c r="G302" s="313" t="str">
        <f t="shared" si="13"/>
        <v>项</v>
      </c>
    </row>
    <row r="303" ht="37.5" hidden="1" spans="1:7">
      <c r="A303" s="330">
        <v>2330405</v>
      </c>
      <c r="B303" s="379" t="s">
        <v>1552</v>
      </c>
      <c r="C303" s="400">
        <f>'07'!F304</f>
        <v>0</v>
      </c>
      <c r="D303" s="400">
        <v>0</v>
      </c>
      <c r="E303" s="404" t="str">
        <f t="shared" si="14"/>
        <v/>
      </c>
      <c r="F303" s="349" t="str">
        <f t="shared" si="12"/>
        <v>否</v>
      </c>
      <c r="G303" s="313" t="str">
        <f t="shared" si="13"/>
        <v>项</v>
      </c>
    </row>
    <row r="304" s="312" customFormat="1" ht="37.5" hidden="1" spans="1:7">
      <c r="A304" s="330">
        <v>2330411</v>
      </c>
      <c r="B304" s="379" t="s">
        <v>1553</v>
      </c>
      <c r="C304" s="400">
        <f>'07'!F305</f>
        <v>15</v>
      </c>
      <c r="D304" s="400">
        <v>6</v>
      </c>
      <c r="E304" s="404">
        <f t="shared" si="14"/>
        <v>-0.6</v>
      </c>
      <c r="F304" s="349" t="str">
        <f t="shared" si="12"/>
        <v>是</v>
      </c>
      <c r="G304" s="313" t="str">
        <f t="shared" si="13"/>
        <v>项</v>
      </c>
    </row>
    <row r="305" s="312" customFormat="1" ht="18.75" hidden="1" spans="1:7">
      <c r="A305" s="330">
        <v>2330413</v>
      </c>
      <c r="B305" s="379" t="s">
        <v>1554</v>
      </c>
      <c r="C305" s="400">
        <f>'07'!F306</f>
        <v>0</v>
      </c>
      <c r="D305" s="400">
        <v>0</v>
      </c>
      <c r="E305" s="404" t="str">
        <f t="shared" si="14"/>
        <v/>
      </c>
      <c r="F305" s="349" t="str">
        <f t="shared" si="12"/>
        <v>否</v>
      </c>
      <c r="G305" s="313" t="str">
        <f t="shared" si="13"/>
        <v>项</v>
      </c>
    </row>
    <row r="306" ht="18.75" hidden="1" spans="1:7">
      <c r="A306" s="330">
        <v>2330414</v>
      </c>
      <c r="B306" s="379" t="s">
        <v>1555</v>
      </c>
      <c r="C306" s="400">
        <f>'07'!F307</f>
        <v>0</v>
      </c>
      <c r="D306" s="400">
        <v>0</v>
      </c>
      <c r="E306" s="404" t="str">
        <f t="shared" si="14"/>
        <v/>
      </c>
      <c r="F306" s="349" t="str">
        <f t="shared" si="12"/>
        <v>否</v>
      </c>
      <c r="G306" s="313" t="str">
        <f t="shared" si="13"/>
        <v>项</v>
      </c>
    </row>
    <row r="307" ht="18.75" hidden="1" spans="1:7">
      <c r="A307" s="330">
        <v>2330416</v>
      </c>
      <c r="B307" s="379" t="s">
        <v>1556</v>
      </c>
      <c r="C307" s="400">
        <f>'07'!F308</f>
        <v>0</v>
      </c>
      <c r="D307" s="400">
        <v>0</v>
      </c>
      <c r="E307" s="404" t="str">
        <f t="shared" si="14"/>
        <v/>
      </c>
      <c r="F307" s="349" t="str">
        <f t="shared" si="12"/>
        <v>否</v>
      </c>
      <c r="G307" s="313" t="str">
        <f t="shared" si="13"/>
        <v>项</v>
      </c>
    </row>
    <row r="308" ht="37.5" hidden="1" spans="1:7">
      <c r="A308" s="330">
        <v>2330417</v>
      </c>
      <c r="B308" s="379" t="s">
        <v>1557</v>
      </c>
      <c r="C308" s="400">
        <f>'07'!F309</f>
        <v>0</v>
      </c>
      <c r="D308" s="400">
        <v>0</v>
      </c>
      <c r="E308" s="404" t="str">
        <f t="shared" si="14"/>
        <v/>
      </c>
      <c r="F308" s="349" t="str">
        <f t="shared" si="12"/>
        <v>否</v>
      </c>
      <c r="G308" s="313" t="str">
        <f t="shared" si="13"/>
        <v>项</v>
      </c>
    </row>
    <row r="309" ht="37.5" hidden="1" spans="1:7">
      <c r="A309" s="330">
        <v>2330418</v>
      </c>
      <c r="B309" s="379" t="s">
        <v>1558</v>
      </c>
      <c r="C309" s="400">
        <f>'07'!F310</f>
        <v>0</v>
      </c>
      <c r="D309" s="400">
        <v>0</v>
      </c>
      <c r="E309" s="404" t="str">
        <f t="shared" si="14"/>
        <v/>
      </c>
      <c r="F309" s="349" t="str">
        <f t="shared" si="12"/>
        <v>否</v>
      </c>
      <c r="G309" s="313" t="str">
        <f t="shared" si="13"/>
        <v>项</v>
      </c>
    </row>
    <row r="310" ht="18.75" hidden="1" spans="1:7">
      <c r="A310" s="330">
        <v>2330419</v>
      </c>
      <c r="B310" s="379" t="s">
        <v>1559</v>
      </c>
      <c r="C310" s="400">
        <f>'07'!F311</f>
        <v>0</v>
      </c>
      <c r="D310" s="400">
        <v>0</v>
      </c>
      <c r="E310" s="404" t="str">
        <f t="shared" si="14"/>
        <v/>
      </c>
      <c r="F310" s="349" t="str">
        <f t="shared" si="12"/>
        <v>否</v>
      </c>
      <c r="G310" s="313" t="str">
        <f t="shared" si="13"/>
        <v>项</v>
      </c>
    </row>
    <row r="311" ht="18.75" hidden="1" spans="1:7">
      <c r="A311" s="330">
        <v>2330420</v>
      </c>
      <c r="B311" s="379" t="s">
        <v>1560</v>
      </c>
      <c r="C311" s="400">
        <f>'07'!F312</f>
        <v>0</v>
      </c>
      <c r="D311" s="400">
        <v>0</v>
      </c>
      <c r="E311" s="404" t="str">
        <f t="shared" si="14"/>
        <v/>
      </c>
      <c r="F311" s="349" t="str">
        <f t="shared" si="12"/>
        <v>否</v>
      </c>
      <c r="G311" s="313" t="str">
        <f t="shared" si="13"/>
        <v>项</v>
      </c>
    </row>
    <row r="312" ht="18.75" hidden="1" spans="1:7">
      <c r="A312" s="330">
        <v>2330431</v>
      </c>
      <c r="B312" s="379" t="s">
        <v>1561</v>
      </c>
      <c r="C312" s="400">
        <f>'07'!F313</f>
        <v>18</v>
      </c>
      <c r="D312" s="400">
        <v>0</v>
      </c>
      <c r="E312" s="404">
        <f t="shared" si="14"/>
        <v>-1</v>
      </c>
      <c r="F312" s="349" t="str">
        <f t="shared" si="12"/>
        <v>是</v>
      </c>
      <c r="G312" s="313" t="str">
        <f t="shared" si="13"/>
        <v>项</v>
      </c>
    </row>
    <row r="313" ht="18.75" hidden="1" spans="1:7">
      <c r="A313" s="330">
        <v>2330432</v>
      </c>
      <c r="B313" s="379" t="s">
        <v>1562</v>
      </c>
      <c r="C313" s="400">
        <f>'07'!F314</f>
        <v>0</v>
      </c>
      <c r="D313" s="400">
        <v>0</v>
      </c>
      <c r="E313" s="404" t="str">
        <f t="shared" si="14"/>
        <v/>
      </c>
      <c r="F313" s="349" t="str">
        <f t="shared" si="12"/>
        <v>否</v>
      </c>
      <c r="G313" s="313" t="str">
        <f t="shared" si="13"/>
        <v>项</v>
      </c>
    </row>
    <row r="314" s="312" customFormat="1" ht="18.75" hidden="1" spans="1:7">
      <c r="A314" s="330">
        <v>2330433</v>
      </c>
      <c r="B314" s="379" t="s">
        <v>1563</v>
      </c>
      <c r="C314" s="400">
        <f>'07'!F315</f>
        <v>0</v>
      </c>
      <c r="D314" s="400">
        <v>0</v>
      </c>
      <c r="E314" s="404" t="str">
        <f t="shared" si="14"/>
        <v/>
      </c>
      <c r="F314" s="349" t="str">
        <f t="shared" si="12"/>
        <v>否</v>
      </c>
      <c r="G314" s="313" t="str">
        <f t="shared" si="13"/>
        <v>项</v>
      </c>
    </row>
    <row r="315" ht="37.5" hidden="1" spans="1:7">
      <c r="A315" s="330">
        <v>2330498</v>
      </c>
      <c r="B315" s="379" t="s">
        <v>1564</v>
      </c>
      <c r="C315" s="400">
        <f>'07'!F316</f>
        <v>236</v>
      </c>
      <c r="D315" s="400">
        <v>200</v>
      </c>
      <c r="E315" s="404">
        <f t="shared" si="14"/>
        <v>-0.152542372881356</v>
      </c>
      <c r="F315" s="349" t="str">
        <f t="shared" si="12"/>
        <v>是</v>
      </c>
      <c r="G315" s="313" t="str">
        <f t="shared" si="13"/>
        <v>项</v>
      </c>
    </row>
    <row r="316" ht="18.75" hidden="1" spans="1:7">
      <c r="A316" s="330">
        <v>2330499</v>
      </c>
      <c r="B316" s="379" t="s">
        <v>1565</v>
      </c>
      <c r="C316" s="400">
        <f>'07'!F317</f>
        <v>236</v>
      </c>
      <c r="D316" s="400">
        <v>300</v>
      </c>
      <c r="E316" s="404">
        <f t="shared" si="14"/>
        <v>0.271186440677966</v>
      </c>
      <c r="F316" s="349" t="str">
        <f t="shared" si="12"/>
        <v>是</v>
      </c>
      <c r="G316" s="313" t="str">
        <f t="shared" si="13"/>
        <v>项</v>
      </c>
    </row>
    <row r="317" ht="18.75" spans="1:7">
      <c r="A317" s="355">
        <v>234</v>
      </c>
      <c r="B317" s="377" t="s">
        <v>1566</v>
      </c>
      <c r="C317" s="399"/>
      <c r="D317" s="399">
        <v>0</v>
      </c>
      <c r="E317" s="403" t="str">
        <f t="shared" si="14"/>
        <v/>
      </c>
      <c r="F317" s="349" t="str">
        <f t="shared" si="12"/>
        <v>是</v>
      </c>
      <c r="G317" s="313" t="str">
        <f t="shared" si="13"/>
        <v>类</v>
      </c>
    </row>
    <row r="318" ht="18.75" hidden="1" spans="1:7">
      <c r="A318" s="356">
        <v>23401</v>
      </c>
      <c r="B318" s="379" t="s">
        <v>1567</v>
      </c>
      <c r="C318" s="400"/>
      <c r="D318" s="399">
        <v>0</v>
      </c>
      <c r="E318" s="404" t="str">
        <f t="shared" si="14"/>
        <v/>
      </c>
      <c r="F318" s="349" t="str">
        <f t="shared" si="12"/>
        <v>否</v>
      </c>
      <c r="G318" s="313" t="str">
        <f t="shared" si="13"/>
        <v>款</v>
      </c>
    </row>
    <row r="319" ht="18.75" hidden="1" spans="1:7">
      <c r="A319" s="356">
        <v>2340101</v>
      </c>
      <c r="B319" s="379" t="s">
        <v>1568</v>
      </c>
      <c r="C319" s="400">
        <f>'07'!F320</f>
        <v>0</v>
      </c>
      <c r="D319" s="400">
        <v>0</v>
      </c>
      <c r="E319" s="404" t="str">
        <f t="shared" si="14"/>
        <v/>
      </c>
      <c r="F319" s="349" t="str">
        <f t="shared" si="12"/>
        <v>否</v>
      </c>
      <c r="G319" s="313" t="str">
        <f t="shared" si="13"/>
        <v>项</v>
      </c>
    </row>
    <row r="320" ht="18.75" hidden="1" spans="1:7">
      <c r="A320" s="356">
        <v>2340102</v>
      </c>
      <c r="B320" s="379" t="s">
        <v>1569</v>
      </c>
      <c r="C320" s="400">
        <f>'07'!F321</f>
        <v>0</v>
      </c>
      <c r="D320" s="400">
        <v>0</v>
      </c>
      <c r="E320" s="404" t="str">
        <f t="shared" si="14"/>
        <v/>
      </c>
      <c r="F320" s="349" t="str">
        <f t="shared" si="12"/>
        <v>否</v>
      </c>
      <c r="G320" s="313" t="str">
        <f t="shared" si="13"/>
        <v>项</v>
      </c>
    </row>
    <row r="321" ht="18.75" hidden="1" spans="1:7">
      <c r="A321" s="356">
        <v>2340103</v>
      </c>
      <c r="B321" s="379" t="s">
        <v>1570</v>
      </c>
      <c r="C321" s="400">
        <f>'07'!F322</f>
        <v>0</v>
      </c>
      <c r="D321" s="400">
        <v>0</v>
      </c>
      <c r="E321" s="404" t="str">
        <f t="shared" si="14"/>
        <v/>
      </c>
      <c r="F321" s="349" t="str">
        <f t="shared" si="12"/>
        <v>否</v>
      </c>
      <c r="G321" s="313" t="str">
        <f t="shared" si="13"/>
        <v>项</v>
      </c>
    </row>
    <row r="322" ht="18.75" hidden="1" spans="1:7">
      <c r="A322" s="356">
        <v>2340104</v>
      </c>
      <c r="B322" s="379" t="s">
        <v>1571</v>
      </c>
      <c r="C322" s="400">
        <f>'07'!F323</f>
        <v>0</v>
      </c>
      <c r="D322" s="400">
        <v>0</v>
      </c>
      <c r="E322" s="404" t="str">
        <f t="shared" si="14"/>
        <v/>
      </c>
      <c r="F322" s="349" t="str">
        <f t="shared" si="12"/>
        <v>否</v>
      </c>
      <c r="G322" s="313" t="str">
        <f t="shared" si="13"/>
        <v>项</v>
      </c>
    </row>
    <row r="323" ht="18.75" hidden="1" spans="1:7">
      <c r="A323" s="356">
        <v>2340105</v>
      </c>
      <c r="B323" s="379" t="s">
        <v>1572</v>
      </c>
      <c r="C323" s="400">
        <f>'07'!F324</f>
        <v>0</v>
      </c>
      <c r="D323" s="400">
        <v>0</v>
      </c>
      <c r="E323" s="404" t="str">
        <f t="shared" si="14"/>
        <v/>
      </c>
      <c r="F323" s="349" t="str">
        <f t="shared" si="12"/>
        <v>否</v>
      </c>
      <c r="G323" s="313" t="str">
        <f t="shared" si="13"/>
        <v>项</v>
      </c>
    </row>
    <row r="324" ht="18.75" hidden="1" spans="1:7">
      <c r="A324" s="356">
        <v>2340106</v>
      </c>
      <c r="B324" s="379" t="s">
        <v>1573</v>
      </c>
      <c r="C324" s="400">
        <f>'07'!F325</f>
        <v>0</v>
      </c>
      <c r="D324" s="400">
        <v>0</v>
      </c>
      <c r="E324" s="404" t="str">
        <f t="shared" si="14"/>
        <v/>
      </c>
      <c r="F324" s="349" t="str">
        <f t="shared" si="12"/>
        <v>否</v>
      </c>
      <c r="G324" s="313" t="str">
        <f t="shared" si="13"/>
        <v>项</v>
      </c>
    </row>
    <row r="325" ht="18.75" hidden="1" spans="1:7">
      <c r="A325" s="356">
        <v>2340107</v>
      </c>
      <c r="B325" s="379" t="s">
        <v>1574</v>
      </c>
      <c r="C325" s="400">
        <f>'07'!F326</f>
        <v>0</v>
      </c>
      <c r="D325" s="400">
        <v>0</v>
      </c>
      <c r="E325" s="404" t="str">
        <f t="shared" si="14"/>
        <v/>
      </c>
      <c r="F325" s="349" t="str">
        <f t="shared" ref="F325:F345" si="15">IF(LEN(A325)=3,"是",IF(B325&lt;&gt;"",IF(SUM(C325:D325)&lt;&gt;0,"是","否"),"是"))</f>
        <v>否</v>
      </c>
      <c r="G325" s="313" t="str">
        <f t="shared" ref="G325:G337" si="16">IF(LEN(A325)=3,"类",IF(LEN(A325)=5,"款","项"))</f>
        <v>项</v>
      </c>
    </row>
    <row r="326" ht="18.75" hidden="1" spans="1:7">
      <c r="A326" s="356">
        <v>2340108</v>
      </c>
      <c r="B326" s="379" t="s">
        <v>1575</v>
      </c>
      <c r="C326" s="400">
        <f>'07'!F327</f>
        <v>0</v>
      </c>
      <c r="D326" s="400">
        <v>0</v>
      </c>
      <c r="E326" s="404" t="str">
        <f t="shared" ref="E326:E337" si="17">IFERROR((D326-C326)/C326,"")</f>
        <v/>
      </c>
      <c r="F326" s="349" t="str">
        <f t="shared" si="15"/>
        <v>否</v>
      </c>
      <c r="G326" s="313" t="str">
        <f t="shared" si="16"/>
        <v>项</v>
      </c>
    </row>
    <row r="327" ht="18.75" hidden="1" spans="1:7">
      <c r="A327" s="356">
        <v>2340109</v>
      </c>
      <c r="B327" s="379" t="s">
        <v>1576</v>
      </c>
      <c r="C327" s="400">
        <f>'07'!F328</f>
        <v>0</v>
      </c>
      <c r="D327" s="400">
        <v>0</v>
      </c>
      <c r="E327" s="404" t="str">
        <f t="shared" si="17"/>
        <v/>
      </c>
      <c r="F327" s="349" t="str">
        <f t="shared" si="15"/>
        <v>否</v>
      </c>
      <c r="G327" s="313" t="str">
        <f t="shared" si="16"/>
        <v>项</v>
      </c>
    </row>
    <row r="328" ht="18.75" hidden="1" spans="1:7">
      <c r="A328" s="356">
        <v>2340110</v>
      </c>
      <c r="B328" s="379" t="s">
        <v>1577</v>
      </c>
      <c r="C328" s="400">
        <f>'07'!F329</f>
        <v>0</v>
      </c>
      <c r="D328" s="400">
        <v>0</v>
      </c>
      <c r="E328" s="404" t="str">
        <f t="shared" si="17"/>
        <v/>
      </c>
      <c r="F328" s="349" t="str">
        <f t="shared" si="15"/>
        <v>否</v>
      </c>
      <c r="G328" s="313" t="str">
        <f t="shared" si="16"/>
        <v>项</v>
      </c>
    </row>
    <row r="329" ht="18.75" hidden="1" spans="1:7">
      <c r="A329" s="356">
        <v>2340111</v>
      </c>
      <c r="B329" s="379" t="s">
        <v>1578</v>
      </c>
      <c r="C329" s="400">
        <f>'07'!F330</f>
        <v>0</v>
      </c>
      <c r="D329" s="400">
        <v>0</v>
      </c>
      <c r="E329" s="404" t="str">
        <f t="shared" si="17"/>
        <v/>
      </c>
      <c r="F329" s="349" t="str">
        <f t="shared" si="15"/>
        <v>否</v>
      </c>
      <c r="G329" s="313" t="str">
        <f t="shared" si="16"/>
        <v>项</v>
      </c>
    </row>
    <row r="330" ht="18.75" hidden="1" spans="1:7">
      <c r="A330" s="356">
        <v>2340199</v>
      </c>
      <c r="B330" s="379" t="s">
        <v>1579</v>
      </c>
      <c r="C330" s="400">
        <f>'07'!F331</f>
        <v>0</v>
      </c>
      <c r="D330" s="400">
        <v>0</v>
      </c>
      <c r="E330" s="404" t="str">
        <f t="shared" si="17"/>
        <v/>
      </c>
      <c r="F330" s="349" t="str">
        <f t="shared" si="15"/>
        <v>否</v>
      </c>
      <c r="G330" s="313" t="str">
        <f t="shared" si="16"/>
        <v>项</v>
      </c>
    </row>
    <row r="331" ht="18.75" hidden="1" spans="1:7">
      <c r="A331" s="356">
        <v>23402</v>
      </c>
      <c r="B331" s="379" t="s">
        <v>1580</v>
      </c>
      <c r="C331" s="400"/>
      <c r="D331" s="399">
        <v>0</v>
      </c>
      <c r="E331" s="404" t="str">
        <f t="shared" si="17"/>
        <v/>
      </c>
      <c r="F331" s="349" t="str">
        <f t="shared" si="15"/>
        <v>否</v>
      </c>
      <c r="G331" s="313" t="str">
        <f t="shared" si="16"/>
        <v>款</v>
      </c>
    </row>
    <row r="332" ht="18.75" hidden="1" spans="1:7">
      <c r="A332" s="356">
        <v>2340201</v>
      </c>
      <c r="B332" s="379" t="s">
        <v>1581</v>
      </c>
      <c r="C332" s="400">
        <f>'07'!F333</f>
        <v>0</v>
      </c>
      <c r="D332" s="400">
        <v>0</v>
      </c>
      <c r="E332" s="404" t="str">
        <f t="shared" si="17"/>
        <v/>
      </c>
      <c r="F332" s="349" t="str">
        <f t="shared" si="15"/>
        <v>否</v>
      </c>
      <c r="G332" s="313" t="str">
        <f t="shared" si="16"/>
        <v>项</v>
      </c>
    </row>
    <row r="333" ht="18.75" hidden="1" spans="1:7">
      <c r="A333" s="356">
        <v>2340202</v>
      </c>
      <c r="B333" s="379" t="s">
        <v>1582</v>
      </c>
      <c r="C333" s="400">
        <f>'07'!F334</f>
        <v>0</v>
      </c>
      <c r="D333" s="400">
        <v>0</v>
      </c>
      <c r="E333" s="404" t="str">
        <f t="shared" si="17"/>
        <v/>
      </c>
      <c r="F333" s="349" t="str">
        <f t="shared" si="15"/>
        <v>否</v>
      </c>
      <c r="G333" s="313" t="str">
        <f t="shared" si="16"/>
        <v>项</v>
      </c>
    </row>
    <row r="334" ht="18.75" hidden="1" spans="1:7">
      <c r="A334" s="356">
        <v>2340203</v>
      </c>
      <c r="B334" s="379" t="s">
        <v>1583</v>
      </c>
      <c r="C334" s="400">
        <f>'07'!F335</f>
        <v>0</v>
      </c>
      <c r="D334" s="400">
        <v>0</v>
      </c>
      <c r="E334" s="404" t="str">
        <f t="shared" si="17"/>
        <v/>
      </c>
      <c r="F334" s="349" t="str">
        <f t="shared" si="15"/>
        <v>否</v>
      </c>
      <c r="G334" s="313" t="str">
        <f t="shared" si="16"/>
        <v>项</v>
      </c>
    </row>
    <row r="335" ht="18.75" hidden="1" spans="1:7">
      <c r="A335" s="356">
        <v>2340204</v>
      </c>
      <c r="B335" s="379" t="s">
        <v>1584</v>
      </c>
      <c r="C335" s="400">
        <f>'07'!F336</f>
        <v>0</v>
      </c>
      <c r="D335" s="400">
        <v>0</v>
      </c>
      <c r="E335" s="404" t="str">
        <f t="shared" si="17"/>
        <v/>
      </c>
      <c r="F335" s="349" t="str">
        <f t="shared" si="15"/>
        <v>否</v>
      </c>
      <c r="G335" s="313" t="str">
        <f t="shared" si="16"/>
        <v>项</v>
      </c>
    </row>
    <row r="336" ht="18.75" hidden="1" spans="1:7">
      <c r="A336" s="356">
        <v>2340205</v>
      </c>
      <c r="B336" s="379" t="s">
        <v>1585</v>
      </c>
      <c r="C336" s="400">
        <f>'07'!F337</f>
        <v>0</v>
      </c>
      <c r="D336" s="400">
        <v>0</v>
      </c>
      <c r="E336" s="404" t="str">
        <f t="shared" si="17"/>
        <v/>
      </c>
      <c r="F336" s="349" t="str">
        <f t="shared" si="15"/>
        <v>否</v>
      </c>
      <c r="G336" s="313" t="str">
        <f t="shared" si="16"/>
        <v>项</v>
      </c>
    </row>
    <row r="337" ht="18.75" hidden="1" spans="1:7">
      <c r="A337" s="356">
        <v>2340299</v>
      </c>
      <c r="B337" s="379" t="s">
        <v>1586</v>
      </c>
      <c r="C337" s="400">
        <f>'07'!F338</f>
        <v>0</v>
      </c>
      <c r="D337" s="400">
        <v>0</v>
      </c>
      <c r="E337" s="404" t="str">
        <f t="shared" si="17"/>
        <v/>
      </c>
      <c r="F337" s="349" t="str">
        <f t="shared" si="15"/>
        <v>否</v>
      </c>
      <c r="G337" s="313" t="str">
        <f t="shared" si="16"/>
        <v>项</v>
      </c>
    </row>
    <row r="338" ht="18.75" spans="1:6">
      <c r="A338" s="411"/>
      <c r="B338" s="377"/>
      <c r="C338" s="403"/>
      <c r="D338" s="403"/>
      <c r="E338" s="404"/>
      <c r="F338" s="349" t="str">
        <f t="shared" si="15"/>
        <v>是</v>
      </c>
    </row>
    <row r="339" ht="18.75" spans="1:6">
      <c r="A339" s="357"/>
      <c r="B339" s="383" t="s">
        <v>1587</v>
      </c>
      <c r="C339" s="325">
        <f>C4+C11+C19+C42+C47+C54+C70+C131+C170+C220+C251+C283+C300+C317+C229+C234+C238+C242+C246</f>
        <v>340531</v>
      </c>
      <c r="D339" s="325">
        <f>D4+D11+D19+D42+D47+D54+D70+D131+D170+D220+D251+D283+D300+D317+D229+D234+D238+D242+D246</f>
        <v>351519</v>
      </c>
      <c r="E339" s="403">
        <f t="shared" ref="E339:E345" si="18">IFERROR((D339-C339)/C339,"")</f>
        <v>0.0322672532016175</v>
      </c>
      <c r="F339" s="349" t="str">
        <f t="shared" si="15"/>
        <v>是</v>
      </c>
    </row>
    <row r="340" ht="18.75" spans="1:6">
      <c r="A340" s="412" t="s">
        <v>1588</v>
      </c>
      <c r="B340" s="361" t="s">
        <v>201</v>
      </c>
      <c r="C340" s="325">
        <f>SUM(C341:C343)</f>
        <v>70165</v>
      </c>
      <c r="D340" s="325">
        <f>SUM(D341:D343)</f>
        <v>86546</v>
      </c>
      <c r="E340" s="403">
        <f t="shared" si="18"/>
        <v>0.233463977766693</v>
      </c>
      <c r="F340" s="349" t="str">
        <f t="shared" si="15"/>
        <v>是</v>
      </c>
    </row>
    <row r="341" ht="18.75" spans="1:7">
      <c r="A341" s="364" t="s">
        <v>1589</v>
      </c>
      <c r="B341" s="413" t="s">
        <v>1230</v>
      </c>
      <c r="C341" s="400">
        <f>'07'!F342</f>
        <v>1495</v>
      </c>
      <c r="D341" s="328">
        <v>3319</v>
      </c>
      <c r="E341" s="404">
        <f t="shared" si="18"/>
        <v>1.22006688963211</v>
      </c>
      <c r="F341" s="349" t="str">
        <f t="shared" si="15"/>
        <v>是</v>
      </c>
      <c r="G341" s="312"/>
    </row>
    <row r="342" ht="18.75" spans="1:6">
      <c r="A342" s="414" t="s">
        <v>1590</v>
      </c>
      <c r="B342" s="361" t="s">
        <v>1231</v>
      </c>
      <c r="C342" s="400">
        <f>'07'!F343</f>
        <v>17312</v>
      </c>
      <c r="D342" s="328">
        <v>40215</v>
      </c>
      <c r="E342" s="404">
        <f t="shared" si="18"/>
        <v>1.32295517560074</v>
      </c>
      <c r="F342" s="349" t="str">
        <f t="shared" si="15"/>
        <v>是</v>
      </c>
    </row>
    <row r="343" ht="18.75" spans="1:6">
      <c r="A343" s="414" t="s">
        <v>1591</v>
      </c>
      <c r="B343" s="361" t="s">
        <v>1592</v>
      </c>
      <c r="C343" s="400">
        <f>'07'!F344</f>
        <v>51358</v>
      </c>
      <c r="D343" s="328">
        <v>43012</v>
      </c>
      <c r="E343" s="404">
        <f t="shared" si="18"/>
        <v>-0.162506328128042</v>
      </c>
      <c r="F343" s="349" t="str">
        <f t="shared" si="15"/>
        <v>是</v>
      </c>
    </row>
    <row r="344" ht="18.75" spans="1:6">
      <c r="A344" s="414" t="s">
        <v>1593</v>
      </c>
      <c r="B344" s="366" t="s">
        <v>1594</v>
      </c>
      <c r="C344" s="400">
        <f>'07'!F345</f>
        <v>361400</v>
      </c>
      <c r="D344" s="328">
        <v>237600</v>
      </c>
      <c r="E344" s="404">
        <f t="shared" si="18"/>
        <v>-0.342556723851688</v>
      </c>
      <c r="F344" s="349" t="str">
        <f t="shared" si="15"/>
        <v>是</v>
      </c>
    </row>
    <row r="345" ht="18.75" spans="1:6">
      <c r="A345" s="415"/>
      <c r="B345" s="368" t="s">
        <v>209</v>
      </c>
      <c r="C345" s="416">
        <f>SUM(C339:C340,C344)</f>
        <v>772096</v>
      </c>
      <c r="D345" s="416">
        <f>SUM(D339:D340,D344)</f>
        <v>675665</v>
      </c>
      <c r="E345" s="403">
        <f t="shared" si="18"/>
        <v>-0.124895090765915</v>
      </c>
      <c r="F345" s="349" t="str">
        <f t="shared" si="15"/>
        <v>是</v>
      </c>
    </row>
  </sheetData>
  <autoFilter ref="A3:G345">
    <filterColumn colId="5">
      <customFilters>
        <customFilter operator="equal" val="是"/>
      </customFilters>
    </filterColumn>
    <filterColumn colId="6">
      <filters blank="1">
        <filter val="类"/>
        <filter val="款"/>
      </filters>
    </filterColumn>
    <extLst/>
  </autoFilter>
  <mergeCells count="1">
    <mergeCell ref="B1:E1"/>
  </mergeCells>
  <conditionalFormatting sqref="B344">
    <cfRule type="expression" dxfId="0" priority="1" stopIfTrue="1">
      <formula>"len($A:$A)=3"</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rgb="FFFFFF00"/>
    <pageSetUpPr fitToPage="1"/>
  </sheetPr>
  <dimension ref="A1:I36"/>
  <sheetViews>
    <sheetView showGridLines="0" showZeros="0" view="pageBreakPreview" zoomScale="70" zoomScaleNormal="115" workbookViewId="0">
      <pane xSplit="1" ySplit="4" topLeftCell="B14" activePane="bottomRight" state="frozen"/>
      <selection/>
      <selection pane="topRight"/>
      <selection pane="bottomLeft"/>
      <selection pane="bottomRight" activeCell="F35" sqref="F35"/>
    </sheetView>
  </sheetViews>
  <sheetFormatPr defaultColWidth="9" defaultRowHeight="14.25"/>
  <cols>
    <col min="1" max="1" width="15" style="372" hidden="1" customWidth="1"/>
    <col min="2" max="2" width="50.75" style="372" customWidth="1"/>
    <col min="3" max="6" width="16.425" style="372" customWidth="1"/>
    <col min="7" max="7" width="14.1" style="372" customWidth="1"/>
    <col min="8" max="8" width="13.925" style="373" customWidth="1"/>
    <col min="9" max="9" width="3.75" style="372" customWidth="1"/>
    <col min="10" max="16384" width="9" style="372"/>
  </cols>
  <sheetData>
    <row r="1" ht="45" customHeight="1" spans="1:9">
      <c r="A1" s="374"/>
      <c r="B1" s="375" t="s">
        <v>66</v>
      </c>
      <c r="C1" s="375"/>
      <c r="D1" s="375"/>
      <c r="E1" s="375"/>
      <c r="F1" s="375"/>
      <c r="G1" s="375"/>
      <c r="H1" s="375"/>
      <c r="I1" s="374"/>
    </row>
    <row r="2" s="370" customFormat="1" ht="20.1" customHeight="1" spans="1:9">
      <c r="A2" s="376"/>
      <c r="B2" s="95" t="s">
        <v>65</v>
      </c>
      <c r="C2" s="95"/>
      <c r="D2" s="95"/>
      <c r="E2" s="95"/>
      <c r="F2" s="95"/>
      <c r="G2" s="95"/>
      <c r="H2" s="394" t="s">
        <v>103</v>
      </c>
      <c r="I2" s="376"/>
    </row>
    <row r="3" s="371" customFormat="1" ht="18.75" spans="1:8">
      <c r="A3" s="319" t="s">
        <v>104</v>
      </c>
      <c r="B3" s="320" t="s">
        <v>105</v>
      </c>
      <c r="C3" s="321" t="s">
        <v>107</v>
      </c>
      <c r="D3" s="321"/>
      <c r="E3" s="321"/>
      <c r="F3" s="341" t="s">
        <v>1754</v>
      </c>
      <c r="G3" s="341" t="s">
        <v>1759</v>
      </c>
      <c r="H3" s="341" t="s">
        <v>1760</v>
      </c>
    </row>
    <row r="4" s="371" customFormat="1" ht="41" customHeight="1" spans="1:9">
      <c r="A4" s="322"/>
      <c r="B4" s="320"/>
      <c r="C4" s="321" t="s">
        <v>109</v>
      </c>
      <c r="D4" s="321" t="s">
        <v>1196</v>
      </c>
      <c r="E4" s="321" t="s">
        <v>110</v>
      </c>
      <c r="F4" s="342"/>
      <c r="G4" s="342"/>
      <c r="H4" s="342"/>
      <c r="I4" s="395" t="s">
        <v>113</v>
      </c>
    </row>
    <row r="5" s="371" customFormat="1" ht="24" customHeight="1" spans="1:9">
      <c r="A5" s="339" t="s">
        <v>1247</v>
      </c>
      <c r="B5" s="377" t="s">
        <v>1248</v>
      </c>
      <c r="C5" s="378"/>
      <c r="D5" s="378"/>
      <c r="E5" s="378">
        <f>'08'!F5</f>
        <v>0</v>
      </c>
      <c r="F5" s="378"/>
      <c r="G5" s="343" t="str">
        <f>IFERROR((F5-C5)/C5,"")</f>
        <v/>
      </c>
      <c r="H5" s="343" t="str">
        <f>IFERROR((F5-E5)/E5,"")</f>
        <v/>
      </c>
      <c r="I5" s="396" t="str">
        <f>IF(LEN(A5)=7,"是",IF(B5&lt;&gt;"",IF(SUM(C5:F5)&lt;&gt;0,"是","否"),"是"))</f>
        <v>是</v>
      </c>
    </row>
    <row r="6" ht="24" customHeight="1" spans="1:9">
      <c r="A6" s="339" t="s">
        <v>1249</v>
      </c>
      <c r="B6" s="377" t="s">
        <v>1250</v>
      </c>
      <c r="C6" s="378"/>
      <c r="D6" s="378"/>
      <c r="E6" s="378">
        <f>'08'!F6</f>
        <v>0</v>
      </c>
      <c r="F6" s="378"/>
      <c r="G6" s="343" t="str">
        <f t="shared" ref="G6:G36" si="0">IFERROR((F6-C6)/C6,"")</f>
        <v/>
      </c>
      <c r="H6" s="343" t="str">
        <f t="shared" ref="H6:H36" si="1">IFERROR((F6-E6)/E6,"")</f>
        <v/>
      </c>
      <c r="I6" s="396" t="str">
        <f t="shared" ref="I6:I36" si="2">IF(LEN(A6)=7,"是",IF(B6&lt;&gt;"",IF(SUM(C6:F6)&lt;&gt;0,"是","否"),"是"))</f>
        <v>是</v>
      </c>
    </row>
    <row r="7" ht="24" customHeight="1" spans="1:9">
      <c r="A7" s="339" t="s">
        <v>1251</v>
      </c>
      <c r="B7" s="377" t="s">
        <v>1252</v>
      </c>
      <c r="C7" s="378"/>
      <c r="D7" s="378"/>
      <c r="E7" s="378">
        <f>'08'!F7</f>
        <v>0</v>
      </c>
      <c r="F7" s="378"/>
      <c r="G7" s="343" t="str">
        <f t="shared" si="0"/>
        <v/>
      </c>
      <c r="H7" s="343" t="str">
        <f t="shared" si="1"/>
        <v/>
      </c>
      <c r="I7" s="396" t="str">
        <f t="shared" si="2"/>
        <v>是</v>
      </c>
    </row>
    <row r="8" ht="24" customHeight="1" spans="1:9">
      <c r="A8" s="339" t="s">
        <v>1253</v>
      </c>
      <c r="B8" s="377" t="s">
        <v>1254</v>
      </c>
      <c r="C8" s="378"/>
      <c r="D8" s="378"/>
      <c r="E8" s="378">
        <f>'08'!F8</f>
        <v>0</v>
      </c>
      <c r="F8" s="378"/>
      <c r="G8" s="343" t="str">
        <f t="shared" si="0"/>
        <v/>
      </c>
      <c r="H8" s="343" t="str">
        <f t="shared" si="1"/>
        <v/>
      </c>
      <c r="I8" s="396" t="str">
        <f t="shared" si="2"/>
        <v>是</v>
      </c>
    </row>
    <row r="9" ht="24" customHeight="1" spans="1:9">
      <c r="A9" s="339" t="s">
        <v>1255</v>
      </c>
      <c r="B9" s="377" t="s">
        <v>1256</v>
      </c>
      <c r="C9" s="378">
        <f>SUM(C10:C14)</f>
        <v>42027</v>
      </c>
      <c r="D9" s="378">
        <f>SUM(D10:D14)</f>
        <v>22379</v>
      </c>
      <c r="E9" s="378">
        <f>SUM(E10:E14)</f>
        <v>6396</v>
      </c>
      <c r="F9" s="378">
        <f>SUM(F10:F14)</f>
        <v>54159</v>
      </c>
      <c r="G9" s="343">
        <f t="shared" si="0"/>
        <v>0.288671568277536</v>
      </c>
      <c r="H9" s="343">
        <f t="shared" si="1"/>
        <v>7.46763602251407</v>
      </c>
      <c r="I9" s="396" t="str">
        <f t="shared" si="2"/>
        <v>是</v>
      </c>
    </row>
    <row r="10" ht="24" customHeight="1" spans="1:9">
      <c r="A10" s="339" t="s">
        <v>1257</v>
      </c>
      <c r="B10" s="379" t="s">
        <v>1595</v>
      </c>
      <c r="C10" s="380">
        <v>39527</v>
      </c>
      <c r="D10" s="380">
        <v>19879</v>
      </c>
      <c r="E10" s="380">
        <f>'08'!F10</f>
        <v>6396</v>
      </c>
      <c r="F10" s="380">
        <v>54159</v>
      </c>
      <c r="G10" s="344">
        <f t="shared" si="0"/>
        <v>0.37017734712981</v>
      </c>
      <c r="H10" s="344">
        <f t="shared" si="1"/>
        <v>7.46763602251407</v>
      </c>
      <c r="I10" s="396" t="str">
        <f t="shared" si="2"/>
        <v>是</v>
      </c>
    </row>
    <row r="11" ht="24" customHeight="1" spans="1:9">
      <c r="A11" s="339" t="s">
        <v>1259</v>
      </c>
      <c r="B11" s="379" t="s">
        <v>1596</v>
      </c>
      <c r="C11" s="380">
        <v>2500</v>
      </c>
      <c r="D11" s="380">
        <v>2500</v>
      </c>
      <c r="E11" s="378">
        <f>'08'!F11</f>
        <v>0</v>
      </c>
      <c r="F11" s="380"/>
      <c r="G11" s="344">
        <f t="shared" si="0"/>
        <v>-1</v>
      </c>
      <c r="H11" s="344" t="str">
        <f t="shared" si="1"/>
        <v/>
      </c>
      <c r="I11" s="396" t="str">
        <f t="shared" si="2"/>
        <v>是</v>
      </c>
    </row>
    <row r="12" ht="24" customHeight="1" spans="1:9">
      <c r="A12" s="339" t="s">
        <v>1261</v>
      </c>
      <c r="B12" s="379" t="s">
        <v>1597</v>
      </c>
      <c r="C12" s="380"/>
      <c r="D12" s="380"/>
      <c r="E12" s="378">
        <f>'08'!F12</f>
        <v>0</v>
      </c>
      <c r="F12" s="380"/>
      <c r="G12" s="344" t="str">
        <f t="shared" si="0"/>
        <v/>
      </c>
      <c r="H12" s="344" t="str">
        <f t="shared" si="1"/>
        <v/>
      </c>
      <c r="I12" s="396" t="str">
        <f t="shared" si="2"/>
        <v>否</v>
      </c>
    </row>
    <row r="13" ht="24" customHeight="1" spans="1:9">
      <c r="A13" s="339" t="s">
        <v>1263</v>
      </c>
      <c r="B13" s="379" t="s">
        <v>1598</v>
      </c>
      <c r="C13" s="380"/>
      <c r="D13" s="380"/>
      <c r="E13" s="378">
        <f>'08'!F13</f>
        <v>0</v>
      </c>
      <c r="F13" s="380"/>
      <c r="G13" s="344" t="str">
        <f t="shared" si="0"/>
        <v/>
      </c>
      <c r="H13" s="344" t="str">
        <f t="shared" si="1"/>
        <v/>
      </c>
      <c r="I13" s="396" t="str">
        <f t="shared" si="2"/>
        <v>否</v>
      </c>
    </row>
    <row r="14" ht="24" customHeight="1" spans="1:9">
      <c r="A14" s="339" t="s">
        <v>1265</v>
      </c>
      <c r="B14" s="379" t="s">
        <v>1599</v>
      </c>
      <c r="C14" s="380"/>
      <c r="D14" s="380"/>
      <c r="E14" s="378">
        <f>'08'!F14</f>
        <v>0</v>
      </c>
      <c r="F14" s="380"/>
      <c r="G14" s="344" t="str">
        <f t="shared" si="0"/>
        <v/>
      </c>
      <c r="H14" s="344" t="str">
        <f t="shared" si="1"/>
        <v/>
      </c>
      <c r="I14" s="396" t="str">
        <f t="shared" si="2"/>
        <v>否</v>
      </c>
    </row>
    <row r="15" ht="24" customHeight="1" spans="1:9">
      <c r="A15" s="381" t="s">
        <v>1267</v>
      </c>
      <c r="B15" s="382" t="s">
        <v>1268</v>
      </c>
      <c r="C15" s="378"/>
      <c r="D15" s="378"/>
      <c r="E15" s="378">
        <f>'08'!F15</f>
        <v>0</v>
      </c>
      <c r="F15" s="378"/>
      <c r="G15" s="343" t="str">
        <f t="shared" si="0"/>
        <v/>
      </c>
      <c r="H15" s="343" t="str">
        <f t="shared" si="1"/>
        <v/>
      </c>
      <c r="I15" s="396" t="str">
        <f t="shared" si="2"/>
        <v>是</v>
      </c>
    </row>
    <row r="16" ht="24" customHeight="1" spans="1:9">
      <c r="A16" s="381" t="s">
        <v>1269</v>
      </c>
      <c r="B16" s="382" t="s">
        <v>1270</v>
      </c>
      <c r="C16" s="378">
        <f>SUM(C17:C18)</f>
        <v>7500</v>
      </c>
      <c r="D16" s="378">
        <f>SUM(D17:D18)</f>
        <v>7500</v>
      </c>
      <c r="E16" s="378">
        <f>SUM(E17:E18)</f>
        <v>7703</v>
      </c>
      <c r="F16" s="378">
        <f>SUM(F17:F18)</f>
        <v>7500</v>
      </c>
      <c r="G16" s="343">
        <f t="shared" si="0"/>
        <v>0</v>
      </c>
      <c r="H16" s="343">
        <f t="shared" si="1"/>
        <v>-0.0263533688173439</v>
      </c>
      <c r="I16" s="396" t="str">
        <f t="shared" si="2"/>
        <v>是</v>
      </c>
    </row>
    <row r="17" ht="24" customHeight="1" spans="1:9">
      <c r="A17" s="381" t="s">
        <v>1271</v>
      </c>
      <c r="B17" s="246" t="s">
        <v>1600</v>
      </c>
      <c r="C17" s="380">
        <v>4050</v>
      </c>
      <c r="D17" s="380">
        <v>4050</v>
      </c>
      <c r="E17" s="380">
        <f>'08'!F17</f>
        <v>4021</v>
      </c>
      <c r="F17" s="380">
        <v>4050</v>
      </c>
      <c r="G17" s="344">
        <f t="shared" si="0"/>
        <v>0</v>
      </c>
      <c r="H17" s="344">
        <f t="shared" si="1"/>
        <v>0.00721213628450634</v>
      </c>
      <c r="I17" s="396" t="str">
        <f t="shared" si="2"/>
        <v>是</v>
      </c>
    </row>
    <row r="18" ht="24" customHeight="1" spans="1:9">
      <c r="A18" s="381" t="s">
        <v>1273</v>
      </c>
      <c r="B18" s="246" t="s">
        <v>1601</v>
      </c>
      <c r="C18" s="380">
        <v>3450</v>
      </c>
      <c r="D18" s="380">
        <v>3450</v>
      </c>
      <c r="E18" s="380">
        <f>'08'!F18</f>
        <v>3682</v>
      </c>
      <c r="F18" s="380">
        <v>3450</v>
      </c>
      <c r="G18" s="344">
        <f t="shared" si="0"/>
        <v>0</v>
      </c>
      <c r="H18" s="344">
        <f t="shared" si="1"/>
        <v>-0.0630092341118957</v>
      </c>
      <c r="I18" s="396" t="str">
        <f t="shared" si="2"/>
        <v>是</v>
      </c>
    </row>
    <row r="19" ht="24" customHeight="1" spans="1:9">
      <c r="A19" s="381" t="s">
        <v>1275</v>
      </c>
      <c r="B19" s="382" t="s">
        <v>1276</v>
      </c>
      <c r="C19" s="378"/>
      <c r="D19" s="378"/>
      <c r="E19" s="378">
        <f>'08'!F19</f>
        <v>295</v>
      </c>
      <c r="F19" s="378"/>
      <c r="G19" s="343" t="str">
        <f t="shared" si="0"/>
        <v/>
      </c>
      <c r="H19" s="343">
        <f t="shared" si="1"/>
        <v>-1</v>
      </c>
      <c r="I19" s="396" t="str">
        <f t="shared" si="2"/>
        <v>是</v>
      </c>
    </row>
    <row r="20" ht="24" customHeight="1" spans="1:9">
      <c r="A20" s="381" t="s">
        <v>1277</v>
      </c>
      <c r="B20" s="382" t="s">
        <v>1278</v>
      </c>
      <c r="C20" s="378"/>
      <c r="D20" s="378"/>
      <c r="E20" s="378">
        <f>'08'!F20</f>
        <v>0</v>
      </c>
      <c r="F20" s="378"/>
      <c r="G20" s="343" t="str">
        <f t="shared" si="0"/>
        <v/>
      </c>
      <c r="H20" s="343" t="str">
        <f t="shared" si="1"/>
        <v/>
      </c>
      <c r="I20" s="396" t="str">
        <f t="shared" si="2"/>
        <v>是</v>
      </c>
    </row>
    <row r="21" ht="24" customHeight="1" spans="1:9">
      <c r="A21" s="381" t="s">
        <v>1279</v>
      </c>
      <c r="B21" s="382" t="s">
        <v>1280</v>
      </c>
      <c r="C21" s="378"/>
      <c r="D21" s="378"/>
      <c r="E21" s="378">
        <f>'08'!F21</f>
        <v>0</v>
      </c>
      <c r="F21" s="378"/>
      <c r="G21" s="343" t="str">
        <f t="shared" si="0"/>
        <v/>
      </c>
      <c r="H21" s="343" t="str">
        <f t="shared" si="1"/>
        <v/>
      </c>
      <c r="I21" s="396" t="str">
        <f t="shared" si="2"/>
        <v>是</v>
      </c>
    </row>
    <row r="22" ht="24" customHeight="1" spans="1:9">
      <c r="A22" s="339" t="s">
        <v>1281</v>
      </c>
      <c r="B22" s="377" t="s">
        <v>1282</v>
      </c>
      <c r="C22" s="378"/>
      <c r="D22" s="378"/>
      <c r="E22" s="378">
        <f>'08'!F22</f>
        <v>0</v>
      </c>
      <c r="F22" s="378"/>
      <c r="G22" s="343" t="str">
        <f t="shared" si="0"/>
        <v/>
      </c>
      <c r="H22" s="343" t="str">
        <f t="shared" si="1"/>
        <v/>
      </c>
      <c r="I22" s="396" t="str">
        <f t="shared" si="2"/>
        <v>是</v>
      </c>
    </row>
    <row r="23" ht="24" customHeight="1" spans="1:9">
      <c r="A23" s="339" t="s">
        <v>1283</v>
      </c>
      <c r="B23" s="377" t="s">
        <v>1284</v>
      </c>
      <c r="C23" s="378"/>
      <c r="D23" s="378"/>
      <c r="E23" s="378">
        <f>'08'!F23</f>
        <v>0</v>
      </c>
      <c r="F23" s="378"/>
      <c r="G23" s="343" t="str">
        <f t="shared" si="0"/>
        <v/>
      </c>
      <c r="H23" s="343" t="str">
        <f t="shared" si="1"/>
        <v/>
      </c>
      <c r="I23" s="396" t="str">
        <f t="shared" si="2"/>
        <v>是</v>
      </c>
    </row>
    <row r="24" ht="18.75" spans="1:9">
      <c r="A24" s="339" t="s">
        <v>1285</v>
      </c>
      <c r="B24" s="377" t="s">
        <v>1286</v>
      </c>
      <c r="C24" s="378"/>
      <c r="D24" s="378"/>
      <c r="E24" s="378">
        <f>'08'!F24</f>
        <v>0</v>
      </c>
      <c r="F24" s="378"/>
      <c r="G24" s="343" t="str">
        <f t="shared" si="0"/>
        <v/>
      </c>
      <c r="H24" s="343" t="str">
        <f t="shared" si="1"/>
        <v/>
      </c>
      <c r="I24" s="396" t="str">
        <f t="shared" si="2"/>
        <v>是</v>
      </c>
    </row>
    <row r="25" ht="24" customHeight="1" spans="1:9">
      <c r="A25" s="339" t="s">
        <v>1287</v>
      </c>
      <c r="B25" s="377" t="s">
        <v>1288</v>
      </c>
      <c r="C25" s="378"/>
      <c r="D25" s="378"/>
      <c r="E25" s="378">
        <f>'08'!F25</f>
        <v>0</v>
      </c>
      <c r="F25" s="378"/>
      <c r="G25" s="343" t="str">
        <f t="shared" si="0"/>
        <v/>
      </c>
      <c r="H25" s="343" t="str">
        <f t="shared" si="1"/>
        <v/>
      </c>
      <c r="I25" s="396" t="str">
        <f t="shared" si="2"/>
        <v>是</v>
      </c>
    </row>
    <row r="26" ht="24" customHeight="1" spans="1:9">
      <c r="A26" s="339" t="s">
        <v>1289</v>
      </c>
      <c r="B26" s="377" t="s">
        <v>1290</v>
      </c>
      <c r="C26" s="378">
        <v>20930</v>
      </c>
      <c r="D26" s="378">
        <v>20930</v>
      </c>
      <c r="E26" s="378">
        <f>'08'!F26</f>
        <v>26034</v>
      </c>
      <c r="F26" s="378">
        <v>23836</v>
      </c>
      <c r="G26" s="343">
        <f t="shared" si="0"/>
        <v>0.138843764930721</v>
      </c>
      <c r="H26" s="343">
        <f t="shared" si="1"/>
        <v>-0.0844280556195744</v>
      </c>
      <c r="I26" s="396" t="str">
        <f t="shared" si="2"/>
        <v>是</v>
      </c>
    </row>
    <row r="27" ht="24" customHeight="1" spans="1:9">
      <c r="A27" s="339"/>
      <c r="B27" s="379"/>
      <c r="C27" s="380"/>
      <c r="D27" s="380"/>
      <c r="E27" s="380"/>
      <c r="F27" s="380"/>
      <c r="G27" s="343" t="str">
        <f t="shared" si="0"/>
        <v/>
      </c>
      <c r="H27" s="343" t="str">
        <f t="shared" si="1"/>
        <v/>
      </c>
      <c r="I27" s="396" t="str">
        <f t="shared" si="2"/>
        <v>是</v>
      </c>
    </row>
    <row r="28" ht="24" customHeight="1" spans="1:9">
      <c r="A28" s="357"/>
      <c r="B28" s="383" t="s">
        <v>1602</v>
      </c>
      <c r="C28" s="378">
        <f>C5+C6+C7+C8+C9+C15+C16+C19+C20+C21+C22+C23+C24+C25+C26</f>
        <v>70457</v>
      </c>
      <c r="D28" s="378">
        <f>D5+D6+D7+D8+D9+D15+D16+D19+D20+D21+D22+D23+D24+D25+D26</f>
        <v>50809</v>
      </c>
      <c r="E28" s="378">
        <f>E5+E6+E7+E8+E9+E15+E16+E19+E20+E21+E22+E23+E24+E25+E26</f>
        <v>40428</v>
      </c>
      <c r="F28" s="378">
        <f>F5+F6+F7+F8+F9+F15+F16+F19+F20+F21+F22+F23+F24+F25+F26</f>
        <v>85495</v>
      </c>
      <c r="G28" s="343">
        <f t="shared" si="0"/>
        <v>0.213435144840115</v>
      </c>
      <c r="H28" s="343">
        <f t="shared" si="1"/>
        <v>1.11474720490749</v>
      </c>
      <c r="I28" s="396" t="str">
        <f t="shared" si="2"/>
        <v>是</v>
      </c>
    </row>
    <row r="29" ht="24" customHeight="1" spans="1:9">
      <c r="A29" s="384">
        <v>105</v>
      </c>
      <c r="B29" s="385" t="s">
        <v>1292</v>
      </c>
      <c r="C29" s="378">
        <v>234030</v>
      </c>
      <c r="D29" s="378">
        <v>487330</v>
      </c>
      <c r="E29" s="378">
        <f>'08'!F29</f>
        <v>487330</v>
      </c>
      <c r="F29" s="378">
        <v>370000</v>
      </c>
      <c r="G29" s="343">
        <f t="shared" si="0"/>
        <v>0.580993889672264</v>
      </c>
      <c r="H29" s="343">
        <f t="shared" si="1"/>
        <v>-0.240760880717378</v>
      </c>
      <c r="I29" s="396" t="str">
        <f t="shared" si="2"/>
        <v>是</v>
      </c>
    </row>
    <row r="30" ht="24" customHeight="1" spans="1:9">
      <c r="A30" s="384">
        <v>110</v>
      </c>
      <c r="B30" s="385" t="s">
        <v>166</v>
      </c>
      <c r="C30" s="386">
        <f>C31+C33+C34+C35</f>
        <v>84352</v>
      </c>
      <c r="D30" s="386">
        <f>D31+D33+D34+D35</f>
        <v>84352</v>
      </c>
      <c r="E30" s="386">
        <f>E31+E33+E34+E35</f>
        <v>49133</v>
      </c>
      <c r="F30" s="386">
        <f>F31+F33+F34+F35</f>
        <v>52477</v>
      </c>
      <c r="G30" s="343">
        <f t="shared" si="0"/>
        <v>-0.377880785280728</v>
      </c>
      <c r="H30" s="343">
        <f t="shared" si="1"/>
        <v>0.0680601632304154</v>
      </c>
      <c r="I30" s="396" t="str">
        <f t="shared" si="2"/>
        <v>是</v>
      </c>
    </row>
    <row r="31" ht="24" customHeight="1" spans="1:9">
      <c r="A31" s="387">
        <v>11004</v>
      </c>
      <c r="B31" s="388" t="s">
        <v>1293</v>
      </c>
      <c r="C31" s="386">
        <f>C32</f>
        <v>73006</v>
      </c>
      <c r="D31" s="386">
        <f>D32</f>
        <v>73006</v>
      </c>
      <c r="E31" s="386">
        <f>E32</f>
        <v>40064</v>
      </c>
      <c r="F31" s="386">
        <f>F32</f>
        <v>41158</v>
      </c>
      <c r="G31" s="343">
        <f t="shared" si="0"/>
        <v>-0.436238117415007</v>
      </c>
      <c r="H31" s="343">
        <f t="shared" si="1"/>
        <v>0.0273063099041534</v>
      </c>
      <c r="I31" s="396" t="str">
        <f t="shared" si="2"/>
        <v>是</v>
      </c>
    </row>
    <row r="32" ht="24" customHeight="1" spans="1:9">
      <c r="A32" s="387">
        <v>1100401</v>
      </c>
      <c r="B32" s="389" t="s">
        <v>1294</v>
      </c>
      <c r="C32" s="380">
        <v>73006</v>
      </c>
      <c r="D32" s="380">
        <v>73006</v>
      </c>
      <c r="E32" s="380">
        <f>'08'!F32</f>
        <v>40064</v>
      </c>
      <c r="F32" s="380">
        <v>41158</v>
      </c>
      <c r="G32" s="344">
        <f t="shared" si="0"/>
        <v>-0.436238117415007</v>
      </c>
      <c r="H32" s="344">
        <f t="shared" si="1"/>
        <v>0.0273063099041534</v>
      </c>
      <c r="I32" s="396" t="str">
        <f t="shared" si="2"/>
        <v>是</v>
      </c>
    </row>
    <row r="33" ht="24" customHeight="1" spans="1:9">
      <c r="A33" s="387">
        <v>11006</v>
      </c>
      <c r="B33" s="388" t="s">
        <v>1199</v>
      </c>
      <c r="C33" s="378">
        <v>3912</v>
      </c>
      <c r="D33" s="378">
        <v>3912</v>
      </c>
      <c r="E33" s="378">
        <f>'08'!F33</f>
        <v>1635</v>
      </c>
      <c r="F33" s="378">
        <v>3553</v>
      </c>
      <c r="G33" s="343">
        <f t="shared" si="0"/>
        <v>-0.0917689161554192</v>
      </c>
      <c r="H33" s="343">
        <f t="shared" si="1"/>
        <v>1.17308868501529</v>
      </c>
      <c r="I33" s="396" t="str">
        <f t="shared" si="2"/>
        <v>是</v>
      </c>
    </row>
    <row r="34" ht="24" customHeight="1" spans="1:9">
      <c r="A34" s="387">
        <v>11008</v>
      </c>
      <c r="B34" s="388" t="s">
        <v>170</v>
      </c>
      <c r="C34" s="378">
        <v>7434</v>
      </c>
      <c r="D34" s="378">
        <v>7434</v>
      </c>
      <c r="E34" s="378">
        <f>'08'!F34</f>
        <v>7434</v>
      </c>
      <c r="F34" s="378">
        <v>7766</v>
      </c>
      <c r="G34" s="343">
        <f t="shared" si="0"/>
        <v>0.0446596717783158</v>
      </c>
      <c r="H34" s="343">
        <f t="shared" si="1"/>
        <v>0.0446596717783158</v>
      </c>
      <c r="I34" s="396" t="str">
        <f t="shared" si="2"/>
        <v>是</v>
      </c>
    </row>
    <row r="35" ht="24" customHeight="1" spans="1:9">
      <c r="A35" s="390">
        <v>11009</v>
      </c>
      <c r="B35" s="391" t="s">
        <v>171</v>
      </c>
      <c r="C35" s="378"/>
      <c r="D35" s="378"/>
      <c r="E35" s="378">
        <f>'08'!F35</f>
        <v>0</v>
      </c>
      <c r="F35" s="378"/>
      <c r="G35" s="343" t="str">
        <f t="shared" si="0"/>
        <v/>
      </c>
      <c r="H35" s="343" t="str">
        <f t="shared" si="1"/>
        <v/>
      </c>
      <c r="I35" s="396" t="str">
        <f t="shared" si="2"/>
        <v>否</v>
      </c>
    </row>
    <row r="36" ht="24" customHeight="1" spans="1:9">
      <c r="A36" s="392"/>
      <c r="B36" s="393" t="s">
        <v>174</v>
      </c>
      <c r="C36" s="386">
        <f>SUM(C28:C30)</f>
        <v>388839</v>
      </c>
      <c r="D36" s="386">
        <f>SUM(D28:D30)</f>
        <v>622491</v>
      </c>
      <c r="E36" s="386">
        <f>SUM(E28:E30)</f>
        <v>576891</v>
      </c>
      <c r="F36" s="386">
        <f>SUM(F28:F30)</f>
        <v>507972</v>
      </c>
      <c r="G36" s="343">
        <f t="shared" si="0"/>
        <v>0.306381304344472</v>
      </c>
      <c r="H36" s="343">
        <f t="shared" si="1"/>
        <v>-0.119466242323073</v>
      </c>
      <c r="I36" s="396" t="str">
        <f t="shared" si="2"/>
        <v>是</v>
      </c>
    </row>
  </sheetData>
  <autoFilter ref="A4:I36">
    <extLst/>
  </autoFilter>
  <mergeCells count="7">
    <mergeCell ref="B1:H1"/>
    <mergeCell ref="C3:E3"/>
    <mergeCell ref="A3:A4"/>
    <mergeCell ref="B3:B4"/>
    <mergeCell ref="F3:F4"/>
    <mergeCell ref="G3:G4"/>
    <mergeCell ref="H3:H4"/>
  </mergeCells>
  <conditionalFormatting sqref="B29">
    <cfRule type="expression" dxfId="0" priority="5" stopIfTrue="1">
      <formula>"len($A:$A)=3"</formula>
    </cfRule>
  </conditionalFormatting>
  <conditionalFormatting sqref="B30:B33">
    <cfRule type="expression" dxfId="0" priority="4" stopIfTrue="1">
      <formula>"len($A:$A)=3"</formula>
    </cfRule>
  </conditionalFormatting>
  <conditionalFormatting sqref="D30:D31">
    <cfRule type="expression" dxfId="0" priority="1" stopIfTrue="1">
      <formula>"len($A:$A)=3"</formula>
    </cfRule>
  </conditionalFormatting>
  <conditionalFormatting sqref="F30:F31">
    <cfRule type="expression" dxfId="0" priority="2" stopIfTrue="1">
      <formula>"len($A:$A)=3"</formula>
    </cfRule>
  </conditionalFormatting>
  <conditionalFormatting sqref="C30:C31 E30:E31">
    <cfRule type="expression" dxfId="0" priority="3" stopIfTrue="1">
      <formula>"len($A:$A)=3"</formula>
    </cfRule>
  </conditionalFormatting>
  <printOptions horizontalCentered="1"/>
  <pageMargins left="0.471527777777778" right="0.393055555555556" top="0.747916666666667" bottom="0.747916666666667" header="0.313888888888889" footer="0.313888888888889"/>
  <pageSetup paperSize="9" scale="61" orientation="portrait"/>
  <headerFooter alignWithMargins="0">
    <oddFooter>&amp;C&amp;16- &amp;P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7">
    <tabColor rgb="FFFFFF00"/>
    <pageSetUpPr fitToPage="1"/>
  </sheetPr>
  <dimension ref="A1:J340"/>
  <sheetViews>
    <sheetView showGridLines="0" showZeros="0" view="pageBreakPreview" zoomScale="70" zoomScaleNormal="115" workbookViewId="0">
      <pane xSplit="1" ySplit="4" topLeftCell="B260" activePane="bottomRight" state="frozen"/>
      <selection/>
      <selection pane="topRight"/>
      <selection pane="bottomLeft"/>
      <selection pane="bottomRight" activeCell="F335" sqref="F335"/>
    </sheetView>
  </sheetViews>
  <sheetFormatPr defaultColWidth="9" defaultRowHeight="14.25"/>
  <cols>
    <col min="1" max="1" width="13.5" style="312" hidden="1" customWidth="1"/>
    <col min="2" max="2" width="50.75" style="313" customWidth="1"/>
    <col min="3" max="6" width="19.1083333333333" style="313" customWidth="1"/>
    <col min="7" max="7" width="14.6416666666667" style="313" customWidth="1"/>
    <col min="8" max="8" width="13.925" style="314" customWidth="1"/>
    <col min="9" max="9" width="3.75" style="315" customWidth="1"/>
    <col min="10" max="10" width="9" style="312"/>
    <col min="11" max="11" width="15.175" style="312" customWidth="1"/>
    <col min="12" max="16384" width="9" style="312"/>
  </cols>
  <sheetData>
    <row r="1" ht="35.25" spans="1:10">
      <c r="A1" s="313"/>
      <c r="B1" s="316" t="s">
        <v>68</v>
      </c>
      <c r="C1" s="316"/>
      <c r="D1" s="316"/>
      <c r="E1" s="316"/>
      <c r="F1" s="316"/>
      <c r="G1" s="316"/>
      <c r="H1" s="316"/>
      <c r="I1" s="345"/>
      <c r="J1" s="313"/>
    </row>
    <row r="2" s="305" customFormat="1" ht="18.75" spans="1:10">
      <c r="A2" s="317"/>
      <c r="B2" s="318" t="s">
        <v>67</v>
      </c>
      <c r="C2" s="318"/>
      <c r="D2" s="318"/>
      <c r="E2" s="318"/>
      <c r="F2" s="318"/>
      <c r="G2" s="318"/>
      <c r="H2" s="340" t="s">
        <v>103</v>
      </c>
      <c r="I2" s="346"/>
      <c r="J2" s="317"/>
    </row>
    <row r="3" s="306" customFormat="1" ht="18.75" spans="1:8">
      <c r="A3" s="319" t="s">
        <v>104</v>
      </c>
      <c r="B3" s="320" t="s">
        <v>105</v>
      </c>
      <c r="C3" s="321" t="s">
        <v>107</v>
      </c>
      <c r="D3" s="321"/>
      <c r="E3" s="321"/>
      <c r="F3" s="341" t="s">
        <v>1754</v>
      </c>
      <c r="G3" s="341" t="s">
        <v>1759</v>
      </c>
      <c r="H3" s="341" t="s">
        <v>1760</v>
      </c>
    </row>
    <row r="4" s="306" customFormat="1" ht="28.5" spans="1:10">
      <c r="A4" s="322"/>
      <c r="B4" s="320"/>
      <c r="C4" s="321" t="s">
        <v>109</v>
      </c>
      <c r="D4" s="321" t="s">
        <v>1196</v>
      </c>
      <c r="E4" s="321" t="s">
        <v>110</v>
      </c>
      <c r="F4" s="342"/>
      <c r="G4" s="342"/>
      <c r="H4" s="342"/>
      <c r="I4" s="347" t="s">
        <v>113</v>
      </c>
      <c r="J4" s="348" t="s">
        <v>1603</v>
      </c>
    </row>
    <row r="5" s="307" customFormat="1" ht="18.75" spans="1:10">
      <c r="A5" s="323">
        <v>205</v>
      </c>
      <c r="B5" s="324" t="s">
        <v>1295</v>
      </c>
      <c r="C5" s="325"/>
      <c r="D5" s="325"/>
      <c r="E5" s="325"/>
      <c r="F5" s="325">
        <v>0</v>
      </c>
      <c r="G5" s="343" t="str">
        <f>IFERROR((F5-C5)/C5,"")</f>
        <v/>
      </c>
      <c r="H5" s="343" t="str">
        <f>IFERROR((F5-E5)/E5,"")</f>
        <v/>
      </c>
      <c r="I5" s="349" t="str">
        <f>IF(LEN(A5)=3,"是",IF(B5&lt;&gt;"",IF(SUM(C5:F5)&lt;&gt;0,"是","否"),"是"))</f>
        <v>是</v>
      </c>
      <c r="J5" s="313" t="str">
        <f>IF(LEN(A5)=3,"类",IF(LEN(A5)=5,"款","项"))</f>
        <v>类</v>
      </c>
    </row>
    <row r="6" s="307" customFormat="1" ht="18.75" hidden="1" spans="1:10">
      <c r="A6" s="326">
        <v>20598</v>
      </c>
      <c r="B6" s="327" t="s">
        <v>1296</v>
      </c>
      <c r="C6" s="325"/>
      <c r="D6" s="325"/>
      <c r="E6" s="325"/>
      <c r="F6" s="325">
        <v>0</v>
      </c>
      <c r="G6" s="343" t="str">
        <f t="shared" ref="G6:G69" si="0">IFERROR((F6-C6)/C6,"")</f>
        <v/>
      </c>
      <c r="H6" s="343" t="str">
        <f t="shared" ref="H6:H69" si="1">IFERROR((F6-E6)/E6,"")</f>
        <v/>
      </c>
      <c r="I6" s="349" t="str">
        <f t="shared" ref="I6:I69" si="2">IF(LEN(A6)=3,"是",IF(B6&lt;&gt;"",IF(SUM(C6:F6)&lt;&gt;0,"是","否"),"是"))</f>
        <v>否</v>
      </c>
      <c r="J6" s="313" t="str">
        <f t="shared" ref="J5:J68" si="3">IF(LEN(A6)=3,"类",IF(LEN(A6)=5,"款","项"))</f>
        <v>款</v>
      </c>
    </row>
    <row r="7" s="307" customFormat="1" ht="18.75" hidden="1" spans="1:10">
      <c r="A7" s="326">
        <v>2059801</v>
      </c>
      <c r="B7" s="327" t="s">
        <v>1297</v>
      </c>
      <c r="C7" s="328"/>
      <c r="D7" s="328"/>
      <c r="E7" s="328">
        <f>'09'!F7</f>
        <v>0</v>
      </c>
      <c r="F7" s="325">
        <v>0</v>
      </c>
      <c r="G7" s="344" t="str">
        <f t="shared" si="0"/>
        <v/>
      </c>
      <c r="H7" s="344" t="str">
        <f t="shared" si="1"/>
        <v/>
      </c>
      <c r="I7" s="349" t="str">
        <f t="shared" si="2"/>
        <v>否</v>
      </c>
      <c r="J7" s="313" t="str">
        <f t="shared" si="3"/>
        <v>项</v>
      </c>
    </row>
    <row r="8" s="307" customFormat="1" ht="18.75" hidden="1" spans="1:10">
      <c r="A8" s="326">
        <v>2059802</v>
      </c>
      <c r="B8" s="327" t="s">
        <v>1298</v>
      </c>
      <c r="C8" s="328"/>
      <c r="D8" s="328"/>
      <c r="E8" s="328">
        <f>'09'!F8</f>
        <v>0</v>
      </c>
      <c r="F8" s="325">
        <v>0</v>
      </c>
      <c r="G8" s="344" t="str">
        <f t="shared" si="0"/>
        <v/>
      </c>
      <c r="H8" s="344" t="str">
        <f t="shared" si="1"/>
        <v/>
      </c>
      <c r="I8" s="349" t="str">
        <f t="shared" si="2"/>
        <v>否</v>
      </c>
      <c r="J8" s="313" t="str">
        <f t="shared" si="3"/>
        <v>项</v>
      </c>
    </row>
    <row r="9" s="307" customFormat="1" ht="18.75" hidden="1" spans="1:10">
      <c r="A9" s="326">
        <v>2059803</v>
      </c>
      <c r="B9" s="327" t="s">
        <v>1299</v>
      </c>
      <c r="C9" s="328"/>
      <c r="D9" s="328"/>
      <c r="E9" s="328">
        <f>'09'!F9</f>
        <v>0</v>
      </c>
      <c r="F9" s="325">
        <v>0</v>
      </c>
      <c r="G9" s="344" t="str">
        <f t="shared" si="0"/>
        <v/>
      </c>
      <c r="H9" s="344" t="str">
        <f t="shared" si="1"/>
        <v/>
      </c>
      <c r="I9" s="349" t="str">
        <f t="shared" si="2"/>
        <v>否</v>
      </c>
      <c r="J9" s="313" t="str">
        <f t="shared" si="3"/>
        <v>项</v>
      </c>
    </row>
    <row r="10" s="307" customFormat="1" ht="18.75" hidden="1" spans="1:10">
      <c r="A10" s="326">
        <v>2059804</v>
      </c>
      <c r="B10" s="327" t="s">
        <v>1300</v>
      </c>
      <c r="C10" s="328"/>
      <c r="D10" s="328"/>
      <c r="E10" s="328">
        <f>'09'!F10</f>
        <v>0</v>
      </c>
      <c r="F10" s="325">
        <v>0</v>
      </c>
      <c r="G10" s="344" t="str">
        <f t="shared" si="0"/>
        <v/>
      </c>
      <c r="H10" s="344" t="str">
        <f t="shared" si="1"/>
        <v/>
      </c>
      <c r="I10" s="349" t="str">
        <f t="shared" si="2"/>
        <v>否</v>
      </c>
      <c r="J10" s="313" t="str">
        <f t="shared" si="3"/>
        <v>项</v>
      </c>
    </row>
    <row r="11" s="307" customFormat="1" ht="18.75" hidden="1" spans="1:10">
      <c r="A11" s="326">
        <v>2059899</v>
      </c>
      <c r="B11" s="327" t="s">
        <v>1301</v>
      </c>
      <c r="C11" s="328"/>
      <c r="D11" s="328"/>
      <c r="E11" s="328">
        <f>'09'!F11</f>
        <v>0</v>
      </c>
      <c r="F11" s="325">
        <v>0</v>
      </c>
      <c r="G11" s="344" t="str">
        <f t="shared" si="0"/>
        <v/>
      </c>
      <c r="H11" s="344" t="str">
        <f t="shared" si="1"/>
        <v/>
      </c>
      <c r="I11" s="349" t="str">
        <f t="shared" si="2"/>
        <v>否</v>
      </c>
      <c r="J11" s="313" t="str">
        <f t="shared" si="3"/>
        <v>项</v>
      </c>
    </row>
    <row r="12" s="307" customFormat="1" ht="18.75" spans="1:10">
      <c r="A12" s="323">
        <v>206</v>
      </c>
      <c r="B12" s="324" t="s">
        <v>1302</v>
      </c>
      <c r="C12" s="325"/>
      <c r="D12" s="325"/>
      <c r="E12" s="325"/>
      <c r="F12" s="325">
        <v>0</v>
      </c>
      <c r="G12" s="343" t="str">
        <f t="shared" si="0"/>
        <v/>
      </c>
      <c r="H12" s="343" t="str">
        <f t="shared" si="1"/>
        <v/>
      </c>
      <c r="I12" s="349" t="str">
        <f t="shared" si="2"/>
        <v>是</v>
      </c>
      <c r="J12" s="313" t="str">
        <f t="shared" si="3"/>
        <v>类</v>
      </c>
    </row>
    <row r="13" s="307" customFormat="1" ht="18.75" hidden="1" spans="1:10">
      <c r="A13" s="326">
        <v>20698</v>
      </c>
      <c r="B13" s="327" t="s">
        <v>1296</v>
      </c>
      <c r="C13" s="325"/>
      <c r="D13" s="325"/>
      <c r="E13" s="325"/>
      <c r="F13" s="325">
        <v>0</v>
      </c>
      <c r="G13" s="343" t="str">
        <f t="shared" si="0"/>
        <v/>
      </c>
      <c r="H13" s="343" t="str">
        <f t="shared" si="1"/>
        <v/>
      </c>
      <c r="I13" s="349" t="str">
        <f t="shared" si="2"/>
        <v>否</v>
      </c>
      <c r="J13" s="313" t="str">
        <f t="shared" si="3"/>
        <v>款</v>
      </c>
    </row>
    <row r="14" s="307" customFormat="1" ht="18.75" hidden="1" spans="1:10">
      <c r="A14" s="326">
        <v>2069801</v>
      </c>
      <c r="B14" s="327" t="s">
        <v>1303</v>
      </c>
      <c r="C14" s="328"/>
      <c r="D14" s="328"/>
      <c r="E14" s="328">
        <f>'09'!F14</f>
        <v>0</v>
      </c>
      <c r="F14" s="325">
        <v>0</v>
      </c>
      <c r="G14" s="344" t="str">
        <f t="shared" si="0"/>
        <v/>
      </c>
      <c r="H14" s="344" t="str">
        <f t="shared" si="1"/>
        <v/>
      </c>
      <c r="I14" s="349" t="str">
        <f t="shared" si="2"/>
        <v>否</v>
      </c>
      <c r="J14" s="313" t="str">
        <f t="shared" si="3"/>
        <v>项</v>
      </c>
    </row>
    <row r="15" s="307" customFormat="1" ht="18.75" hidden="1" spans="1:10">
      <c r="A15" s="326">
        <v>2069802</v>
      </c>
      <c r="B15" s="327" t="s">
        <v>1304</v>
      </c>
      <c r="C15" s="328"/>
      <c r="D15" s="328"/>
      <c r="E15" s="328">
        <f>'09'!F15</f>
        <v>0</v>
      </c>
      <c r="F15" s="325">
        <v>0</v>
      </c>
      <c r="G15" s="344" t="str">
        <f t="shared" si="0"/>
        <v/>
      </c>
      <c r="H15" s="344" t="str">
        <f t="shared" si="1"/>
        <v/>
      </c>
      <c r="I15" s="349" t="str">
        <f t="shared" si="2"/>
        <v>否</v>
      </c>
      <c r="J15" s="313" t="str">
        <f t="shared" si="3"/>
        <v>项</v>
      </c>
    </row>
    <row r="16" s="307" customFormat="1" ht="18.75" hidden="1" spans="1:10">
      <c r="A16" s="326">
        <v>2069803</v>
      </c>
      <c r="B16" s="327" t="s">
        <v>1305</v>
      </c>
      <c r="C16" s="328"/>
      <c r="D16" s="328"/>
      <c r="E16" s="328">
        <f>'09'!F16</f>
        <v>0</v>
      </c>
      <c r="F16" s="325">
        <v>0</v>
      </c>
      <c r="G16" s="344" t="str">
        <f t="shared" si="0"/>
        <v/>
      </c>
      <c r="H16" s="344" t="str">
        <f t="shared" si="1"/>
        <v/>
      </c>
      <c r="I16" s="349" t="str">
        <f t="shared" si="2"/>
        <v>否</v>
      </c>
      <c r="J16" s="313" t="str">
        <f t="shared" si="3"/>
        <v>项</v>
      </c>
    </row>
    <row r="17" s="307" customFormat="1" ht="18.75" hidden="1" spans="1:10">
      <c r="A17" s="326">
        <v>2069804</v>
      </c>
      <c r="B17" s="327" t="s">
        <v>1306</v>
      </c>
      <c r="C17" s="328"/>
      <c r="D17" s="328"/>
      <c r="E17" s="328">
        <f>'09'!F17</f>
        <v>0</v>
      </c>
      <c r="F17" s="325">
        <v>0</v>
      </c>
      <c r="G17" s="344" t="str">
        <f t="shared" si="0"/>
        <v/>
      </c>
      <c r="H17" s="344" t="str">
        <f t="shared" si="1"/>
        <v/>
      </c>
      <c r="I17" s="349" t="str">
        <f t="shared" si="2"/>
        <v>否</v>
      </c>
      <c r="J17" s="313" t="str">
        <f t="shared" si="3"/>
        <v>项</v>
      </c>
    </row>
    <row r="18" s="307" customFormat="1" ht="18.75" hidden="1" spans="1:10">
      <c r="A18" s="326">
        <v>2069805</v>
      </c>
      <c r="B18" s="327" t="s">
        <v>1307</v>
      </c>
      <c r="C18" s="328"/>
      <c r="D18" s="328"/>
      <c r="E18" s="328">
        <f>'09'!F18</f>
        <v>0</v>
      </c>
      <c r="F18" s="325">
        <v>0</v>
      </c>
      <c r="G18" s="344" t="str">
        <f t="shared" si="0"/>
        <v/>
      </c>
      <c r="H18" s="344" t="str">
        <f t="shared" si="1"/>
        <v/>
      </c>
      <c r="I18" s="349" t="str">
        <f t="shared" si="2"/>
        <v>否</v>
      </c>
      <c r="J18" s="313" t="str">
        <f t="shared" si="3"/>
        <v>项</v>
      </c>
    </row>
    <row r="19" s="307" customFormat="1" ht="18.75" hidden="1" spans="1:10">
      <c r="A19" s="326">
        <v>2069899</v>
      </c>
      <c r="B19" s="327" t="s">
        <v>1308</v>
      </c>
      <c r="C19" s="328"/>
      <c r="D19" s="328"/>
      <c r="E19" s="328">
        <f>'09'!F19</f>
        <v>0</v>
      </c>
      <c r="F19" s="325">
        <v>0</v>
      </c>
      <c r="G19" s="344" t="str">
        <f t="shared" si="0"/>
        <v/>
      </c>
      <c r="H19" s="344" t="str">
        <f t="shared" si="1"/>
        <v/>
      </c>
      <c r="I19" s="349" t="str">
        <f t="shared" si="2"/>
        <v>否</v>
      </c>
      <c r="J19" s="313" t="str">
        <f t="shared" si="3"/>
        <v>项</v>
      </c>
    </row>
    <row r="20" ht="18.75" spans="1:10">
      <c r="A20" s="329">
        <v>207</v>
      </c>
      <c r="B20" s="324" t="s">
        <v>1309</v>
      </c>
      <c r="C20" s="325">
        <f>C21+C27+C33+C36</f>
        <v>0</v>
      </c>
      <c r="D20" s="325">
        <f>D21+D27+D33+D36</f>
        <v>0</v>
      </c>
      <c r="E20" s="325">
        <f>E21+E27+E33+E36</f>
        <v>133</v>
      </c>
      <c r="F20" s="325">
        <f>F21+F27+F33+F36</f>
        <v>259</v>
      </c>
      <c r="G20" s="343" t="str">
        <f t="shared" si="0"/>
        <v/>
      </c>
      <c r="H20" s="343">
        <f t="shared" si="1"/>
        <v>0.947368421052632</v>
      </c>
      <c r="I20" s="349" t="str">
        <f t="shared" si="2"/>
        <v>是</v>
      </c>
      <c r="J20" s="313" t="str">
        <f t="shared" si="3"/>
        <v>类</v>
      </c>
    </row>
    <row r="21" ht="18.75" hidden="1" spans="1:10">
      <c r="A21" s="330">
        <v>20707</v>
      </c>
      <c r="B21" s="327" t="s">
        <v>1310</v>
      </c>
      <c r="C21" s="325">
        <f>SUM(C22:C26)</f>
        <v>0</v>
      </c>
      <c r="D21" s="325">
        <f>SUM(D22:D26)</f>
        <v>0</v>
      </c>
      <c r="E21" s="325">
        <f>SUM(E22:E26)</f>
        <v>0</v>
      </c>
      <c r="F21" s="325">
        <v>0</v>
      </c>
      <c r="G21" s="343" t="str">
        <f t="shared" si="0"/>
        <v/>
      </c>
      <c r="H21" s="343" t="str">
        <f t="shared" si="1"/>
        <v/>
      </c>
      <c r="I21" s="349" t="str">
        <f t="shared" si="2"/>
        <v>否</v>
      </c>
      <c r="J21" s="313" t="str">
        <f t="shared" si="3"/>
        <v>款</v>
      </c>
    </row>
    <row r="22" ht="18.75" hidden="1" spans="1:10">
      <c r="A22" s="330">
        <v>2070701</v>
      </c>
      <c r="B22" s="327" t="s">
        <v>1311</v>
      </c>
      <c r="C22" s="328"/>
      <c r="D22" s="328"/>
      <c r="E22" s="328">
        <f>'09'!F22</f>
        <v>0</v>
      </c>
      <c r="F22" s="325">
        <v>0</v>
      </c>
      <c r="G22" s="344" t="str">
        <f t="shared" si="0"/>
        <v/>
      </c>
      <c r="H22" s="344" t="str">
        <f t="shared" si="1"/>
        <v/>
      </c>
      <c r="I22" s="349" t="str">
        <f t="shared" si="2"/>
        <v>否</v>
      </c>
      <c r="J22" s="313" t="str">
        <f t="shared" si="3"/>
        <v>项</v>
      </c>
    </row>
    <row r="23" ht="18.75" hidden="1" spans="1:10">
      <c r="A23" s="330">
        <v>2070702</v>
      </c>
      <c r="B23" s="327" t="s">
        <v>1312</v>
      </c>
      <c r="C23" s="328"/>
      <c r="D23" s="328"/>
      <c r="E23" s="328">
        <f>'09'!F23</f>
        <v>0</v>
      </c>
      <c r="F23" s="325">
        <v>0</v>
      </c>
      <c r="G23" s="344" t="str">
        <f t="shared" si="0"/>
        <v/>
      </c>
      <c r="H23" s="344" t="str">
        <f t="shared" si="1"/>
        <v/>
      </c>
      <c r="I23" s="349" t="str">
        <f t="shared" si="2"/>
        <v>否</v>
      </c>
      <c r="J23" s="313" t="str">
        <f t="shared" si="3"/>
        <v>项</v>
      </c>
    </row>
    <row r="24" ht="18.75" hidden="1" spans="1:10">
      <c r="A24" s="330">
        <v>2070703</v>
      </c>
      <c r="B24" s="327" t="s">
        <v>1313</v>
      </c>
      <c r="C24" s="328"/>
      <c r="D24" s="328"/>
      <c r="E24" s="328">
        <f>'09'!F24</f>
        <v>0</v>
      </c>
      <c r="F24" s="325">
        <v>0</v>
      </c>
      <c r="G24" s="344" t="str">
        <f t="shared" si="0"/>
        <v/>
      </c>
      <c r="H24" s="344" t="str">
        <f t="shared" si="1"/>
        <v/>
      </c>
      <c r="I24" s="349" t="str">
        <f t="shared" si="2"/>
        <v>否</v>
      </c>
      <c r="J24" s="313" t="str">
        <f t="shared" si="3"/>
        <v>项</v>
      </c>
    </row>
    <row r="25" ht="18.75" hidden="1" spans="1:10">
      <c r="A25" s="330">
        <v>2070704</v>
      </c>
      <c r="B25" s="327" t="s">
        <v>1906</v>
      </c>
      <c r="C25" s="328"/>
      <c r="D25" s="328"/>
      <c r="E25" s="328">
        <f>'09'!F25</f>
        <v>0</v>
      </c>
      <c r="F25" s="325">
        <v>0</v>
      </c>
      <c r="G25" s="344" t="str">
        <f t="shared" si="0"/>
        <v/>
      </c>
      <c r="H25" s="344" t="str">
        <f t="shared" si="1"/>
        <v/>
      </c>
      <c r="I25" s="349" t="str">
        <f t="shared" si="2"/>
        <v>否</v>
      </c>
      <c r="J25" s="313" t="str">
        <f t="shared" si="3"/>
        <v>项</v>
      </c>
    </row>
    <row r="26" ht="18.75" hidden="1" spans="1:10">
      <c r="A26" s="330">
        <v>2070799</v>
      </c>
      <c r="B26" s="327" t="s">
        <v>1315</v>
      </c>
      <c r="C26" s="328"/>
      <c r="D26" s="328"/>
      <c r="E26" s="328">
        <f>'09'!F26</f>
        <v>0</v>
      </c>
      <c r="F26" s="325">
        <v>0</v>
      </c>
      <c r="G26" s="344" t="str">
        <f t="shared" si="0"/>
        <v/>
      </c>
      <c r="H26" s="344" t="str">
        <f t="shared" si="1"/>
        <v/>
      </c>
      <c r="I26" s="349" t="str">
        <f t="shared" si="2"/>
        <v>否</v>
      </c>
      <c r="J26" s="313" t="str">
        <f t="shared" si="3"/>
        <v>项</v>
      </c>
    </row>
    <row r="27" ht="18.75" spans="1:10">
      <c r="A27" s="330">
        <v>20709</v>
      </c>
      <c r="B27" s="327" t="s">
        <v>1316</v>
      </c>
      <c r="C27" s="325">
        <f>SUM(C28:C32)</f>
        <v>0</v>
      </c>
      <c r="D27" s="325">
        <f>SUM(D28:D32)</f>
        <v>0</v>
      </c>
      <c r="E27" s="325">
        <f>SUM(E28:E32)</f>
        <v>133</v>
      </c>
      <c r="F27" s="325">
        <f>SUM(F28:F32)</f>
        <v>259</v>
      </c>
      <c r="G27" s="343" t="str">
        <f t="shared" si="0"/>
        <v/>
      </c>
      <c r="H27" s="343">
        <f t="shared" si="1"/>
        <v>0.947368421052632</v>
      </c>
      <c r="I27" s="349" t="str">
        <f t="shared" si="2"/>
        <v>是</v>
      </c>
      <c r="J27" s="313" t="str">
        <f t="shared" si="3"/>
        <v>款</v>
      </c>
    </row>
    <row r="28" ht="18.75" spans="1:10">
      <c r="A28" s="330">
        <v>2070901</v>
      </c>
      <c r="B28" s="327" t="s">
        <v>1317</v>
      </c>
      <c r="C28" s="328"/>
      <c r="D28" s="328"/>
      <c r="E28" s="328">
        <f>'09'!F28</f>
        <v>60</v>
      </c>
      <c r="F28" s="328">
        <v>0</v>
      </c>
      <c r="G28" s="344" t="str">
        <f t="shared" si="0"/>
        <v/>
      </c>
      <c r="H28" s="344">
        <f t="shared" si="1"/>
        <v>-1</v>
      </c>
      <c r="I28" s="349" t="str">
        <f t="shared" si="2"/>
        <v>是</v>
      </c>
      <c r="J28" s="313" t="str">
        <f t="shared" si="3"/>
        <v>项</v>
      </c>
    </row>
    <row r="29" ht="18.75" hidden="1" spans="1:10">
      <c r="A29" s="330">
        <v>2070902</v>
      </c>
      <c r="B29" s="327" t="s">
        <v>1318</v>
      </c>
      <c r="C29" s="328"/>
      <c r="D29" s="328"/>
      <c r="E29" s="328">
        <f>'09'!F29</f>
        <v>0</v>
      </c>
      <c r="F29" s="325">
        <v>0</v>
      </c>
      <c r="G29" s="344" t="str">
        <f t="shared" si="0"/>
        <v/>
      </c>
      <c r="H29" s="344" t="str">
        <f t="shared" si="1"/>
        <v/>
      </c>
      <c r="I29" s="349" t="str">
        <f t="shared" si="2"/>
        <v>否</v>
      </c>
      <c r="J29" s="313" t="str">
        <f t="shared" si="3"/>
        <v>项</v>
      </c>
    </row>
    <row r="30" ht="18.75" spans="1:10">
      <c r="A30" s="330">
        <v>2070903</v>
      </c>
      <c r="B30" s="327" t="s">
        <v>1319</v>
      </c>
      <c r="C30" s="328"/>
      <c r="D30" s="328"/>
      <c r="E30" s="328">
        <f>'09'!F30</f>
        <v>16</v>
      </c>
      <c r="F30" s="328">
        <v>0</v>
      </c>
      <c r="G30" s="344" t="str">
        <f t="shared" si="0"/>
        <v/>
      </c>
      <c r="H30" s="344">
        <f t="shared" si="1"/>
        <v>-1</v>
      </c>
      <c r="I30" s="349" t="str">
        <f t="shared" si="2"/>
        <v>是</v>
      </c>
      <c r="J30" s="313" t="str">
        <f t="shared" si="3"/>
        <v>项</v>
      </c>
    </row>
    <row r="31" ht="18.75" spans="1:10">
      <c r="A31" s="330">
        <v>2070904</v>
      </c>
      <c r="B31" s="327" t="s">
        <v>1320</v>
      </c>
      <c r="C31" s="328"/>
      <c r="D31" s="328"/>
      <c r="E31" s="328">
        <f>'09'!F31</f>
        <v>57</v>
      </c>
      <c r="F31" s="328">
        <v>259</v>
      </c>
      <c r="G31" s="344" t="str">
        <f t="shared" si="0"/>
        <v/>
      </c>
      <c r="H31" s="344">
        <f t="shared" si="1"/>
        <v>3.54385964912281</v>
      </c>
      <c r="I31" s="349" t="str">
        <f t="shared" si="2"/>
        <v>是</v>
      </c>
      <c r="J31" s="313" t="str">
        <f t="shared" si="3"/>
        <v>项</v>
      </c>
    </row>
    <row r="32" ht="18.75" hidden="1" spans="1:10">
      <c r="A32" s="330">
        <v>2070999</v>
      </c>
      <c r="B32" s="327" t="s">
        <v>1321</v>
      </c>
      <c r="C32" s="328"/>
      <c r="D32" s="328"/>
      <c r="E32" s="328">
        <f>'09'!F32</f>
        <v>0</v>
      </c>
      <c r="F32" s="325">
        <v>0</v>
      </c>
      <c r="G32" s="344" t="str">
        <f t="shared" si="0"/>
        <v/>
      </c>
      <c r="H32" s="344" t="str">
        <f t="shared" si="1"/>
        <v/>
      </c>
      <c r="I32" s="349" t="str">
        <f t="shared" si="2"/>
        <v>否</v>
      </c>
      <c r="J32" s="313" t="str">
        <f t="shared" si="3"/>
        <v>项</v>
      </c>
    </row>
    <row r="33" ht="37.5" hidden="1" spans="1:10">
      <c r="A33" s="330">
        <v>20710</v>
      </c>
      <c r="B33" s="327" t="s">
        <v>1322</v>
      </c>
      <c r="C33" s="325"/>
      <c r="D33" s="325"/>
      <c r="E33" s="325"/>
      <c r="F33" s="325">
        <v>0</v>
      </c>
      <c r="G33" s="343" t="str">
        <f t="shared" si="0"/>
        <v/>
      </c>
      <c r="H33" s="343" t="str">
        <f t="shared" si="1"/>
        <v/>
      </c>
      <c r="I33" s="349" t="str">
        <f t="shared" si="2"/>
        <v>否</v>
      </c>
      <c r="J33" s="313" t="str">
        <f t="shared" si="3"/>
        <v>款</v>
      </c>
    </row>
    <row r="34" ht="18.75" hidden="1" spans="1:10">
      <c r="A34" s="330">
        <v>2071001</v>
      </c>
      <c r="B34" s="327" t="s">
        <v>1323</v>
      </c>
      <c r="C34" s="328"/>
      <c r="D34" s="328"/>
      <c r="E34" s="328">
        <f>'09'!F34</f>
        <v>0</v>
      </c>
      <c r="F34" s="325">
        <v>0</v>
      </c>
      <c r="G34" s="344" t="str">
        <f t="shared" si="0"/>
        <v/>
      </c>
      <c r="H34" s="344" t="str">
        <f t="shared" si="1"/>
        <v/>
      </c>
      <c r="I34" s="349" t="str">
        <f t="shared" si="2"/>
        <v>否</v>
      </c>
      <c r="J34" s="313" t="str">
        <f t="shared" si="3"/>
        <v>项</v>
      </c>
    </row>
    <row r="35" ht="37.5" hidden="1" spans="1:10">
      <c r="A35" s="330">
        <v>2071099</v>
      </c>
      <c r="B35" s="327" t="s">
        <v>1324</v>
      </c>
      <c r="C35" s="328"/>
      <c r="D35" s="328"/>
      <c r="E35" s="328">
        <f>'09'!F35</f>
        <v>0</v>
      </c>
      <c r="F35" s="325">
        <v>0</v>
      </c>
      <c r="G35" s="344" t="str">
        <f t="shared" si="0"/>
        <v/>
      </c>
      <c r="H35" s="344" t="str">
        <f t="shared" si="1"/>
        <v/>
      </c>
      <c r="I35" s="349" t="str">
        <f t="shared" si="2"/>
        <v>否</v>
      </c>
      <c r="J35" s="313" t="str">
        <f t="shared" si="3"/>
        <v>项</v>
      </c>
    </row>
    <row r="36" s="308" customFormat="1" ht="18.75" hidden="1" spans="1:10">
      <c r="A36" s="331">
        <v>20798</v>
      </c>
      <c r="B36" s="327" t="s">
        <v>1296</v>
      </c>
      <c r="C36" s="325">
        <f>SUM(C37:C42)</f>
        <v>0</v>
      </c>
      <c r="D36" s="325">
        <f>SUM(D37:D42)</f>
        <v>0</v>
      </c>
      <c r="E36" s="325">
        <f>SUM(E37:E42)</f>
        <v>0</v>
      </c>
      <c r="F36" s="325">
        <v>0</v>
      </c>
      <c r="G36" s="343" t="str">
        <f t="shared" si="0"/>
        <v/>
      </c>
      <c r="H36" s="343" t="str">
        <f t="shared" si="1"/>
        <v/>
      </c>
      <c r="I36" s="349" t="str">
        <f t="shared" si="2"/>
        <v>否</v>
      </c>
      <c r="J36" s="313" t="str">
        <f t="shared" si="3"/>
        <v>款</v>
      </c>
    </row>
    <row r="37" s="308" customFormat="1" ht="18.75" hidden="1" spans="1:10">
      <c r="A37" s="331">
        <v>2079801</v>
      </c>
      <c r="B37" s="327" t="s">
        <v>1325</v>
      </c>
      <c r="C37" s="325"/>
      <c r="D37" s="325"/>
      <c r="E37" s="328">
        <f>'09'!F37</f>
        <v>0</v>
      </c>
      <c r="F37" s="325">
        <v>0</v>
      </c>
      <c r="G37" s="344" t="str">
        <f t="shared" si="0"/>
        <v/>
      </c>
      <c r="H37" s="344" t="str">
        <f t="shared" si="1"/>
        <v/>
      </c>
      <c r="I37" s="349" t="str">
        <f t="shared" si="2"/>
        <v>否</v>
      </c>
      <c r="J37" s="313" t="str">
        <f t="shared" si="3"/>
        <v>项</v>
      </c>
    </row>
    <row r="38" s="308" customFormat="1" ht="18.75" hidden="1" spans="1:10">
      <c r="A38" s="331">
        <v>2079802</v>
      </c>
      <c r="B38" s="327" t="s">
        <v>1326</v>
      </c>
      <c r="C38" s="325"/>
      <c r="D38" s="325"/>
      <c r="E38" s="328">
        <f>'09'!F38</f>
        <v>0</v>
      </c>
      <c r="F38" s="325">
        <v>0</v>
      </c>
      <c r="G38" s="344" t="str">
        <f t="shared" si="0"/>
        <v/>
      </c>
      <c r="H38" s="344" t="str">
        <f t="shared" si="1"/>
        <v/>
      </c>
      <c r="I38" s="349" t="str">
        <f t="shared" si="2"/>
        <v>否</v>
      </c>
      <c r="J38" s="313" t="str">
        <f t="shared" si="3"/>
        <v>项</v>
      </c>
    </row>
    <row r="39" s="308" customFormat="1" ht="18.75" hidden="1" spans="1:10">
      <c r="A39" s="331">
        <v>2079803</v>
      </c>
      <c r="B39" s="327" t="s">
        <v>1327</v>
      </c>
      <c r="C39" s="325"/>
      <c r="D39" s="325"/>
      <c r="E39" s="328">
        <f>'09'!F39</f>
        <v>0</v>
      </c>
      <c r="F39" s="325">
        <v>0</v>
      </c>
      <c r="G39" s="344" t="str">
        <f t="shared" si="0"/>
        <v/>
      </c>
      <c r="H39" s="344" t="str">
        <f t="shared" si="1"/>
        <v/>
      </c>
      <c r="I39" s="349" t="str">
        <f t="shared" si="2"/>
        <v>否</v>
      </c>
      <c r="J39" s="313" t="str">
        <f t="shared" si="3"/>
        <v>项</v>
      </c>
    </row>
    <row r="40" s="308" customFormat="1" ht="18.75" hidden="1" spans="1:10">
      <c r="A40" s="331">
        <v>2079804</v>
      </c>
      <c r="B40" s="327" t="s">
        <v>1328</v>
      </c>
      <c r="C40" s="325"/>
      <c r="D40" s="325"/>
      <c r="E40" s="328">
        <f>'09'!F40</f>
        <v>0</v>
      </c>
      <c r="F40" s="325">
        <v>0</v>
      </c>
      <c r="G40" s="344" t="str">
        <f t="shared" si="0"/>
        <v/>
      </c>
      <c r="H40" s="344" t="str">
        <f t="shared" si="1"/>
        <v/>
      </c>
      <c r="I40" s="349" t="str">
        <f t="shared" si="2"/>
        <v>否</v>
      </c>
      <c r="J40" s="313" t="str">
        <f t="shared" si="3"/>
        <v>项</v>
      </c>
    </row>
    <row r="41" s="308" customFormat="1" ht="18.75" hidden="1" spans="1:10">
      <c r="A41" s="331">
        <v>2079805</v>
      </c>
      <c r="B41" s="327" t="s">
        <v>1329</v>
      </c>
      <c r="C41" s="325"/>
      <c r="D41" s="325"/>
      <c r="E41" s="328">
        <f>'09'!F41</f>
        <v>0</v>
      </c>
      <c r="F41" s="325">
        <v>0</v>
      </c>
      <c r="G41" s="344" t="str">
        <f t="shared" si="0"/>
        <v/>
      </c>
      <c r="H41" s="344" t="str">
        <f t="shared" si="1"/>
        <v/>
      </c>
      <c r="I41" s="349" t="str">
        <f t="shared" si="2"/>
        <v>否</v>
      </c>
      <c r="J41" s="313" t="str">
        <f t="shared" si="3"/>
        <v>项</v>
      </c>
    </row>
    <row r="42" s="308" customFormat="1" ht="18.75" hidden="1" spans="1:10">
      <c r="A42" s="331">
        <v>2079899</v>
      </c>
      <c r="B42" s="327" t="s">
        <v>579</v>
      </c>
      <c r="C42" s="325"/>
      <c r="D42" s="325"/>
      <c r="E42" s="328">
        <f>'09'!F42</f>
        <v>0</v>
      </c>
      <c r="F42" s="325">
        <v>0</v>
      </c>
      <c r="G42" s="344" t="str">
        <f t="shared" si="0"/>
        <v/>
      </c>
      <c r="H42" s="344" t="str">
        <f t="shared" si="1"/>
        <v/>
      </c>
      <c r="I42" s="349" t="str">
        <f t="shared" si="2"/>
        <v>否</v>
      </c>
      <c r="J42" s="313" t="str">
        <f t="shared" si="3"/>
        <v>项</v>
      </c>
    </row>
    <row r="43" s="309" customFormat="1" ht="18.75" spans="1:10">
      <c r="A43" s="332">
        <v>208</v>
      </c>
      <c r="B43" s="333" t="s">
        <v>1330</v>
      </c>
      <c r="C43" s="325"/>
      <c r="D43" s="325"/>
      <c r="E43" s="325"/>
      <c r="F43" s="325">
        <v>0</v>
      </c>
      <c r="G43" s="343" t="str">
        <f t="shared" si="0"/>
        <v/>
      </c>
      <c r="H43" s="343" t="str">
        <f t="shared" si="1"/>
        <v/>
      </c>
      <c r="I43" s="349" t="str">
        <f t="shared" si="2"/>
        <v>是</v>
      </c>
      <c r="J43" s="309" t="str">
        <f t="shared" si="3"/>
        <v>类</v>
      </c>
    </row>
    <row r="44" s="309" customFormat="1" ht="18.75" hidden="1" spans="1:10">
      <c r="A44" s="334">
        <v>20898</v>
      </c>
      <c r="B44" s="335" t="s">
        <v>1331</v>
      </c>
      <c r="C44" s="325"/>
      <c r="D44" s="325"/>
      <c r="E44" s="325"/>
      <c r="F44" s="325">
        <v>0</v>
      </c>
      <c r="G44" s="343" t="str">
        <f t="shared" si="0"/>
        <v/>
      </c>
      <c r="H44" s="343" t="str">
        <f t="shared" si="1"/>
        <v/>
      </c>
      <c r="I44" s="349" t="str">
        <f t="shared" si="2"/>
        <v>否</v>
      </c>
      <c r="J44" s="309" t="str">
        <f t="shared" si="3"/>
        <v>款</v>
      </c>
    </row>
    <row r="45" s="309" customFormat="1" ht="18.75" hidden="1" spans="1:10">
      <c r="A45" s="334">
        <v>2089801</v>
      </c>
      <c r="B45" s="335" t="s">
        <v>1332</v>
      </c>
      <c r="C45" s="328"/>
      <c r="D45" s="328"/>
      <c r="E45" s="328">
        <f>'09'!F45</f>
        <v>0</v>
      </c>
      <c r="F45" s="325">
        <v>0</v>
      </c>
      <c r="G45" s="344" t="str">
        <f t="shared" si="0"/>
        <v/>
      </c>
      <c r="H45" s="344" t="str">
        <f t="shared" si="1"/>
        <v/>
      </c>
      <c r="I45" s="349" t="str">
        <f t="shared" si="2"/>
        <v>否</v>
      </c>
      <c r="J45" s="309" t="str">
        <f t="shared" si="3"/>
        <v>项</v>
      </c>
    </row>
    <row r="46" s="309" customFormat="1" ht="18.75" hidden="1" spans="1:10">
      <c r="A46" s="334">
        <v>2089802</v>
      </c>
      <c r="B46" s="335" t="s">
        <v>1333</v>
      </c>
      <c r="C46" s="328"/>
      <c r="D46" s="328"/>
      <c r="E46" s="328">
        <f>'09'!F46</f>
        <v>0</v>
      </c>
      <c r="F46" s="325">
        <v>0</v>
      </c>
      <c r="G46" s="344" t="str">
        <f t="shared" si="0"/>
        <v/>
      </c>
      <c r="H46" s="344" t="str">
        <f t="shared" si="1"/>
        <v/>
      </c>
      <c r="I46" s="349" t="str">
        <f t="shared" si="2"/>
        <v>否</v>
      </c>
      <c r="J46" s="309" t="str">
        <f t="shared" si="3"/>
        <v>项</v>
      </c>
    </row>
    <row r="47" s="309" customFormat="1" ht="18.75" hidden="1" spans="1:10">
      <c r="A47" s="334">
        <v>2089899</v>
      </c>
      <c r="B47" s="335" t="s">
        <v>1334</v>
      </c>
      <c r="C47" s="328"/>
      <c r="D47" s="328"/>
      <c r="E47" s="328">
        <f>'09'!F47</f>
        <v>0</v>
      </c>
      <c r="F47" s="325">
        <v>0</v>
      </c>
      <c r="G47" s="344" t="str">
        <f t="shared" si="0"/>
        <v/>
      </c>
      <c r="H47" s="344" t="str">
        <f t="shared" si="1"/>
        <v/>
      </c>
      <c r="I47" s="349" t="str">
        <f t="shared" si="2"/>
        <v>否</v>
      </c>
      <c r="J47" s="309" t="str">
        <f t="shared" si="3"/>
        <v>项</v>
      </c>
    </row>
    <row r="48" s="309" customFormat="1" ht="18.75" spans="1:10">
      <c r="A48" s="332">
        <v>210</v>
      </c>
      <c r="B48" s="333" t="s">
        <v>1335</v>
      </c>
      <c r="C48" s="325"/>
      <c r="D48" s="325"/>
      <c r="E48" s="325"/>
      <c r="F48" s="325">
        <v>0</v>
      </c>
      <c r="G48" s="343" t="str">
        <f t="shared" si="0"/>
        <v/>
      </c>
      <c r="H48" s="343" t="str">
        <f t="shared" si="1"/>
        <v/>
      </c>
      <c r="I48" s="349" t="str">
        <f t="shared" si="2"/>
        <v>是</v>
      </c>
      <c r="J48" s="309" t="str">
        <f t="shared" si="3"/>
        <v>类</v>
      </c>
    </row>
    <row r="49" s="309" customFormat="1" ht="18.75" hidden="1" spans="1:10">
      <c r="A49" s="334">
        <v>21098</v>
      </c>
      <c r="B49" s="335" t="s">
        <v>1331</v>
      </c>
      <c r="C49" s="325"/>
      <c r="D49" s="325"/>
      <c r="E49" s="325"/>
      <c r="F49" s="325">
        <v>0</v>
      </c>
      <c r="G49" s="343" t="str">
        <f t="shared" si="0"/>
        <v/>
      </c>
      <c r="H49" s="343" t="str">
        <f t="shared" si="1"/>
        <v/>
      </c>
      <c r="I49" s="349" t="str">
        <f t="shared" si="2"/>
        <v>否</v>
      </c>
      <c r="J49" s="309" t="str">
        <f t="shared" si="3"/>
        <v>款</v>
      </c>
    </row>
    <row r="50" s="309" customFormat="1" ht="18.75" hidden="1" spans="1:10">
      <c r="A50" s="334">
        <v>2109801</v>
      </c>
      <c r="B50" s="335" t="s">
        <v>1336</v>
      </c>
      <c r="C50" s="328"/>
      <c r="D50" s="328"/>
      <c r="E50" s="328">
        <f>'09'!F50</f>
        <v>0</v>
      </c>
      <c r="F50" s="325">
        <v>0</v>
      </c>
      <c r="G50" s="344" t="str">
        <f t="shared" si="0"/>
        <v/>
      </c>
      <c r="H50" s="344" t="str">
        <f t="shared" si="1"/>
        <v/>
      </c>
      <c r="I50" s="349" t="str">
        <f t="shared" si="2"/>
        <v>否</v>
      </c>
      <c r="J50" s="309" t="str">
        <f t="shared" si="3"/>
        <v>项</v>
      </c>
    </row>
    <row r="51" s="309" customFormat="1" ht="18.75" hidden="1" spans="1:10">
      <c r="A51" s="334">
        <v>2109802</v>
      </c>
      <c r="B51" s="335" t="s">
        <v>1337</v>
      </c>
      <c r="C51" s="328"/>
      <c r="D51" s="328"/>
      <c r="E51" s="328">
        <f>'09'!F51</f>
        <v>0</v>
      </c>
      <c r="F51" s="325">
        <v>0</v>
      </c>
      <c r="G51" s="344" t="str">
        <f t="shared" si="0"/>
        <v/>
      </c>
      <c r="H51" s="344" t="str">
        <f t="shared" si="1"/>
        <v/>
      </c>
      <c r="I51" s="349" t="str">
        <f t="shared" si="2"/>
        <v>否</v>
      </c>
      <c r="J51" s="309" t="str">
        <f t="shared" si="3"/>
        <v>项</v>
      </c>
    </row>
    <row r="52" s="309" customFormat="1" ht="18.75" hidden="1" spans="1:10">
      <c r="A52" s="334">
        <v>2109803</v>
      </c>
      <c r="B52" s="335" t="s">
        <v>1338</v>
      </c>
      <c r="C52" s="328"/>
      <c r="D52" s="328"/>
      <c r="E52" s="328">
        <f>'09'!F52</f>
        <v>0</v>
      </c>
      <c r="F52" s="325">
        <v>0</v>
      </c>
      <c r="G52" s="344" t="str">
        <f t="shared" si="0"/>
        <v/>
      </c>
      <c r="H52" s="344" t="str">
        <f t="shared" si="1"/>
        <v/>
      </c>
      <c r="I52" s="349" t="str">
        <f t="shared" si="2"/>
        <v>否</v>
      </c>
      <c r="J52" s="309" t="str">
        <f t="shared" si="3"/>
        <v>项</v>
      </c>
    </row>
    <row r="53" s="309" customFormat="1" ht="18.75" hidden="1" spans="1:10">
      <c r="A53" s="336">
        <v>2109804</v>
      </c>
      <c r="B53" s="337" t="s">
        <v>1339</v>
      </c>
      <c r="C53" s="328"/>
      <c r="D53" s="328"/>
      <c r="E53" s="328">
        <f>'09'!F53</f>
        <v>0</v>
      </c>
      <c r="F53" s="325">
        <v>0</v>
      </c>
      <c r="G53" s="344" t="str">
        <f t="shared" si="0"/>
        <v/>
      </c>
      <c r="H53" s="344" t="str">
        <f t="shared" si="1"/>
        <v/>
      </c>
      <c r="I53" s="349" t="str">
        <f t="shared" si="2"/>
        <v>否</v>
      </c>
      <c r="J53" s="309" t="str">
        <f t="shared" si="3"/>
        <v>项</v>
      </c>
    </row>
    <row r="54" s="309" customFormat="1" ht="18.75" hidden="1" spans="1:10">
      <c r="A54" s="334">
        <v>2109899</v>
      </c>
      <c r="B54" s="338" t="s">
        <v>1340</v>
      </c>
      <c r="C54" s="328"/>
      <c r="D54" s="328"/>
      <c r="E54" s="328">
        <f>'09'!F54</f>
        <v>0</v>
      </c>
      <c r="F54" s="325">
        <v>0</v>
      </c>
      <c r="G54" s="344" t="str">
        <f t="shared" si="0"/>
        <v/>
      </c>
      <c r="H54" s="344" t="str">
        <f t="shared" si="1"/>
        <v/>
      </c>
      <c r="I54" s="349" t="str">
        <f t="shared" si="2"/>
        <v>否</v>
      </c>
      <c r="J54" s="309" t="str">
        <f t="shared" si="3"/>
        <v>项</v>
      </c>
    </row>
    <row r="55" ht="18.75" spans="1:10">
      <c r="A55" s="329">
        <v>211</v>
      </c>
      <c r="B55" s="324" t="s">
        <v>1341</v>
      </c>
      <c r="C55" s="325"/>
      <c r="D55" s="325"/>
      <c r="E55" s="325"/>
      <c r="F55" s="325">
        <v>0</v>
      </c>
      <c r="G55" s="343" t="str">
        <f t="shared" si="0"/>
        <v/>
      </c>
      <c r="H55" s="343" t="str">
        <f t="shared" si="1"/>
        <v/>
      </c>
      <c r="I55" s="349" t="str">
        <f t="shared" si="2"/>
        <v>是</v>
      </c>
      <c r="J55" s="313" t="str">
        <f t="shared" si="3"/>
        <v>类</v>
      </c>
    </row>
    <row r="56" ht="18.75" hidden="1" spans="1:10">
      <c r="A56" s="330">
        <v>21160</v>
      </c>
      <c r="B56" s="327" t="s">
        <v>1342</v>
      </c>
      <c r="C56" s="325"/>
      <c r="D56" s="325"/>
      <c r="E56" s="325"/>
      <c r="F56" s="325">
        <v>0</v>
      </c>
      <c r="G56" s="343" t="str">
        <f t="shared" si="0"/>
        <v/>
      </c>
      <c r="H56" s="343" t="str">
        <f t="shared" si="1"/>
        <v/>
      </c>
      <c r="I56" s="349" t="str">
        <f t="shared" si="2"/>
        <v>否</v>
      </c>
      <c r="J56" s="313" t="str">
        <f t="shared" si="3"/>
        <v>款</v>
      </c>
    </row>
    <row r="57" ht="18.75" hidden="1" spans="1:10">
      <c r="A57" s="339">
        <v>2116001</v>
      </c>
      <c r="B57" s="327" t="s">
        <v>1343</v>
      </c>
      <c r="C57" s="328"/>
      <c r="D57" s="328"/>
      <c r="E57" s="328">
        <f>'09'!F57</f>
        <v>0</v>
      </c>
      <c r="F57" s="325">
        <v>0</v>
      </c>
      <c r="G57" s="344" t="str">
        <f t="shared" si="0"/>
        <v/>
      </c>
      <c r="H57" s="344" t="str">
        <f t="shared" si="1"/>
        <v/>
      </c>
      <c r="I57" s="349" t="str">
        <f t="shared" si="2"/>
        <v>否</v>
      </c>
      <c r="J57" s="313" t="str">
        <f t="shared" si="3"/>
        <v>项</v>
      </c>
    </row>
    <row r="58" ht="18.75" hidden="1" spans="1:10">
      <c r="A58" s="339">
        <v>2116002</v>
      </c>
      <c r="B58" s="327" t="s">
        <v>1344</v>
      </c>
      <c r="C58" s="328"/>
      <c r="D58" s="328"/>
      <c r="E58" s="328">
        <f>'09'!F58</f>
        <v>0</v>
      </c>
      <c r="F58" s="325">
        <v>0</v>
      </c>
      <c r="G58" s="344" t="str">
        <f t="shared" si="0"/>
        <v/>
      </c>
      <c r="H58" s="344" t="str">
        <f t="shared" si="1"/>
        <v/>
      </c>
      <c r="I58" s="349" t="str">
        <f t="shared" si="2"/>
        <v>否</v>
      </c>
      <c r="J58" s="313" t="str">
        <f t="shared" si="3"/>
        <v>项</v>
      </c>
    </row>
    <row r="59" ht="18.75" hidden="1" spans="1:10">
      <c r="A59" s="339">
        <v>2116003</v>
      </c>
      <c r="B59" s="327" t="s">
        <v>1345</v>
      </c>
      <c r="C59" s="328"/>
      <c r="D59" s="328"/>
      <c r="E59" s="328">
        <f>'09'!F59</f>
        <v>0</v>
      </c>
      <c r="F59" s="325">
        <v>0</v>
      </c>
      <c r="G59" s="344" t="str">
        <f t="shared" si="0"/>
        <v/>
      </c>
      <c r="H59" s="344" t="str">
        <f t="shared" si="1"/>
        <v/>
      </c>
      <c r="I59" s="349" t="str">
        <f t="shared" si="2"/>
        <v>否</v>
      </c>
      <c r="J59" s="313" t="str">
        <f t="shared" si="3"/>
        <v>项</v>
      </c>
    </row>
    <row r="60" s="310" customFormat="1" ht="37.5" hidden="1" spans="1:10">
      <c r="A60" s="339">
        <v>2116099</v>
      </c>
      <c r="B60" s="327" t="s">
        <v>1346</v>
      </c>
      <c r="C60" s="328"/>
      <c r="D60" s="328"/>
      <c r="E60" s="328">
        <f>'09'!F60</f>
        <v>0</v>
      </c>
      <c r="F60" s="325">
        <v>0</v>
      </c>
      <c r="G60" s="344" t="str">
        <f t="shared" si="0"/>
        <v/>
      </c>
      <c r="H60" s="344" t="str">
        <f t="shared" si="1"/>
        <v/>
      </c>
      <c r="I60" s="349" t="str">
        <f t="shared" si="2"/>
        <v>否</v>
      </c>
      <c r="J60" s="313" t="str">
        <f t="shared" si="3"/>
        <v>项</v>
      </c>
    </row>
    <row r="61" ht="18.75" hidden="1" spans="1:10">
      <c r="A61" s="339">
        <v>21161</v>
      </c>
      <c r="B61" s="327" t="s">
        <v>1347</v>
      </c>
      <c r="C61" s="325"/>
      <c r="D61" s="325"/>
      <c r="E61" s="325"/>
      <c r="F61" s="325">
        <v>0</v>
      </c>
      <c r="G61" s="343" t="str">
        <f t="shared" si="0"/>
        <v/>
      </c>
      <c r="H61" s="343" t="str">
        <f t="shared" si="1"/>
        <v/>
      </c>
      <c r="I61" s="349" t="str">
        <f t="shared" si="2"/>
        <v>否</v>
      </c>
      <c r="J61" s="313" t="str">
        <f t="shared" si="3"/>
        <v>款</v>
      </c>
    </row>
    <row r="62" ht="18.75" hidden="1" spans="1:10">
      <c r="A62" s="339">
        <v>2116101</v>
      </c>
      <c r="B62" s="327" t="s">
        <v>1348</v>
      </c>
      <c r="C62" s="328"/>
      <c r="D62" s="328"/>
      <c r="E62" s="328">
        <f>'09'!F62</f>
        <v>0</v>
      </c>
      <c r="F62" s="325">
        <v>0</v>
      </c>
      <c r="G62" s="344" t="str">
        <f t="shared" si="0"/>
        <v/>
      </c>
      <c r="H62" s="344" t="str">
        <f t="shared" si="1"/>
        <v/>
      </c>
      <c r="I62" s="349" t="str">
        <f t="shared" si="2"/>
        <v>否</v>
      </c>
      <c r="J62" s="313" t="str">
        <f t="shared" si="3"/>
        <v>项</v>
      </c>
    </row>
    <row r="63" ht="18.75" hidden="1" spans="1:10">
      <c r="A63" s="339">
        <v>2116102</v>
      </c>
      <c r="B63" s="327" t="s">
        <v>1349</v>
      </c>
      <c r="C63" s="328"/>
      <c r="D63" s="328"/>
      <c r="E63" s="328">
        <f>'09'!F63</f>
        <v>0</v>
      </c>
      <c r="F63" s="325">
        <v>0</v>
      </c>
      <c r="G63" s="344" t="str">
        <f t="shared" si="0"/>
        <v/>
      </c>
      <c r="H63" s="344" t="str">
        <f t="shared" si="1"/>
        <v/>
      </c>
      <c r="I63" s="349" t="str">
        <f t="shared" si="2"/>
        <v>否</v>
      </c>
      <c r="J63" s="313" t="str">
        <f t="shared" si="3"/>
        <v>项</v>
      </c>
    </row>
    <row r="64" ht="18.75" hidden="1" spans="1:10">
      <c r="A64" s="339">
        <v>2116103</v>
      </c>
      <c r="B64" s="327" t="s">
        <v>1350</v>
      </c>
      <c r="C64" s="328"/>
      <c r="D64" s="328"/>
      <c r="E64" s="328">
        <f>'09'!F64</f>
        <v>0</v>
      </c>
      <c r="F64" s="325">
        <v>0</v>
      </c>
      <c r="G64" s="344" t="str">
        <f t="shared" si="0"/>
        <v/>
      </c>
      <c r="H64" s="344" t="str">
        <f t="shared" si="1"/>
        <v/>
      </c>
      <c r="I64" s="349" t="str">
        <f t="shared" si="2"/>
        <v>否</v>
      </c>
      <c r="J64" s="313" t="str">
        <f t="shared" si="3"/>
        <v>项</v>
      </c>
    </row>
    <row r="65" ht="18.75" hidden="1" spans="1:10">
      <c r="A65" s="339">
        <v>2116104</v>
      </c>
      <c r="B65" s="327" t="s">
        <v>1351</v>
      </c>
      <c r="C65" s="328"/>
      <c r="D65" s="328"/>
      <c r="E65" s="328">
        <f>'09'!F65</f>
        <v>0</v>
      </c>
      <c r="F65" s="325">
        <v>0</v>
      </c>
      <c r="G65" s="344" t="str">
        <f t="shared" si="0"/>
        <v/>
      </c>
      <c r="H65" s="344" t="str">
        <f t="shared" si="1"/>
        <v/>
      </c>
      <c r="I65" s="349" t="str">
        <f t="shared" si="2"/>
        <v>否</v>
      </c>
      <c r="J65" s="313" t="str">
        <f t="shared" si="3"/>
        <v>项</v>
      </c>
    </row>
    <row r="66" s="309" customFormat="1" ht="18.75" hidden="1" spans="1:10">
      <c r="A66" s="334">
        <v>21198</v>
      </c>
      <c r="B66" s="338" t="s">
        <v>1331</v>
      </c>
      <c r="C66" s="325"/>
      <c r="D66" s="325"/>
      <c r="E66" s="325"/>
      <c r="F66" s="325">
        <v>0</v>
      </c>
      <c r="G66" s="343" t="str">
        <f t="shared" si="0"/>
        <v/>
      </c>
      <c r="H66" s="343" t="str">
        <f t="shared" si="1"/>
        <v/>
      </c>
      <c r="I66" s="349" t="str">
        <f t="shared" si="2"/>
        <v>否</v>
      </c>
      <c r="J66" s="309" t="str">
        <f t="shared" si="3"/>
        <v>款</v>
      </c>
    </row>
    <row r="67" s="309" customFormat="1" ht="18.75" hidden="1" spans="1:10">
      <c r="A67" s="334">
        <v>2119801</v>
      </c>
      <c r="B67" s="338" t="s">
        <v>1352</v>
      </c>
      <c r="C67" s="328"/>
      <c r="D67" s="328"/>
      <c r="E67" s="328">
        <f>'09'!F67</f>
        <v>0</v>
      </c>
      <c r="F67" s="325">
        <v>0</v>
      </c>
      <c r="G67" s="344" t="str">
        <f t="shared" si="0"/>
        <v/>
      </c>
      <c r="H67" s="344" t="str">
        <f t="shared" si="1"/>
        <v/>
      </c>
      <c r="I67" s="349" t="str">
        <f t="shared" si="2"/>
        <v>否</v>
      </c>
      <c r="J67" s="309" t="str">
        <f t="shared" si="3"/>
        <v>项</v>
      </c>
    </row>
    <row r="68" s="309" customFormat="1" ht="18.75" hidden="1" spans="1:10">
      <c r="A68" s="334">
        <v>2119802</v>
      </c>
      <c r="B68" s="338" t="s">
        <v>1353</v>
      </c>
      <c r="C68" s="328"/>
      <c r="D68" s="328"/>
      <c r="E68" s="328">
        <f>'09'!F68</f>
        <v>0</v>
      </c>
      <c r="F68" s="325">
        <v>0</v>
      </c>
      <c r="G68" s="344" t="str">
        <f t="shared" si="0"/>
        <v/>
      </c>
      <c r="H68" s="344" t="str">
        <f t="shared" si="1"/>
        <v/>
      </c>
      <c r="I68" s="349" t="str">
        <f t="shared" si="2"/>
        <v>否</v>
      </c>
      <c r="J68" s="309" t="str">
        <f t="shared" si="3"/>
        <v>项</v>
      </c>
    </row>
    <row r="69" s="309" customFormat="1" ht="18.75" hidden="1" spans="1:10">
      <c r="A69" s="334">
        <v>2119803</v>
      </c>
      <c r="B69" s="338" t="s">
        <v>1354</v>
      </c>
      <c r="C69" s="328"/>
      <c r="D69" s="328"/>
      <c r="E69" s="328">
        <f>'09'!F69</f>
        <v>0</v>
      </c>
      <c r="F69" s="325">
        <v>0</v>
      </c>
      <c r="G69" s="344" t="str">
        <f t="shared" si="0"/>
        <v/>
      </c>
      <c r="H69" s="344" t="str">
        <f t="shared" si="1"/>
        <v/>
      </c>
      <c r="I69" s="349" t="str">
        <f t="shared" si="2"/>
        <v>否</v>
      </c>
      <c r="J69" s="309" t="str">
        <f t="shared" ref="J69:J132" si="4">IF(LEN(A69)=3,"类",IF(LEN(A69)=5,"款","项"))</f>
        <v>项</v>
      </c>
    </row>
    <row r="70" s="309" customFormat="1" ht="18.75" hidden="1" spans="1:10">
      <c r="A70" s="334">
        <v>2119899</v>
      </c>
      <c r="B70" s="338" t="s">
        <v>1355</v>
      </c>
      <c r="C70" s="328"/>
      <c r="D70" s="328"/>
      <c r="E70" s="328">
        <f>'09'!F70</f>
        <v>0</v>
      </c>
      <c r="F70" s="325">
        <v>0</v>
      </c>
      <c r="G70" s="344" t="str">
        <f t="shared" ref="G70:G133" si="5">IFERROR((F70-C70)/C70,"")</f>
        <v/>
      </c>
      <c r="H70" s="344" t="str">
        <f t="shared" ref="H70:H133" si="6">IFERROR((F70-E70)/E70,"")</f>
        <v/>
      </c>
      <c r="I70" s="349" t="str">
        <f t="shared" ref="I70:I133" si="7">IF(LEN(A70)=3,"是",IF(B70&lt;&gt;"",IF(SUM(C70:F70)&lt;&gt;0,"是","否"),"是"))</f>
        <v>否</v>
      </c>
      <c r="J70" s="309" t="str">
        <f t="shared" si="4"/>
        <v>项</v>
      </c>
    </row>
    <row r="71" ht="18.75" spans="1:10">
      <c r="A71" s="329">
        <v>212</v>
      </c>
      <c r="B71" s="324" t="s">
        <v>1356</v>
      </c>
      <c r="C71" s="325">
        <f t="shared" ref="C71:F71" si="8">C72+C88+C92+C93+C99+C103+C107+C111+C117+C120+C129</f>
        <v>12712</v>
      </c>
      <c r="D71" s="325">
        <f t="shared" si="8"/>
        <v>12712</v>
      </c>
      <c r="E71" s="325">
        <f t="shared" si="8"/>
        <v>2255</v>
      </c>
      <c r="F71" s="325">
        <f t="shared" si="8"/>
        <v>17350</v>
      </c>
      <c r="G71" s="343">
        <f t="shared" si="5"/>
        <v>0.364852108244179</v>
      </c>
      <c r="H71" s="343">
        <f t="shared" si="6"/>
        <v>6.6940133037694</v>
      </c>
      <c r="I71" s="349" t="str">
        <f t="shared" si="7"/>
        <v>是</v>
      </c>
      <c r="J71" s="313" t="str">
        <f t="shared" si="4"/>
        <v>类</v>
      </c>
    </row>
    <row r="72" ht="18.75" spans="1:10">
      <c r="A72" s="330">
        <v>21208</v>
      </c>
      <c r="B72" s="327" t="s">
        <v>1357</v>
      </c>
      <c r="C72" s="325">
        <f t="shared" ref="C72:F72" si="9">SUM(C73:C87)</f>
        <v>10499</v>
      </c>
      <c r="D72" s="325">
        <f t="shared" si="9"/>
        <v>10499</v>
      </c>
      <c r="E72" s="325">
        <f t="shared" si="9"/>
        <v>2255</v>
      </c>
      <c r="F72" s="325">
        <f t="shared" si="9"/>
        <v>17350</v>
      </c>
      <c r="G72" s="343">
        <f t="shared" si="5"/>
        <v>0.652538336984475</v>
      </c>
      <c r="H72" s="343">
        <f t="shared" si="6"/>
        <v>6.6940133037694</v>
      </c>
      <c r="I72" s="349" t="str">
        <f t="shared" si="7"/>
        <v>是</v>
      </c>
      <c r="J72" s="313" t="str">
        <f t="shared" si="4"/>
        <v>款</v>
      </c>
    </row>
    <row r="73" ht="18.75" spans="1:10">
      <c r="A73" s="330">
        <v>2120801</v>
      </c>
      <c r="B73" s="327" t="s">
        <v>1358</v>
      </c>
      <c r="C73" s="328"/>
      <c r="D73" s="328"/>
      <c r="E73" s="328">
        <f>'09'!F73</f>
        <v>0</v>
      </c>
      <c r="F73" s="328">
        <v>4650</v>
      </c>
      <c r="G73" s="344" t="str">
        <f t="shared" si="5"/>
        <v/>
      </c>
      <c r="H73" s="344" t="str">
        <f t="shared" si="6"/>
        <v/>
      </c>
      <c r="I73" s="349" t="str">
        <f t="shared" si="7"/>
        <v>是</v>
      </c>
      <c r="J73" s="313" t="str">
        <f t="shared" si="4"/>
        <v>项</v>
      </c>
    </row>
    <row r="74" ht="18.75" spans="1:10">
      <c r="A74" s="330">
        <v>2120802</v>
      </c>
      <c r="B74" s="327" t="s">
        <v>1359</v>
      </c>
      <c r="C74" s="328">
        <v>8649</v>
      </c>
      <c r="D74" s="328">
        <v>8649</v>
      </c>
      <c r="E74" s="328">
        <f>'09'!F74</f>
        <v>2200</v>
      </c>
      <c r="F74" s="328">
        <v>12500</v>
      </c>
      <c r="G74" s="344">
        <f t="shared" si="5"/>
        <v>0.445253786564921</v>
      </c>
      <c r="H74" s="344">
        <f t="shared" si="6"/>
        <v>4.68181818181818</v>
      </c>
      <c r="I74" s="349" t="str">
        <f t="shared" si="7"/>
        <v>是</v>
      </c>
      <c r="J74" s="313" t="str">
        <f t="shared" si="4"/>
        <v>项</v>
      </c>
    </row>
    <row r="75" ht="18.75" hidden="1" spans="1:10">
      <c r="A75" s="330">
        <v>2120803</v>
      </c>
      <c r="B75" s="327" t="s">
        <v>1360</v>
      </c>
      <c r="C75" s="328"/>
      <c r="D75" s="328"/>
      <c r="E75" s="328">
        <f>'09'!F75</f>
        <v>0</v>
      </c>
      <c r="F75" s="325">
        <v>0</v>
      </c>
      <c r="G75" s="344" t="str">
        <f t="shared" si="5"/>
        <v/>
      </c>
      <c r="H75" s="344" t="str">
        <f t="shared" si="6"/>
        <v/>
      </c>
      <c r="I75" s="349" t="str">
        <f t="shared" si="7"/>
        <v>否</v>
      </c>
      <c r="J75" s="313" t="str">
        <f t="shared" si="4"/>
        <v>项</v>
      </c>
    </row>
    <row r="76" ht="18.75" hidden="1" spans="1:10">
      <c r="A76" s="330">
        <v>2120804</v>
      </c>
      <c r="B76" s="327" t="s">
        <v>1361</v>
      </c>
      <c r="C76" s="328"/>
      <c r="D76" s="328"/>
      <c r="E76" s="328">
        <f>'09'!F76</f>
        <v>0</v>
      </c>
      <c r="F76" s="325">
        <v>0</v>
      </c>
      <c r="G76" s="344" t="str">
        <f t="shared" si="5"/>
        <v/>
      </c>
      <c r="H76" s="344" t="str">
        <f t="shared" si="6"/>
        <v/>
      </c>
      <c r="I76" s="349" t="str">
        <f t="shared" si="7"/>
        <v>否</v>
      </c>
      <c r="J76" s="313" t="str">
        <f t="shared" si="4"/>
        <v>项</v>
      </c>
    </row>
    <row r="77" ht="18.75" hidden="1" spans="1:10">
      <c r="A77" s="330">
        <v>2120805</v>
      </c>
      <c r="B77" s="327" t="s">
        <v>1362</v>
      </c>
      <c r="C77" s="328"/>
      <c r="D77" s="328"/>
      <c r="E77" s="328">
        <f>'09'!F77</f>
        <v>0</v>
      </c>
      <c r="F77" s="325">
        <v>0</v>
      </c>
      <c r="G77" s="344" t="str">
        <f t="shared" si="5"/>
        <v/>
      </c>
      <c r="H77" s="344" t="str">
        <f t="shared" si="6"/>
        <v/>
      </c>
      <c r="I77" s="349" t="str">
        <f t="shared" si="7"/>
        <v>否</v>
      </c>
      <c r="J77" s="313" t="str">
        <f t="shared" si="4"/>
        <v>项</v>
      </c>
    </row>
    <row r="78" ht="18.75" spans="1:10">
      <c r="A78" s="330">
        <v>2120806</v>
      </c>
      <c r="B78" s="327" t="s">
        <v>1363</v>
      </c>
      <c r="C78" s="328">
        <v>150</v>
      </c>
      <c r="D78" s="328">
        <v>150</v>
      </c>
      <c r="E78" s="328">
        <f>'09'!F78</f>
        <v>55</v>
      </c>
      <c r="F78" s="328">
        <v>200</v>
      </c>
      <c r="G78" s="344">
        <f t="shared" si="5"/>
        <v>0.333333333333333</v>
      </c>
      <c r="H78" s="344">
        <f t="shared" si="6"/>
        <v>2.63636363636364</v>
      </c>
      <c r="I78" s="349" t="str">
        <f t="shared" si="7"/>
        <v>是</v>
      </c>
      <c r="J78" s="313" t="str">
        <f t="shared" si="4"/>
        <v>项</v>
      </c>
    </row>
    <row r="79" ht="18.75" hidden="1" spans="1:10">
      <c r="A79" s="330">
        <v>2120807</v>
      </c>
      <c r="B79" s="327" t="s">
        <v>1364</v>
      </c>
      <c r="C79" s="328"/>
      <c r="D79" s="328"/>
      <c r="E79" s="328">
        <f>'09'!F79</f>
        <v>0</v>
      </c>
      <c r="F79" s="325">
        <v>0</v>
      </c>
      <c r="G79" s="344" t="str">
        <f t="shared" si="5"/>
        <v/>
      </c>
      <c r="H79" s="344" t="str">
        <f t="shared" si="6"/>
        <v/>
      </c>
      <c r="I79" s="349" t="str">
        <f t="shared" si="7"/>
        <v>否</v>
      </c>
      <c r="J79" s="313" t="str">
        <f t="shared" si="4"/>
        <v>项</v>
      </c>
    </row>
    <row r="80" ht="18.75" hidden="1" spans="1:10">
      <c r="A80" s="330">
        <v>2120809</v>
      </c>
      <c r="B80" s="327" t="s">
        <v>1365</v>
      </c>
      <c r="C80" s="328"/>
      <c r="D80" s="328"/>
      <c r="E80" s="328">
        <f>'09'!F80</f>
        <v>0</v>
      </c>
      <c r="F80" s="325">
        <v>0</v>
      </c>
      <c r="G80" s="344" t="str">
        <f t="shared" si="5"/>
        <v/>
      </c>
      <c r="H80" s="344" t="str">
        <f t="shared" si="6"/>
        <v/>
      </c>
      <c r="I80" s="349" t="str">
        <f t="shared" si="7"/>
        <v>否</v>
      </c>
      <c r="J80" s="313" t="str">
        <f t="shared" si="4"/>
        <v>项</v>
      </c>
    </row>
    <row r="81" ht="18.75" hidden="1" spans="1:10">
      <c r="A81" s="330">
        <v>2120810</v>
      </c>
      <c r="B81" s="327" t="s">
        <v>1366</v>
      </c>
      <c r="C81" s="328"/>
      <c r="D81" s="328"/>
      <c r="E81" s="328">
        <f>'09'!F81</f>
        <v>0</v>
      </c>
      <c r="F81" s="325">
        <v>0</v>
      </c>
      <c r="G81" s="344" t="str">
        <f t="shared" si="5"/>
        <v/>
      </c>
      <c r="H81" s="344" t="str">
        <f t="shared" si="6"/>
        <v/>
      </c>
      <c r="I81" s="349" t="str">
        <f t="shared" si="7"/>
        <v>否</v>
      </c>
      <c r="J81" s="313" t="str">
        <f t="shared" si="4"/>
        <v>项</v>
      </c>
    </row>
    <row r="82" ht="18.75" hidden="1" spans="1:10">
      <c r="A82" s="330">
        <v>2120811</v>
      </c>
      <c r="B82" s="327" t="s">
        <v>1367</v>
      </c>
      <c r="C82" s="328"/>
      <c r="D82" s="328"/>
      <c r="E82" s="328">
        <f>'09'!F82</f>
        <v>0</v>
      </c>
      <c r="F82" s="325">
        <v>0</v>
      </c>
      <c r="G82" s="344" t="str">
        <f t="shared" si="5"/>
        <v/>
      </c>
      <c r="H82" s="344" t="str">
        <f t="shared" si="6"/>
        <v/>
      </c>
      <c r="I82" s="349" t="str">
        <f t="shared" si="7"/>
        <v>否</v>
      </c>
      <c r="J82" s="313" t="str">
        <f t="shared" si="4"/>
        <v>项</v>
      </c>
    </row>
    <row r="83" ht="18.75" hidden="1" spans="1:10">
      <c r="A83" s="330">
        <v>2120813</v>
      </c>
      <c r="B83" s="327" t="s">
        <v>1368</v>
      </c>
      <c r="C83" s="328"/>
      <c r="D83" s="328"/>
      <c r="E83" s="328">
        <f>'09'!F83</f>
        <v>0</v>
      </c>
      <c r="F83" s="325">
        <v>0</v>
      </c>
      <c r="G83" s="344" t="str">
        <f t="shared" si="5"/>
        <v/>
      </c>
      <c r="H83" s="344" t="str">
        <f t="shared" si="6"/>
        <v/>
      </c>
      <c r="I83" s="349" t="str">
        <f t="shared" si="7"/>
        <v>否</v>
      </c>
      <c r="J83" s="313" t="str">
        <f t="shared" si="4"/>
        <v>项</v>
      </c>
    </row>
    <row r="84" ht="18.75" spans="1:10">
      <c r="A84" s="330">
        <v>2120814</v>
      </c>
      <c r="B84" s="350" t="s">
        <v>1369</v>
      </c>
      <c r="C84" s="328">
        <v>1200</v>
      </c>
      <c r="D84" s="328">
        <v>1200</v>
      </c>
      <c r="E84" s="328">
        <f>'09'!F84</f>
        <v>0</v>
      </c>
      <c r="F84" s="328">
        <v>0</v>
      </c>
      <c r="G84" s="344">
        <f t="shared" si="5"/>
        <v>-1</v>
      </c>
      <c r="H84" s="344" t="str">
        <f t="shared" si="6"/>
        <v/>
      </c>
      <c r="I84" s="349" t="str">
        <f t="shared" si="7"/>
        <v>是</v>
      </c>
      <c r="J84" s="313" t="str">
        <f t="shared" si="4"/>
        <v>项</v>
      </c>
    </row>
    <row r="85" ht="18.75" spans="1:10">
      <c r="A85" s="330">
        <v>2120815</v>
      </c>
      <c r="B85" s="350" t="s">
        <v>1370</v>
      </c>
      <c r="C85" s="328">
        <v>500</v>
      </c>
      <c r="D85" s="328">
        <v>500</v>
      </c>
      <c r="E85" s="328">
        <f>'09'!F85</f>
        <v>0</v>
      </c>
      <c r="F85" s="328">
        <v>0</v>
      </c>
      <c r="G85" s="344">
        <f t="shared" si="5"/>
        <v>-1</v>
      </c>
      <c r="H85" s="344" t="str">
        <f t="shared" si="6"/>
        <v/>
      </c>
      <c r="I85" s="349" t="str">
        <f t="shared" si="7"/>
        <v>是</v>
      </c>
      <c r="J85" s="313" t="str">
        <f t="shared" si="4"/>
        <v>项</v>
      </c>
    </row>
    <row r="86" ht="18.75" hidden="1" spans="1:10">
      <c r="A86" s="330">
        <v>2120816</v>
      </c>
      <c r="B86" s="350" t="s">
        <v>1371</v>
      </c>
      <c r="C86" s="328"/>
      <c r="D86" s="328"/>
      <c r="E86" s="328">
        <f>'09'!F86</f>
        <v>0</v>
      </c>
      <c r="F86" s="325">
        <v>0</v>
      </c>
      <c r="G86" s="344" t="str">
        <f t="shared" si="5"/>
        <v/>
      </c>
      <c r="H86" s="344" t="str">
        <f t="shared" si="6"/>
        <v/>
      </c>
      <c r="I86" s="349" t="str">
        <f t="shared" si="7"/>
        <v>否</v>
      </c>
      <c r="J86" s="313" t="str">
        <f t="shared" si="4"/>
        <v>项</v>
      </c>
    </row>
    <row r="87" ht="37.5" hidden="1" spans="1:10">
      <c r="A87" s="330">
        <v>2120899</v>
      </c>
      <c r="B87" s="327" t="s">
        <v>1372</v>
      </c>
      <c r="C87" s="328"/>
      <c r="D87" s="328"/>
      <c r="E87" s="328">
        <f>'09'!F87</f>
        <v>0</v>
      </c>
      <c r="F87" s="325">
        <v>0</v>
      </c>
      <c r="G87" s="344" t="str">
        <f t="shared" si="5"/>
        <v/>
      </c>
      <c r="H87" s="344" t="str">
        <f t="shared" si="6"/>
        <v/>
      </c>
      <c r="I87" s="349" t="str">
        <f t="shared" si="7"/>
        <v>否</v>
      </c>
      <c r="J87" s="313" t="str">
        <f t="shared" si="4"/>
        <v>项</v>
      </c>
    </row>
    <row r="88" ht="18.75" hidden="1" spans="1:10">
      <c r="A88" s="330">
        <v>21210</v>
      </c>
      <c r="B88" s="327" t="s">
        <v>1373</v>
      </c>
      <c r="C88" s="325"/>
      <c r="D88" s="325"/>
      <c r="E88" s="325"/>
      <c r="F88" s="325">
        <v>0</v>
      </c>
      <c r="G88" s="343" t="str">
        <f t="shared" si="5"/>
        <v/>
      </c>
      <c r="H88" s="343" t="str">
        <f t="shared" si="6"/>
        <v/>
      </c>
      <c r="I88" s="349" t="str">
        <f t="shared" si="7"/>
        <v>否</v>
      </c>
      <c r="J88" s="313" t="str">
        <f t="shared" si="4"/>
        <v>款</v>
      </c>
    </row>
    <row r="89" ht="18.75" hidden="1" spans="1:10">
      <c r="A89" s="330">
        <v>2121001</v>
      </c>
      <c r="B89" s="327" t="s">
        <v>1358</v>
      </c>
      <c r="C89" s="328"/>
      <c r="D89" s="328"/>
      <c r="E89" s="328">
        <f>'09'!F89</f>
        <v>0</v>
      </c>
      <c r="F89" s="325">
        <v>0</v>
      </c>
      <c r="G89" s="344" t="str">
        <f t="shared" si="5"/>
        <v/>
      </c>
      <c r="H89" s="344" t="str">
        <f t="shared" si="6"/>
        <v/>
      </c>
      <c r="I89" s="349" t="str">
        <f t="shared" si="7"/>
        <v>否</v>
      </c>
      <c r="J89" s="313" t="str">
        <f t="shared" si="4"/>
        <v>项</v>
      </c>
    </row>
    <row r="90" ht="18.75" hidden="1" spans="1:10">
      <c r="A90" s="330">
        <v>2121002</v>
      </c>
      <c r="B90" s="327" t="s">
        <v>1359</v>
      </c>
      <c r="C90" s="328"/>
      <c r="D90" s="328"/>
      <c r="E90" s="328">
        <f>'09'!F90</f>
        <v>0</v>
      </c>
      <c r="F90" s="325">
        <v>0</v>
      </c>
      <c r="G90" s="344" t="str">
        <f t="shared" si="5"/>
        <v/>
      </c>
      <c r="H90" s="344" t="str">
        <f t="shared" si="6"/>
        <v/>
      </c>
      <c r="I90" s="349" t="str">
        <f t="shared" si="7"/>
        <v>否</v>
      </c>
      <c r="J90" s="313" t="str">
        <f t="shared" si="4"/>
        <v>项</v>
      </c>
    </row>
    <row r="91" ht="18.75" hidden="1" spans="1:10">
      <c r="A91" s="330">
        <v>2121099</v>
      </c>
      <c r="B91" s="327" t="s">
        <v>1374</v>
      </c>
      <c r="C91" s="328"/>
      <c r="D91" s="328"/>
      <c r="E91" s="328">
        <f>'09'!F91</f>
        <v>0</v>
      </c>
      <c r="F91" s="325">
        <v>0</v>
      </c>
      <c r="G91" s="344" t="str">
        <f t="shared" si="5"/>
        <v/>
      </c>
      <c r="H91" s="344" t="str">
        <f t="shared" si="6"/>
        <v/>
      </c>
      <c r="I91" s="349" t="str">
        <f t="shared" si="7"/>
        <v>否</v>
      </c>
      <c r="J91" s="313" t="str">
        <f t="shared" si="4"/>
        <v>项</v>
      </c>
    </row>
    <row r="92" ht="18.75" hidden="1" spans="1:10">
      <c r="A92" s="330">
        <v>21211</v>
      </c>
      <c r="B92" s="327" t="s">
        <v>1375</v>
      </c>
      <c r="C92" s="325"/>
      <c r="D92" s="325"/>
      <c r="E92" s="325"/>
      <c r="F92" s="325">
        <v>0</v>
      </c>
      <c r="G92" s="343" t="str">
        <f t="shared" si="5"/>
        <v/>
      </c>
      <c r="H92" s="343" t="str">
        <f t="shared" si="6"/>
        <v/>
      </c>
      <c r="I92" s="349" t="str">
        <f t="shared" si="7"/>
        <v>否</v>
      </c>
      <c r="J92" s="313" t="str">
        <f t="shared" si="4"/>
        <v>款</v>
      </c>
    </row>
    <row r="93" ht="18.75" hidden="1" spans="1:10">
      <c r="A93" s="330">
        <v>21213</v>
      </c>
      <c r="B93" s="327" t="s">
        <v>1376</v>
      </c>
      <c r="C93" s="325"/>
      <c r="D93" s="325"/>
      <c r="E93" s="325"/>
      <c r="F93" s="325">
        <v>0</v>
      </c>
      <c r="G93" s="343" t="str">
        <f t="shared" si="5"/>
        <v/>
      </c>
      <c r="H93" s="343" t="str">
        <f t="shared" si="6"/>
        <v/>
      </c>
      <c r="I93" s="349" t="str">
        <f t="shared" si="7"/>
        <v>否</v>
      </c>
      <c r="J93" s="313" t="str">
        <f t="shared" si="4"/>
        <v>款</v>
      </c>
    </row>
    <row r="94" ht="18.75" hidden="1" spans="1:10">
      <c r="A94" s="330">
        <v>2121301</v>
      </c>
      <c r="B94" s="327" t="s">
        <v>1377</v>
      </c>
      <c r="C94" s="328"/>
      <c r="D94" s="328"/>
      <c r="E94" s="328">
        <f>'09'!F94</f>
        <v>0</v>
      </c>
      <c r="F94" s="325">
        <v>0</v>
      </c>
      <c r="G94" s="344" t="str">
        <f t="shared" si="5"/>
        <v/>
      </c>
      <c r="H94" s="344" t="str">
        <f t="shared" si="6"/>
        <v/>
      </c>
      <c r="I94" s="349" t="str">
        <f t="shared" si="7"/>
        <v>否</v>
      </c>
      <c r="J94" s="313" t="str">
        <f t="shared" si="4"/>
        <v>项</v>
      </c>
    </row>
    <row r="95" ht="18.75" hidden="1" spans="1:10">
      <c r="A95" s="330">
        <v>2121302</v>
      </c>
      <c r="B95" s="327" t="s">
        <v>1378</v>
      </c>
      <c r="C95" s="328"/>
      <c r="D95" s="328"/>
      <c r="E95" s="328">
        <f>'09'!F95</f>
        <v>0</v>
      </c>
      <c r="F95" s="325">
        <v>0</v>
      </c>
      <c r="G95" s="344" t="str">
        <f t="shared" si="5"/>
        <v/>
      </c>
      <c r="H95" s="344" t="str">
        <f t="shared" si="6"/>
        <v/>
      </c>
      <c r="I95" s="349" t="str">
        <f t="shared" si="7"/>
        <v>否</v>
      </c>
      <c r="J95" s="313" t="str">
        <f t="shared" si="4"/>
        <v>项</v>
      </c>
    </row>
    <row r="96" ht="18.75" hidden="1" spans="1:10">
      <c r="A96" s="330">
        <v>2121303</v>
      </c>
      <c r="B96" s="327" t="s">
        <v>1379</v>
      </c>
      <c r="C96" s="328"/>
      <c r="D96" s="328"/>
      <c r="E96" s="328">
        <f>'09'!F96</f>
        <v>0</v>
      </c>
      <c r="F96" s="325">
        <v>0</v>
      </c>
      <c r="G96" s="344" t="str">
        <f t="shared" si="5"/>
        <v/>
      </c>
      <c r="H96" s="344" t="str">
        <f t="shared" si="6"/>
        <v/>
      </c>
      <c r="I96" s="349" t="str">
        <f t="shared" si="7"/>
        <v>否</v>
      </c>
      <c r="J96" s="313" t="str">
        <f t="shared" si="4"/>
        <v>项</v>
      </c>
    </row>
    <row r="97" ht="18.75" hidden="1" spans="1:10">
      <c r="A97" s="330">
        <v>2121304</v>
      </c>
      <c r="B97" s="327" t="s">
        <v>1380</v>
      </c>
      <c r="C97" s="328"/>
      <c r="D97" s="328"/>
      <c r="E97" s="328">
        <f>'09'!F97</f>
        <v>0</v>
      </c>
      <c r="F97" s="325">
        <v>0</v>
      </c>
      <c r="G97" s="344" t="str">
        <f t="shared" si="5"/>
        <v/>
      </c>
      <c r="H97" s="344" t="str">
        <f t="shared" si="6"/>
        <v/>
      </c>
      <c r="I97" s="349" t="str">
        <f t="shared" si="7"/>
        <v>否</v>
      </c>
      <c r="J97" s="313" t="str">
        <f t="shared" si="4"/>
        <v>项</v>
      </c>
    </row>
    <row r="98" ht="18.75" hidden="1" spans="1:10">
      <c r="A98" s="330">
        <v>2121399</v>
      </c>
      <c r="B98" s="327" t="s">
        <v>1381</v>
      </c>
      <c r="C98" s="328"/>
      <c r="D98" s="328"/>
      <c r="E98" s="328">
        <f>'09'!F98</f>
        <v>0</v>
      </c>
      <c r="F98" s="325">
        <v>0</v>
      </c>
      <c r="G98" s="344" t="str">
        <f t="shared" si="5"/>
        <v/>
      </c>
      <c r="H98" s="344" t="str">
        <f t="shared" si="6"/>
        <v/>
      </c>
      <c r="I98" s="349" t="str">
        <f t="shared" si="7"/>
        <v>否</v>
      </c>
      <c r="J98" s="313" t="str">
        <f t="shared" si="4"/>
        <v>项</v>
      </c>
    </row>
    <row r="99" ht="18.75" hidden="1" spans="1:10">
      <c r="A99" s="330">
        <v>21214</v>
      </c>
      <c r="B99" s="327" t="s">
        <v>1382</v>
      </c>
      <c r="C99" s="325"/>
      <c r="D99" s="325"/>
      <c r="E99" s="325"/>
      <c r="F99" s="325">
        <v>0</v>
      </c>
      <c r="G99" s="343" t="str">
        <f t="shared" si="5"/>
        <v/>
      </c>
      <c r="H99" s="343" t="str">
        <f t="shared" si="6"/>
        <v/>
      </c>
      <c r="I99" s="349" t="str">
        <f t="shared" si="7"/>
        <v>否</v>
      </c>
      <c r="J99" s="313" t="str">
        <f t="shared" si="4"/>
        <v>款</v>
      </c>
    </row>
    <row r="100" ht="18.75" hidden="1" spans="1:10">
      <c r="A100" s="330">
        <v>2121401</v>
      </c>
      <c r="B100" s="327" t="s">
        <v>1383</v>
      </c>
      <c r="C100" s="328"/>
      <c r="D100" s="328"/>
      <c r="E100" s="328">
        <f>'09'!F100</f>
        <v>0</v>
      </c>
      <c r="F100" s="325">
        <v>0</v>
      </c>
      <c r="G100" s="344" t="str">
        <f t="shared" si="5"/>
        <v/>
      </c>
      <c r="H100" s="344" t="str">
        <f t="shared" si="6"/>
        <v/>
      </c>
      <c r="I100" s="349" t="str">
        <f t="shared" si="7"/>
        <v>否</v>
      </c>
      <c r="J100" s="313" t="str">
        <f t="shared" si="4"/>
        <v>项</v>
      </c>
    </row>
    <row r="101" ht="18.75" hidden="1" spans="1:10">
      <c r="A101" s="330">
        <v>2121402</v>
      </c>
      <c r="B101" s="327" t="s">
        <v>1384</v>
      </c>
      <c r="C101" s="328"/>
      <c r="D101" s="328"/>
      <c r="E101" s="328">
        <f>'09'!F101</f>
        <v>0</v>
      </c>
      <c r="F101" s="325">
        <v>0</v>
      </c>
      <c r="G101" s="344" t="str">
        <f t="shared" si="5"/>
        <v/>
      </c>
      <c r="H101" s="344" t="str">
        <f t="shared" si="6"/>
        <v/>
      </c>
      <c r="I101" s="349" t="str">
        <f t="shared" si="7"/>
        <v>否</v>
      </c>
      <c r="J101" s="313" t="str">
        <f t="shared" si="4"/>
        <v>项</v>
      </c>
    </row>
    <row r="102" ht="18.75" hidden="1" spans="1:10">
      <c r="A102" s="330">
        <v>2121499</v>
      </c>
      <c r="B102" s="327" t="s">
        <v>1385</v>
      </c>
      <c r="C102" s="328"/>
      <c r="D102" s="328"/>
      <c r="E102" s="328">
        <f>'09'!F102</f>
        <v>0</v>
      </c>
      <c r="F102" s="325">
        <v>0</v>
      </c>
      <c r="G102" s="344" t="str">
        <f t="shared" si="5"/>
        <v/>
      </c>
      <c r="H102" s="344" t="str">
        <f t="shared" si="6"/>
        <v/>
      </c>
      <c r="I102" s="349" t="str">
        <f t="shared" si="7"/>
        <v>否</v>
      </c>
      <c r="J102" s="313" t="str">
        <f t="shared" si="4"/>
        <v>项</v>
      </c>
    </row>
    <row r="103" ht="18.75" hidden="1" spans="1:10">
      <c r="A103" s="330">
        <v>21215</v>
      </c>
      <c r="B103" s="327" t="s">
        <v>1386</v>
      </c>
      <c r="C103" s="325"/>
      <c r="D103" s="325"/>
      <c r="E103" s="325"/>
      <c r="F103" s="325">
        <v>0</v>
      </c>
      <c r="G103" s="343" t="str">
        <f t="shared" si="5"/>
        <v/>
      </c>
      <c r="H103" s="343" t="str">
        <f t="shared" si="6"/>
        <v/>
      </c>
      <c r="I103" s="349" t="str">
        <f t="shared" si="7"/>
        <v>否</v>
      </c>
      <c r="J103" s="313" t="str">
        <f t="shared" si="4"/>
        <v>款</v>
      </c>
    </row>
    <row r="104" ht="18.75" hidden="1" spans="1:10">
      <c r="A104" s="330">
        <v>2121501</v>
      </c>
      <c r="B104" s="327" t="s">
        <v>1358</v>
      </c>
      <c r="C104" s="328"/>
      <c r="D104" s="328"/>
      <c r="E104" s="328">
        <f>'09'!F104</f>
        <v>0</v>
      </c>
      <c r="F104" s="325">
        <v>0</v>
      </c>
      <c r="G104" s="344" t="str">
        <f t="shared" si="5"/>
        <v/>
      </c>
      <c r="H104" s="344" t="str">
        <f t="shared" si="6"/>
        <v/>
      </c>
      <c r="I104" s="349" t="str">
        <f t="shared" si="7"/>
        <v>否</v>
      </c>
      <c r="J104" s="313" t="str">
        <f t="shared" si="4"/>
        <v>项</v>
      </c>
    </row>
    <row r="105" ht="18.75" hidden="1" spans="1:10">
      <c r="A105" s="330">
        <v>2121502</v>
      </c>
      <c r="B105" s="327" t="s">
        <v>1359</v>
      </c>
      <c r="C105" s="328"/>
      <c r="D105" s="328"/>
      <c r="E105" s="328">
        <f>'09'!F105</f>
        <v>0</v>
      </c>
      <c r="F105" s="325">
        <v>0</v>
      </c>
      <c r="G105" s="344" t="str">
        <f t="shared" si="5"/>
        <v/>
      </c>
      <c r="H105" s="344" t="str">
        <f t="shared" si="6"/>
        <v/>
      </c>
      <c r="I105" s="349" t="str">
        <f t="shared" si="7"/>
        <v>否</v>
      </c>
      <c r="J105" s="313" t="str">
        <f t="shared" si="4"/>
        <v>项</v>
      </c>
    </row>
    <row r="106" ht="18.75" hidden="1" spans="1:10">
      <c r="A106" s="330">
        <v>2121599</v>
      </c>
      <c r="B106" s="327" t="s">
        <v>1387</v>
      </c>
      <c r="C106" s="328"/>
      <c r="D106" s="328"/>
      <c r="E106" s="328">
        <f>'09'!F106</f>
        <v>0</v>
      </c>
      <c r="F106" s="325">
        <v>0</v>
      </c>
      <c r="G106" s="344" t="str">
        <f t="shared" si="5"/>
        <v/>
      </c>
      <c r="H106" s="344" t="str">
        <f t="shared" si="6"/>
        <v/>
      </c>
      <c r="I106" s="349" t="str">
        <f t="shared" si="7"/>
        <v>否</v>
      </c>
      <c r="J106" s="313" t="str">
        <f t="shared" si="4"/>
        <v>项</v>
      </c>
    </row>
    <row r="107" ht="18.75" hidden="1" spans="1:10">
      <c r="A107" s="330">
        <v>21216</v>
      </c>
      <c r="B107" s="327" t="s">
        <v>1388</v>
      </c>
      <c r="C107" s="325"/>
      <c r="D107" s="325"/>
      <c r="E107" s="325"/>
      <c r="F107" s="325">
        <v>0</v>
      </c>
      <c r="G107" s="343" t="str">
        <f t="shared" si="5"/>
        <v/>
      </c>
      <c r="H107" s="343" t="str">
        <f t="shared" si="6"/>
        <v/>
      </c>
      <c r="I107" s="349" t="str">
        <f t="shared" si="7"/>
        <v>否</v>
      </c>
      <c r="J107" s="313" t="str">
        <f t="shared" si="4"/>
        <v>款</v>
      </c>
    </row>
    <row r="108" ht="18.75" hidden="1" spans="1:10">
      <c r="A108" s="330">
        <v>2121601</v>
      </c>
      <c r="B108" s="327" t="s">
        <v>1358</v>
      </c>
      <c r="C108" s="328"/>
      <c r="D108" s="328"/>
      <c r="E108" s="328">
        <f>'09'!F108</f>
        <v>0</v>
      </c>
      <c r="F108" s="325">
        <v>0</v>
      </c>
      <c r="G108" s="344" t="str">
        <f t="shared" si="5"/>
        <v/>
      </c>
      <c r="H108" s="344" t="str">
        <f t="shared" si="6"/>
        <v/>
      </c>
      <c r="I108" s="349" t="str">
        <f t="shared" si="7"/>
        <v>否</v>
      </c>
      <c r="J108" s="313" t="str">
        <f t="shared" si="4"/>
        <v>项</v>
      </c>
    </row>
    <row r="109" ht="18.75" hidden="1" spans="1:10">
      <c r="A109" s="330">
        <v>2121602</v>
      </c>
      <c r="B109" s="327" t="s">
        <v>1359</v>
      </c>
      <c r="C109" s="328"/>
      <c r="D109" s="328"/>
      <c r="E109" s="328">
        <f>'09'!F109</f>
        <v>0</v>
      </c>
      <c r="F109" s="325">
        <v>0</v>
      </c>
      <c r="G109" s="344" t="str">
        <f t="shared" si="5"/>
        <v/>
      </c>
      <c r="H109" s="344" t="str">
        <f t="shared" si="6"/>
        <v/>
      </c>
      <c r="I109" s="349" t="str">
        <f t="shared" si="7"/>
        <v>否</v>
      </c>
      <c r="J109" s="313" t="str">
        <f t="shared" si="4"/>
        <v>项</v>
      </c>
    </row>
    <row r="110" ht="37.5" hidden="1" spans="1:10">
      <c r="A110" s="330">
        <v>2121699</v>
      </c>
      <c r="B110" s="327" t="s">
        <v>1389</v>
      </c>
      <c r="C110" s="328"/>
      <c r="D110" s="328"/>
      <c r="E110" s="328">
        <f>'09'!F110</f>
        <v>0</v>
      </c>
      <c r="F110" s="325">
        <v>0</v>
      </c>
      <c r="G110" s="344" t="str">
        <f t="shared" si="5"/>
        <v/>
      </c>
      <c r="H110" s="344" t="str">
        <f t="shared" si="6"/>
        <v/>
      </c>
      <c r="I110" s="349" t="str">
        <f t="shared" si="7"/>
        <v>否</v>
      </c>
      <c r="J110" s="313" t="str">
        <f t="shared" si="4"/>
        <v>项</v>
      </c>
    </row>
    <row r="111" ht="37.5" hidden="1" spans="1:10">
      <c r="A111" s="330">
        <v>21217</v>
      </c>
      <c r="B111" s="327" t="s">
        <v>1390</v>
      </c>
      <c r="C111" s="325"/>
      <c r="D111" s="325"/>
      <c r="E111" s="325"/>
      <c r="F111" s="325">
        <v>0</v>
      </c>
      <c r="G111" s="343" t="str">
        <f t="shared" si="5"/>
        <v/>
      </c>
      <c r="H111" s="343" t="str">
        <f t="shared" si="6"/>
        <v/>
      </c>
      <c r="I111" s="349" t="str">
        <f t="shared" si="7"/>
        <v>否</v>
      </c>
      <c r="J111" s="313" t="str">
        <f t="shared" si="4"/>
        <v>款</v>
      </c>
    </row>
    <row r="112" ht="18.75" hidden="1" spans="1:10">
      <c r="A112" s="330">
        <v>2121701</v>
      </c>
      <c r="B112" s="327" t="s">
        <v>1377</v>
      </c>
      <c r="C112" s="328"/>
      <c r="D112" s="328"/>
      <c r="E112" s="328">
        <f>'09'!F112</f>
        <v>0</v>
      </c>
      <c r="F112" s="325">
        <v>0</v>
      </c>
      <c r="G112" s="344" t="str">
        <f t="shared" si="5"/>
        <v/>
      </c>
      <c r="H112" s="344" t="str">
        <f t="shared" si="6"/>
        <v/>
      </c>
      <c r="I112" s="349" t="str">
        <f t="shared" si="7"/>
        <v>否</v>
      </c>
      <c r="J112" s="313" t="str">
        <f t="shared" si="4"/>
        <v>项</v>
      </c>
    </row>
    <row r="113" ht="18.75" hidden="1" spans="1:10">
      <c r="A113" s="330">
        <v>2121702</v>
      </c>
      <c r="B113" s="327" t="s">
        <v>1378</v>
      </c>
      <c r="C113" s="328"/>
      <c r="D113" s="328"/>
      <c r="E113" s="328">
        <f>'09'!F113</f>
        <v>0</v>
      </c>
      <c r="F113" s="325">
        <v>0</v>
      </c>
      <c r="G113" s="344" t="str">
        <f t="shared" si="5"/>
        <v/>
      </c>
      <c r="H113" s="344" t="str">
        <f t="shared" si="6"/>
        <v/>
      </c>
      <c r="I113" s="349" t="str">
        <f t="shared" si="7"/>
        <v>否</v>
      </c>
      <c r="J113" s="313" t="str">
        <f t="shared" si="4"/>
        <v>项</v>
      </c>
    </row>
    <row r="114" ht="18.75" hidden="1" spans="1:10">
      <c r="A114" s="330">
        <v>2121703</v>
      </c>
      <c r="B114" s="327" t="s">
        <v>1379</v>
      </c>
      <c r="C114" s="328"/>
      <c r="D114" s="328"/>
      <c r="E114" s="328">
        <f>'09'!F114</f>
        <v>0</v>
      </c>
      <c r="F114" s="325">
        <v>0</v>
      </c>
      <c r="G114" s="344" t="str">
        <f t="shared" si="5"/>
        <v/>
      </c>
      <c r="H114" s="344" t="str">
        <f t="shared" si="6"/>
        <v/>
      </c>
      <c r="I114" s="349" t="str">
        <f t="shared" si="7"/>
        <v>否</v>
      </c>
      <c r="J114" s="313" t="str">
        <f t="shared" si="4"/>
        <v>项</v>
      </c>
    </row>
    <row r="115" ht="18.75" hidden="1" spans="1:10">
      <c r="A115" s="330">
        <v>2121704</v>
      </c>
      <c r="B115" s="327" t="s">
        <v>1380</v>
      </c>
      <c r="C115" s="328"/>
      <c r="D115" s="328"/>
      <c r="E115" s="328">
        <f>'09'!F115</f>
        <v>0</v>
      </c>
      <c r="F115" s="325">
        <v>0</v>
      </c>
      <c r="G115" s="344" t="str">
        <f t="shared" si="5"/>
        <v/>
      </c>
      <c r="H115" s="344" t="str">
        <f t="shared" si="6"/>
        <v/>
      </c>
      <c r="I115" s="349" t="str">
        <f t="shared" si="7"/>
        <v>否</v>
      </c>
      <c r="J115" s="313" t="str">
        <f t="shared" si="4"/>
        <v>项</v>
      </c>
    </row>
    <row r="116" ht="37.5" hidden="1" spans="1:10">
      <c r="A116" s="330">
        <v>2121799</v>
      </c>
      <c r="B116" s="327" t="s">
        <v>1391</v>
      </c>
      <c r="C116" s="328"/>
      <c r="D116" s="328"/>
      <c r="E116" s="328">
        <f>'09'!F116</f>
        <v>0</v>
      </c>
      <c r="F116" s="325">
        <v>0</v>
      </c>
      <c r="G116" s="344" t="str">
        <f t="shared" si="5"/>
        <v/>
      </c>
      <c r="H116" s="344" t="str">
        <f t="shared" si="6"/>
        <v/>
      </c>
      <c r="I116" s="349" t="str">
        <f t="shared" si="7"/>
        <v>否</v>
      </c>
      <c r="J116" s="313" t="str">
        <f t="shared" si="4"/>
        <v>项</v>
      </c>
    </row>
    <row r="117" ht="18.75" hidden="1" spans="1:10">
      <c r="A117" s="330">
        <v>21218</v>
      </c>
      <c r="B117" s="327" t="s">
        <v>1392</v>
      </c>
      <c r="C117" s="325"/>
      <c r="D117" s="325"/>
      <c r="E117" s="325"/>
      <c r="F117" s="325">
        <v>0</v>
      </c>
      <c r="G117" s="343" t="str">
        <f t="shared" si="5"/>
        <v/>
      </c>
      <c r="H117" s="343" t="str">
        <f t="shared" si="6"/>
        <v/>
      </c>
      <c r="I117" s="349" t="str">
        <f t="shared" si="7"/>
        <v>否</v>
      </c>
      <c r="J117" s="313" t="str">
        <f t="shared" si="4"/>
        <v>款</v>
      </c>
    </row>
    <row r="118" ht="18.75" hidden="1" spans="1:10">
      <c r="A118" s="330">
        <v>2121801</v>
      </c>
      <c r="B118" s="327" t="s">
        <v>1383</v>
      </c>
      <c r="C118" s="328"/>
      <c r="D118" s="328"/>
      <c r="E118" s="328">
        <f>'09'!F118</f>
        <v>0</v>
      </c>
      <c r="F118" s="325">
        <v>0</v>
      </c>
      <c r="G118" s="344" t="str">
        <f t="shared" si="5"/>
        <v/>
      </c>
      <c r="H118" s="344" t="str">
        <f t="shared" si="6"/>
        <v/>
      </c>
      <c r="I118" s="349" t="str">
        <f t="shared" si="7"/>
        <v>否</v>
      </c>
      <c r="J118" s="313" t="str">
        <f t="shared" si="4"/>
        <v>项</v>
      </c>
    </row>
    <row r="119" ht="37.5" hidden="1" spans="1:10">
      <c r="A119" s="330">
        <v>2121899</v>
      </c>
      <c r="B119" s="327" t="s">
        <v>1393</v>
      </c>
      <c r="C119" s="328"/>
      <c r="D119" s="328"/>
      <c r="E119" s="328">
        <f>'09'!F119</f>
        <v>0</v>
      </c>
      <c r="F119" s="325">
        <v>0</v>
      </c>
      <c r="G119" s="344" t="str">
        <f t="shared" si="5"/>
        <v/>
      </c>
      <c r="H119" s="344" t="str">
        <f t="shared" si="6"/>
        <v/>
      </c>
      <c r="I119" s="349" t="str">
        <f t="shared" si="7"/>
        <v>否</v>
      </c>
      <c r="J119" s="313" t="str">
        <f t="shared" si="4"/>
        <v>项</v>
      </c>
    </row>
    <row r="120" ht="37.5" hidden="1" spans="1:10">
      <c r="A120" s="330">
        <v>21219</v>
      </c>
      <c r="B120" s="327" t="s">
        <v>1394</v>
      </c>
      <c r="C120" s="325"/>
      <c r="D120" s="325"/>
      <c r="E120" s="325"/>
      <c r="F120" s="325">
        <v>0</v>
      </c>
      <c r="G120" s="343" t="str">
        <f t="shared" si="5"/>
        <v/>
      </c>
      <c r="H120" s="343" t="str">
        <f t="shared" si="6"/>
        <v/>
      </c>
      <c r="I120" s="349" t="str">
        <f t="shared" si="7"/>
        <v>否</v>
      </c>
      <c r="J120" s="313" t="str">
        <f t="shared" si="4"/>
        <v>款</v>
      </c>
    </row>
    <row r="121" ht="18.75" hidden="1" spans="1:10">
      <c r="A121" s="330">
        <v>2121901</v>
      </c>
      <c r="B121" s="327" t="s">
        <v>1358</v>
      </c>
      <c r="C121" s="328"/>
      <c r="D121" s="328"/>
      <c r="E121" s="328">
        <f>'09'!F121</f>
        <v>0</v>
      </c>
      <c r="F121" s="325">
        <v>0</v>
      </c>
      <c r="G121" s="344" t="str">
        <f t="shared" si="5"/>
        <v/>
      </c>
      <c r="H121" s="344" t="str">
        <f t="shared" si="6"/>
        <v/>
      </c>
      <c r="I121" s="349" t="str">
        <f t="shared" si="7"/>
        <v>否</v>
      </c>
      <c r="J121" s="313" t="str">
        <f t="shared" si="4"/>
        <v>项</v>
      </c>
    </row>
    <row r="122" ht="18.75" hidden="1" spans="1:10">
      <c r="A122" s="330">
        <v>2121902</v>
      </c>
      <c r="B122" s="327" t="s">
        <v>1359</v>
      </c>
      <c r="C122" s="328"/>
      <c r="D122" s="328"/>
      <c r="E122" s="328">
        <f>'09'!F122</f>
        <v>0</v>
      </c>
      <c r="F122" s="325">
        <v>0</v>
      </c>
      <c r="G122" s="344" t="str">
        <f t="shared" si="5"/>
        <v/>
      </c>
      <c r="H122" s="344" t="str">
        <f t="shared" si="6"/>
        <v/>
      </c>
      <c r="I122" s="349" t="str">
        <f t="shared" si="7"/>
        <v>否</v>
      </c>
      <c r="J122" s="313" t="str">
        <f t="shared" si="4"/>
        <v>项</v>
      </c>
    </row>
    <row r="123" ht="18.75" hidden="1" spans="1:10">
      <c r="A123" s="330">
        <v>2121903</v>
      </c>
      <c r="B123" s="327" t="s">
        <v>1360</v>
      </c>
      <c r="C123" s="328"/>
      <c r="D123" s="328"/>
      <c r="E123" s="328">
        <f>'09'!F123</f>
        <v>0</v>
      </c>
      <c r="F123" s="325">
        <v>0</v>
      </c>
      <c r="G123" s="344" t="str">
        <f t="shared" si="5"/>
        <v/>
      </c>
      <c r="H123" s="344" t="str">
        <f t="shared" si="6"/>
        <v/>
      </c>
      <c r="I123" s="349" t="str">
        <f t="shared" si="7"/>
        <v>否</v>
      </c>
      <c r="J123" s="313" t="str">
        <f t="shared" si="4"/>
        <v>项</v>
      </c>
    </row>
    <row r="124" ht="18.75" hidden="1" spans="1:10">
      <c r="A124" s="330">
        <v>2121904</v>
      </c>
      <c r="B124" s="327" t="s">
        <v>1361</v>
      </c>
      <c r="C124" s="328"/>
      <c r="D124" s="328"/>
      <c r="E124" s="328">
        <f>'09'!F124</f>
        <v>0</v>
      </c>
      <c r="F124" s="325">
        <v>0</v>
      </c>
      <c r="G124" s="344" t="str">
        <f t="shared" si="5"/>
        <v/>
      </c>
      <c r="H124" s="344" t="str">
        <f t="shared" si="6"/>
        <v/>
      </c>
      <c r="I124" s="349" t="str">
        <f t="shared" si="7"/>
        <v>否</v>
      </c>
      <c r="J124" s="313" t="str">
        <f t="shared" si="4"/>
        <v>项</v>
      </c>
    </row>
    <row r="125" ht="18.75" hidden="1" spans="1:10">
      <c r="A125" s="330">
        <v>2121905</v>
      </c>
      <c r="B125" s="327" t="s">
        <v>1364</v>
      </c>
      <c r="C125" s="328"/>
      <c r="D125" s="328"/>
      <c r="E125" s="328">
        <f>'09'!F125</f>
        <v>0</v>
      </c>
      <c r="F125" s="325">
        <v>0</v>
      </c>
      <c r="G125" s="344" t="str">
        <f t="shared" si="5"/>
        <v/>
      </c>
      <c r="H125" s="344" t="str">
        <f t="shared" si="6"/>
        <v/>
      </c>
      <c r="I125" s="349" t="str">
        <f t="shared" si="7"/>
        <v>否</v>
      </c>
      <c r="J125" s="313" t="str">
        <f t="shared" si="4"/>
        <v>项</v>
      </c>
    </row>
    <row r="126" ht="18.75" hidden="1" spans="1:10">
      <c r="A126" s="330">
        <v>2121906</v>
      </c>
      <c r="B126" s="327" t="s">
        <v>1366</v>
      </c>
      <c r="C126" s="328"/>
      <c r="D126" s="328"/>
      <c r="E126" s="328">
        <f>'09'!F126</f>
        <v>0</v>
      </c>
      <c r="F126" s="325">
        <v>0</v>
      </c>
      <c r="G126" s="344" t="str">
        <f t="shared" si="5"/>
        <v/>
      </c>
      <c r="H126" s="344" t="str">
        <f t="shared" si="6"/>
        <v/>
      </c>
      <c r="I126" s="349" t="str">
        <f t="shared" si="7"/>
        <v>否</v>
      </c>
      <c r="J126" s="313" t="str">
        <f t="shared" si="4"/>
        <v>项</v>
      </c>
    </row>
    <row r="127" ht="18.75" hidden="1" spans="1:10">
      <c r="A127" s="330">
        <v>2121907</v>
      </c>
      <c r="B127" s="327" t="s">
        <v>1367</v>
      </c>
      <c r="C127" s="328"/>
      <c r="D127" s="328"/>
      <c r="E127" s="328">
        <f>'09'!F127</f>
        <v>0</v>
      </c>
      <c r="F127" s="325">
        <v>0</v>
      </c>
      <c r="G127" s="344" t="str">
        <f t="shared" si="5"/>
        <v/>
      </c>
      <c r="H127" s="344" t="str">
        <f t="shared" si="6"/>
        <v/>
      </c>
      <c r="I127" s="349" t="str">
        <f t="shared" si="7"/>
        <v>否</v>
      </c>
      <c r="J127" s="313" t="str">
        <f t="shared" si="4"/>
        <v>项</v>
      </c>
    </row>
    <row r="128" ht="37.5" hidden="1" spans="1:10">
      <c r="A128" s="330">
        <v>2121999</v>
      </c>
      <c r="B128" s="327" t="s">
        <v>1395</v>
      </c>
      <c r="C128" s="328"/>
      <c r="D128" s="328"/>
      <c r="E128" s="328">
        <f>'09'!F128</f>
        <v>0</v>
      </c>
      <c r="F128" s="325">
        <v>0</v>
      </c>
      <c r="G128" s="344" t="str">
        <f t="shared" si="5"/>
        <v/>
      </c>
      <c r="H128" s="344" t="str">
        <f t="shared" si="6"/>
        <v/>
      </c>
      <c r="I128" s="349" t="str">
        <f t="shared" si="7"/>
        <v>否</v>
      </c>
      <c r="J128" s="313" t="str">
        <f t="shared" si="4"/>
        <v>项</v>
      </c>
    </row>
    <row r="129" s="309" customFormat="1" ht="18.75" spans="1:10">
      <c r="A129" s="334">
        <v>21298</v>
      </c>
      <c r="B129" s="338" t="s">
        <v>1331</v>
      </c>
      <c r="C129" s="325">
        <f t="shared" ref="C129:F129" si="10">SUM(C130:C131)</f>
        <v>2213</v>
      </c>
      <c r="D129" s="325">
        <f t="shared" si="10"/>
        <v>2213</v>
      </c>
      <c r="E129" s="325">
        <f t="shared" si="10"/>
        <v>0</v>
      </c>
      <c r="F129" s="325">
        <f t="shared" si="10"/>
        <v>0</v>
      </c>
      <c r="G129" s="343">
        <f t="shared" si="5"/>
        <v>-1</v>
      </c>
      <c r="H129" s="343" t="str">
        <f t="shared" si="6"/>
        <v/>
      </c>
      <c r="I129" s="349" t="str">
        <f t="shared" si="7"/>
        <v>是</v>
      </c>
      <c r="J129" s="309" t="str">
        <f t="shared" si="4"/>
        <v>款</v>
      </c>
    </row>
    <row r="130" s="309" customFormat="1" ht="18.75" hidden="1" spans="1:10">
      <c r="A130" s="334">
        <v>2129801</v>
      </c>
      <c r="B130" s="338" t="s">
        <v>1396</v>
      </c>
      <c r="C130" s="328"/>
      <c r="D130" s="328"/>
      <c r="E130" s="328">
        <f>'09'!F130</f>
        <v>0</v>
      </c>
      <c r="F130" s="325">
        <v>0</v>
      </c>
      <c r="G130" s="344" t="str">
        <f t="shared" si="5"/>
        <v/>
      </c>
      <c r="H130" s="344" t="str">
        <f t="shared" si="6"/>
        <v/>
      </c>
      <c r="I130" s="349" t="str">
        <f t="shared" si="7"/>
        <v>否</v>
      </c>
      <c r="J130" s="309" t="str">
        <f t="shared" si="4"/>
        <v>项</v>
      </c>
    </row>
    <row r="131" s="309" customFormat="1" ht="18.75" spans="1:10">
      <c r="A131" s="334">
        <v>2129899</v>
      </c>
      <c r="B131" s="338" t="s">
        <v>1397</v>
      </c>
      <c r="C131" s="328">
        <v>2213</v>
      </c>
      <c r="D131" s="328">
        <v>2213</v>
      </c>
      <c r="E131" s="328">
        <f>'09'!F131</f>
        <v>0</v>
      </c>
      <c r="F131" s="328">
        <v>0</v>
      </c>
      <c r="G131" s="344">
        <f t="shared" si="5"/>
        <v>-1</v>
      </c>
      <c r="H131" s="344" t="str">
        <f t="shared" si="6"/>
        <v/>
      </c>
      <c r="I131" s="349" t="str">
        <f t="shared" si="7"/>
        <v>是</v>
      </c>
      <c r="J131" s="309" t="str">
        <f t="shared" si="4"/>
        <v>项</v>
      </c>
    </row>
    <row r="132" ht="18.75" spans="1:10">
      <c r="A132" s="329">
        <v>213</v>
      </c>
      <c r="B132" s="324" t="s">
        <v>1398</v>
      </c>
      <c r="C132" s="325">
        <f t="shared" ref="C132:F132" si="11">C133+C138+C143+C148+C151+C156</f>
        <v>50</v>
      </c>
      <c r="D132" s="325">
        <f t="shared" si="11"/>
        <v>50</v>
      </c>
      <c r="E132" s="325">
        <f t="shared" si="11"/>
        <v>224</v>
      </c>
      <c r="F132" s="325">
        <f t="shared" si="11"/>
        <v>958</v>
      </c>
      <c r="G132" s="343">
        <f t="shared" si="5"/>
        <v>18.16</v>
      </c>
      <c r="H132" s="343">
        <f t="shared" si="6"/>
        <v>3.27678571428571</v>
      </c>
      <c r="I132" s="349" t="str">
        <f t="shared" si="7"/>
        <v>是</v>
      </c>
      <c r="J132" s="313" t="str">
        <f t="shared" si="4"/>
        <v>类</v>
      </c>
    </row>
    <row r="133" ht="18.75" spans="1:10">
      <c r="A133" s="330">
        <v>21366</v>
      </c>
      <c r="B133" s="327" t="s">
        <v>1399</v>
      </c>
      <c r="C133" s="325">
        <f t="shared" ref="C133:F133" si="12">SUM(C134:C137)</f>
        <v>50</v>
      </c>
      <c r="D133" s="325">
        <f t="shared" si="12"/>
        <v>50</v>
      </c>
      <c r="E133" s="325">
        <f t="shared" si="12"/>
        <v>224</v>
      </c>
      <c r="F133" s="325">
        <f t="shared" si="12"/>
        <v>958</v>
      </c>
      <c r="G133" s="343">
        <f t="shared" si="5"/>
        <v>18.16</v>
      </c>
      <c r="H133" s="343">
        <f t="shared" si="6"/>
        <v>3.27678571428571</v>
      </c>
      <c r="I133" s="349" t="str">
        <f t="shared" si="7"/>
        <v>是</v>
      </c>
      <c r="J133" s="313" t="str">
        <f t="shared" ref="J133:J196" si="13">IF(LEN(A133)=3,"类",IF(LEN(A133)=5,"款","项"))</f>
        <v>款</v>
      </c>
    </row>
    <row r="134" ht="18.75" spans="1:10">
      <c r="A134" s="330">
        <v>2136601</v>
      </c>
      <c r="B134" s="327" t="s">
        <v>1400</v>
      </c>
      <c r="C134" s="328">
        <v>50</v>
      </c>
      <c r="D134" s="328">
        <v>50</v>
      </c>
      <c r="E134" s="328">
        <f>'09'!F134</f>
        <v>224</v>
      </c>
      <c r="F134" s="328">
        <v>958</v>
      </c>
      <c r="G134" s="344">
        <f t="shared" ref="G134:G197" si="14">IFERROR((F134-C134)/C134,"")</f>
        <v>18.16</v>
      </c>
      <c r="H134" s="344">
        <f t="shared" ref="H134:H197" si="15">IFERROR((F134-E134)/E134,"")</f>
        <v>3.27678571428571</v>
      </c>
      <c r="I134" s="349" t="str">
        <f t="shared" ref="I134:I197" si="16">IF(LEN(A134)=3,"是",IF(B134&lt;&gt;"",IF(SUM(C134:F134)&lt;&gt;0,"是","否"),"是"))</f>
        <v>是</v>
      </c>
      <c r="J134" s="313" t="str">
        <f t="shared" si="13"/>
        <v>项</v>
      </c>
    </row>
    <row r="135" ht="18.75" hidden="1" spans="1:10">
      <c r="A135" s="330">
        <v>2136602</v>
      </c>
      <c r="B135" s="327" t="s">
        <v>1401</v>
      </c>
      <c r="C135" s="328"/>
      <c r="D135" s="328"/>
      <c r="E135" s="328">
        <f>'09'!F135</f>
        <v>0</v>
      </c>
      <c r="F135" s="325">
        <v>0</v>
      </c>
      <c r="G135" s="344" t="str">
        <f t="shared" si="14"/>
        <v/>
      </c>
      <c r="H135" s="344" t="str">
        <f t="shared" si="15"/>
        <v/>
      </c>
      <c r="I135" s="349" t="str">
        <f t="shared" si="16"/>
        <v>否</v>
      </c>
      <c r="J135" s="313" t="str">
        <f t="shared" si="13"/>
        <v>项</v>
      </c>
    </row>
    <row r="136" ht="18.75" hidden="1" spans="1:10">
      <c r="A136" s="330">
        <v>2136603</v>
      </c>
      <c r="B136" s="327" t="s">
        <v>1402</v>
      </c>
      <c r="C136" s="328"/>
      <c r="D136" s="328"/>
      <c r="E136" s="328">
        <f>'09'!F136</f>
        <v>0</v>
      </c>
      <c r="F136" s="325">
        <v>0</v>
      </c>
      <c r="G136" s="344" t="str">
        <f t="shared" si="14"/>
        <v/>
      </c>
      <c r="H136" s="344" t="str">
        <f t="shared" si="15"/>
        <v/>
      </c>
      <c r="I136" s="349" t="str">
        <f t="shared" si="16"/>
        <v>否</v>
      </c>
      <c r="J136" s="313" t="str">
        <f t="shared" si="13"/>
        <v>项</v>
      </c>
    </row>
    <row r="137" ht="18.75" hidden="1" spans="1:10">
      <c r="A137" s="330">
        <v>2136699</v>
      </c>
      <c r="B137" s="327" t="s">
        <v>1403</v>
      </c>
      <c r="C137" s="328"/>
      <c r="D137" s="328"/>
      <c r="E137" s="328">
        <f>'09'!F137</f>
        <v>0</v>
      </c>
      <c r="F137" s="325">
        <v>0</v>
      </c>
      <c r="G137" s="344" t="str">
        <f t="shared" si="14"/>
        <v/>
      </c>
      <c r="H137" s="344" t="str">
        <f t="shared" si="15"/>
        <v/>
      </c>
      <c r="I137" s="349" t="str">
        <f t="shared" si="16"/>
        <v>否</v>
      </c>
      <c r="J137" s="313" t="str">
        <f t="shared" si="13"/>
        <v>项</v>
      </c>
    </row>
    <row r="138" ht="18.75" hidden="1" spans="1:10">
      <c r="A138" s="330">
        <v>21367</v>
      </c>
      <c r="B138" s="327" t="s">
        <v>1404</v>
      </c>
      <c r="C138" s="325"/>
      <c r="D138" s="325"/>
      <c r="E138" s="325"/>
      <c r="F138" s="325">
        <v>0</v>
      </c>
      <c r="G138" s="343" t="str">
        <f t="shared" si="14"/>
        <v/>
      </c>
      <c r="H138" s="343" t="str">
        <f t="shared" si="15"/>
        <v/>
      </c>
      <c r="I138" s="349" t="str">
        <f t="shared" si="16"/>
        <v>否</v>
      </c>
      <c r="J138" s="313" t="str">
        <f t="shared" si="13"/>
        <v>款</v>
      </c>
    </row>
    <row r="139" ht="18.75" hidden="1" spans="1:10">
      <c r="A139" s="330">
        <v>2136701</v>
      </c>
      <c r="B139" s="327" t="s">
        <v>1400</v>
      </c>
      <c r="C139" s="328"/>
      <c r="D139" s="328"/>
      <c r="E139" s="328">
        <f>'09'!F139</f>
        <v>0</v>
      </c>
      <c r="F139" s="325">
        <v>0</v>
      </c>
      <c r="G139" s="344" t="str">
        <f t="shared" si="14"/>
        <v/>
      </c>
      <c r="H139" s="344" t="str">
        <f t="shared" si="15"/>
        <v/>
      </c>
      <c r="I139" s="349" t="str">
        <f t="shared" si="16"/>
        <v>否</v>
      </c>
      <c r="J139" s="313" t="str">
        <f t="shared" si="13"/>
        <v>项</v>
      </c>
    </row>
    <row r="140" ht="18.75" hidden="1" spans="1:10">
      <c r="A140" s="330">
        <v>2136702</v>
      </c>
      <c r="B140" s="327" t="s">
        <v>1401</v>
      </c>
      <c r="C140" s="328"/>
      <c r="D140" s="328"/>
      <c r="E140" s="328">
        <f>'09'!F140</f>
        <v>0</v>
      </c>
      <c r="F140" s="325">
        <v>0</v>
      </c>
      <c r="G140" s="344" t="str">
        <f t="shared" si="14"/>
        <v/>
      </c>
      <c r="H140" s="344" t="str">
        <f t="shared" si="15"/>
        <v/>
      </c>
      <c r="I140" s="349" t="str">
        <f t="shared" si="16"/>
        <v>否</v>
      </c>
      <c r="J140" s="313" t="str">
        <f t="shared" si="13"/>
        <v>项</v>
      </c>
    </row>
    <row r="141" ht="18.75" hidden="1" spans="1:10">
      <c r="A141" s="330">
        <v>2136703</v>
      </c>
      <c r="B141" s="327" t="s">
        <v>1405</v>
      </c>
      <c r="C141" s="328"/>
      <c r="D141" s="328"/>
      <c r="E141" s="328">
        <f>'09'!F141</f>
        <v>0</v>
      </c>
      <c r="F141" s="325">
        <v>0</v>
      </c>
      <c r="G141" s="344" t="str">
        <f t="shared" si="14"/>
        <v/>
      </c>
      <c r="H141" s="344" t="str">
        <f t="shared" si="15"/>
        <v/>
      </c>
      <c r="I141" s="349" t="str">
        <f t="shared" si="16"/>
        <v>否</v>
      </c>
      <c r="J141" s="313" t="str">
        <f t="shared" si="13"/>
        <v>项</v>
      </c>
    </row>
    <row r="142" ht="18.75" hidden="1" spans="1:10">
      <c r="A142" s="330">
        <v>2136799</v>
      </c>
      <c r="B142" s="327" t="s">
        <v>1406</v>
      </c>
      <c r="C142" s="328"/>
      <c r="D142" s="328"/>
      <c r="E142" s="328">
        <f>'09'!F142</f>
        <v>0</v>
      </c>
      <c r="F142" s="325">
        <v>0</v>
      </c>
      <c r="G142" s="344" t="str">
        <f t="shared" si="14"/>
        <v/>
      </c>
      <c r="H142" s="344" t="str">
        <f t="shared" si="15"/>
        <v/>
      </c>
      <c r="I142" s="349" t="str">
        <f t="shared" si="16"/>
        <v>否</v>
      </c>
      <c r="J142" s="313" t="str">
        <f t="shared" si="13"/>
        <v>项</v>
      </c>
    </row>
    <row r="143" ht="18.75" hidden="1" spans="1:10">
      <c r="A143" s="330">
        <v>21369</v>
      </c>
      <c r="B143" s="327" t="s">
        <v>1407</v>
      </c>
      <c r="C143" s="325"/>
      <c r="D143" s="325"/>
      <c r="E143" s="325"/>
      <c r="F143" s="325">
        <v>0</v>
      </c>
      <c r="G143" s="343" t="str">
        <f t="shared" si="14"/>
        <v/>
      </c>
      <c r="H143" s="343" t="str">
        <f t="shared" si="15"/>
        <v/>
      </c>
      <c r="I143" s="349" t="str">
        <f t="shared" si="16"/>
        <v>否</v>
      </c>
      <c r="J143" s="313" t="str">
        <f t="shared" si="13"/>
        <v>款</v>
      </c>
    </row>
    <row r="144" ht="18.75" hidden="1" spans="1:10">
      <c r="A144" s="330">
        <v>2136901</v>
      </c>
      <c r="B144" s="327" t="s">
        <v>1408</v>
      </c>
      <c r="C144" s="328"/>
      <c r="D144" s="328"/>
      <c r="E144" s="328">
        <f>'09'!F144</f>
        <v>0</v>
      </c>
      <c r="F144" s="325">
        <v>0</v>
      </c>
      <c r="G144" s="344" t="str">
        <f t="shared" si="14"/>
        <v/>
      </c>
      <c r="H144" s="344" t="str">
        <f t="shared" si="15"/>
        <v/>
      </c>
      <c r="I144" s="349" t="str">
        <f t="shared" si="16"/>
        <v>否</v>
      </c>
      <c r="J144" s="313" t="str">
        <f t="shared" si="13"/>
        <v>项</v>
      </c>
    </row>
    <row r="145" ht="18.75" hidden="1" spans="1:10">
      <c r="A145" s="330">
        <v>2136902</v>
      </c>
      <c r="B145" s="327" t="s">
        <v>1409</v>
      </c>
      <c r="C145" s="328"/>
      <c r="D145" s="328"/>
      <c r="E145" s="328">
        <f>'09'!F145</f>
        <v>0</v>
      </c>
      <c r="F145" s="325">
        <v>0</v>
      </c>
      <c r="G145" s="344" t="str">
        <f t="shared" si="14"/>
        <v/>
      </c>
      <c r="H145" s="344" t="str">
        <f t="shared" si="15"/>
        <v/>
      </c>
      <c r="I145" s="349" t="str">
        <f t="shared" si="16"/>
        <v>否</v>
      </c>
      <c r="J145" s="313" t="str">
        <f t="shared" si="13"/>
        <v>项</v>
      </c>
    </row>
    <row r="146" ht="18.75" hidden="1" spans="1:10">
      <c r="A146" s="330">
        <v>2136903</v>
      </c>
      <c r="B146" s="327" t="s">
        <v>1410</v>
      </c>
      <c r="C146" s="328"/>
      <c r="D146" s="328"/>
      <c r="E146" s="328">
        <f>'09'!F146</f>
        <v>0</v>
      </c>
      <c r="F146" s="325">
        <v>0</v>
      </c>
      <c r="G146" s="344" t="str">
        <f t="shared" si="14"/>
        <v/>
      </c>
      <c r="H146" s="344" t="str">
        <f t="shared" si="15"/>
        <v/>
      </c>
      <c r="I146" s="349" t="str">
        <f t="shared" si="16"/>
        <v>否</v>
      </c>
      <c r="J146" s="313" t="str">
        <f t="shared" si="13"/>
        <v>项</v>
      </c>
    </row>
    <row r="147" ht="18.75" hidden="1" spans="1:10">
      <c r="A147" s="330">
        <v>2136999</v>
      </c>
      <c r="B147" s="327" t="s">
        <v>1411</v>
      </c>
      <c r="C147" s="328"/>
      <c r="D147" s="328"/>
      <c r="E147" s="328">
        <f>'09'!F147</f>
        <v>0</v>
      </c>
      <c r="F147" s="325">
        <v>0</v>
      </c>
      <c r="G147" s="344" t="str">
        <f t="shared" si="14"/>
        <v/>
      </c>
      <c r="H147" s="344" t="str">
        <f t="shared" si="15"/>
        <v/>
      </c>
      <c r="I147" s="349" t="str">
        <f t="shared" si="16"/>
        <v>否</v>
      </c>
      <c r="J147" s="313" t="str">
        <f t="shared" si="13"/>
        <v>项</v>
      </c>
    </row>
    <row r="148" ht="37.5" hidden="1" spans="1:10">
      <c r="A148" s="351">
        <v>21370</v>
      </c>
      <c r="B148" s="327" t="s">
        <v>1412</v>
      </c>
      <c r="C148" s="325"/>
      <c r="D148" s="325"/>
      <c r="E148" s="325"/>
      <c r="F148" s="325">
        <v>0</v>
      </c>
      <c r="G148" s="343" t="str">
        <f t="shared" si="14"/>
        <v/>
      </c>
      <c r="H148" s="343" t="str">
        <f t="shared" si="15"/>
        <v/>
      </c>
      <c r="I148" s="349" t="str">
        <f t="shared" si="16"/>
        <v>否</v>
      </c>
      <c r="J148" s="313" t="str">
        <f t="shared" si="13"/>
        <v>款</v>
      </c>
    </row>
    <row r="149" ht="18.75" hidden="1" spans="1:10">
      <c r="A149" s="351">
        <v>2137001</v>
      </c>
      <c r="B149" s="327" t="s">
        <v>1400</v>
      </c>
      <c r="C149" s="328"/>
      <c r="D149" s="328"/>
      <c r="E149" s="328">
        <f>'09'!F149</f>
        <v>0</v>
      </c>
      <c r="F149" s="325">
        <v>0</v>
      </c>
      <c r="G149" s="344" t="str">
        <f t="shared" si="14"/>
        <v/>
      </c>
      <c r="H149" s="344" t="str">
        <f t="shared" si="15"/>
        <v/>
      </c>
      <c r="I149" s="349" t="str">
        <f t="shared" si="16"/>
        <v>否</v>
      </c>
      <c r="J149" s="313" t="str">
        <f t="shared" si="13"/>
        <v>项</v>
      </c>
    </row>
    <row r="150" ht="37.5" hidden="1" spans="1:10">
      <c r="A150" s="351">
        <v>2137099</v>
      </c>
      <c r="B150" s="327" t="s">
        <v>1413</v>
      </c>
      <c r="C150" s="328"/>
      <c r="D150" s="328"/>
      <c r="E150" s="328">
        <f>'09'!F150</f>
        <v>0</v>
      </c>
      <c r="F150" s="325">
        <v>0</v>
      </c>
      <c r="G150" s="344" t="str">
        <f t="shared" si="14"/>
        <v/>
      </c>
      <c r="H150" s="344" t="str">
        <f t="shared" si="15"/>
        <v/>
      </c>
      <c r="I150" s="349" t="str">
        <f t="shared" si="16"/>
        <v>否</v>
      </c>
      <c r="J150" s="313" t="str">
        <f t="shared" si="13"/>
        <v>项</v>
      </c>
    </row>
    <row r="151" ht="37.5" hidden="1" spans="1:10">
      <c r="A151" s="351">
        <v>21371</v>
      </c>
      <c r="B151" s="327" t="s">
        <v>1414</v>
      </c>
      <c r="C151" s="325"/>
      <c r="D151" s="325"/>
      <c r="E151" s="325"/>
      <c r="F151" s="325">
        <v>0</v>
      </c>
      <c r="G151" s="343" t="str">
        <f t="shared" si="14"/>
        <v/>
      </c>
      <c r="H151" s="343" t="str">
        <f t="shared" si="15"/>
        <v/>
      </c>
      <c r="I151" s="349" t="str">
        <f t="shared" si="16"/>
        <v>否</v>
      </c>
      <c r="J151" s="313" t="str">
        <f t="shared" si="13"/>
        <v>款</v>
      </c>
    </row>
    <row r="152" ht="18.75" hidden="1" spans="1:10">
      <c r="A152" s="351">
        <v>2137101</v>
      </c>
      <c r="B152" s="327" t="s">
        <v>1408</v>
      </c>
      <c r="C152" s="328"/>
      <c r="D152" s="328"/>
      <c r="E152" s="328">
        <f>'09'!F152</f>
        <v>0</v>
      </c>
      <c r="F152" s="325">
        <v>0</v>
      </c>
      <c r="G152" s="344" t="str">
        <f t="shared" si="14"/>
        <v/>
      </c>
      <c r="H152" s="344" t="str">
        <f t="shared" si="15"/>
        <v/>
      </c>
      <c r="I152" s="349" t="str">
        <f t="shared" si="16"/>
        <v>否</v>
      </c>
      <c r="J152" s="313" t="str">
        <f t="shared" si="13"/>
        <v>项</v>
      </c>
    </row>
    <row r="153" ht="18.75" hidden="1" spans="1:10">
      <c r="A153" s="351">
        <v>2137102</v>
      </c>
      <c r="B153" s="327" t="s">
        <v>1415</v>
      </c>
      <c r="C153" s="328"/>
      <c r="D153" s="328"/>
      <c r="E153" s="328">
        <f>'09'!F153</f>
        <v>0</v>
      </c>
      <c r="F153" s="325">
        <v>0</v>
      </c>
      <c r="G153" s="344" t="str">
        <f t="shared" si="14"/>
        <v/>
      </c>
      <c r="H153" s="344" t="str">
        <f t="shared" si="15"/>
        <v/>
      </c>
      <c r="I153" s="349" t="str">
        <f t="shared" si="16"/>
        <v>否</v>
      </c>
      <c r="J153" s="313" t="str">
        <f t="shared" si="13"/>
        <v>项</v>
      </c>
    </row>
    <row r="154" ht="18.75" hidden="1" spans="1:10">
      <c r="A154" s="351">
        <v>2137103</v>
      </c>
      <c r="B154" s="327" t="s">
        <v>1410</v>
      </c>
      <c r="C154" s="328"/>
      <c r="D154" s="328"/>
      <c r="E154" s="328">
        <f>'09'!F154</f>
        <v>0</v>
      </c>
      <c r="F154" s="325">
        <v>0</v>
      </c>
      <c r="G154" s="344" t="str">
        <f t="shared" si="14"/>
        <v/>
      </c>
      <c r="H154" s="344" t="str">
        <f t="shared" si="15"/>
        <v/>
      </c>
      <c r="I154" s="349" t="str">
        <f t="shared" si="16"/>
        <v>否</v>
      </c>
      <c r="J154" s="313" t="str">
        <f t="shared" si="13"/>
        <v>项</v>
      </c>
    </row>
    <row r="155" ht="37.5" hidden="1" spans="1:10">
      <c r="A155" s="351">
        <v>2137199</v>
      </c>
      <c r="B155" s="327" t="s">
        <v>1416</v>
      </c>
      <c r="C155" s="328"/>
      <c r="D155" s="328"/>
      <c r="E155" s="328">
        <f>'09'!F155</f>
        <v>0</v>
      </c>
      <c r="F155" s="325">
        <v>0</v>
      </c>
      <c r="G155" s="344" t="str">
        <f t="shared" si="14"/>
        <v/>
      </c>
      <c r="H155" s="344" t="str">
        <f t="shared" si="15"/>
        <v/>
      </c>
      <c r="I155" s="349" t="str">
        <f t="shared" si="16"/>
        <v>否</v>
      </c>
      <c r="J155" s="313" t="str">
        <f t="shared" si="13"/>
        <v>项</v>
      </c>
    </row>
    <row r="156" s="311" customFormat="1" ht="18.75" hidden="1" spans="1:10">
      <c r="A156" s="334">
        <v>21398</v>
      </c>
      <c r="B156" s="338" t="s">
        <v>1331</v>
      </c>
      <c r="C156" s="325"/>
      <c r="D156" s="325"/>
      <c r="E156" s="325"/>
      <c r="F156" s="325">
        <v>0</v>
      </c>
      <c r="G156" s="343" t="str">
        <f t="shared" si="14"/>
        <v/>
      </c>
      <c r="H156" s="343" t="str">
        <f t="shared" si="15"/>
        <v/>
      </c>
      <c r="I156" s="349" t="str">
        <f t="shared" si="16"/>
        <v>否</v>
      </c>
      <c r="J156" s="309" t="str">
        <f t="shared" si="13"/>
        <v>款</v>
      </c>
    </row>
    <row r="157" s="311" customFormat="1" ht="18.75" hidden="1" spans="1:10">
      <c r="A157" s="334">
        <v>2139801</v>
      </c>
      <c r="B157" s="338" t="s">
        <v>1424</v>
      </c>
      <c r="C157" s="328"/>
      <c r="D157" s="328"/>
      <c r="E157" s="328">
        <f>'09'!F157</f>
        <v>0</v>
      </c>
      <c r="F157" s="325">
        <v>0</v>
      </c>
      <c r="G157" s="344" t="str">
        <f t="shared" si="14"/>
        <v/>
      </c>
      <c r="H157" s="344" t="str">
        <f t="shared" si="15"/>
        <v/>
      </c>
      <c r="I157" s="349" t="str">
        <f t="shared" si="16"/>
        <v>否</v>
      </c>
      <c r="J157" s="309" t="str">
        <f t="shared" si="13"/>
        <v>项</v>
      </c>
    </row>
    <row r="158" s="311" customFormat="1" ht="18.75" hidden="1" spans="1:10">
      <c r="A158" s="334">
        <v>2139802</v>
      </c>
      <c r="B158" s="338" t="s">
        <v>1425</v>
      </c>
      <c r="C158" s="328"/>
      <c r="D158" s="328"/>
      <c r="E158" s="328">
        <f>'09'!F158</f>
        <v>0</v>
      </c>
      <c r="F158" s="325">
        <v>0</v>
      </c>
      <c r="G158" s="344" t="str">
        <f t="shared" si="14"/>
        <v/>
      </c>
      <c r="H158" s="344" t="str">
        <f t="shared" si="15"/>
        <v/>
      </c>
      <c r="I158" s="349" t="str">
        <f t="shared" si="16"/>
        <v>否</v>
      </c>
      <c r="J158" s="309" t="str">
        <f t="shared" si="13"/>
        <v>项</v>
      </c>
    </row>
    <row r="159" s="311" customFormat="1" ht="18.75" hidden="1" spans="1:10">
      <c r="A159" s="334">
        <v>2139899</v>
      </c>
      <c r="B159" s="338" t="s">
        <v>1426</v>
      </c>
      <c r="C159" s="328"/>
      <c r="D159" s="328"/>
      <c r="E159" s="328">
        <f>'09'!F159</f>
        <v>0</v>
      </c>
      <c r="F159" s="325">
        <v>0</v>
      </c>
      <c r="G159" s="344" t="str">
        <f t="shared" si="14"/>
        <v/>
      </c>
      <c r="H159" s="344" t="str">
        <f t="shared" si="15"/>
        <v/>
      </c>
      <c r="I159" s="349" t="str">
        <f t="shared" si="16"/>
        <v>否</v>
      </c>
      <c r="J159" s="309" t="str">
        <f t="shared" si="13"/>
        <v>项</v>
      </c>
    </row>
    <row r="160" ht="18.75" spans="1:10">
      <c r="A160" s="329">
        <v>214</v>
      </c>
      <c r="B160" s="324" t="s">
        <v>1427</v>
      </c>
      <c r="C160" s="325"/>
      <c r="D160" s="325"/>
      <c r="E160" s="325"/>
      <c r="F160" s="325">
        <v>0</v>
      </c>
      <c r="G160" s="343" t="str">
        <f t="shared" si="14"/>
        <v/>
      </c>
      <c r="H160" s="343" t="str">
        <f t="shared" si="15"/>
        <v/>
      </c>
      <c r="I160" s="349" t="str">
        <f t="shared" si="16"/>
        <v>是</v>
      </c>
      <c r="J160" s="313" t="str">
        <f t="shared" si="13"/>
        <v>类</v>
      </c>
    </row>
    <row r="161" ht="37.5" hidden="1" spans="1:10">
      <c r="A161" s="330">
        <v>21460</v>
      </c>
      <c r="B161" s="327" t="s">
        <v>1428</v>
      </c>
      <c r="C161" s="325"/>
      <c r="D161" s="325"/>
      <c r="E161" s="325"/>
      <c r="F161" s="325">
        <v>0</v>
      </c>
      <c r="G161" s="343" t="str">
        <f t="shared" si="14"/>
        <v/>
      </c>
      <c r="H161" s="343" t="str">
        <f t="shared" si="15"/>
        <v/>
      </c>
      <c r="I161" s="349" t="str">
        <f t="shared" si="16"/>
        <v>否</v>
      </c>
      <c r="J161" s="313" t="str">
        <f t="shared" si="13"/>
        <v>款</v>
      </c>
    </row>
    <row r="162" ht="18.75" hidden="1" spans="1:10">
      <c r="A162" s="330">
        <v>2146001</v>
      </c>
      <c r="B162" s="327" t="s">
        <v>1429</v>
      </c>
      <c r="C162" s="328"/>
      <c r="D162" s="328"/>
      <c r="E162" s="328">
        <f>'09'!F162</f>
        <v>0</v>
      </c>
      <c r="F162" s="325">
        <v>0</v>
      </c>
      <c r="G162" s="344" t="str">
        <f t="shared" si="14"/>
        <v/>
      </c>
      <c r="H162" s="344" t="str">
        <f t="shared" si="15"/>
        <v/>
      </c>
      <c r="I162" s="349" t="str">
        <f t="shared" si="16"/>
        <v>否</v>
      </c>
      <c r="J162" s="313" t="str">
        <f t="shared" si="13"/>
        <v>项</v>
      </c>
    </row>
    <row r="163" ht="18.75" hidden="1" spans="1:10">
      <c r="A163" s="330">
        <v>2146002</v>
      </c>
      <c r="B163" s="327" t="s">
        <v>1430</v>
      </c>
      <c r="C163" s="328"/>
      <c r="D163" s="328"/>
      <c r="E163" s="328">
        <f>'09'!F163</f>
        <v>0</v>
      </c>
      <c r="F163" s="325">
        <v>0</v>
      </c>
      <c r="G163" s="344" t="str">
        <f t="shared" si="14"/>
        <v/>
      </c>
      <c r="H163" s="344" t="str">
        <f t="shared" si="15"/>
        <v/>
      </c>
      <c r="I163" s="349" t="str">
        <f t="shared" si="16"/>
        <v>否</v>
      </c>
      <c r="J163" s="313" t="str">
        <f t="shared" si="13"/>
        <v>项</v>
      </c>
    </row>
    <row r="164" ht="18.75" hidden="1" spans="1:10">
      <c r="A164" s="330">
        <v>2146003</v>
      </c>
      <c r="B164" s="327" t="s">
        <v>1431</v>
      </c>
      <c r="C164" s="328"/>
      <c r="D164" s="328"/>
      <c r="E164" s="328">
        <f>'09'!F164</f>
        <v>0</v>
      </c>
      <c r="F164" s="325">
        <v>0</v>
      </c>
      <c r="G164" s="344" t="str">
        <f t="shared" si="14"/>
        <v/>
      </c>
      <c r="H164" s="344" t="str">
        <f t="shared" si="15"/>
        <v/>
      </c>
      <c r="I164" s="349" t="str">
        <f t="shared" si="16"/>
        <v>否</v>
      </c>
      <c r="J164" s="313" t="str">
        <f t="shared" si="13"/>
        <v>项</v>
      </c>
    </row>
    <row r="165" ht="37.5" hidden="1" spans="1:10">
      <c r="A165" s="330">
        <v>2146099</v>
      </c>
      <c r="B165" s="327" t="s">
        <v>1432</v>
      </c>
      <c r="C165" s="328"/>
      <c r="D165" s="328"/>
      <c r="E165" s="328">
        <f>'09'!F165</f>
        <v>0</v>
      </c>
      <c r="F165" s="325">
        <v>0</v>
      </c>
      <c r="G165" s="344" t="str">
        <f t="shared" si="14"/>
        <v/>
      </c>
      <c r="H165" s="344" t="str">
        <f t="shared" si="15"/>
        <v/>
      </c>
      <c r="I165" s="349" t="str">
        <f t="shared" si="16"/>
        <v>否</v>
      </c>
      <c r="J165" s="313" t="str">
        <f t="shared" si="13"/>
        <v>项</v>
      </c>
    </row>
    <row r="166" ht="18.75" hidden="1" spans="1:10">
      <c r="A166" s="330">
        <v>21462</v>
      </c>
      <c r="B166" s="327" t="s">
        <v>1433</v>
      </c>
      <c r="C166" s="325"/>
      <c r="D166" s="325"/>
      <c r="E166" s="325"/>
      <c r="F166" s="325">
        <v>0</v>
      </c>
      <c r="G166" s="343" t="str">
        <f t="shared" si="14"/>
        <v/>
      </c>
      <c r="H166" s="343" t="str">
        <f t="shared" si="15"/>
        <v/>
      </c>
      <c r="I166" s="349" t="str">
        <f t="shared" si="16"/>
        <v>否</v>
      </c>
      <c r="J166" s="313" t="str">
        <f t="shared" si="13"/>
        <v>款</v>
      </c>
    </row>
    <row r="167" ht="18.75" hidden="1" spans="1:10">
      <c r="A167" s="330">
        <v>2146201</v>
      </c>
      <c r="B167" s="327" t="s">
        <v>1431</v>
      </c>
      <c r="C167" s="328"/>
      <c r="D167" s="328"/>
      <c r="E167" s="328">
        <f>'09'!F167</f>
        <v>0</v>
      </c>
      <c r="F167" s="325">
        <v>0</v>
      </c>
      <c r="G167" s="344" t="str">
        <f t="shared" si="14"/>
        <v/>
      </c>
      <c r="H167" s="344" t="str">
        <f t="shared" si="15"/>
        <v/>
      </c>
      <c r="I167" s="349" t="str">
        <f t="shared" si="16"/>
        <v>否</v>
      </c>
      <c r="J167" s="313" t="str">
        <f t="shared" si="13"/>
        <v>项</v>
      </c>
    </row>
    <row r="168" ht="18.75" hidden="1" spans="1:10">
      <c r="A168" s="330">
        <v>2146202</v>
      </c>
      <c r="B168" s="327" t="s">
        <v>1434</v>
      </c>
      <c r="C168" s="328"/>
      <c r="D168" s="328"/>
      <c r="E168" s="328">
        <f>'09'!F168</f>
        <v>0</v>
      </c>
      <c r="F168" s="325">
        <v>0</v>
      </c>
      <c r="G168" s="344" t="str">
        <f t="shared" si="14"/>
        <v/>
      </c>
      <c r="H168" s="344" t="str">
        <f t="shared" si="15"/>
        <v/>
      </c>
      <c r="I168" s="349" t="str">
        <f t="shared" si="16"/>
        <v>否</v>
      </c>
      <c r="J168" s="313" t="str">
        <f t="shared" si="13"/>
        <v>项</v>
      </c>
    </row>
    <row r="169" ht="18.75" hidden="1" spans="1:10">
      <c r="A169" s="330">
        <v>2146203</v>
      </c>
      <c r="B169" s="327" t="s">
        <v>1435</v>
      </c>
      <c r="C169" s="328"/>
      <c r="D169" s="328"/>
      <c r="E169" s="328">
        <f>'09'!F169</f>
        <v>0</v>
      </c>
      <c r="F169" s="325">
        <v>0</v>
      </c>
      <c r="G169" s="344" t="str">
        <f t="shared" si="14"/>
        <v/>
      </c>
      <c r="H169" s="344" t="str">
        <f t="shared" si="15"/>
        <v/>
      </c>
      <c r="I169" s="349" t="str">
        <f t="shared" si="16"/>
        <v>否</v>
      </c>
      <c r="J169" s="313" t="str">
        <f t="shared" si="13"/>
        <v>项</v>
      </c>
    </row>
    <row r="170" ht="18.75" hidden="1" spans="1:10">
      <c r="A170" s="330">
        <v>2146299</v>
      </c>
      <c r="B170" s="327" t="s">
        <v>1436</v>
      </c>
      <c r="C170" s="328"/>
      <c r="D170" s="328"/>
      <c r="E170" s="328">
        <f>'09'!F170</f>
        <v>0</v>
      </c>
      <c r="F170" s="325">
        <v>0</v>
      </c>
      <c r="G170" s="344" t="str">
        <f t="shared" si="14"/>
        <v/>
      </c>
      <c r="H170" s="344" t="str">
        <f t="shared" si="15"/>
        <v/>
      </c>
      <c r="I170" s="349" t="str">
        <f t="shared" si="16"/>
        <v>否</v>
      </c>
      <c r="J170" s="313" t="str">
        <f t="shared" si="13"/>
        <v>项</v>
      </c>
    </row>
    <row r="171" ht="18.75" hidden="1" spans="1:10">
      <c r="A171" s="330">
        <v>21464</v>
      </c>
      <c r="B171" s="327" t="s">
        <v>1437</v>
      </c>
      <c r="C171" s="325"/>
      <c r="D171" s="325"/>
      <c r="E171" s="325"/>
      <c r="F171" s="325">
        <v>0</v>
      </c>
      <c r="G171" s="343" t="str">
        <f t="shared" si="14"/>
        <v/>
      </c>
      <c r="H171" s="343" t="str">
        <f t="shared" si="15"/>
        <v/>
      </c>
      <c r="I171" s="349" t="str">
        <f t="shared" si="16"/>
        <v>否</v>
      </c>
      <c r="J171" s="313" t="str">
        <f t="shared" si="13"/>
        <v>款</v>
      </c>
    </row>
    <row r="172" ht="18.75" hidden="1" spans="1:10">
      <c r="A172" s="330">
        <v>2146401</v>
      </c>
      <c r="B172" s="327" t="s">
        <v>1438</v>
      </c>
      <c r="C172" s="328"/>
      <c r="D172" s="328"/>
      <c r="E172" s="328">
        <f>'09'!F172</f>
        <v>0</v>
      </c>
      <c r="F172" s="325">
        <v>0</v>
      </c>
      <c r="G172" s="344" t="str">
        <f t="shared" si="14"/>
        <v/>
      </c>
      <c r="H172" s="344" t="str">
        <f t="shared" si="15"/>
        <v/>
      </c>
      <c r="I172" s="349" t="str">
        <f t="shared" si="16"/>
        <v>否</v>
      </c>
      <c r="J172" s="313" t="str">
        <f t="shared" si="13"/>
        <v>项</v>
      </c>
    </row>
    <row r="173" ht="18.75" hidden="1" spans="1:10">
      <c r="A173" s="330">
        <v>2146402</v>
      </c>
      <c r="B173" s="327" t="s">
        <v>1439</v>
      </c>
      <c r="C173" s="328"/>
      <c r="D173" s="328"/>
      <c r="E173" s="328">
        <f>'09'!F173</f>
        <v>0</v>
      </c>
      <c r="F173" s="325">
        <v>0</v>
      </c>
      <c r="G173" s="344" t="str">
        <f t="shared" si="14"/>
        <v/>
      </c>
      <c r="H173" s="344" t="str">
        <f t="shared" si="15"/>
        <v/>
      </c>
      <c r="I173" s="349" t="str">
        <f t="shared" si="16"/>
        <v>否</v>
      </c>
      <c r="J173" s="313" t="str">
        <f t="shared" si="13"/>
        <v>项</v>
      </c>
    </row>
    <row r="174" ht="18.75" hidden="1" spans="1:10">
      <c r="A174" s="330">
        <v>2146403</v>
      </c>
      <c r="B174" s="327" t="s">
        <v>1440</v>
      </c>
      <c r="C174" s="328"/>
      <c r="D174" s="328"/>
      <c r="E174" s="328">
        <f>'09'!F174</f>
        <v>0</v>
      </c>
      <c r="F174" s="325">
        <v>0</v>
      </c>
      <c r="G174" s="344" t="str">
        <f t="shared" si="14"/>
        <v/>
      </c>
      <c r="H174" s="344" t="str">
        <f t="shared" si="15"/>
        <v/>
      </c>
      <c r="I174" s="349" t="str">
        <f t="shared" si="16"/>
        <v>否</v>
      </c>
      <c r="J174" s="313" t="str">
        <f t="shared" si="13"/>
        <v>项</v>
      </c>
    </row>
    <row r="175" ht="18.75" hidden="1" spans="1:10">
      <c r="A175" s="330">
        <v>2146404</v>
      </c>
      <c r="B175" s="327" t="s">
        <v>1441</v>
      </c>
      <c r="C175" s="328"/>
      <c r="D175" s="328"/>
      <c r="E175" s="328">
        <f>'09'!F175</f>
        <v>0</v>
      </c>
      <c r="F175" s="325">
        <v>0</v>
      </c>
      <c r="G175" s="344" t="str">
        <f t="shared" si="14"/>
        <v/>
      </c>
      <c r="H175" s="344" t="str">
        <f t="shared" si="15"/>
        <v/>
      </c>
      <c r="I175" s="349" t="str">
        <f t="shared" si="16"/>
        <v>否</v>
      </c>
      <c r="J175" s="313" t="str">
        <f t="shared" si="13"/>
        <v>项</v>
      </c>
    </row>
    <row r="176" ht="18.75" hidden="1" spans="1:10">
      <c r="A176" s="330">
        <v>2146405</v>
      </c>
      <c r="B176" s="327" t="s">
        <v>1442</v>
      </c>
      <c r="C176" s="328"/>
      <c r="D176" s="328"/>
      <c r="E176" s="328">
        <f>'09'!F176</f>
        <v>0</v>
      </c>
      <c r="F176" s="325">
        <v>0</v>
      </c>
      <c r="G176" s="344" t="str">
        <f t="shared" si="14"/>
        <v/>
      </c>
      <c r="H176" s="344" t="str">
        <f t="shared" si="15"/>
        <v/>
      </c>
      <c r="I176" s="349" t="str">
        <f t="shared" si="16"/>
        <v>否</v>
      </c>
      <c r="J176" s="313" t="str">
        <f t="shared" si="13"/>
        <v>项</v>
      </c>
    </row>
    <row r="177" ht="18.75" hidden="1" spans="1:10">
      <c r="A177" s="330">
        <v>2146406</v>
      </c>
      <c r="B177" s="327" t="s">
        <v>1443</v>
      </c>
      <c r="C177" s="328"/>
      <c r="D177" s="328"/>
      <c r="E177" s="328">
        <f>'09'!F177</f>
        <v>0</v>
      </c>
      <c r="F177" s="325">
        <v>0</v>
      </c>
      <c r="G177" s="344" t="str">
        <f t="shared" si="14"/>
        <v/>
      </c>
      <c r="H177" s="344" t="str">
        <f t="shared" si="15"/>
        <v/>
      </c>
      <c r="I177" s="349" t="str">
        <f t="shared" si="16"/>
        <v>否</v>
      </c>
      <c r="J177" s="313" t="str">
        <f t="shared" si="13"/>
        <v>项</v>
      </c>
    </row>
    <row r="178" ht="18.75" hidden="1" spans="1:10">
      <c r="A178" s="330">
        <v>2146407</v>
      </c>
      <c r="B178" s="327" t="s">
        <v>1444</v>
      </c>
      <c r="C178" s="328"/>
      <c r="D178" s="328"/>
      <c r="E178" s="328">
        <f>'09'!F178</f>
        <v>0</v>
      </c>
      <c r="F178" s="325">
        <v>0</v>
      </c>
      <c r="G178" s="344" t="str">
        <f t="shared" si="14"/>
        <v/>
      </c>
      <c r="H178" s="344" t="str">
        <f t="shared" si="15"/>
        <v/>
      </c>
      <c r="I178" s="349" t="str">
        <f t="shared" si="16"/>
        <v>否</v>
      </c>
      <c r="J178" s="313" t="str">
        <f t="shared" si="13"/>
        <v>项</v>
      </c>
    </row>
    <row r="179" ht="18.75" hidden="1" spans="1:10">
      <c r="A179" s="330">
        <v>2146499</v>
      </c>
      <c r="B179" s="327" t="s">
        <v>1445</v>
      </c>
      <c r="C179" s="328"/>
      <c r="D179" s="328"/>
      <c r="E179" s="328">
        <f>'09'!F179</f>
        <v>0</v>
      </c>
      <c r="F179" s="325">
        <v>0</v>
      </c>
      <c r="G179" s="344" t="str">
        <f t="shared" si="14"/>
        <v/>
      </c>
      <c r="H179" s="344" t="str">
        <f t="shared" si="15"/>
        <v/>
      </c>
      <c r="I179" s="349" t="str">
        <f t="shared" si="16"/>
        <v>否</v>
      </c>
      <c r="J179" s="313" t="str">
        <f t="shared" si="13"/>
        <v>项</v>
      </c>
    </row>
    <row r="180" ht="18.75" hidden="1" spans="1:10">
      <c r="A180" s="330">
        <v>21468</v>
      </c>
      <c r="B180" s="327" t="s">
        <v>1446</v>
      </c>
      <c r="C180" s="325"/>
      <c r="D180" s="325"/>
      <c r="E180" s="325"/>
      <c r="F180" s="325">
        <v>0</v>
      </c>
      <c r="G180" s="343" t="str">
        <f t="shared" si="14"/>
        <v/>
      </c>
      <c r="H180" s="343" t="str">
        <f t="shared" si="15"/>
        <v/>
      </c>
      <c r="I180" s="349" t="str">
        <f t="shared" si="16"/>
        <v>否</v>
      </c>
      <c r="J180" s="313" t="str">
        <f t="shared" si="13"/>
        <v>款</v>
      </c>
    </row>
    <row r="181" ht="18.75" hidden="1" spans="1:10">
      <c r="A181" s="330">
        <v>2146801</v>
      </c>
      <c r="B181" s="327" t="s">
        <v>1447</v>
      </c>
      <c r="C181" s="328"/>
      <c r="D181" s="328"/>
      <c r="E181" s="328">
        <f>'09'!F181</f>
        <v>0</v>
      </c>
      <c r="F181" s="325">
        <v>0</v>
      </c>
      <c r="G181" s="344" t="str">
        <f t="shared" si="14"/>
        <v/>
      </c>
      <c r="H181" s="344" t="str">
        <f t="shared" si="15"/>
        <v/>
      </c>
      <c r="I181" s="349" t="str">
        <f t="shared" si="16"/>
        <v>否</v>
      </c>
      <c r="J181" s="313" t="str">
        <f t="shared" si="13"/>
        <v>项</v>
      </c>
    </row>
    <row r="182" ht="18.75" hidden="1" spans="1:10">
      <c r="A182" s="330">
        <v>2146802</v>
      </c>
      <c r="B182" s="327" t="s">
        <v>1448</v>
      </c>
      <c r="C182" s="328"/>
      <c r="D182" s="328"/>
      <c r="E182" s="328">
        <f>'09'!F182</f>
        <v>0</v>
      </c>
      <c r="F182" s="325">
        <v>0</v>
      </c>
      <c r="G182" s="344" t="str">
        <f t="shared" si="14"/>
        <v/>
      </c>
      <c r="H182" s="344" t="str">
        <f t="shared" si="15"/>
        <v/>
      </c>
      <c r="I182" s="349" t="str">
        <f t="shared" si="16"/>
        <v>否</v>
      </c>
      <c r="J182" s="313" t="str">
        <f t="shared" si="13"/>
        <v>项</v>
      </c>
    </row>
    <row r="183" ht="18.75" hidden="1" spans="1:10">
      <c r="A183" s="330">
        <v>2146803</v>
      </c>
      <c r="B183" s="327" t="s">
        <v>1449</v>
      </c>
      <c r="C183" s="328"/>
      <c r="D183" s="328"/>
      <c r="E183" s="328">
        <f>'09'!F183</f>
        <v>0</v>
      </c>
      <c r="F183" s="325">
        <v>0</v>
      </c>
      <c r="G183" s="344" t="str">
        <f t="shared" si="14"/>
        <v/>
      </c>
      <c r="H183" s="344" t="str">
        <f t="shared" si="15"/>
        <v/>
      </c>
      <c r="I183" s="349" t="str">
        <f t="shared" si="16"/>
        <v>否</v>
      </c>
      <c r="J183" s="313" t="str">
        <f t="shared" si="13"/>
        <v>项</v>
      </c>
    </row>
    <row r="184" ht="18.75" hidden="1" spans="1:10">
      <c r="A184" s="330">
        <v>2146804</v>
      </c>
      <c r="B184" s="327" t="s">
        <v>1450</v>
      </c>
      <c r="C184" s="328"/>
      <c r="D184" s="328"/>
      <c r="E184" s="328">
        <f>'09'!F184</f>
        <v>0</v>
      </c>
      <c r="F184" s="325">
        <v>0</v>
      </c>
      <c r="G184" s="344" t="str">
        <f t="shared" si="14"/>
        <v/>
      </c>
      <c r="H184" s="344" t="str">
        <f t="shared" si="15"/>
        <v/>
      </c>
      <c r="I184" s="349" t="str">
        <f t="shared" si="16"/>
        <v>否</v>
      </c>
      <c r="J184" s="313" t="str">
        <f t="shared" si="13"/>
        <v>项</v>
      </c>
    </row>
    <row r="185" ht="18.75" hidden="1" spans="1:10">
      <c r="A185" s="330">
        <v>2146805</v>
      </c>
      <c r="B185" s="327" t="s">
        <v>1451</v>
      </c>
      <c r="C185" s="328"/>
      <c r="D185" s="328"/>
      <c r="E185" s="328">
        <f>'09'!F185</f>
        <v>0</v>
      </c>
      <c r="F185" s="325">
        <v>0</v>
      </c>
      <c r="G185" s="344" t="str">
        <f t="shared" si="14"/>
        <v/>
      </c>
      <c r="H185" s="344" t="str">
        <f t="shared" si="15"/>
        <v/>
      </c>
      <c r="I185" s="349" t="str">
        <f t="shared" si="16"/>
        <v>否</v>
      </c>
      <c r="J185" s="313" t="str">
        <f t="shared" si="13"/>
        <v>项</v>
      </c>
    </row>
    <row r="186" ht="18.75" hidden="1" spans="1:10">
      <c r="A186" s="330">
        <v>2146899</v>
      </c>
      <c r="B186" s="327" t="s">
        <v>1452</v>
      </c>
      <c r="C186" s="328"/>
      <c r="D186" s="328"/>
      <c r="E186" s="328">
        <f>'09'!F186</f>
        <v>0</v>
      </c>
      <c r="F186" s="325">
        <v>0</v>
      </c>
      <c r="G186" s="344" t="str">
        <f t="shared" si="14"/>
        <v/>
      </c>
      <c r="H186" s="344" t="str">
        <f t="shared" si="15"/>
        <v/>
      </c>
      <c r="I186" s="349" t="str">
        <f t="shared" si="16"/>
        <v>否</v>
      </c>
      <c r="J186" s="313" t="str">
        <f t="shared" si="13"/>
        <v>项</v>
      </c>
    </row>
    <row r="187" ht="18.75" hidden="1" spans="1:10">
      <c r="A187" s="330">
        <v>21469</v>
      </c>
      <c r="B187" s="327" t="s">
        <v>1453</v>
      </c>
      <c r="C187" s="325"/>
      <c r="D187" s="325"/>
      <c r="E187" s="325"/>
      <c r="F187" s="325">
        <v>0</v>
      </c>
      <c r="G187" s="343" t="str">
        <f t="shared" si="14"/>
        <v/>
      </c>
      <c r="H187" s="343" t="str">
        <f t="shared" si="15"/>
        <v/>
      </c>
      <c r="I187" s="349" t="str">
        <f t="shared" si="16"/>
        <v>否</v>
      </c>
      <c r="J187" s="313" t="str">
        <f t="shared" si="13"/>
        <v>款</v>
      </c>
    </row>
    <row r="188" ht="18.75" hidden="1" spans="1:10">
      <c r="A188" s="330">
        <v>2146901</v>
      </c>
      <c r="B188" s="327" t="s">
        <v>1454</v>
      </c>
      <c r="C188" s="328"/>
      <c r="D188" s="328"/>
      <c r="E188" s="328">
        <f>'09'!F188</f>
        <v>0</v>
      </c>
      <c r="F188" s="325">
        <v>0</v>
      </c>
      <c r="G188" s="344" t="str">
        <f t="shared" si="14"/>
        <v/>
      </c>
      <c r="H188" s="344" t="str">
        <f t="shared" si="15"/>
        <v/>
      </c>
      <c r="I188" s="349" t="str">
        <f t="shared" si="16"/>
        <v>否</v>
      </c>
      <c r="J188" s="313" t="str">
        <f t="shared" si="13"/>
        <v>项</v>
      </c>
    </row>
    <row r="189" ht="18.75" hidden="1" spans="1:10">
      <c r="A189" s="330">
        <v>2146902</v>
      </c>
      <c r="B189" s="327" t="s">
        <v>1455</v>
      </c>
      <c r="C189" s="328"/>
      <c r="D189" s="328"/>
      <c r="E189" s="328">
        <f>'09'!F189</f>
        <v>0</v>
      </c>
      <c r="F189" s="325">
        <v>0</v>
      </c>
      <c r="G189" s="344" t="str">
        <f t="shared" si="14"/>
        <v/>
      </c>
      <c r="H189" s="344" t="str">
        <f t="shared" si="15"/>
        <v/>
      </c>
      <c r="I189" s="349" t="str">
        <f t="shared" si="16"/>
        <v>否</v>
      </c>
      <c r="J189" s="313" t="str">
        <f t="shared" si="13"/>
        <v>项</v>
      </c>
    </row>
    <row r="190" ht="18.75" hidden="1" spans="1:10">
      <c r="A190" s="330">
        <v>2146903</v>
      </c>
      <c r="B190" s="327" t="s">
        <v>1456</v>
      </c>
      <c r="C190" s="328"/>
      <c r="D190" s="328"/>
      <c r="E190" s="328">
        <f>'09'!F190</f>
        <v>0</v>
      </c>
      <c r="F190" s="325">
        <v>0</v>
      </c>
      <c r="G190" s="344" t="str">
        <f t="shared" si="14"/>
        <v/>
      </c>
      <c r="H190" s="344" t="str">
        <f t="shared" si="15"/>
        <v/>
      </c>
      <c r="I190" s="349" t="str">
        <f t="shared" si="16"/>
        <v>否</v>
      </c>
      <c r="J190" s="313" t="str">
        <f t="shared" si="13"/>
        <v>项</v>
      </c>
    </row>
    <row r="191" ht="18.75" hidden="1" spans="1:10">
      <c r="A191" s="330">
        <v>2146904</v>
      </c>
      <c r="B191" s="327" t="s">
        <v>1457</v>
      </c>
      <c r="C191" s="328"/>
      <c r="D191" s="328"/>
      <c r="E191" s="328">
        <f>'09'!F191</f>
        <v>0</v>
      </c>
      <c r="F191" s="325">
        <v>0</v>
      </c>
      <c r="G191" s="344" t="str">
        <f t="shared" si="14"/>
        <v/>
      </c>
      <c r="H191" s="344" t="str">
        <f t="shared" si="15"/>
        <v/>
      </c>
      <c r="I191" s="349" t="str">
        <f t="shared" si="16"/>
        <v>否</v>
      </c>
      <c r="J191" s="313" t="str">
        <f t="shared" si="13"/>
        <v>项</v>
      </c>
    </row>
    <row r="192" ht="18.75" hidden="1" spans="1:10">
      <c r="A192" s="330">
        <v>2146906</v>
      </c>
      <c r="B192" s="327" t="s">
        <v>1458</v>
      </c>
      <c r="C192" s="328"/>
      <c r="D192" s="328"/>
      <c r="E192" s="328">
        <f>'09'!F192</f>
        <v>0</v>
      </c>
      <c r="F192" s="325">
        <v>0</v>
      </c>
      <c r="G192" s="344" t="str">
        <f t="shared" si="14"/>
        <v/>
      </c>
      <c r="H192" s="344" t="str">
        <f t="shared" si="15"/>
        <v/>
      </c>
      <c r="I192" s="349" t="str">
        <f t="shared" si="16"/>
        <v>否</v>
      </c>
      <c r="J192" s="313" t="str">
        <f t="shared" si="13"/>
        <v>项</v>
      </c>
    </row>
    <row r="193" ht="18.75" hidden="1" spans="1:10">
      <c r="A193" s="330">
        <v>2146907</v>
      </c>
      <c r="B193" s="327" t="s">
        <v>1459</v>
      </c>
      <c r="C193" s="328"/>
      <c r="D193" s="328"/>
      <c r="E193" s="328">
        <f>'09'!F193</f>
        <v>0</v>
      </c>
      <c r="F193" s="325">
        <v>0</v>
      </c>
      <c r="G193" s="344" t="str">
        <f t="shared" si="14"/>
        <v/>
      </c>
      <c r="H193" s="344" t="str">
        <f t="shared" si="15"/>
        <v/>
      </c>
      <c r="I193" s="349" t="str">
        <f t="shared" si="16"/>
        <v>否</v>
      </c>
      <c r="J193" s="313" t="str">
        <f t="shared" si="13"/>
        <v>项</v>
      </c>
    </row>
    <row r="194" ht="18.75" hidden="1" spans="1:10">
      <c r="A194" s="330">
        <v>2146908</v>
      </c>
      <c r="B194" s="327" t="s">
        <v>1460</v>
      </c>
      <c r="C194" s="328"/>
      <c r="D194" s="328"/>
      <c r="E194" s="328">
        <f>'09'!F194</f>
        <v>0</v>
      </c>
      <c r="F194" s="325">
        <v>0</v>
      </c>
      <c r="G194" s="344" t="str">
        <f t="shared" si="14"/>
        <v/>
      </c>
      <c r="H194" s="344" t="str">
        <f t="shared" si="15"/>
        <v/>
      </c>
      <c r="I194" s="349" t="str">
        <f t="shared" si="16"/>
        <v>否</v>
      </c>
      <c r="J194" s="313" t="str">
        <f t="shared" si="13"/>
        <v>项</v>
      </c>
    </row>
    <row r="195" ht="18.75" hidden="1" spans="1:10">
      <c r="A195" s="339">
        <v>2146909</v>
      </c>
      <c r="B195" s="327" t="s">
        <v>1461</v>
      </c>
      <c r="C195" s="328"/>
      <c r="D195" s="328"/>
      <c r="E195" s="328">
        <f>'09'!F195</f>
        <v>0</v>
      </c>
      <c r="F195" s="325">
        <v>0</v>
      </c>
      <c r="G195" s="344" t="str">
        <f t="shared" si="14"/>
        <v/>
      </c>
      <c r="H195" s="344" t="str">
        <f t="shared" si="15"/>
        <v/>
      </c>
      <c r="I195" s="349" t="str">
        <f t="shared" si="16"/>
        <v>否</v>
      </c>
      <c r="J195" s="313" t="str">
        <f t="shared" si="13"/>
        <v>项</v>
      </c>
    </row>
    <row r="196" ht="18.75" hidden="1" spans="1:10">
      <c r="A196" s="330">
        <v>2146999</v>
      </c>
      <c r="B196" s="327" t="s">
        <v>1462</v>
      </c>
      <c r="C196" s="328"/>
      <c r="D196" s="328"/>
      <c r="E196" s="328">
        <f>'09'!F196</f>
        <v>0</v>
      </c>
      <c r="F196" s="325">
        <v>0</v>
      </c>
      <c r="G196" s="344" t="str">
        <f t="shared" si="14"/>
        <v/>
      </c>
      <c r="H196" s="344" t="str">
        <f t="shared" si="15"/>
        <v/>
      </c>
      <c r="I196" s="349" t="str">
        <f t="shared" si="16"/>
        <v>否</v>
      </c>
      <c r="J196" s="313" t="str">
        <f t="shared" si="13"/>
        <v>项</v>
      </c>
    </row>
    <row r="197" ht="37.5" hidden="1" spans="1:10">
      <c r="A197" s="330">
        <v>21470</v>
      </c>
      <c r="B197" s="327" t="s">
        <v>1463</v>
      </c>
      <c r="C197" s="325"/>
      <c r="D197" s="325"/>
      <c r="E197" s="325"/>
      <c r="F197" s="325">
        <v>0</v>
      </c>
      <c r="G197" s="343" t="str">
        <f t="shared" si="14"/>
        <v/>
      </c>
      <c r="H197" s="343" t="str">
        <f t="shared" si="15"/>
        <v/>
      </c>
      <c r="I197" s="349" t="str">
        <f t="shared" si="16"/>
        <v>否</v>
      </c>
      <c r="J197" s="313" t="str">
        <f t="shared" ref="J197:J217" si="17">IF(LEN(A197)=3,"类",IF(LEN(A197)=5,"款","项"))</f>
        <v>款</v>
      </c>
    </row>
    <row r="198" ht="18.75" hidden="1" spans="1:10">
      <c r="A198" s="330">
        <v>2147001</v>
      </c>
      <c r="B198" s="327" t="s">
        <v>1429</v>
      </c>
      <c r="C198" s="328"/>
      <c r="D198" s="328"/>
      <c r="E198" s="328">
        <f>'09'!F198</f>
        <v>0</v>
      </c>
      <c r="F198" s="325">
        <v>0</v>
      </c>
      <c r="G198" s="344" t="str">
        <f t="shared" ref="G198:G217" si="18">IFERROR((F198-C198)/C198,"")</f>
        <v/>
      </c>
      <c r="H198" s="344" t="str">
        <f t="shared" ref="H198:H217" si="19">IFERROR((F198-E198)/E198,"")</f>
        <v/>
      </c>
      <c r="I198" s="349" t="str">
        <f t="shared" ref="I198:I217" si="20">IF(LEN(A198)=3,"是",IF(B198&lt;&gt;"",IF(SUM(C198:F198)&lt;&gt;0,"是","否"),"是"))</f>
        <v>否</v>
      </c>
      <c r="J198" s="313" t="str">
        <f t="shared" si="17"/>
        <v>项</v>
      </c>
    </row>
    <row r="199" ht="37.5" hidden="1" spans="1:10">
      <c r="A199" s="330">
        <v>2147099</v>
      </c>
      <c r="B199" s="327" t="s">
        <v>1464</v>
      </c>
      <c r="C199" s="328"/>
      <c r="D199" s="328"/>
      <c r="E199" s="328">
        <f>'09'!F199</f>
        <v>0</v>
      </c>
      <c r="F199" s="325">
        <v>0</v>
      </c>
      <c r="G199" s="344" t="str">
        <f t="shared" si="18"/>
        <v/>
      </c>
      <c r="H199" s="344" t="str">
        <f t="shared" si="19"/>
        <v/>
      </c>
      <c r="I199" s="349" t="str">
        <f t="shared" si="20"/>
        <v>否</v>
      </c>
      <c r="J199" s="313" t="str">
        <f t="shared" si="17"/>
        <v>项</v>
      </c>
    </row>
    <row r="200" ht="18.75" hidden="1" spans="1:10">
      <c r="A200" s="330">
        <v>21471</v>
      </c>
      <c r="B200" s="327" t="s">
        <v>1465</v>
      </c>
      <c r="C200" s="325"/>
      <c r="D200" s="325"/>
      <c r="E200" s="325"/>
      <c r="F200" s="325">
        <v>0</v>
      </c>
      <c r="G200" s="343" t="str">
        <f t="shared" si="18"/>
        <v/>
      </c>
      <c r="H200" s="343" t="str">
        <f t="shared" si="19"/>
        <v/>
      </c>
      <c r="I200" s="349" t="str">
        <f t="shared" si="20"/>
        <v>否</v>
      </c>
      <c r="J200" s="313" t="str">
        <f t="shared" si="17"/>
        <v>款</v>
      </c>
    </row>
    <row r="201" ht="18.75" hidden="1" spans="1:10">
      <c r="A201" s="330">
        <v>2147101</v>
      </c>
      <c r="B201" s="327" t="s">
        <v>1429</v>
      </c>
      <c r="C201" s="328"/>
      <c r="D201" s="328"/>
      <c r="E201" s="328">
        <f>'09'!F201</f>
        <v>0</v>
      </c>
      <c r="F201" s="325">
        <v>0</v>
      </c>
      <c r="G201" s="344" t="str">
        <f t="shared" si="18"/>
        <v/>
      </c>
      <c r="H201" s="344" t="str">
        <f t="shared" si="19"/>
        <v/>
      </c>
      <c r="I201" s="349" t="str">
        <f t="shared" si="20"/>
        <v>否</v>
      </c>
      <c r="J201" s="313" t="str">
        <f t="shared" si="17"/>
        <v>项</v>
      </c>
    </row>
    <row r="202" ht="37.5" hidden="1" spans="1:10">
      <c r="A202" s="330">
        <v>2147199</v>
      </c>
      <c r="B202" s="327" t="s">
        <v>1466</v>
      </c>
      <c r="C202" s="328"/>
      <c r="D202" s="328"/>
      <c r="E202" s="328">
        <f>'09'!F202</f>
        <v>0</v>
      </c>
      <c r="F202" s="325">
        <v>0</v>
      </c>
      <c r="G202" s="344" t="str">
        <f t="shared" si="18"/>
        <v/>
      </c>
      <c r="H202" s="344" t="str">
        <f t="shared" si="19"/>
        <v/>
      </c>
      <c r="I202" s="349" t="str">
        <f t="shared" si="20"/>
        <v>否</v>
      </c>
      <c r="J202" s="313" t="str">
        <f t="shared" si="17"/>
        <v>项</v>
      </c>
    </row>
    <row r="203" ht="18.75" hidden="1" spans="1:10">
      <c r="A203" s="330">
        <v>21472</v>
      </c>
      <c r="B203" s="327" t="s">
        <v>1467</v>
      </c>
      <c r="C203" s="325"/>
      <c r="D203" s="325"/>
      <c r="E203" s="325"/>
      <c r="F203" s="325">
        <v>0</v>
      </c>
      <c r="G203" s="343" t="str">
        <f t="shared" si="18"/>
        <v/>
      </c>
      <c r="H203" s="343" t="str">
        <f t="shared" si="19"/>
        <v/>
      </c>
      <c r="I203" s="349" t="str">
        <f t="shared" si="20"/>
        <v>否</v>
      </c>
      <c r="J203" s="313" t="str">
        <f t="shared" si="17"/>
        <v>款</v>
      </c>
    </row>
    <row r="204" s="311" customFormat="1" ht="18.75" hidden="1" spans="1:10">
      <c r="A204" s="334">
        <v>21498</v>
      </c>
      <c r="B204" s="338" t="s">
        <v>1331</v>
      </c>
      <c r="C204" s="325"/>
      <c r="D204" s="325"/>
      <c r="E204" s="325"/>
      <c r="F204" s="325">
        <v>0</v>
      </c>
      <c r="G204" s="343" t="str">
        <f t="shared" si="18"/>
        <v/>
      </c>
      <c r="H204" s="343" t="str">
        <f t="shared" si="19"/>
        <v/>
      </c>
      <c r="I204" s="349" t="str">
        <f t="shared" si="20"/>
        <v>否</v>
      </c>
      <c r="J204" s="309" t="str">
        <f t="shared" si="17"/>
        <v>款</v>
      </c>
    </row>
    <row r="205" s="311" customFormat="1" ht="18.75" hidden="1" spans="1:10">
      <c r="A205" s="334">
        <v>2149801</v>
      </c>
      <c r="B205" s="338" t="s">
        <v>1468</v>
      </c>
      <c r="C205" s="328"/>
      <c r="D205" s="328"/>
      <c r="E205" s="328">
        <f>'09'!F205</f>
        <v>0</v>
      </c>
      <c r="F205" s="325">
        <v>0</v>
      </c>
      <c r="G205" s="344" t="str">
        <f t="shared" si="18"/>
        <v/>
      </c>
      <c r="H205" s="344" t="str">
        <f t="shared" si="19"/>
        <v/>
      </c>
      <c r="I205" s="349" t="str">
        <f t="shared" si="20"/>
        <v>否</v>
      </c>
      <c r="J205" s="309" t="str">
        <f t="shared" si="17"/>
        <v>项</v>
      </c>
    </row>
    <row r="206" s="311" customFormat="1" ht="18.75" hidden="1" spans="1:10">
      <c r="A206" s="334">
        <v>2149802</v>
      </c>
      <c r="B206" s="338" t="s">
        <v>1469</v>
      </c>
      <c r="C206" s="328"/>
      <c r="D206" s="328"/>
      <c r="E206" s="328">
        <f>'09'!F206</f>
        <v>0</v>
      </c>
      <c r="F206" s="325">
        <v>0</v>
      </c>
      <c r="G206" s="344" t="str">
        <f t="shared" si="18"/>
        <v/>
      </c>
      <c r="H206" s="344" t="str">
        <f t="shared" si="19"/>
        <v/>
      </c>
      <c r="I206" s="349" t="str">
        <f t="shared" si="20"/>
        <v>否</v>
      </c>
      <c r="J206" s="309" t="str">
        <f t="shared" si="17"/>
        <v>项</v>
      </c>
    </row>
    <row r="207" s="311" customFormat="1" ht="18.75" hidden="1" spans="1:10">
      <c r="A207" s="334">
        <v>2149803</v>
      </c>
      <c r="B207" s="338" t="s">
        <v>1470</v>
      </c>
      <c r="C207" s="328"/>
      <c r="D207" s="328"/>
      <c r="E207" s="328">
        <f>'09'!F207</f>
        <v>0</v>
      </c>
      <c r="F207" s="325">
        <v>0</v>
      </c>
      <c r="G207" s="344" t="str">
        <f t="shared" si="18"/>
        <v/>
      </c>
      <c r="H207" s="344" t="str">
        <f t="shared" si="19"/>
        <v/>
      </c>
      <c r="I207" s="349" t="str">
        <f t="shared" si="20"/>
        <v>否</v>
      </c>
      <c r="J207" s="309" t="str">
        <f t="shared" si="17"/>
        <v>项</v>
      </c>
    </row>
    <row r="208" s="311" customFormat="1" ht="18.75" hidden="1" spans="1:10">
      <c r="A208" s="334">
        <v>2149804</v>
      </c>
      <c r="B208" s="338" t="s">
        <v>1471</v>
      </c>
      <c r="C208" s="328"/>
      <c r="D208" s="328"/>
      <c r="E208" s="328">
        <f>'09'!F208</f>
        <v>0</v>
      </c>
      <c r="F208" s="325">
        <v>0</v>
      </c>
      <c r="G208" s="344" t="str">
        <f t="shared" si="18"/>
        <v/>
      </c>
      <c r="H208" s="344" t="str">
        <f t="shared" si="19"/>
        <v/>
      </c>
      <c r="I208" s="349" t="str">
        <f t="shared" si="20"/>
        <v>否</v>
      </c>
      <c r="J208" s="309" t="str">
        <f t="shared" si="17"/>
        <v>项</v>
      </c>
    </row>
    <row r="209" s="311" customFormat="1" ht="18.75" hidden="1" spans="1:10">
      <c r="A209" s="334">
        <v>2149899</v>
      </c>
      <c r="B209" s="338" t="s">
        <v>1472</v>
      </c>
      <c r="C209" s="328"/>
      <c r="D209" s="328"/>
      <c r="E209" s="328">
        <f>'09'!F209</f>
        <v>0</v>
      </c>
      <c r="F209" s="325">
        <v>0</v>
      </c>
      <c r="G209" s="344" t="str">
        <f t="shared" si="18"/>
        <v/>
      </c>
      <c r="H209" s="344" t="str">
        <f t="shared" si="19"/>
        <v/>
      </c>
      <c r="I209" s="349" t="str">
        <f t="shared" si="20"/>
        <v>否</v>
      </c>
      <c r="J209" s="309" t="str">
        <f t="shared" si="17"/>
        <v>项</v>
      </c>
    </row>
    <row r="210" ht="18.75" spans="1:10">
      <c r="A210" s="329">
        <v>215</v>
      </c>
      <c r="B210" s="324" t="s">
        <v>1473</v>
      </c>
      <c r="C210" s="325">
        <f t="shared" ref="C210:F210" si="21">C211+C214</f>
        <v>24</v>
      </c>
      <c r="D210" s="325">
        <f t="shared" si="21"/>
        <v>24</v>
      </c>
      <c r="E210" s="325">
        <f t="shared" si="21"/>
        <v>44</v>
      </c>
      <c r="F210" s="325">
        <f t="shared" si="21"/>
        <v>0</v>
      </c>
      <c r="G210" s="343">
        <f t="shared" si="18"/>
        <v>-1</v>
      </c>
      <c r="H210" s="343">
        <f t="shared" si="19"/>
        <v>-1</v>
      </c>
      <c r="I210" s="349" t="str">
        <f t="shared" si="20"/>
        <v>是</v>
      </c>
      <c r="J210" s="313" t="str">
        <f t="shared" si="17"/>
        <v>类</v>
      </c>
    </row>
    <row r="211" ht="18.75" hidden="1" spans="1:10">
      <c r="A211" s="330">
        <v>21562</v>
      </c>
      <c r="B211" s="327" t="s">
        <v>1474</v>
      </c>
      <c r="C211" s="325"/>
      <c r="D211" s="325"/>
      <c r="E211" s="325"/>
      <c r="F211" s="325">
        <v>0</v>
      </c>
      <c r="G211" s="343" t="str">
        <f t="shared" si="18"/>
        <v/>
      </c>
      <c r="H211" s="343" t="str">
        <f t="shared" si="19"/>
        <v/>
      </c>
      <c r="I211" s="349" t="str">
        <f t="shared" si="20"/>
        <v>否</v>
      </c>
      <c r="J211" s="313" t="str">
        <f t="shared" si="17"/>
        <v>款</v>
      </c>
    </row>
    <row r="212" ht="18.75" hidden="1" spans="1:10">
      <c r="A212" s="330">
        <v>2156202</v>
      </c>
      <c r="B212" s="327" t="s">
        <v>1475</v>
      </c>
      <c r="C212" s="328"/>
      <c r="D212" s="328"/>
      <c r="E212" s="328">
        <f>'09'!F212</f>
        <v>0</v>
      </c>
      <c r="F212" s="325">
        <v>0</v>
      </c>
      <c r="G212" s="344" t="str">
        <f t="shared" si="18"/>
        <v/>
      </c>
      <c r="H212" s="344" t="str">
        <f t="shared" si="19"/>
        <v/>
      </c>
      <c r="I212" s="349" t="str">
        <f t="shared" si="20"/>
        <v>否</v>
      </c>
      <c r="J212" s="313" t="str">
        <f t="shared" si="17"/>
        <v>项</v>
      </c>
    </row>
    <row r="213" ht="18.75" hidden="1" spans="1:10">
      <c r="A213" s="330">
        <v>2156299</v>
      </c>
      <c r="B213" s="327" t="s">
        <v>1476</v>
      </c>
      <c r="C213" s="328"/>
      <c r="D213" s="328"/>
      <c r="E213" s="328">
        <f>'09'!F213</f>
        <v>0</v>
      </c>
      <c r="F213" s="325">
        <v>0</v>
      </c>
      <c r="G213" s="344" t="str">
        <f t="shared" si="18"/>
        <v/>
      </c>
      <c r="H213" s="344" t="str">
        <f t="shared" si="19"/>
        <v/>
      </c>
      <c r="I213" s="349" t="str">
        <f t="shared" si="20"/>
        <v>否</v>
      </c>
      <c r="J213" s="313" t="str">
        <f t="shared" si="17"/>
        <v>项</v>
      </c>
    </row>
    <row r="214" s="311" customFormat="1" ht="18.75" spans="1:10">
      <c r="A214" s="334">
        <v>21598</v>
      </c>
      <c r="B214" s="338" t="s">
        <v>1331</v>
      </c>
      <c r="C214" s="325">
        <f t="shared" ref="C214:F214" si="22">SUM(C215:C218)</f>
        <v>24</v>
      </c>
      <c r="D214" s="325">
        <f t="shared" si="22"/>
        <v>24</v>
      </c>
      <c r="E214" s="325">
        <f t="shared" si="22"/>
        <v>44</v>
      </c>
      <c r="F214" s="325">
        <f t="shared" si="22"/>
        <v>0</v>
      </c>
      <c r="G214" s="343">
        <f t="shared" si="18"/>
        <v>-1</v>
      </c>
      <c r="H214" s="343">
        <f t="shared" si="19"/>
        <v>-1</v>
      </c>
      <c r="I214" s="349" t="str">
        <f t="shared" si="20"/>
        <v>是</v>
      </c>
      <c r="J214" s="313" t="str">
        <f t="shared" si="17"/>
        <v>款</v>
      </c>
    </row>
    <row r="215" s="311" customFormat="1" ht="18.75" hidden="1" spans="1:10">
      <c r="A215" s="334">
        <v>2159801</v>
      </c>
      <c r="B215" s="338" t="s">
        <v>1477</v>
      </c>
      <c r="C215" s="328"/>
      <c r="D215" s="328"/>
      <c r="E215" s="328">
        <f>'09'!F215</f>
        <v>0</v>
      </c>
      <c r="F215" s="325">
        <v>0</v>
      </c>
      <c r="G215" s="344" t="str">
        <f t="shared" si="18"/>
        <v/>
      </c>
      <c r="H215" s="344" t="str">
        <f t="shared" si="19"/>
        <v/>
      </c>
      <c r="I215" s="349" t="str">
        <f t="shared" si="20"/>
        <v>否</v>
      </c>
      <c r="J215" s="313" t="str">
        <f t="shared" si="17"/>
        <v>项</v>
      </c>
    </row>
    <row r="216" s="311" customFormat="1" ht="18.75" spans="1:10">
      <c r="A216" s="334">
        <v>2159802</v>
      </c>
      <c r="B216" s="338" t="s">
        <v>1478</v>
      </c>
      <c r="C216" s="328">
        <v>24</v>
      </c>
      <c r="D216" s="328">
        <v>24</v>
      </c>
      <c r="E216" s="328">
        <f>'09'!F216</f>
        <v>44</v>
      </c>
      <c r="F216" s="328">
        <v>0</v>
      </c>
      <c r="G216" s="344">
        <f t="shared" si="18"/>
        <v>-1</v>
      </c>
      <c r="H216" s="344">
        <f t="shared" si="19"/>
        <v>-1</v>
      </c>
      <c r="I216" s="349" t="str">
        <f t="shared" si="20"/>
        <v>是</v>
      </c>
      <c r="J216" s="313" t="str">
        <f t="shared" si="17"/>
        <v>项</v>
      </c>
    </row>
    <row r="217" s="311" customFormat="1" ht="18.75" hidden="1" spans="1:10">
      <c r="A217" s="334">
        <v>2159803</v>
      </c>
      <c r="B217" s="338" t="s">
        <v>1479</v>
      </c>
      <c r="C217" s="328"/>
      <c r="D217" s="328"/>
      <c r="E217" s="328">
        <f>'09'!F217</f>
        <v>0</v>
      </c>
      <c r="F217" s="325">
        <v>0</v>
      </c>
      <c r="G217" s="344" t="str">
        <f t="shared" si="18"/>
        <v/>
      </c>
      <c r="H217" s="344" t="str">
        <f t="shared" si="19"/>
        <v/>
      </c>
      <c r="I217" s="349" t="str">
        <f t="shared" si="20"/>
        <v>否</v>
      </c>
      <c r="J217" s="313" t="str">
        <f t="shared" si="17"/>
        <v>项</v>
      </c>
    </row>
    <row r="218" s="311" customFormat="1" ht="18.75" hidden="1" spans="1:10">
      <c r="A218" s="334">
        <v>2159899</v>
      </c>
      <c r="B218" s="338" t="s">
        <v>1480</v>
      </c>
      <c r="C218" s="328"/>
      <c r="D218" s="328"/>
      <c r="E218" s="328">
        <f>'09'!F218</f>
        <v>0</v>
      </c>
      <c r="F218" s="325">
        <v>0</v>
      </c>
      <c r="G218" s="344" t="str">
        <f t="shared" ref="G218:G223" si="23">IFERROR((F218-C218)/C218,"")</f>
        <v/>
      </c>
      <c r="H218" s="344" t="str">
        <f t="shared" ref="H218:H223" si="24">IFERROR((F218-E218)/E218,"")</f>
        <v/>
      </c>
      <c r="I218" s="349" t="str">
        <f t="shared" ref="I218:I223" si="25">IF(LEN(A218)=3,"是",IF(B218&lt;&gt;"",IF(SUM(C218:F218)&lt;&gt;0,"是","否"),"是"))</f>
        <v>否</v>
      </c>
      <c r="J218" s="313" t="str">
        <f t="shared" ref="J218:J223" si="26">IF(LEN(A218)=3,"类",IF(LEN(A218)=5,"款","项"))</f>
        <v>项</v>
      </c>
    </row>
    <row r="219" s="311" customFormat="1" ht="18.75" spans="1:10">
      <c r="A219" s="332">
        <v>217</v>
      </c>
      <c r="B219" s="324" t="s">
        <v>1481</v>
      </c>
      <c r="C219" s="325"/>
      <c r="D219" s="325"/>
      <c r="E219" s="325"/>
      <c r="F219" s="325"/>
      <c r="G219" s="343" t="str">
        <f t="shared" si="23"/>
        <v/>
      </c>
      <c r="H219" s="343" t="str">
        <f t="shared" si="24"/>
        <v/>
      </c>
      <c r="I219" s="349" t="str">
        <f t="shared" si="25"/>
        <v>是</v>
      </c>
      <c r="J219" s="313" t="str">
        <f t="shared" si="26"/>
        <v>类</v>
      </c>
    </row>
    <row r="220" s="311" customFormat="1" ht="18.75" hidden="1" spans="1:10">
      <c r="A220" s="352">
        <v>21704</v>
      </c>
      <c r="B220" s="338" t="s">
        <v>1482</v>
      </c>
      <c r="C220" s="325"/>
      <c r="D220" s="325"/>
      <c r="E220" s="325"/>
      <c r="F220" s="325"/>
      <c r="G220" s="343" t="str">
        <f t="shared" si="23"/>
        <v/>
      </c>
      <c r="H220" s="343" t="str">
        <f t="shared" si="24"/>
        <v/>
      </c>
      <c r="I220" s="349" t="str">
        <f t="shared" si="25"/>
        <v>否</v>
      </c>
      <c r="J220" s="313" t="str">
        <f t="shared" si="26"/>
        <v>款</v>
      </c>
    </row>
    <row r="221" s="311" customFormat="1" ht="18.75" hidden="1" spans="1:10">
      <c r="A221" s="326">
        <v>2170402</v>
      </c>
      <c r="B221" s="327" t="s">
        <v>1483</v>
      </c>
      <c r="C221" s="328"/>
      <c r="D221" s="328"/>
      <c r="E221" s="328">
        <f>'09'!F221</f>
        <v>0</v>
      </c>
      <c r="F221" s="325"/>
      <c r="G221" s="344" t="str">
        <f t="shared" si="23"/>
        <v/>
      </c>
      <c r="H221" s="344" t="str">
        <f t="shared" si="24"/>
        <v/>
      </c>
      <c r="I221" s="349" t="str">
        <f t="shared" si="25"/>
        <v>否</v>
      </c>
      <c r="J221" s="313" t="str">
        <f t="shared" si="26"/>
        <v>项</v>
      </c>
    </row>
    <row r="222" s="311" customFormat="1" ht="18.75" hidden="1" spans="1:10">
      <c r="A222" s="326">
        <v>2170403</v>
      </c>
      <c r="B222" s="327" t="s">
        <v>1484</v>
      </c>
      <c r="C222" s="328"/>
      <c r="D222" s="328"/>
      <c r="E222" s="328">
        <f>'09'!F222</f>
        <v>0</v>
      </c>
      <c r="F222" s="325"/>
      <c r="G222" s="344" t="str">
        <f t="shared" si="23"/>
        <v/>
      </c>
      <c r="H222" s="344" t="str">
        <f t="shared" si="24"/>
        <v/>
      </c>
      <c r="I222" s="349" t="str">
        <f t="shared" si="25"/>
        <v>否</v>
      </c>
      <c r="J222" s="313" t="str">
        <f t="shared" si="26"/>
        <v>项</v>
      </c>
    </row>
    <row r="223" s="311" customFormat="1" ht="18.75" hidden="1" spans="1:10">
      <c r="A223" s="326">
        <v>2170404</v>
      </c>
      <c r="B223" s="327" t="s">
        <v>1485</v>
      </c>
      <c r="C223" s="328"/>
      <c r="D223" s="328"/>
      <c r="E223" s="328">
        <f>'09'!F223</f>
        <v>0</v>
      </c>
      <c r="F223" s="325"/>
      <c r="G223" s="344" t="str">
        <f t="shared" si="23"/>
        <v/>
      </c>
      <c r="H223" s="344" t="str">
        <f t="shared" si="24"/>
        <v/>
      </c>
      <c r="I223" s="349" t="str">
        <f t="shared" si="25"/>
        <v>否</v>
      </c>
      <c r="J223" s="313" t="str">
        <f t="shared" si="26"/>
        <v>项</v>
      </c>
    </row>
    <row r="224" s="311" customFormat="1" ht="18.75" spans="1:10">
      <c r="A224" s="332">
        <v>220</v>
      </c>
      <c r="B224" s="333" t="s">
        <v>1486</v>
      </c>
      <c r="C224" s="325"/>
      <c r="D224" s="325"/>
      <c r="E224" s="325"/>
      <c r="F224" s="325">
        <v>0</v>
      </c>
      <c r="G224" s="343" t="str">
        <f t="shared" ref="G224:G274" si="27">IFERROR((F224-C224)/C224,"")</f>
        <v/>
      </c>
      <c r="H224" s="343" t="str">
        <f t="shared" ref="H224:H274" si="28">IFERROR((F224-E224)/E224,"")</f>
        <v/>
      </c>
      <c r="I224" s="349" t="str">
        <f t="shared" ref="I224:I274" si="29">IF(LEN(A224)=3,"是",IF(B224&lt;&gt;"",IF(SUM(C224:F224)&lt;&gt;0,"是","否"),"是"))</f>
        <v>是</v>
      </c>
      <c r="J224" s="309" t="str">
        <f t="shared" ref="J224:J274" si="30">IF(LEN(A224)=3,"类",IF(LEN(A224)=5,"款","项"))</f>
        <v>类</v>
      </c>
    </row>
    <row r="225" s="311" customFormat="1" ht="18.75" hidden="1" spans="1:10">
      <c r="A225" s="334">
        <v>22006</v>
      </c>
      <c r="B225" s="338" t="s">
        <v>1487</v>
      </c>
      <c r="C225" s="325"/>
      <c r="D225" s="325"/>
      <c r="E225" s="325"/>
      <c r="F225" s="325">
        <v>0</v>
      </c>
      <c r="G225" s="343" t="str">
        <f t="shared" si="27"/>
        <v/>
      </c>
      <c r="H225" s="343" t="str">
        <f t="shared" si="28"/>
        <v/>
      </c>
      <c r="I225" s="349" t="str">
        <f t="shared" si="29"/>
        <v>否</v>
      </c>
      <c r="J225" s="309" t="str">
        <f t="shared" si="30"/>
        <v>款</v>
      </c>
    </row>
    <row r="226" s="311" customFormat="1" ht="18.75" hidden="1" spans="1:10">
      <c r="A226" s="334">
        <v>2200601</v>
      </c>
      <c r="B226" s="338" t="s">
        <v>1488</v>
      </c>
      <c r="C226" s="328"/>
      <c r="D226" s="328"/>
      <c r="E226" s="328">
        <f>'09'!F226</f>
        <v>0</v>
      </c>
      <c r="F226" s="325">
        <v>0</v>
      </c>
      <c r="G226" s="344" t="str">
        <f t="shared" si="27"/>
        <v/>
      </c>
      <c r="H226" s="344" t="str">
        <f t="shared" si="28"/>
        <v/>
      </c>
      <c r="I226" s="349" t="str">
        <f t="shared" si="29"/>
        <v>否</v>
      </c>
      <c r="J226" s="309" t="str">
        <f t="shared" si="30"/>
        <v>项</v>
      </c>
    </row>
    <row r="227" s="311" customFormat="1" ht="18.75" hidden="1" spans="1:10">
      <c r="A227" s="334">
        <v>2200602</v>
      </c>
      <c r="B227" s="335" t="s">
        <v>1489</v>
      </c>
      <c r="C227" s="328"/>
      <c r="D227" s="328"/>
      <c r="E227" s="328">
        <f>'09'!F227</f>
        <v>0</v>
      </c>
      <c r="F227" s="325">
        <v>0</v>
      </c>
      <c r="G227" s="344" t="str">
        <f t="shared" si="27"/>
        <v/>
      </c>
      <c r="H227" s="344" t="str">
        <f t="shared" si="28"/>
        <v/>
      </c>
      <c r="I227" s="349" t="str">
        <f t="shared" si="29"/>
        <v>否</v>
      </c>
      <c r="J227" s="309" t="str">
        <f t="shared" si="30"/>
        <v>项</v>
      </c>
    </row>
    <row r="228" s="311" customFormat="1" ht="18.75" spans="1:10">
      <c r="A228" s="332">
        <v>221</v>
      </c>
      <c r="B228" s="353" t="s">
        <v>1490</v>
      </c>
      <c r="C228" s="325">
        <f t="shared" ref="C228:F228" si="31">C229</f>
        <v>165</v>
      </c>
      <c r="D228" s="325">
        <f t="shared" si="31"/>
        <v>165</v>
      </c>
      <c r="E228" s="325">
        <f t="shared" si="31"/>
        <v>165</v>
      </c>
      <c r="F228" s="325">
        <f t="shared" si="31"/>
        <v>0</v>
      </c>
      <c r="G228" s="343">
        <f t="shared" si="27"/>
        <v>-1</v>
      </c>
      <c r="H228" s="343">
        <f t="shared" si="28"/>
        <v>-1</v>
      </c>
      <c r="I228" s="349" t="str">
        <f t="shared" si="29"/>
        <v>是</v>
      </c>
      <c r="J228" s="309" t="str">
        <f t="shared" si="30"/>
        <v>类</v>
      </c>
    </row>
    <row r="229" s="311" customFormat="1" ht="18.75" spans="1:10">
      <c r="A229" s="334">
        <v>22198</v>
      </c>
      <c r="B229" s="338" t="s">
        <v>1331</v>
      </c>
      <c r="C229" s="325">
        <f t="shared" ref="C229:F229" si="32">SUM(C230:C231)</f>
        <v>165</v>
      </c>
      <c r="D229" s="325">
        <f t="shared" si="32"/>
        <v>165</v>
      </c>
      <c r="E229" s="325">
        <f t="shared" si="32"/>
        <v>165</v>
      </c>
      <c r="F229" s="325">
        <f t="shared" si="32"/>
        <v>0</v>
      </c>
      <c r="G229" s="343">
        <f t="shared" si="27"/>
        <v>-1</v>
      </c>
      <c r="H229" s="343">
        <f t="shared" si="28"/>
        <v>-1</v>
      </c>
      <c r="I229" s="349" t="str">
        <f t="shared" si="29"/>
        <v>是</v>
      </c>
      <c r="J229" s="309" t="str">
        <f t="shared" si="30"/>
        <v>款</v>
      </c>
    </row>
    <row r="230" s="311" customFormat="1" ht="18.75" hidden="1" spans="1:10">
      <c r="A230" s="334">
        <v>2219801</v>
      </c>
      <c r="B230" s="338" t="s">
        <v>1491</v>
      </c>
      <c r="C230" s="328"/>
      <c r="D230" s="328"/>
      <c r="E230" s="328">
        <f>'09'!F230</f>
        <v>0</v>
      </c>
      <c r="F230" s="325">
        <v>0</v>
      </c>
      <c r="G230" s="344" t="str">
        <f t="shared" si="27"/>
        <v/>
      </c>
      <c r="H230" s="344" t="str">
        <f t="shared" si="28"/>
        <v/>
      </c>
      <c r="I230" s="349" t="str">
        <f t="shared" si="29"/>
        <v>否</v>
      </c>
      <c r="J230" s="309" t="str">
        <f t="shared" si="30"/>
        <v>项</v>
      </c>
    </row>
    <row r="231" s="311" customFormat="1" ht="18.75" spans="1:10">
      <c r="A231" s="334">
        <v>2219899</v>
      </c>
      <c r="B231" s="338" t="s">
        <v>1492</v>
      </c>
      <c r="C231" s="328">
        <v>165</v>
      </c>
      <c r="D231" s="328">
        <v>165</v>
      </c>
      <c r="E231" s="328">
        <f>'09'!F231</f>
        <v>165</v>
      </c>
      <c r="F231" s="328">
        <v>0</v>
      </c>
      <c r="G231" s="344">
        <f t="shared" si="27"/>
        <v>-1</v>
      </c>
      <c r="H231" s="344">
        <f t="shared" si="28"/>
        <v>-1</v>
      </c>
      <c r="I231" s="349" t="str">
        <f t="shared" si="29"/>
        <v>是</v>
      </c>
      <c r="J231" s="309" t="str">
        <f t="shared" si="30"/>
        <v>项</v>
      </c>
    </row>
    <row r="232" s="311" customFormat="1" ht="18.75" spans="1:10">
      <c r="A232" s="332">
        <v>222</v>
      </c>
      <c r="B232" s="353" t="s">
        <v>1493</v>
      </c>
      <c r="C232" s="325"/>
      <c r="D232" s="325"/>
      <c r="E232" s="325"/>
      <c r="F232" s="325">
        <v>0</v>
      </c>
      <c r="G232" s="343" t="str">
        <f t="shared" si="27"/>
        <v/>
      </c>
      <c r="H232" s="343" t="str">
        <f t="shared" si="28"/>
        <v/>
      </c>
      <c r="I232" s="349" t="str">
        <f t="shared" si="29"/>
        <v>是</v>
      </c>
      <c r="J232" s="309" t="str">
        <f t="shared" si="30"/>
        <v>类</v>
      </c>
    </row>
    <row r="233" s="311" customFormat="1" ht="18.75" hidden="1" spans="1:10">
      <c r="A233" s="334">
        <v>22298</v>
      </c>
      <c r="B233" s="338" t="s">
        <v>1331</v>
      </c>
      <c r="C233" s="325"/>
      <c r="D233" s="325"/>
      <c r="E233" s="325"/>
      <c r="F233" s="325">
        <v>0</v>
      </c>
      <c r="G233" s="343" t="str">
        <f t="shared" si="27"/>
        <v/>
      </c>
      <c r="H233" s="343" t="str">
        <f t="shared" si="28"/>
        <v/>
      </c>
      <c r="I233" s="349" t="str">
        <f t="shared" si="29"/>
        <v>否</v>
      </c>
      <c r="J233" s="309" t="str">
        <f t="shared" si="30"/>
        <v>款</v>
      </c>
    </row>
    <row r="234" s="311" customFormat="1" ht="18.75" hidden="1" spans="1:10">
      <c r="A234" s="334">
        <v>2229801</v>
      </c>
      <c r="B234" s="338" t="s">
        <v>1494</v>
      </c>
      <c r="C234" s="328"/>
      <c r="D234" s="328"/>
      <c r="E234" s="328">
        <f>'09'!F234</f>
        <v>0</v>
      </c>
      <c r="F234" s="325">
        <v>0</v>
      </c>
      <c r="G234" s="344" t="str">
        <f t="shared" si="27"/>
        <v/>
      </c>
      <c r="H234" s="344" t="str">
        <f t="shared" si="28"/>
        <v/>
      </c>
      <c r="I234" s="349" t="str">
        <f t="shared" si="29"/>
        <v>否</v>
      </c>
      <c r="J234" s="309" t="str">
        <f t="shared" si="30"/>
        <v>项</v>
      </c>
    </row>
    <row r="235" s="311" customFormat="1" ht="18.75" hidden="1" spans="1:10">
      <c r="A235" s="334">
        <v>2229899</v>
      </c>
      <c r="B235" s="338" t="s">
        <v>1495</v>
      </c>
      <c r="C235" s="328"/>
      <c r="D235" s="328"/>
      <c r="E235" s="328">
        <f>'09'!F235</f>
        <v>0</v>
      </c>
      <c r="F235" s="325">
        <v>0</v>
      </c>
      <c r="G235" s="344" t="str">
        <f t="shared" si="27"/>
        <v/>
      </c>
      <c r="H235" s="344" t="str">
        <f t="shared" si="28"/>
        <v/>
      </c>
      <c r="I235" s="349" t="str">
        <f t="shared" si="29"/>
        <v>否</v>
      </c>
      <c r="J235" s="309" t="str">
        <f t="shared" si="30"/>
        <v>项</v>
      </c>
    </row>
    <row r="236" s="311" customFormat="1" ht="18.75" spans="1:10">
      <c r="A236" s="332">
        <v>224</v>
      </c>
      <c r="B236" s="353" t="s">
        <v>1496</v>
      </c>
      <c r="C236" s="325"/>
      <c r="D236" s="325"/>
      <c r="E236" s="325"/>
      <c r="F236" s="325">
        <v>0</v>
      </c>
      <c r="G236" s="343" t="str">
        <f t="shared" si="27"/>
        <v/>
      </c>
      <c r="H236" s="343" t="str">
        <f t="shared" si="28"/>
        <v/>
      </c>
      <c r="I236" s="349" t="str">
        <f t="shared" si="29"/>
        <v>是</v>
      </c>
      <c r="J236" s="309" t="str">
        <f t="shared" si="30"/>
        <v>类</v>
      </c>
    </row>
    <row r="237" s="308" customFormat="1" ht="18.75" hidden="1" spans="1:10">
      <c r="A237" s="338">
        <v>22498</v>
      </c>
      <c r="B237" s="338" t="s">
        <v>1331</v>
      </c>
      <c r="C237" s="325"/>
      <c r="D237" s="325"/>
      <c r="E237" s="325"/>
      <c r="F237" s="325">
        <v>0</v>
      </c>
      <c r="G237" s="343" t="str">
        <f t="shared" si="27"/>
        <v/>
      </c>
      <c r="H237" s="343" t="str">
        <f t="shared" si="28"/>
        <v/>
      </c>
      <c r="I237" s="349" t="str">
        <f t="shared" si="29"/>
        <v>否</v>
      </c>
      <c r="J237" s="313" t="str">
        <f t="shared" si="30"/>
        <v>款</v>
      </c>
    </row>
    <row r="238" s="311" customFormat="1" ht="18.75" hidden="1" spans="1:10">
      <c r="A238" s="334">
        <v>2249801</v>
      </c>
      <c r="B238" s="338" t="s">
        <v>1497</v>
      </c>
      <c r="C238" s="328"/>
      <c r="D238" s="328"/>
      <c r="E238" s="328">
        <f>'09'!F238</f>
        <v>0</v>
      </c>
      <c r="F238" s="325">
        <v>0</v>
      </c>
      <c r="G238" s="344" t="str">
        <f t="shared" si="27"/>
        <v/>
      </c>
      <c r="H238" s="344" t="str">
        <f t="shared" si="28"/>
        <v/>
      </c>
      <c r="I238" s="349" t="str">
        <f t="shared" si="29"/>
        <v>否</v>
      </c>
      <c r="J238" s="309" t="str">
        <f t="shared" si="30"/>
        <v>项</v>
      </c>
    </row>
    <row r="239" s="311" customFormat="1" ht="18.75" hidden="1" spans="1:10">
      <c r="A239" s="334">
        <v>2249802</v>
      </c>
      <c r="B239" s="338" t="s">
        <v>1498</v>
      </c>
      <c r="C239" s="328"/>
      <c r="D239" s="328"/>
      <c r="E239" s="328">
        <f>'09'!F239</f>
        <v>0</v>
      </c>
      <c r="F239" s="325">
        <v>0</v>
      </c>
      <c r="G239" s="344" t="str">
        <f t="shared" si="27"/>
        <v/>
      </c>
      <c r="H239" s="344" t="str">
        <f t="shared" si="28"/>
        <v/>
      </c>
      <c r="I239" s="349" t="str">
        <f t="shared" si="29"/>
        <v>否</v>
      </c>
      <c r="J239" s="309" t="str">
        <f t="shared" si="30"/>
        <v>项</v>
      </c>
    </row>
    <row r="240" s="308" customFormat="1" ht="18.75" hidden="1" spans="1:10">
      <c r="A240" s="338">
        <v>2249899</v>
      </c>
      <c r="B240" s="338" t="s">
        <v>1499</v>
      </c>
      <c r="C240" s="328"/>
      <c r="D240" s="328"/>
      <c r="E240" s="328">
        <f>'09'!F240</f>
        <v>0</v>
      </c>
      <c r="F240" s="325">
        <v>0</v>
      </c>
      <c r="G240" s="344" t="str">
        <f t="shared" si="27"/>
        <v/>
      </c>
      <c r="H240" s="344" t="str">
        <f t="shared" si="28"/>
        <v/>
      </c>
      <c r="I240" s="349" t="str">
        <f t="shared" si="29"/>
        <v>否</v>
      </c>
      <c r="J240" s="313" t="str">
        <f t="shared" si="30"/>
        <v>项</v>
      </c>
    </row>
    <row r="241" ht="18.75" spans="1:10">
      <c r="A241" s="329">
        <v>229</v>
      </c>
      <c r="B241" s="324" t="s">
        <v>1500</v>
      </c>
      <c r="C241" s="325">
        <f t="shared" ref="C241:F241" si="33">C242+C246+C255+C257+C259+C271</f>
        <v>6515</v>
      </c>
      <c r="D241" s="325">
        <f t="shared" si="33"/>
        <v>13446</v>
      </c>
      <c r="E241" s="325">
        <f t="shared" si="33"/>
        <v>12033</v>
      </c>
      <c r="F241" s="325">
        <f t="shared" si="33"/>
        <v>12192</v>
      </c>
      <c r="G241" s="343">
        <f t="shared" si="27"/>
        <v>0.871373752877974</v>
      </c>
      <c r="H241" s="343">
        <f t="shared" si="28"/>
        <v>0.0132136624283221</v>
      </c>
      <c r="I241" s="349" t="str">
        <f t="shared" si="29"/>
        <v>是</v>
      </c>
      <c r="J241" s="313" t="str">
        <f t="shared" si="30"/>
        <v>类</v>
      </c>
    </row>
    <row r="242" ht="37.5" spans="1:10">
      <c r="A242" s="330">
        <v>22904</v>
      </c>
      <c r="B242" s="327" t="s">
        <v>1501</v>
      </c>
      <c r="C242" s="325">
        <f t="shared" ref="C242:F242" si="34">SUM(C243:C245)</f>
        <v>0</v>
      </c>
      <c r="D242" s="325">
        <f t="shared" si="34"/>
        <v>6931</v>
      </c>
      <c r="E242" s="325">
        <f t="shared" si="34"/>
        <v>6931</v>
      </c>
      <c r="F242" s="325">
        <f t="shared" si="34"/>
        <v>6000</v>
      </c>
      <c r="G242" s="343" t="str">
        <f t="shared" si="27"/>
        <v/>
      </c>
      <c r="H242" s="343">
        <f t="shared" si="28"/>
        <v>-0.13432405136344</v>
      </c>
      <c r="I242" s="349" t="str">
        <f t="shared" si="29"/>
        <v>是</v>
      </c>
      <c r="J242" s="313" t="str">
        <f t="shared" si="30"/>
        <v>款</v>
      </c>
    </row>
    <row r="243" ht="18.75" hidden="1" spans="1:10">
      <c r="A243" s="330">
        <v>2290401</v>
      </c>
      <c r="B243" s="327" t="s">
        <v>1502</v>
      </c>
      <c r="C243" s="328"/>
      <c r="D243" s="328"/>
      <c r="E243" s="328">
        <f>'09'!F243</f>
        <v>0</v>
      </c>
      <c r="F243" s="325">
        <v>0</v>
      </c>
      <c r="G243" s="344" t="str">
        <f t="shared" si="27"/>
        <v/>
      </c>
      <c r="H243" s="344" t="str">
        <f t="shared" si="28"/>
        <v/>
      </c>
      <c r="I243" s="349" t="str">
        <f t="shared" si="29"/>
        <v>否</v>
      </c>
      <c r="J243" s="313" t="str">
        <f t="shared" si="30"/>
        <v>项</v>
      </c>
    </row>
    <row r="244" ht="37.5" hidden="1" spans="1:10">
      <c r="A244" s="330">
        <v>2290402</v>
      </c>
      <c r="B244" s="327" t="s">
        <v>1503</v>
      </c>
      <c r="C244" s="328"/>
      <c r="D244" s="328"/>
      <c r="E244" s="328">
        <f>'09'!F244</f>
        <v>0</v>
      </c>
      <c r="F244" s="325">
        <v>0</v>
      </c>
      <c r="G244" s="344" t="str">
        <f t="shared" si="27"/>
        <v/>
      </c>
      <c r="H244" s="344" t="str">
        <f t="shared" si="28"/>
        <v/>
      </c>
      <c r="I244" s="349" t="str">
        <f t="shared" si="29"/>
        <v>否</v>
      </c>
      <c r="J244" s="313" t="str">
        <f t="shared" si="30"/>
        <v>项</v>
      </c>
    </row>
    <row r="245" ht="18.75" spans="1:10">
      <c r="A245" s="330">
        <v>2290403</v>
      </c>
      <c r="B245" s="327" t="s">
        <v>1504</v>
      </c>
      <c r="C245" s="328"/>
      <c r="D245" s="328">
        <v>6931</v>
      </c>
      <c r="E245" s="328">
        <f>'09'!F245</f>
        <v>6931</v>
      </c>
      <c r="F245" s="328">
        <v>6000</v>
      </c>
      <c r="G245" s="344" t="str">
        <f t="shared" si="27"/>
        <v/>
      </c>
      <c r="H245" s="344">
        <f t="shared" si="28"/>
        <v>-0.13432405136344</v>
      </c>
      <c r="I245" s="349" t="str">
        <f t="shared" si="29"/>
        <v>是</v>
      </c>
      <c r="J245" s="313" t="str">
        <f t="shared" si="30"/>
        <v>项</v>
      </c>
    </row>
    <row r="246" ht="18.75" spans="1:10">
      <c r="A246" s="330">
        <v>22908</v>
      </c>
      <c r="B246" s="327" t="s">
        <v>1505</v>
      </c>
      <c r="C246" s="325">
        <f t="shared" ref="C246:F246" si="35">SUM(C247:C254)</f>
        <v>555</v>
      </c>
      <c r="D246" s="325">
        <f t="shared" si="35"/>
        <v>555</v>
      </c>
      <c r="E246" s="325">
        <f t="shared" si="35"/>
        <v>348</v>
      </c>
      <c r="F246" s="325">
        <f t="shared" si="35"/>
        <v>550</v>
      </c>
      <c r="G246" s="343">
        <f t="shared" si="27"/>
        <v>-0.00900900900900901</v>
      </c>
      <c r="H246" s="343">
        <f t="shared" si="28"/>
        <v>0.580459770114943</v>
      </c>
      <c r="I246" s="349" t="str">
        <f t="shared" si="29"/>
        <v>是</v>
      </c>
      <c r="J246" s="313" t="str">
        <f t="shared" si="30"/>
        <v>款</v>
      </c>
    </row>
    <row r="247" ht="18.75" spans="1:10">
      <c r="A247" s="330">
        <v>2290802</v>
      </c>
      <c r="B247" s="327" t="s">
        <v>1506</v>
      </c>
      <c r="C247" s="328">
        <v>545</v>
      </c>
      <c r="D247" s="328">
        <v>545</v>
      </c>
      <c r="E247" s="328">
        <f>'09'!F247</f>
        <v>0</v>
      </c>
      <c r="F247" s="328">
        <v>0</v>
      </c>
      <c r="G247" s="344">
        <f t="shared" si="27"/>
        <v>-1</v>
      </c>
      <c r="H247" s="344" t="str">
        <f t="shared" si="28"/>
        <v/>
      </c>
      <c r="I247" s="349" t="str">
        <f t="shared" si="29"/>
        <v>是</v>
      </c>
      <c r="J247" s="313" t="str">
        <f t="shared" si="30"/>
        <v>项</v>
      </c>
    </row>
    <row r="248" ht="18.75" hidden="1" spans="1:10">
      <c r="A248" s="330">
        <v>2290803</v>
      </c>
      <c r="B248" s="327" t="s">
        <v>1507</v>
      </c>
      <c r="C248" s="328"/>
      <c r="D248" s="328"/>
      <c r="E248" s="328">
        <f>'09'!F248</f>
        <v>0</v>
      </c>
      <c r="F248" s="325">
        <v>0</v>
      </c>
      <c r="G248" s="344" t="str">
        <f t="shared" si="27"/>
        <v/>
      </c>
      <c r="H248" s="344" t="str">
        <f t="shared" si="28"/>
        <v/>
      </c>
      <c r="I248" s="349" t="str">
        <f t="shared" si="29"/>
        <v>否</v>
      </c>
      <c r="J248" s="313" t="str">
        <f t="shared" si="30"/>
        <v>项</v>
      </c>
    </row>
    <row r="249" ht="18.75" spans="1:10">
      <c r="A249" s="330">
        <v>2290804</v>
      </c>
      <c r="B249" s="327" t="s">
        <v>1508</v>
      </c>
      <c r="C249" s="328"/>
      <c r="D249" s="328"/>
      <c r="E249" s="328">
        <f>'09'!F249</f>
        <v>348</v>
      </c>
      <c r="F249" s="328">
        <v>550</v>
      </c>
      <c r="G249" s="344" t="str">
        <f t="shared" si="27"/>
        <v/>
      </c>
      <c r="H249" s="344">
        <f t="shared" si="28"/>
        <v>0.580459770114943</v>
      </c>
      <c r="I249" s="349" t="str">
        <f t="shared" si="29"/>
        <v>是</v>
      </c>
      <c r="J249" s="313" t="str">
        <f t="shared" si="30"/>
        <v>项</v>
      </c>
    </row>
    <row r="250" ht="18.75" hidden="1" spans="1:10">
      <c r="A250" s="330">
        <v>2290805</v>
      </c>
      <c r="B250" s="327" t="s">
        <v>1509</v>
      </c>
      <c r="C250" s="328"/>
      <c r="D250" s="328"/>
      <c r="E250" s="328">
        <f>'09'!F250</f>
        <v>0</v>
      </c>
      <c r="F250" s="325">
        <v>0</v>
      </c>
      <c r="G250" s="344" t="str">
        <f t="shared" si="27"/>
        <v/>
      </c>
      <c r="H250" s="344" t="str">
        <f t="shared" si="28"/>
        <v/>
      </c>
      <c r="I250" s="349" t="str">
        <f t="shared" si="29"/>
        <v>否</v>
      </c>
      <c r="J250" s="313" t="str">
        <f t="shared" si="30"/>
        <v>项</v>
      </c>
    </row>
    <row r="251" ht="18.75" hidden="1" spans="1:10">
      <c r="A251" s="330">
        <v>2290806</v>
      </c>
      <c r="B251" s="327" t="s">
        <v>1510</v>
      </c>
      <c r="C251" s="328"/>
      <c r="D251" s="328"/>
      <c r="E251" s="328">
        <f>'09'!F251</f>
        <v>0</v>
      </c>
      <c r="F251" s="325">
        <v>0</v>
      </c>
      <c r="G251" s="344" t="str">
        <f t="shared" si="27"/>
        <v/>
      </c>
      <c r="H251" s="344" t="str">
        <f t="shared" si="28"/>
        <v/>
      </c>
      <c r="I251" s="349" t="str">
        <f t="shared" si="29"/>
        <v>否</v>
      </c>
      <c r="J251" s="313" t="str">
        <f t="shared" si="30"/>
        <v>项</v>
      </c>
    </row>
    <row r="252" ht="18.75" hidden="1" spans="1:10">
      <c r="A252" s="330">
        <v>2290807</v>
      </c>
      <c r="B252" s="327" t="s">
        <v>1511</v>
      </c>
      <c r="C252" s="328"/>
      <c r="D252" s="328"/>
      <c r="E252" s="328">
        <f>'09'!F252</f>
        <v>0</v>
      </c>
      <c r="F252" s="325">
        <v>0</v>
      </c>
      <c r="G252" s="344" t="str">
        <f t="shared" si="27"/>
        <v/>
      </c>
      <c r="H252" s="344" t="str">
        <f t="shared" si="28"/>
        <v/>
      </c>
      <c r="I252" s="349" t="str">
        <f t="shared" si="29"/>
        <v>否</v>
      </c>
      <c r="J252" s="313" t="str">
        <f t="shared" si="30"/>
        <v>项</v>
      </c>
    </row>
    <row r="253" ht="18.75" spans="1:10">
      <c r="A253" s="330">
        <v>2290808</v>
      </c>
      <c r="B253" s="327" t="s">
        <v>1512</v>
      </c>
      <c r="C253" s="328">
        <v>10</v>
      </c>
      <c r="D253" s="328">
        <v>10</v>
      </c>
      <c r="E253" s="328">
        <f>'09'!F253</f>
        <v>0</v>
      </c>
      <c r="F253" s="328">
        <v>0</v>
      </c>
      <c r="G253" s="344">
        <f t="shared" si="27"/>
        <v>-1</v>
      </c>
      <c r="H253" s="344" t="str">
        <f t="shared" si="28"/>
        <v/>
      </c>
      <c r="I253" s="349" t="str">
        <f t="shared" si="29"/>
        <v>是</v>
      </c>
      <c r="J253" s="313" t="str">
        <f t="shared" si="30"/>
        <v>项</v>
      </c>
    </row>
    <row r="254" ht="37.5" hidden="1" spans="1:10">
      <c r="A254" s="330">
        <v>2290899</v>
      </c>
      <c r="B254" s="327" t="s">
        <v>1513</v>
      </c>
      <c r="C254" s="328"/>
      <c r="D254" s="328"/>
      <c r="E254" s="328">
        <f>'09'!F254</f>
        <v>0</v>
      </c>
      <c r="F254" s="325">
        <v>0</v>
      </c>
      <c r="G254" s="344" t="str">
        <f t="shared" si="27"/>
        <v/>
      </c>
      <c r="H254" s="344" t="str">
        <f t="shared" si="28"/>
        <v/>
      </c>
      <c r="I254" s="349" t="str">
        <f t="shared" si="29"/>
        <v>否</v>
      </c>
      <c r="J254" s="313" t="str">
        <f t="shared" si="30"/>
        <v>项</v>
      </c>
    </row>
    <row r="255" s="311" customFormat="1" ht="18.75" hidden="1" spans="1:10">
      <c r="A255" s="326">
        <v>22909</v>
      </c>
      <c r="B255" s="327" t="s">
        <v>1514</v>
      </c>
      <c r="C255" s="325"/>
      <c r="D255" s="325"/>
      <c r="E255" s="325"/>
      <c r="F255" s="325">
        <v>0</v>
      </c>
      <c r="G255" s="343" t="str">
        <f t="shared" si="27"/>
        <v/>
      </c>
      <c r="H255" s="343" t="str">
        <f t="shared" si="28"/>
        <v/>
      </c>
      <c r="I255" s="349" t="str">
        <f t="shared" si="29"/>
        <v>否</v>
      </c>
      <c r="J255" s="309" t="str">
        <f t="shared" si="30"/>
        <v>款</v>
      </c>
    </row>
    <row r="256" s="308" customFormat="1" ht="18.75" hidden="1" spans="1:10">
      <c r="A256" s="354">
        <v>2290901</v>
      </c>
      <c r="B256" s="327" t="s">
        <v>1515</v>
      </c>
      <c r="C256" s="328"/>
      <c r="D256" s="328"/>
      <c r="E256" s="328">
        <f>'09'!F256</f>
        <v>0</v>
      </c>
      <c r="F256" s="325"/>
      <c r="G256" s="344" t="str">
        <f t="shared" si="27"/>
        <v/>
      </c>
      <c r="H256" s="344" t="str">
        <f t="shared" si="28"/>
        <v/>
      </c>
      <c r="I256" s="349" t="str">
        <f t="shared" si="29"/>
        <v>否</v>
      </c>
      <c r="J256" s="313" t="str">
        <f t="shared" si="30"/>
        <v>项</v>
      </c>
    </row>
    <row r="257" s="311" customFormat="1" ht="18.75" hidden="1" spans="1:10">
      <c r="A257" s="334">
        <v>22910</v>
      </c>
      <c r="B257" s="338" t="s">
        <v>1516</v>
      </c>
      <c r="C257" s="325"/>
      <c r="D257" s="325"/>
      <c r="E257" s="325"/>
      <c r="F257" s="325">
        <v>0</v>
      </c>
      <c r="G257" s="343" t="str">
        <f t="shared" si="27"/>
        <v/>
      </c>
      <c r="H257" s="343" t="str">
        <f t="shared" si="28"/>
        <v/>
      </c>
      <c r="I257" s="349" t="str">
        <f t="shared" si="29"/>
        <v>否</v>
      </c>
      <c r="J257" s="309" t="str">
        <f t="shared" si="30"/>
        <v>款</v>
      </c>
    </row>
    <row r="258" s="311" customFormat="1" ht="18.75" hidden="1" spans="1:10">
      <c r="A258" s="334">
        <v>2291001</v>
      </c>
      <c r="B258" s="338" t="s">
        <v>1517</v>
      </c>
      <c r="C258" s="328"/>
      <c r="D258" s="328"/>
      <c r="E258" s="328">
        <f>'09'!F258</f>
        <v>0</v>
      </c>
      <c r="F258" s="325">
        <v>0</v>
      </c>
      <c r="G258" s="344" t="str">
        <f t="shared" si="27"/>
        <v/>
      </c>
      <c r="H258" s="344" t="str">
        <f t="shared" si="28"/>
        <v/>
      </c>
      <c r="I258" s="349" t="str">
        <f t="shared" si="29"/>
        <v>否</v>
      </c>
      <c r="J258" s="309" t="str">
        <f t="shared" si="30"/>
        <v>项</v>
      </c>
    </row>
    <row r="259" ht="18.75" spans="1:10">
      <c r="A259" s="330">
        <v>22960</v>
      </c>
      <c r="B259" s="327" t="s">
        <v>1518</v>
      </c>
      <c r="C259" s="325">
        <f t="shared" ref="C259:F259" si="36">SUM(C260:C270)</f>
        <v>5960</v>
      </c>
      <c r="D259" s="325">
        <f t="shared" si="36"/>
        <v>5960</v>
      </c>
      <c r="E259" s="325">
        <f t="shared" si="36"/>
        <v>4754</v>
      </c>
      <c r="F259" s="325">
        <f t="shared" si="36"/>
        <v>5642</v>
      </c>
      <c r="G259" s="343">
        <f t="shared" si="27"/>
        <v>-0.0533557046979866</v>
      </c>
      <c r="H259" s="343">
        <f t="shared" si="28"/>
        <v>0.186790071518721</v>
      </c>
      <c r="I259" s="349" t="str">
        <f t="shared" si="29"/>
        <v>是</v>
      </c>
      <c r="J259" s="313" t="str">
        <f t="shared" si="30"/>
        <v>款</v>
      </c>
    </row>
    <row r="260" ht="37.5" hidden="1" spans="1:10">
      <c r="A260" s="351">
        <v>2296001</v>
      </c>
      <c r="B260" s="327" t="s">
        <v>1519</v>
      </c>
      <c r="C260" s="328"/>
      <c r="D260" s="328"/>
      <c r="E260" s="328">
        <f>'09'!F260</f>
        <v>0</v>
      </c>
      <c r="F260" s="325">
        <v>0</v>
      </c>
      <c r="G260" s="344" t="str">
        <f t="shared" si="27"/>
        <v/>
      </c>
      <c r="H260" s="344" t="str">
        <f t="shared" si="28"/>
        <v/>
      </c>
      <c r="I260" s="349" t="str">
        <f t="shared" si="29"/>
        <v>否</v>
      </c>
      <c r="J260" s="313" t="str">
        <f t="shared" si="30"/>
        <v>项</v>
      </c>
    </row>
    <row r="261" ht="18.75" spans="1:10">
      <c r="A261" s="330">
        <v>2296002</v>
      </c>
      <c r="B261" s="327" t="s">
        <v>1520</v>
      </c>
      <c r="C261" s="328">
        <v>2016</v>
      </c>
      <c r="D261" s="328">
        <v>2016</v>
      </c>
      <c r="E261" s="328">
        <f>'09'!F261</f>
        <v>1675</v>
      </c>
      <c r="F261" s="328">
        <v>1895</v>
      </c>
      <c r="G261" s="344">
        <f t="shared" si="27"/>
        <v>-0.0600198412698413</v>
      </c>
      <c r="H261" s="344">
        <f t="shared" si="28"/>
        <v>0.13134328358209</v>
      </c>
      <c r="I261" s="349" t="str">
        <f t="shared" si="29"/>
        <v>是</v>
      </c>
      <c r="J261" s="313" t="str">
        <f t="shared" si="30"/>
        <v>项</v>
      </c>
    </row>
    <row r="262" ht="18.75" spans="1:10">
      <c r="A262" s="330">
        <v>2296003</v>
      </c>
      <c r="B262" s="327" t="s">
        <v>1521</v>
      </c>
      <c r="C262" s="328">
        <v>1739</v>
      </c>
      <c r="D262" s="328">
        <v>1739</v>
      </c>
      <c r="E262" s="328">
        <f>'09'!F262</f>
        <v>2575</v>
      </c>
      <c r="F262" s="328">
        <v>3278</v>
      </c>
      <c r="G262" s="344">
        <f t="shared" si="27"/>
        <v>0.884991374353077</v>
      </c>
      <c r="H262" s="344">
        <f t="shared" si="28"/>
        <v>0.273009708737864</v>
      </c>
      <c r="I262" s="349" t="str">
        <f t="shared" si="29"/>
        <v>是</v>
      </c>
      <c r="J262" s="313" t="str">
        <f t="shared" si="30"/>
        <v>项</v>
      </c>
    </row>
    <row r="263" ht="18.75" hidden="1" spans="1:10">
      <c r="A263" s="330">
        <v>2296004</v>
      </c>
      <c r="B263" s="327" t="s">
        <v>1522</v>
      </c>
      <c r="C263" s="328"/>
      <c r="D263" s="328"/>
      <c r="E263" s="328">
        <f>'09'!F263</f>
        <v>0</v>
      </c>
      <c r="F263" s="325">
        <v>0</v>
      </c>
      <c r="G263" s="344" t="str">
        <f t="shared" si="27"/>
        <v/>
      </c>
      <c r="H263" s="344" t="str">
        <f t="shared" si="28"/>
        <v/>
      </c>
      <c r="I263" s="349" t="str">
        <f t="shared" si="29"/>
        <v>否</v>
      </c>
      <c r="J263" s="313" t="str">
        <f t="shared" si="30"/>
        <v>项</v>
      </c>
    </row>
    <row r="264" ht="18.75" hidden="1" spans="1:10">
      <c r="A264" s="330">
        <v>2296005</v>
      </c>
      <c r="B264" s="327" t="s">
        <v>1523</v>
      </c>
      <c r="C264" s="328"/>
      <c r="D264" s="328"/>
      <c r="E264" s="328">
        <f>'09'!F264</f>
        <v>0</v>
      </c>
      <c r="F264" s="325">
        <v>0</v>
      </c>
      <c r="G264" s="344" t="str">
        <f t="shared" si="27"/>
        <v/>
      </c>
      <c r="H264" s="344" t="str">
        <f t="shared" si="28"/>
        <v/>
      </c>
      <c r="I264" s="349" t="str">
        <f t="shared" si="29"/>
        <v>否</v>
      </c>
      <c r="J264" s="313" t="str">
        <f t="shared" si="30"/>
        <v>项</v>
      </c>
    </row>
    <row r="265" ht="18.75" spans="1:10">
      <c r="A265" s="330">
        <v>2296006</v>
      </c>
      <c r="B265" s="327" t="s">
        <v>1524</v>
      </c>
      <c r="C265" s="328">
        <v>596</v>
      </c>
      <c r="D265" s="328">
        <v>596</v>
      </c>
      <c r="E265" s="328">
        <f>'09'!F265</f>
        <v>489</v>
      </c>
      <c r="F265" s="328">
        <v>469</v>
      </c>
      <c r="G265" s="344">
        <f t="shared" si="27"/>
        <v>-0.213087248322148</v>
      </c>
      <c r="H265" s="344">
        <f t="shared" si="28"/>
        <v>-0.0408997955010225</v>
      </c>
      <c r="I265" s="349" t="str">
        <f t="shared" si="29"/>
        <v>是</v>
      </c>
      <c r="J265" s="313" t="str">
        <f t="shared" si="30"/>
        <v>项</v>
      </c>
    </row>
    <row r="266" ht="18.75" hidden="1" spans="1:10">
      <c r="A266" s="330">
        <v>2296010</v>
      </c>
      <c r="B266" s="327" t="s">
        <v>1525</v>
      </c>
      <c r="C266" s="328"/>
      <c r="D266" s="328"/>
      <c r="E266" s="328">
        <f>'09'!F266</f>
        <v>0</v>
      </c>
      <c r="F266" s="325">
        <v>0</v>
      </c>
      <c r="G266" s="344" t="str">
        <f t="shared" si="27"/>
        <v/>
      </c>
      <c r="H266" s="344" t="str">
        <f t="shared" si="28"/>
        <v/>
      </c>
      <c r="I266" s="349" t="str">
        <f t="shared" si="29"/>
        <v>否</v>
      </c>
      <c r="J266" s="313" t="str">
        <f t="shared" si="30"/>
        <v>项</v>
      </c>
    </row>
    <row r="267" ht="18.75" hidden="1" spans="1:10">
      <c r="A267" s="330">
        <v>2296011</v>
      </c>
      <c r="B267" s="327" t="s">
        <v>1526</v>
      </c>
      <c r="C267" s="328"/>
      <c r="D267" s="328"/>
      <c r="E267" s="328">
        <f>'09'!F267</f>
        <v>0</v>
      </c>
      <c r="F267" s="325">
        <v>0</v>
      </c>
      <c r="G267" s="344" t="str">
        <f t="shared" si="27"/>
        <v/>
      </c>
      <c r="H267" s="344" t="str">
        <f t="shared" si="28"/>
        <v/>
      </c>
      <c r="I267" s="349" t="str">
        <f t="shared" si="29"/>
        <v>否</v>
      </c>
      <c r="J267" s="313" t="str">
        <f t="shared" si="30"/>
        <v>项</v>
      </c>
    </row>
    <row r="268" ht="18.75" hidden="1" spans="1:10">
      <c r="A268" s="330">
        <v>2296012</v>
      </c>
      <c r="B268" s="327" t="s">
        <v>1527</v>
      </c>
      <c r="C268" s="328"/>
      <c r="D268" s="328"/>
      <c r="E268" s="328">
        <f>'09'!F268</f>
        <v>0</v>
      </c>
      <c r="F268" s="325">
        <v>0</v>
      </c>
      <c r="G268" s="344" t="str">
        <f t="shared" si="27"/>
        <v/>
      </c>
      <c r="H268" s="344" t="str">
        <f t="shared" si="28"/>
        <v/>
      </c>
      <c r="I268" s="349" t="str">
        <f t="shared" si="29"/>
        <v>否</v>
      </c>
      <c r="J268" s="313" t="str">
        <f t="shared" si="30"/>
        <v>项</v>
      </c>
    </row>
    <row r="269" ht="18.75" hidden="1" spans="1:10">
      <c r="A269" s="330">
        <v>2296013</v>
      </c>
      <c r="B269" s="327" t="s">
        <v>1528</v>
      </c>
      <c r="C269" s="328"/>
      <c r="D269" s="328"/>
      <c r="E269" s="328">
        <f>'09'!F269</f>
        <v>0</v>
      </c>
      <c r="F269" s="325">
        <v>0</v>
      </c>
      <c r="G269" s="344" t="str">
        <f t="shared" si="27"/>
        <v/>
      </c>
      <c r="H269" s="344" t="str">
        <f t="shared" si="28"/>
        <v/>
      </c>
      <c r="I269" s="349" t="str">
        <f t="shared" si="29"/>
        <v>否</v>
      </c>
      <c r="J269" s="313" t="str">
        <f t="shared" si="30"/>
        <v>项</v>
      </c>
    </row>
    <row r="270" ht="37.5" spans="1:10">
      <c r="A270" s="330">
        <v>2296099</v>
      </c>
      <c r="B270" s="327" t="s">
        <v>1529</v>
      </c>
      <c r="C270" s="328">
        <v>1609</v>
      </c>
      <c r="D270" s="328">
        <v>1609</v>
      </c>
      <c r="E270" s="328">
        <f>'09'!F270</f>
        <v>15</v>
      </c>
      <c r="F270" s="328">
        <v>0</v>
      </c>
      <c r="G270" s="344">
        <f t="shared" si="27"/>
        <v>-1</v>
      </c>
      <c r="H270" s="344">
        <f t="shared" si="28"/>
        <v>-1</v>
      </c>
      <c r="I270" s="349" t="str">
        <f t="shared" si="29"/>
        <v>是</v>
      </c>
      <c r="J270" s="313" t="str">
        <f t="shared" si="30"/>
        <v>项</v>
      </c>
    </row>
    <row r="271" s="309" customFormat="1" ht="18.75" hidden="1" spans="1:10">
      <c r="A271" s="334">
        <v>22998</v>
      </c>
      <c r="B271" s="338" t="s">
        <v>1530</v>
      </c>
      <c r="C271" s="325"/>
      <c r="D271" s="325"/>
      <c r="E271" s="325"/>
      <c r="F271" s="325">
        <v>0</v>
      </c>
      <c r="G271" s="343" t="str">
        <f t="shared" si="27"/>
        <v/>
      </c>
      <c r="H271" s="343" t="str">
        <f t="shared" si="28"/>
        <v/>
      </c>
      <c r="I271" s="349" t="str">
        <f t="shared" si="29"/>
        <v>否</v>
      </c>
      <c r="J271" s="309" t="str">
        <f t="shared" si="30"/>
        <v>款</v>
      </c>
    </row>
    <row r="272" s="309" customFormat="1" ht="18.75" hidden="1" spans="1:10">
      <c r="A272" s="334">
        <v>2299899</v>
      </c>
      <c r="B272" s="338" t="s">
        <v>1531</v>
      </c>
      <c r="C272" s="328"/>
      <c r="D272" s="328"/>
      <c r="E272" s="328">
        <f>'09'!F272</f>
        <v>0</v>
      </c>
      <c r="F272" s="325">
        <v>0</v>
      </c>
      <c r="G272" s="344" t="str">
        <f t="shared" si="27"/>
        <v/>
      </c>
      <c r="H272" s="344" t="str">
        <f t="shared" si="28"/>
        <v/>
      </c>
      <c r="I272" s="349" t="str">
        <f t="shared" si="29"/>
        <v>否</v>
      </c>
      <c r="J272" s="309" t="str">
        <f t="shared" si="30"/>
        <v>项</v>
      </c>
    </row>
    <row r="273" ht="18.75" spans="1:10">
      <c r="A273" s="329">
        <v>232</v>
      </c>
      <c r="B273" s="324" t="s">
        <v>1532</v>
      </c>
      <c r="C273" s="325">
        <f t="shared" ref="C273:F273" si="37">C274</f>
        <v>21490</v>
      </c>
      <c r="D273" s="325">
        <f t="shared" si="37"/>
        <v>21490</v>
      </c>
      <c r="E273" s="325">
        <f t="shared" si="37"/>
        <v>21584</v>
      </c>
      <c r="F273" s="325">
        <f t="shared" si="37"/>
        <v>21218</v>
      </c>
      <c r="G273" s="343">
        <f t="shared" si="27"/>
        <v>-0.0126570497906003</v>
      </c>
      <c r="H273" s="343">
        <f t="shared" si="28"/>
        <v>-0.0169570051890289</v>
      </c>
      <c r="I273" s="349" t="str">
        <f t="shared" si="29"/>
        <v>是</v>
      </c>
      <c r="J273" s="313" t="str">
        <f t="shared" si="30"/>
        <v>类</v>
      </c>
    </row>
    <row r="274" ht="18.75" spans="1:10">
      <c r="A274" s="339">
        <v>23204</v>
      </c>
      <c r="B274" s="327" t="s">
        <v>1604</v>
      </c>
      <c r="C274" s="325">
        <f>SUM(C275:C288)</f>
        <v>21490</v>
      </c>
      <c r="D274" s="325">
        <f>SUM(D275:D288)</f>
        <v>21490</v>
      </c>
      <c r="E274" s="325">
        <f>SUM(E275:E288)</f>
        <v>21584</v>
      </c>
      <c r="F274" s="325">
        <f>SUM(F275:F288)</f>
        <v>21218</v>
      </c>
      <c r="G274" s="343">
        <f t="shared" si="27"/>
        <v>-0.0126570497906003</v>
      </c>
      <c r="H274" s="343">
        <f t="shared" si="28"/>
        <v>-0.0169570051890289</v>
      </c>
      <c r="I274" s="349" t="str">
        <f t="shared" si="29"/>
        <v>是</v>
      </c>
      <c r="J274" s="313" t="str">
        <f t="shared" si="30"/>
        <v>款</v>
      </c>
    </row>
    <row r="275" ht="37.5" hidden="1" spans="1:10">
      <c r="A275" s="330">
        <v>2320405</v>
      </c>
      <c r="B275" s="327" t="s">
        <v>1535</v>
      </c>
      <c r="C275" s="328"/>
      <c r="D275" s="328"/>
      <c r="E275" s="328">
        <f>'09'!F275</f>
        <v>0</v>
      </c>
      <c r="F275" s="325">
        <v>0</v>
      </c>
      <c r="G275" s="344" t="str">
        <f t="shared" ref="G275:G325" si="38">IFERROR((F275-C275)/C275,"")</f>
        <v/>
      </c>
      <c r="H275" s="344" t="str">
        <f t="shared" ref="H275:H325" si="39">IFERROR((F275-E275)/E275,"")</f>
        <v/>
      </c>
      <c r="I275" s="349" t="str">
        <f t="shared" ref="I275:I325" si="40">IF(LEN(A275)=3,"是",IF(B275&lt;&gt;"",IF(SUM(C275:F275)&lt;&gt;0,"是","否"),"是"))</f>
        <v>否</v>
      </c>
      <c r="J275" s="313" t="str">
        <f t="shared" ref="J275:J326" si="41">IF(LEN(A275)=3,"类",IF(LEN(A275)=5,"款","项"))</f>
        <v>项</v>
      </c>
    </row>
    <row r="276" ht="18.75" spans="1:10">
      <c r="A276" s="330">
        <v>2320411</v>
      </c>
      <c r="B276" s="327" t="s">
        <v>1536</v>
      </c>
      <c r="C276" s="328">
        <v>625</v>
      </c>
      <c r="D276" s="328">
        <v>625</v>
      </c>
      <c r="E276" s="328">
        <f>'09'!F276</f>
        <v>643</v>
      </c>
      <c r="F276" s="328">
        <v>526</v>
      </c>
      <c r="G276" s="344">
        <f t="shared" si="38"/>
        <v>-0.1584</v>
      </c>
      <c r="H276" s="344">
        <f t="shared" si="39"/>
        <v>-0.181959564541213</v>
      </c>
      <c r="I276" s="349" t="str">
        <f t="shared" si="40"/>
        <v>是</v>
      </c>
      <c r="J276" s="313" t="str">
        <f t="shared" si="41"/>
        <v>项</v>
      </c>
    </row>
    <row r="277" ht="18.75" hidden="1" spans="1:10">
      <c r="A277" s="330">
        <v>2320413</v>
      </c>
      <c r="B277" s="327" t="s">
        <v>1537</v>
      </c>
      <c r="C277" s="328"/>
      <c r="D277" s="328"/>
      <c r="E277" s="328">
        <f>'09'!F277</f>
        <v>0</v>
      </c>
      <c r="F277" s="325">
        <v>0</v>
      </c>
      <c r="G277" s="344" t="str">
        <f t="shared" si="38"/>
        <v/>
      </c>
      <c r="H277" s="344" t="str">
        <f t="shared" si="39"/>
        <v/>
      </c>
      <c r="I277" s="349" t="str">
        <f t="shared" si="40"/>
        <v>否</v>
      </c>
      <c r="J277" s="313" t="str">
        <f t="shared" si="41"/>
        <v>项</v>
      </c>
    </row>
    <row r="278" ht="18.75" hidden="1" spans="1:10">
      <c r="A278" s="330">
        <v>2320414</v>
      </c>
      <c r="B278" s="327" t="s">
        <v>1538</v>
      </c>
      <c r="C278" s="328"/>
      <c r="D278" s="328"/>
      <c r="E278" s="328">
        <f>'09'!F278</f>
        <v>0</v>
      </c>
      <c r="F278" s="325">
        <v>0</v>
      </c>
      <c r="G278" s="344" t="str">
        <f t="shared" si="38"/>
        <v/>
      </c>
      <c r="H278" s="344" t="str">
        <f t="shared" si="39"/>
        <v/>
      </c>
      <c r="I278" s="349" t="str">
        <f t="shared" si="40"/>
        <v>否</v>
      </c>
      <c r="J278" s="313" t="str">
        <f t="shared" si="41"/>
        <v>项</v>
      </c>
    </row>
    <row r="279" ht="18.75" hidden="1" spans="1:10">
      <c r="A279" s="330">
        <v>2320416</v>
      </c>
      <c r="B279" s="327" t="s">
        <v>1539</v>
      </c>
      <c r="C279" s="328"/>
      <c r="D279" s="328"/>
      <c r="E279" s="328">
        <f>'09'!F279</f>
        <v>0</v>
      </c>
      <c r="F279" s="325">
        <v>0</v>
      </c>
      <c r="G279" s="344" t="str">
        <f t="shared" si="38"/>
        <v/>
      </c>
      <c r="H279" s="344" t="str">
        <f t="shared" si="39"/>
        <v/>
      </c>
      <c r="I279" s="349" t="str">
        <f t="shared" si="40"/>
        <v>否</v>
      </c>
      <c r="J279" s="313" t="str">
        <f t="shared" si="41"/>
        <v>项</v>
      </c>
    </row>
    <row r="280" ht="18.75" hidden="1" spans="1:10">
      <c r="A280" s="330">
        <v>2320417</v>
      </c>
      <c r="B280" s="327" t="s">
        <v>1540</v>
      </c>
      <c r="C280" s="328"/>
      <c r="D280" s="328"/>
      <c r="E280" s="328">
        <f>'09'!F280</f>
        <v>0</v>
      </c>
      <c r="F280" s="325">
        <v>0</v>
      </c>
      <c r="G280" s="344" t="str">
        <f t="shared" si="38"/>
        <v/>
      </c>
      <c r="H280" s="344" t="str">
        <f t="shared" si="39"/>
        <v/>
      </c>
      <c r="I280" s="349" t="str">
        <f t="shared" si="40"/>
        <v>否</v>
      </c>
      <c r="J280" s="313" t="str">
        <f t="shared" si="41"/>
        <v>项</v>
      </c>
    </row>
    <row r="281" ht="37.5" hidden="1" spans="1:10">
      <c r="A281" s="330">
        <v>2320418</v>
      </c>
      <c r="B281" s="327" t="s">
        <v>1541</v>
      </c>
      <c r="C281" s="328"/>
      <c r="D281" s="328"/>
      <c r="E281" s="328">
        <f>'09'!F281</f>
        <v>0</v>
      </c>
      <c r="F281" s="325">
        <v>0</v>
      </c>
      <c r="G281" s="344" t="str">
        <f t="shared" si="38"/>
        <v/>
      </c>
      <c r="H281" s="344" t="str">
        <f t="shared" si="39"/>
        <v/>
      </c>
      <c r="I281" s="349" t="str">
        <f t="shared" si="40"/>
        <v>否</v>
      </c>
      <c r="J281" s="313" t="str">
        <f t="shared" si="41"/>
        <v>项</v>
      </c>
    </row>
    <row r="282" ht="18.75" hidden="1" spans="1:10">
      <c r="A282" s="330">
        <v>2320419</v>
      </c>
      <c r="B282" s="327" t="s">
        <v>1542</v>
      </c>
      <c r="C282" s="328"/>
      <c r="D282" s="328"/>
      <c r="E282" s="328">
        <f>'09'!F282</f>
        <v>0</v>
      </c>
      <c r="F282" s="325">
        <v>0</v>
      </c>
      <c r="G282" s="344" t="str">
        <f t="shared" si="38"/>
        <v/>
      </c>
      <c r="H282" s="344" t="str">
        <f t="shared" si="39"/>
        <v/>
      </c>
      <c r="I282" s="349" t="str">
        <f t="shared" si="40"/>
        <v>否</v>
      </c>
      <c r="J282" s="313" t="str">
        <f t="shared" si="41"/>
        <v>项</v>
      </c>
    </row>
    <row r="283" ht="18.75" hidden="1" spans="1:10">
      <c r="A283" s="330">
        <v>2320420</v>
      </c>
      <c r="B283" s="327" t="s">
        <v>1543</v>
      </c>
      <c r="C283" s="328"/>
      <c r="D283" s="328"/>
      <c r="E283" s="328">
        <f>'09'!F283</f>
        <v>0</v>
      </c>
      <c r="F283" s="325">
        <v>0</v>
      </c>
      <c r="G283" s="344" t="str">
        <f t="shared" si="38"/>
        <v/>
      </c>
      <c r="H283" s="344" t="str">
        <f t="shared" si="39"/>
        <v/>
      </c>
      <c r="I283" s="349" t="str">
        <f t="shared" si="40"/>
        <v>否</v>
      </c>
      <c r="J283" s="313" t="str">
        <f t="shared" si="41"/>
        <v>项</v>
      </c>
    </row>
    <row r="284" ht="18.75" hidden="1" spans="1:10">
      <c r="A284" s="330">
        <v>2320431</v>
      </c>
      <c r="B284" s="327" t="s">
        <v>1544</v>
      </c>
      <c r="C284" s="328"/>
      <c r="D284" s="328"/>
      <c r="E284" s="328">
        <f>'09'!F284</f>
        <v>0</v>
      </c>
      <c r="F284" s="325">
        <v>0</v>
      </c>
      <c r="G284" s="344" t="str">
        <f t="shared" si="38"/>
        <v/>
      </c>
      <c r="H284" s="344" t="str">
        <f t="shared" si="39"/>
        <v/>
      </c>
      <c r="I284" s="349" t="str">
        <f t="shared" si="40"/>
        <v>否</v>
      </c>
      <c r="J284" s="313" t="str">
        <f t="shared" si="41"/>
        <v>项</v>
      </c>
    </row>
    <row r="285" ht="18.75" spans="1:10">
      <c r="A285" s="330">
        <v>2320432</v>
      </c>
      <c r="B285" s="327" t="s">
        <v>1545</v>
      </c>
      <c r="C285" s="328">
        <v>10070</v>
      </c>
      <c r="D285" s="328">
        <v>10070</v>
      </c>
      <c r="E285" s="328">
        <f>'09'!F285</f>
        <v>10069</v>
      </c>
      <c r="F285" s="328">
        <v>10070</v>
      </c>
      <c r="G285" s="344">
        <f t="shared" si="38"/>
        <v>0</v>
      </c>
      <c r="H285" s="344">
        <f t="shared" si="39"/>
        <v>9.93147283742179e-5</v>
      </c>
      <c r="I285" s="349" t="str">
        <f t="shared" si="40"/>
        <v>是</v>
      </c>
      <c r="J285" s="313" t="str">
        <f t="shared" si="41"/>
        <v>项</v>
      </c>
    </row>
    <row r="286" ht="18.75" hidden="1" spans="1:10">
      <c r="A286" s="330">
        <v>2320433</v>
      </c>
      <c r="B286" s="327" t="s">
        <v>1546</v>
      </c>
      <c r="C286" s="328"/>
      <c r="D286" s="328"/>
      <c r="E286" s="328">
        <f>'09'!F286</f>
        <v>0</v>
      </c>
      <c r="F286" s="325">
        <v>0</v>
      </c>
      <c r="G286" s="344" t="str">
        <f t="shared" si="38"/>
        <v/>
      </c>
      <c r="H286" s="344" t="str">
        <f t="shared" si="39"/>
        <v/>
      </c>
      <c r="I286" s="349" t="str">
        <f t="shared" si="40"/>
        <v>否</v>
      </c>
      <c r="J286" s="313" t="str">
        <f t="shared" si="41"/>
        <v>项</v>
      </c>
    </row>
    <row r="287" ht="37.5" spans="1:10">
      <c r="A287" s="330">
        <v>2320498</v>
      </c>
      <c r="B287" s="327" t="s">
        <v>1547</v>
      </c>
      <c r="C287" s="328">
        <v>9834</v>
      </c>
      <c r="D287" s="328">
        <v>9834</v>
      </c>
      <c r="E287" s="328">
        <f>'09'!F287</f>
        <v>9688</v>
      </c>
      <c r="F287" s="328">
        <v>8862</v>
      </c>
      <c r="G287" s="344">
        <f t="shared" si="38"/>
        <v>-0.0988407565588774</v>
      </c>
      <c r="H287" s="344">
        <f t="shared" si="39"/>
        <v>-0.0852601156069364</v>
      </c>
      <c r="I287" s="349" t="str">
        <f t="shared" si="40"/>
        <v>是</v>
      </c>
      <c r="J287" s="313" t="str">
        <f t="shared" si="41"/>
        <v>项</v>
      </c>
    </row>
    <row r="288" ht="18.75" spans="1:10">
      <c r="A288" s="330">
        <v>2320499</v>
      </c>
      <c r="B288" s="327" t="s">
        <v>1548</v>
      </c>
      <c r="C288" s="328">
        <v>961</v>
      </c>
      <c r="D288" s="328">
        <v>961</v>
      </c>
      <c r="E288" s="328">
        <f>'09'!F288</f>
        <v>1184</v>
      </c>
      <c r="F288" s="328">
        <v>1760</v>
      </c>
      <c r="G288" s="344">
        <f t="shared" si="38"/>
        <v>0.831425598335068</v>
      </c>
      <c r="H288" s="344">
        <f t="shared" si="39"/>
        <v>0.486486486486487</v>
      </c>
      <c r="I288" s="349" t="str">
        <f t="shared" si="40"/>
        <v>是</v>
      </c>
      <c r="J288" s="313" t="str">
        <f t="shared" si="41"/>
        <v>项</v>
      </c>
    </row>
    <row r="289" ht="18.75" spans="1:10">
      <c r="A289" s="329">
        <v>233</v>
      </c>
      <c r="B289" s="324" t="s">
        <v>1549</v>
      </c>
      <c r="C289" s="325">
        <f t="shared" ref="C289:F289" si="42">C290</f>
        <v>70</v>
      </c>
      <c r="D289" s="325">
        <f t="shared" si="42"/>
        <v>70</v>
      </c>
      <c r="E289" s="325">
        <f t="shared" si="42"/>
        <v>86</v>
      </c>
      <c r="F289" s="325">
        <f t="shared" si="42"/>
        <v>300</v>
      </c>
      <c r="G289" s="343">
        <f t="shared" si="38"/>
        <v>3.28571428571429</v>
      </c>
      <c r="H289" s="343">
        <f t="shared" si="39"/>
        <v>2.48837209302326</v>
      </c>
      <c r="I289" s="349" t="str">
        <f t="shared" si="40"/>
        <v>是</v>
      </c>
      <c r="J289" s="313" t="str">
        <f t="shared" si="41"/>
        <v>类</v>
      </c>
    </row>
    <row r="290" ht="18.75" spans="1:10">
      <c r="A290" s="351">
        <v>23304</v>
      </c>
      <c r="B290" s="327" t="s">
        <v>1550</v>
      </c>
      <c r="C290" s="325">
        <f t="shared" ref="C290:F290" si="43">SUM(C291:C305)</f>
        <v>70</v>
      </c>
      <c r="D290" s="325">
        <f t="shared" si="43"/>
        <v>70</v>
      </c>
      <c r="E290" s="325">
        <f t="shared" si="43"/>
        <v>86</v>
      </c>
      <c r="F290" s="325">
        <f t="shared" si="43"/>
        <v>300</v>
      </c>
      <c r="G290" s="343">
        <f t="shared" si="38"/>
        <v>3.28571428571429</v>
      </c>
      <c r="H290" s="343">
        <f t="shared" si="39"/>
        <v>2.48837209302326</v>
      </c>
      <c r="I290" s="349" t="str">
        <f t="shared" si="40"/>
        <v>是</v>
      </c>
      <c r="J290" s="313" t="str">
        <f t="shared" si="41"/>
        <v>款</v>
      </c>
    </row>
    <row r="291" ht="37.5" hidden="1" spans="1:10">
      <c r="A291" s="330">
        <v>2330401</v>
      </c>
      <c r="B291" s="327" t="s">
        <v>1551</v>
      </c>
      <c r="C291" s="328"/>
      <c r="D291" s="328"/>
      <c r="E291" s="328">
        <f>'09'!F291</f>
        <v>0</v>
      </c>
      <c r="F291" s="325">
        <v>0</v>
      </c>
      <c r="G291" s="344" t="str">
        <f t="shared" si="38"/>
        <v/>
      </c>
      <c r="H291" s="344" t="str">
        <f t="shared" si="39"/>
        <v/>
      </c>
      <c r="I291" s="349" t="str">
        <f t="shared" si="40"/>
        <v>否</v>
      </c>
      <c r="J291" s="313" t="str">
        <f t="shared" si="41"/>
        <v>项</v>
      </c>
    </row>
    <row r="292" ht="37.5" hidden="1" spans="1:10">
      <c r="A292" s="330">
        <v>2330405</v>
      </c>
      <c r="B292" s="327" t="s">
        <v>1552</v>
      </c>
      <c r="C292" s="328"/>
      <c r="D292" s="328"/>
      <c r="E292" s="328">
        <f>'09'!F292</f>
        <v>0</v>
      </c>
      <c r="F292" s="325">
        <v>0</v>
      </c>
      <c r="G292" s="344" t="str">
        <f t="shared" si="38"/>
        <v/>
      </c>
      <c r="H292" s="344" t="str">
        <f t="shared" si="39"/>
        <v/>
      </c>
      <c r="I292" s="349" t="str">
        <f t="shared" si="40"/>
        <v>否</v>
      </c>
      <c r="J292" s="313" t="str">
        <f t="shared" si="41"/>
        <v>项</v>
      </c>
    </row>
    <row r="293" ht="37.5" spans="1:10">
      <c r="A293" s="330">
        <v>2330411</v>
      </c>
      <c r="B293" s="327" t="s">
        <v>1553</v>
      </c>
      <c r="C293" s="328">
        <v>5</v>
      </c>
      <c r="D293" s="328">
        <v>5</v>
      </c>
      <c r="E293" s="328">
        <f>'09'!F293</f>
        <v>4</v>
      </c>
      <c r="F293" s="328">
        <v>6</v>
      </c>
      <c r="G293" s="344">
        <f t="shared" si="38"/>
        <v>0.2</v>
      </c>
      <c r="H293" s="344">
        <f t="shared" si="39"/>
        <v>0.5</v>
      </c>
      <c r="I293" s="349" t="str">
        <f t="shared" si="40"/>
        <v>是</v>
      </c>
      <c r="J293" s="313" t="str">
        <f t="shared" si="41"/>
        <v>项</v>
      </c>
    </row>
    <row r="294" ht="18.75" hidden="1" spans="1:10">
      <c r="A294" s="330">
        <v>2330413</v>
      </c>
      <c r="B294" s="327" t="s">
        <v>1554</v>
      </c>
      <c r="C294" s="328"/>
      <c r="D294" s="328"/>
      <c r="E294" s="328">
        <f>'09'!F294</f>
        <v>0</v>
      </c>
      <c r="F294" s="325">
        <v>0</v>
      </c>
      <c r="G294" s="344" t="str">
        <f t="shared" si="38"/>
        <v/>
      </c>
      <c r="H294" s="344" t="str">
        <f t="shared" si="39"/>
        <v/>
      </c>
      <c r="I294" s="349" t="str">
        <f t="shared" si="40"/>
        <v>否</v>
      </c>
      <c r="J294" s="313" t="str">
        <f t="shared" si="41"/>
        <v>项</v>
      </c>
    </row>
    <row r="295" ht="18.75" hidden="1" spans="1:10">
      <c r="A295" s="330">
        <v>2330414</v>
      </c>
      <c r="B295" s="327" t="s">
        <v>1555</v>
      </c>
      <c r="C295" s="328"/>
      <c r="D295" s="328"/>
      <c r="E295" s="328">
        <f>'09'!F295</f>
        <v>0</v>
      </c>
      <c r="F295" s="325">
        <v>0</v>
      </c>
      <c r="G295" s="344" t="str">
        <f t="shared" si="38"/>
        <v/>
      </c>
      <c r="H295" s="344" t="str">
        <f t="shared" si="39"/>
        <v/>
      </c>
      <c r="I295" s="349" t="str">
        <f t="shared" si="40"/>
        <v>否</v>
      </c>
      <c r="J295" s="313" t="str">
        <f t="shared" si="41"/>
        <v>项</v>
      </c>
    </row>
    <row r="296" ht="18.75" hidden="1" spans="1:10">
      <c r="A296" s="330">
        <v>2330416</v>
      </c>
      <c r="B296" s="327" t="s">
        <v>1556</v>
      </c>
      <c r="C296" s="328"/>
      <c r="D296" s="328"/>
      <c r="E296" s="328">
        <f>'09'!F296</f>
        <v>0</v>
      </c>
      <c r="F296" s="325">
        <v>0</v>
      </c>
      <c r="G296" s="344" t="str">
        <f t="shared" si="38"/>
        <v/>
      </c>
      <c r="H296" s="344" t="str">
        <f t="shared" si="39"/>
        <v/>
      </c>
      <c r="I296" s="349" t="str">
        <f t="shared" si="40"/>
        <v>否</v>
      </c>
      <c r="J296" s="313" t="str">
        <f t="shared" si="41"/>
        <v>项</v>
      </c>
    </row>
    <row r="297" ht="37.5" hidden="1" spans="1:10">
      <c r="A297" s="330">
        <v>2330417</v>
      </c>
      <c r="B297" s="327" t="s">
        <v>1557</v>
      </c>
      <c r="C297" s="328"/>
      <c r="D297" s="328"/>
      <c r="E297" s="328">
        <f>'09'!F297</f>
        <v>0</v>
      </c>
      <c r="F297" s="325">
        <v>0</v>
      </c>
      <c r="G297" s="344" t="str">
        <f t="shared" si="38"/>
        <v/>
      </c>
      <c r="H297" s="344" t="str">
        <f t="shared" si="39"/>
        <v/>
      </c>
      <c r="I297" s="349" t="str">
        <f t="shared" si="40"/>
        <v>否</v>
      </c>
      <c r="J297" s="313" t="str">
        <f t="shared" si="41"/>
        <v>项</v>
      </c>
    </row>
    <row r="298" ht="37.5" hidden="1" spans="1:10">
      <c r="A298" s="330">
        <v>2330418</v>
      </c>
      <c r="B298" s="327" t="s">
        <v>1558</v>
      </c>
      <c r="C298" s="328"/>
      <c r="D298" s="328"/>
      <c r="E298" s="328">
        <f>'09'!F298</f>
        <v>0</v>
      </c>
      <c r="F298" s="325">
        <v>0</v>
      </c>
      <c r="G298" s="344" t="str">
        <f t="shared" si="38"/>
        <v/>
      </c>
      <c r="H298" s="344" t="str">
        <f t="shared" si="39"/>
        <v/>
      </c>
      <c r="I298" s="349" t="str">
        <f t="shared" si="40"/>
        <v>否</v>
      </c>
      <c r="J298" s="313" t="str">
        <f t="shared" si="41"/>
        <v>项</v>
      </c>
    </row>
    <row r="299" ht="18.75" hidden="1" spans="1:10">
      <c r="A299" s="330">
        <v>2330419</v>
      </c>
      <c r="B299" s="327" t="s">
        <v>1559</v>
      </c>
      <c r="C299" s="328"/>
      <c r="D299" s="328"/>
      <c r="E299" s="328">
        <f>'09'!F299</f>
        <v>0</v>
      </c>
      <c r="F299" s="325">
        <v>0</v>
      </c>
      <c r="G299" s="344" t="str">
        <f t="shared" si="38"/>
        <v/>
      </c>
      <c r="H299" s="344" t="str">
        <f t="shared" si="39"/>
        <v/>
      </c>
      <c r="I299" s="349" t="str">
        <f t="shared" si="40"/>
        <v>否</v>
      </c>
      <c r="J299" s="313" t="str">
        <f t="shared" si="41"/>
        <v>项</v>
      </c>
    </row>
    <row r="300" ht="18.75" hidden="1" spans="1:10">
      <c r="A300" s="330">
        <v>2330420</v>
      </c>
      <c r="B300" s="327" t="s">
        <v>1560</v>
      </c>
      <c r="C300" s="328"/>
      <c r="D300" s="328"/>
      <c r="E300" s="328">
        <f>'09'!F300</f>
        <v>0</v>
      </c>
      <c r="F300" s="325">
        <v>0</v>
      </c>
      <c r="G300" s="344" t="str">
        <f t="shared" si="38"/>
        <v/>
      </c>
      <c r="H300" s="344" t="str">
        <f t="shared" si="39"/>
        <v/>
      </c>
      <c r="I300" s="349" t="str">
        <f t="shared" si="40"/>
        <v>否</v>
      </c>
      <c r="J300" s="313" t="str">
        <f t="shared" si="41"/>
        <v>项</v>
      </c>
    </row>
    <row r="301" ht="18.75" hidden="1" spans="1:10">
      <c r="A301" s="330">
        <v>2330431</v>
      </c>
      <c r="B301" s="327" t="s">
        <v>1561</v>
      </c>
      <c r="C301" s="328"/>
      <c r="D301" s="328"/>
      <c r="E301" s="328">
        <f>'09'!F301</f>
        <v>0</v>
      </c>
      <c r="F301" s="325">
        <v>0</v>
      </c>
      <c r="G301" s="344" t="str">
        <f t="shared" si="38"/>
        <v/>
      </c>
      <c r="H301" s="344" t="str">
        <f t="shared" si="39"/>
        <v/>
      </c>
      <c r="I301" s="349" t="str">
        <f t="shared" si="40"/>
        <v>否</v>
      </c>
      <c r="J301" s="313" t="str">
        <f t="shared" si="41"/>
        <v>项</v>
      </c>
    </row>
    <row r="302" ht="18.75" hidden="1" spans="1:10">
      <c r="A302" s="330">
        <v>2330432</v>
      </c>
      <c r="B302" s="327" t="s">
        <v>1562</v>
      </c>
      <c r="C302" s="328"/>
      <c r="D302" s="328"/>
      <c r="E302" s="328">
        <f>'09'!F302</f>
        <v>0</v>
      </c>
      <c r="F302" s="325">
        <v>0</v>
      </c>
      <c r="G302" s="344" t="str">
        <f t="shared" si="38"/>
        <v/>
      </c>
      <c r="H302" s="344" t="str">
        <f t="shared" si="39"/>
        <v/>
      </c>
      <c r="I302" s="349" t="str">
        <f t="shared" si="40"/>
        <v>否</v>
      </c>
      <c r="J302" s="313" t="str">
        <f t="shared" si="41"/>
        <v>项</v>
      </c>
    </row>
    <row r="303" ht="18.75" hidden="1" spans="1:10">
      <c r="A303" s="330">
        <v>2330433</v>
      </c>
      <c r="B303" s="327" t="s">
        <v>1563</v>
      </c>
      <c r="C303" s="328"/>
      <c r="D303" s="328"/>
      <c r="E303" s="328">
        <f>'09'!F303</f>
        <v>0</v>
      </c>
      <c r="F303" s="325">
        <v>0</v>
      </c>
      <c r="G303" s="344" t="str">
        <f t="shared" si="38"/>
        <v/>
      </c>
      <c r="H303" s="344" t="str">
        <f t="shared" si="39"/>
        <v/>
      </c>
      <c r="I303" s="349" t="str">
        <f t="shared" si="40"/>
        <v>否</v>
      </c>
      <c r="J303" s="313" t="str">
        <f t="shared" si="41"/>
        <v>项</v>
      </c>
    </row>
    <row r="304" ht="37.5" spans="1:10">
      <c r="A304" s="330">
        <v>2330498</v>
      </c>
      <c r="B304" s="327" t="s">
        <v>1564</v>
      </c>
      <c r="C304" s="328">
        <v>50</v>
      </c>
      <c r="D304" s="328">
        <v>50</v>
      </c>
      <c r="E304" s="328">
        <f>'09'!F304</f>
        <v>47</v>
      </c>
      <c r="F304" s="328">
        <v>27</v>
      </c>
      <c r="G304" s="344">
        <f t="shared" si="38"/>
        <v>-0.46</v>
      </c>
      <c r="H304" s="344">
        <f t="shared" si="39"/>
        <v>-0.425531914893617</v>
      </c>
      <c r="I304" s="349" t="str">
        <f t="shared" si="40"/>
        <v>是</v>
      </c>
      <c r="J304" s="313" t="str">
        <f t="shared" si="41"/>
        <v>项</v>
      </c>
    </row>
    <row r="305" ht="18.75" spans="1:10">
      <c r="A305" s="330">
        <v>2330499</v>
      </c>
      <c r="B305" s="327" t="s">
        <v>1565</v>
      </c>
      <c r="C305" s="328">
        <v>15</v>
      </c>
      <c r="D305" s="328">
        <v>15</v>
      </c>
      <c r="E305" s="328">
        <f>'09'!F305</f>
        <v>35</v>
      </c>
      <c r="F305" s="328">
        <v>267</v>
      </c>
      <c r="G305" s="344">
        <f t="shared" si="38"/>
        <v>16.8</v>
      </c>
      <c r="H305" s="344">
        <f t="shared" si="39"/>
        <v>6.62857142857143</v>
      </c>
      <c r="I305" s="349" t="str">
        <f t="shared" si="40"/>
        <v>是</v>
      </c>
      <c r="J305" s="313" t="str">
        <f t="shared" si="41"/>
        <v>项</v>
      </c>
    </row>
    <row r="306" ht="18.75" spans="1:10">
      <c r="A306" s="355">
        <v>234</v>
      </c>
      <c r="B306" s="324" t="s">
        <v>1566</v>
      </c>
      <c r="C306" s="325"/>
      <c r="D306" s="325"/>
      <c r="E306" s="325"/>
      <c r="F306" s="325">
        <v>0</v>
      </c>
      <c r="G306" s="343" t="str">
        <f t="shared" si="38"/>
        <v/>
      </c>
      <c r="H306" s="343" t="str">
        <f t="shared" si="39"/>
        <v/>
      </c>
      <c r="I306" s="349" t="str">
        <f t="shared" si="40"/>
        <v>是</v>
      </c>
      <c r="J306" s="313" t="str">
        <f t="shared" si="41"/>
        <v>类</v>
      </c>
    </row>
    <row r="307" ht="18.75" hidden="1" spans="1:10">
      <c r="A307" s="356">
        <v>23401</v>
      </c>
      <c r="B307" s="327" t="s">
        <v>1567</v>
      </c>
      <c r="C307" s="325"/>
      <c r="D307" s="325"/>
      <c r="E307" s="325"/>
      <c r="F307" s="325">
        <v>0</v>
      </c>
      <c r="G307" s="343" t="str">
        <f t="shared" si="38"/>
        <v/>
      </c>
      <c r="H307" s="343" t="str">
        <f t="shared" si="39"/>
        <v/>
      </c>
      <c r="I307" s="349" t="str">
        <f t="shared" si="40"/>
        <v>否</v>
      </c>
      <c r="J307" s="313" t="str">
        <f t="shared" si="41"/>
        <v>款</v>
      </c>
    </row>
    <row r="308" ht="18.75" hidden="1" spans="1:10">
      <c r="A308" s="356">
        <v>2340101</v>
      </c>
      <c r="B308" s="327" t="s">
        <v>1568</v>
      </c>
      <c r="C308" s="328"/>
      <c r="D308" s="328"/>
      <c r="E308" s="328">
        <f>'09'!F308</f>
        <v>0</v>
      </c>
      <c r="F308" s="325">
        <v>0</v>
      </c>
      <c r="G308" s="344" t="str">
        <f t="shared" si="38"/>
        <v/>
      </c>
      <c r="H308" s="344" t="str">
        <f t="shared" si="39"/>
        <v/>
      </c>
      <c r="I308" s="349" t="str">
        <f t="shared" si="40"/>
        <v>否</v>
      </c>
      <c r="J308" s="313" t="str">
        <f t="shared" si="41"/>
        <v>项</v>
      </c>
    </row>
    <row r="309" ht="18.75" hidden="1" spans="1:10">
      <c r="A309" s="356">
        <v>2340102</v>
      </c>
      <c r="B309" s="327" t="s">
        <v>1569</v>
      </c>
      <c r="C309" s="328"/>
      <c r="D309" s="328"/>
      <c r="E309" s="328">
        <f>'09'!F309</f>
        <v>0</v>
      </c>
      <c r="F309" s="325">
        <v>0</v>
      </c>
      <c r="G309" s="344" t="str">
        <f t="shared" si="38"/>
        <v/>
      </c>
      <c r="H309" s="344" t="str">
        <f t="shared" si="39"/>
        <v/>
      </c>
      <c r="I309" s="349" t="str">
        <f t="shared" si="40"/>
        <v>否</v>
      </c>
      <c r="J309" s="313" t="str">
        <f t="shared" si="41"/>
        <v>项</v>
      </c>
    </row>
    <row r="310" ht="18.75" hidden="1" spans="1:10">
      <c r="A310" s="356">
        <v>2340103</v>
      </c>
      <c r="B310" s="327" t="s">
        <v>1570</v>
      </c>
      <c r="C310" s="328"/>
      <c r="D310" s="328"/>
      <c r="E310" s="328">
        <f>'09'!F310</f>
        <v>0</v>
      </c>
      <c r="F310" s="325">
        <v>0</v>
      </c>
      <c r="G310" s="344" t="str">
        <f t="shared" si="38"/>
        <v/>
      </c>
      <c r="H310" s="344" t="str">
        <f t="shared" si="39"/>
        <v/>
      </c>
      <c r="I310" s="349" t="str">
        <f t="shared" si="40"/>
        <v>否</v>
      </c>
      <c r="J310" s="313" t="str">
        <f t="shared" si="41"/>
        <v>项</v>
      </c>
    </row>
    <row r="311" ht="18.75" hidden="1" spans="1:10">
      <c r="A311" s="356">
        <v>2340104</v>
      </c>
      <c r="B311" s="327" t="s">
        <v>1571</v>
      </c>
      <c r="C311" s="328"/>
      <c r="D311" s="328"/>
      <c r="E311" s="328">
        <f>'09'!F311</f>
        <v>0</v>
      </c>
      <c r="F311" s="325">
        <v>0</v>
      </c>
      <c r="G311" s="344" t="str">
        <f t="shared" si="38"/>
        <v/>
      </c>
      <c r="H311" s="344" t="str">
        <f t="shared" si="39"/>
        <v/>
      </c>
      <c r="I311" s="349" t="str">
        <f t="shared" si="40"/>
        <v>否</v>
      </c>
      <c r="J311" s="313" t="str">
        <f t="shared" si="41"/>
        <v>项</v>
      </c>
    </row>
    <row r="312" ht="18.75" hidden="1" spans="1:10">
      <c r="A312" s="356">
        <v>2340105</v>
      </c>
      <c r="B312" s="327" t="s">
        <v>1572</v>
      </c>
      <c r="C312" s="328"/>
      <c r="D312" s="328"/>
      <c r="E312" s="328">
        <f>'09'!F312</f>
        <v>0</v>
      </c>
      <c r="F312" s="325">
        <v>0</v>
      </c>
      <c r="G312" s="344" t="str">
        <f t="shared" si="38"/>
        <v/>
      </c>
      <c r="H312" s="344" t="str">
        <f t="shared" si="39"/>
        <v/>
      </c>
      <c r="I312" s="349" t="str">
        <f t="shared" si="40"/>
        <v>否</v>
      </c>
      <c r="J312" s="313" t="str">
        <f t="shared" si="41"/>
        <v>项</v>
      </c>
    </row>
    <row r="313" ht="18.75" hidden="1" spans="1:10">
      <c r="A313" s="356">
        <v>2340106</v>
      </c>
      <c r="B313" s="327" t="s">
        <v>1573</v>
      </c>
      <c r="C313" s="328"/>
      <c r="D313" s="328"/>
      <c r="E313" s="328">
        <f>'09'!F313</f>
        <v>0</v>
      </c>
      <c r="F313" s="325">
        <v>0</v>
      </c>
      <c r="G313" s="344" t="str">
        <f t="shared" si="38"/>
        <v/>
      </c>
      <c r="H313" s="344" t="str">
        <f t="shared" si="39"/>
        <v/>
      </c>
      <c r="I313" s="349" t="str">
        <f t="shared" si="40"/>
        <v>否</v>
      </c>
      <c r="J313" s="313" t="str">
        <f t="shared" si="41"/>
        <v>项</v>
      </c>
    </row>
    <row r="314" ht="18.75" hidden="1" spans="1:10">
      <c r="A314" s="356">
        <v>2340107</v>
      </c>
      <c r="B314" s="327" t="s">
        <v>1574</v>
      </c>
      <c r="C314" s="328"/>
      <c r="D314" s="328"/>
      <c r="E314" s="328">
        <f>'09'!F314</f>
        <v>0</v>
      </c>
      <c r="F314" s="325">
        <v>0</v>
      </c>
      <c r="G314" s="344" t="str">
        <f t="shared" si="38"/>
        <v/>
      </c>
      <c r="H314" s="344" t="str">
        <f t="shared" si="39"/>
        <v/>
      </c>
      <c r="I314" s="349" t="str">
        <f t="shared" si="40"/>
        <v>否</v>
      </c>
      <c r="J314" s="313" t="str">
        <f t="shared" si="41"/>
        <v>项</v>
      </c>
    </row>
    <row r="315" ht="18.75" hidden="1" spans="1:10">
      <c r="A315" s="356">
        <v>2340108</v>
      </c>
      <c r="B315" s="327" t="s">
        <v>1575</v>
      </c>
      <c r="C315" s="328"/>
      <c r="D315" s="328"/>
      <c r="E315" s="328">
        <f>'09'!F315</f>
        <v>0</v>
      </c>
      <c r="F315" s="325">
        <v>0</v>
      </c>
      <c r="G315" s="344" t="str">
        <f t="shared" si="38"/>
        <v/>
      </c>
      <c r="H315" s="344" t="str">
        <f t="shared" si="39"/>
        <v/>
      </c>
      <c r="I315" s="349" t="str">
        <f t="shared" si="40"/>
        <v>否</v>
      </c>
      <c r="J315" s="313" t="str">
        <f t="shared" si="41"/>
        <v>项</v>
      </c>
    </row>
    <row r="316" ht="18.75" hidden="1" spans="1:10">
      <c r="A316" s="356">
        <v>2340109</v>
      </c>
      <c r="B316" s="327" t="s">
        <v>1576</v>
      </c>
      <c r="C316" s="328"/>
      <c r="D316" s="328"/>
      <c r="E316" s="328">
        <f>'09'!F316</f>
        <v>0</v>
      </c>
      <c r="F316" s="325">
        <v>0</v>
      </c>
      <c r="G316" s="344" t="str">
        <f t="shared" si="38"/>
        <v/>
      </c>
      <c r="H316" s="344" t="str">
        <f t="shared" si="39"/>
        <v/>
      </c>
      <c r="I316" s="349" t="str">
        <f t="shared" si="40"/>
        <v>否</v>
      </c>
      <c r="J316" s="313" t="str">
        <f t="shared" si="41"/>
        <v>项</v>
      </c>
    </row>
    <row r="317" ht="18.75" hidden="1" spans="1:10">
      <c r="A317" s="356">
        <v>2340110</v>
      </c>
      <c r="B317" s="327" t="s">
        <v>1577</v>
      </c>
      <c r="C317" s="328"/>
      <c r="D317" s="328"/>
      <c r="E317" s="328">
        <f>'09'!F317</f>
        <v>0</v>
      </c>
      <c r="F317" s="325">
        <v>0</v>
      </c>
      <c r="G317" s="344" t="str">
        <f t="shared" si="38"/>
        <v/>
      </c>
      <c r="H317" s="344" t="str">
        <f t="shared" si="39"/>
        <v/>
      </c>
      <c r="I317" s="349" t="str">
        <f t="shared" si="40"/>
        <v>否</v>
      </c>
      <c r="J317" s="313" t="str">
        <f t="shared" si="41"/>
        <v>项</v>
      </c>
    </row>
    <row r="318" ht="18.75" hidden="1" spans="1:10">
      <c r="A318" s="356">
        <v>2340111</v>
      </c>
      <c r="B318" s="327" t="s">
        <v>1578</v>
      </c>
      <c r="C318" s="328"/>
      <c r="D318" s="328"/>
      <c r="E318" s="328">
        <f>'09'!F318</f>
        <v>0</v>
      </c>
      <c r="F318" s="325">
        <v>0</v>
      </c>
      <c r="G318" s="344" t="str">
        <f t="shared" si="38"/>
        <v/>
      </c>
      <c r="H318" s="344" t="str">
        <f t="shared" si="39"/>
        <v/>
      </c>
      <c r="I318" s="349" t="str">
        <f t="shared" si="40"/>
        <v>否</v>
      </c>
      <c r="J318" s="313" t="str">
        <f t="shared" si="41"/>
        <v>项</v>
      </c>
    </row>
    <row r="319" ht="18.75" hidden="1" spans="1:10">
      <c r="A319" s="356">
        <v>2340199</v>
      </c>
      <c r="B319" s="327" t="s">
        <v>1579</v>
      </c>
      <c r="C319" s="328"/>
      <c r="D319" s="328"/>
      <c r="E319" s="328">
        <f>'09'!F319</f>
        <v>0</v>
      </c>
      <c r="F319" s="325">
        <v>0</v>
      </c>
      <c r="G319" s="344" t="str">
        <f t="shared" si="38"/>
        <v/>
      </c>
      <c r="H319" s="344" t="str">
        <f t="shared" si="39"/>
        <v/>
      </c>
      <c r="I319" s="349" t="str">
        <f t="shared" si="40"/>
        <v>否</v>
      </c>
      <c r="J319" s="313" t="str">
        <f t="shared" si="41"/>
        <v>项</v>
      </c>
    </row>
    <row r="320" ht="18.75" hidden="1" spans="1:10">
      <c r="A320" s="356">
        <v>23402</v>
      </c>
      <c r="B320" s="327" t="s">
        <v>1580</v>
      </c>
      <c r="C320" s="325"/>
      <c r="D320" s="325"/>
      <c r="E320" s="325"/>
      <c r="F320" s="325">
        <v>0</v>
      </c>
      <c r="G320" s="343" t="str">
        <f t="shared" si="38"/>
        <v/>
      </c>
      <c r="H320" s="343" t="str">
        <f t="shared" si="39"/>
        <v/>
      </c>
      <c r="I320" s="349" t="str">
        <f t="shared" si="40"/>
        <v>否</v>
      </c>
      <c r="J320" s="313" t="str">
        <f t="shared" si="41"/>
        <v>款</v>
      </c>
    </row>
    <row r="321" ht="18.75" hidden="1" spans="1:10">
      <c r="A321" s="356">
        <v>2340201</v>
      </c>
      <c r="B321" s="327" t="s">
        <v>1581</v>
      </c>
      <c r="C321" s="328"/>
      <c r="D321" s="328"/>
      <c r="E321" s="328">
        <f>'09'!F321</f>
        <v>0</v>
      </c>
      <c r="F321" s="325">
        <v>0</v>
      </c>
      <c r="G321" s="344" t="str">
        <f t="shared" si="38"/>
        <v/>
      </c>
      <c r="H321" s="344" t="str">
        <f t="shared" si="39"/>
        <v/>
      </c>
      <c r="I321" s="349" t="str">
        <f t="shared" si="40"/>
        <v>否</v>
      </c>
      <c r="J321" s="313" t="str">
        <f t="shared" si="41"/>
        <v>项</v>
      </c>
    </row>
    <row r="322" ht="18.75" hidden="1" spans="1:10">
      <c r="A322" s="356">
        <v>2340202</v>
      </c>
      <c r="B322" s="327" t="s">
        <v>1582</v>
      </c>
      <c r="C322" s="328"/>
      <c r="D322" s="328"/>
      <c r="E322" s="328">
        <f>'09'!F322</f>
        <v>0</v>
      </c>
      <c r="F322" s="325">
        <v>0</v>
      </c>
      <c r="G322" s="344" t="str">
        <f t="shared" si="38"/>
        <v/>
      </c>
      <c r="H322" s="344" t="str">
        <f t="shared" si="39"/>
        <v/>
      </c>
      <c r="I322" s="349" t="str">
        <f t="shared" si="40"/>
        <v>否</v>
      </c>
      <c r="J322" s="313" t="str">
        <f t="shared" si="41"/>
        <v>项</v>
      </c>
    </row>
    <row r="323" ht="18.75" hidden="1" spans="1:10">
      <c r="A323" s="356">
        <v>2340203</v>
      </c>
      <c r="B323" s="327" t="s">
        <v>1583</v>
      </c>
      <c r="C323" s="328"/>
      <c r="D323" s="328"/>
      <c r="E323" s="328">
        <f>'09'!F323</f>
        <v>0</v>
      </c>
      <c r="F323" s="325">
        <v>0</v>
      </c>
      <c r="G323" s="344" t="str">
        <f t="shared" si="38"/>
        <v/>
      </c>
      <c r="H323" s="344" t="str">
        <f t="shared" si="39"/>
        <v/>
      </c>
      <c r="I323" s="349" t="str">
        <f t="shared" si="40"/>
        <v>否</v>
      </c>
      <c r="J323" s="313" t="str">
        <f t="shared" si="41"/>
        <v>项</v>
      </c>
    </row>
    <row r="324" ht="18.75" hidden="1" spans="1:10">
      <c r="A324" s="356">
        <v>2340204</v>
      </c>
      <c r="B324" s="327" t="s">
        <v>1584</v>
      </c>
      <c r="C324" s="328"/>
      <c r="D324" s="328"/>
      <c r="E324" s="328">
        <f>'09'!F324</f>
        <v>0</v>
      </c>
      <c r="F324" s="325">
        <v>0</v>
      </c>
      <c r="G324" s="344" t="str">
        <f t="shared" si="38"/>
        <v/>
      </c>
      <c r="H324" s="344" t="str">
        <f t="shared" si="39"/>
        <v/>
      </c>
      <c r="I324" s="349" t="str">
        <f t="shared" si="40"/>
        <v>否</v>
      </c>
      <c r="J324" s="313" t="str">
        <f t="shared" si="41"/>
        <v>项</v>
      </c>
    </row>
    <row r="325" ht="18.75" hidden="1" spans="1:10">
      <c r="A325" s="356">
        <v>2340205</v>
      </c>
      <c r="B325" s="327" t="s">
        <v>1585</v>
      </c>
      <c r="C325" s="328"/>
      <c r="D325" s="328"/>
      <c r="E325" s="328">
        <f>'09'!F325</f>
        <v>0</v>
      </c>
      <c r="F325" s="325">
        <v>0</v>
      </c>
      <c r="G325" s="344" t="str">
        <f t="shared" si="38"/>
        <v/>
      </c>
      <c r="H325" s="344" t="str">
        <f t="shared" si="39"/>
        <v/>
      </c>
      <c r="I325" s="349" t="str">
        <f t="shared" si="40"/>
        <v>否</v>
      </c>
      <c r="J325" s="313" t="str">
        <f t="shared" si="41"/>
        <v>项</v>
      </c>
    </row>
    <row r="326" ht="18.75" hidden="1" spans="1:10">
      <c r="A326" s="356">
        <v>2340299</v>
      </c>
      <c r="B326" s="327" t="s">
        <v>1586</v>
      </c>
      <c r="C326" s="328"/>
      <c r="D326" s="328"/>
      <c r="E326" s="328">
        <f>'09'!F326</f>
        <v>0</v>
      </c>
      <c r="F326" s="325">
        <v>0</v>
      </c>
      <c r="G326" s="344" t="str">
        <f t="shared" ref="G326:G337" si="44">IFERROR((F326-C326)/C326,"")</f>
        <v/>
      </c>
      <c r="H326" s="344" t="str">
        <f t="shared" ref="H326:H337" si="45">IFERROR((F326-E326)/E326,"")</f>
        <v/>
      </c>
      <c r="I326" s="349" t="str">
        <f t="shared" ref="I326:I337" si="46">IF(LEN(A326)=3,"是",IF(B326&lt;&gt;"",IF(SUM(C326:F326)&lt;&gt;0,"是","否"),"是"))</f>
        <v>否</v>
      </c>
      <c r="J326" s="313" t="str">
        <f t="shared" si="41"/>
        <v>项</v>
      </c>
    </row>
    <row r="327" ht="18.75" spans="1:10">
      <c r="A327" s="339"/>
      <c r="B327" s="327"/>
      <c r="C327" s="328"/>
      <c r="D327" s="328"/>
      <c r="E327" s="328"/>
      <c r="F327" s="328"/>
      <c r="G327" s="343" t="str">
        <f t="shared" si="44"/>
        <v/>
      </c>
      <c r="H327" s="343" t="str">
        <f t="shared" si="45"/>
        <v/>
      </c>
      <c r="I327" s="349" t="str">
        <f t="shared" si="46"/>
        <v>是</v>
      </c>
      <c r="J327" s="313"/>
    </row>
    <row r="328" ht="18.75" spans="1:10">
      <c r="A328" s="357"/>
      <c r="B328" s="358" t="s">
        <v>1605</v>
      </c>
      <c r="C328" s="359">
        <f t="shared" ref="C328:F328" si="47">C5+C12+C20+C43+C48+C55+C71+C132+C160+C210+C219+C224+C228+C232+C236+C241+C273+C289+C306</f>
        <v>41026</v>
      </c>
      <c r="D328" s="359">
        <f t="shared" si="47"/>
        <v>47957</v>
      </c>
      <c r="E328" s="359">
        <f t="shared" si="47"/>
        <v>36524</v>
      </c>
      <c r="F328" s="359">
        <f t="shared" si="47"/>
        <v>52277</v>
      </c>
      <c r="G328" s="343">
        <f t="shared" si="44"/>
        <v>0.274240725393653</v>
      </c>
      <c r="H328" s="343">
        <f t="shared" si="45"/>
        <v>0.431305442996386</v>
      </c>
      <c r="I328" s="349" t="str">
        <f t="shared" si="46"/>
        <v>是</v>
      </c>
      <c r="J328" s="313"/>
    </row>
    <row r="329" ht="18.75" spans="1:10">
      <c r="A329" s="360" t="s">
        <v>1588</v>
      </c>
      <c r="B329" s="361" t="s">
        <v>201</v>
      </c>
      <c r="C329" s="107">
        <f t="shared" ref="C329:F329" si="48">C330+C332+C333+C334+C335</f>
        <v>293363</v>
      </c>
      <c r="D329" s="107">
        <f t="shared" si="48"/>
        <v>494113</v>
      </c>
      <c r="E329" s="107">
        <f t="shared" si="48"/>
        <v>459946</v>
      </c>
      <c r="F329" s="107">
        <f t="shared" si="48"/>
        <v>393045</v>
      </c>
      <c r="G329" s="343">
        <f t="shared" si="44"/>
        <v>0.339790634810798</v>
      </c>
      <c r="H329" s="343">
        <f t="shared" si="45"/>
        <v>-0.145454031560227</v>
      </c>
      <c r="I329" s="349" t="str">
        <f t="shared" si="46"/>
        <v>是</v>
      </c>
      <c r="J329" s="313"/>
    </row>
    <row r="330" ht="18.75" spans="1:10">
      <c r="A330" s="360" t="s">
        <v>1606</v>
      </c>
      <c r="B330" s="362" t="s">
        <v>1607</v>
      </c>
      <c r="C330" s="110">
        <f t="shared" ref="C330:F330" si="49">C331</f>
        <v>76992</v>
      </c>
      <c r="D330" s="110">
        <f t="shared" si="49"/>
        <v>76992</v>
      </c>
      <c r="E330" s="110">
        <f t="shared" si="49"/>
        <v>41467</v>
      </c>
      <c r="F330" s="110">
        <f t="shared" si="49"/>
        <v>42320</v>
      </c>
      <c r="G330" s="344">
        <f t="shared" si="44"/>
        <v>-0.450332502078138</v>
      </c>
      <c r="H330" s="344">
        <f t="shared" si="45"/>
        <v>0.0205705741915258</v>
      </c>
      <c r="I330" s="349" t="str">
        <f t="shared" si="46"/>
        <v>是</v>
      </c>
      <c r="J330" s="313"/>
    </row>
    <row r="331" ht="18.75" spans="1:10">
      <c r="A331" s="363" t="s">
        <v>1608</v>
      </c>
      <c r="B331" s="362" t="s">
        <v>1609</v>
      </c>
      <c r="C331" s="328">
        <v>76992</v>
      </c>
      <c r="D331" s="328">
        <v>76992</v>
      </c>
      <c r="E331" s="328">
        <f>'09'!F331</f>
        <v>41467</v>
      </c>
      <c r="F331" s="328">
        <v>42320</v>
      </c>
      <c r="G331" s="344">
        <f t="shared" si="44"/>
        <v>-0.450332502078138</v>
      </c>
      <c r="H331" s="344">
        <f t="shared" si="45"/>
        <v>0.0205705741915258</v>
      </c>
      <c r="I331" s="349" t="str">
        <f t="shared" si="46"/>
        <v>是</v>
      </c>
      <c r="J331" s="313"/>
    </row>
    <row r="332" ht="18.75" spans="1:9">
      <c r="A332" s="364" t="s">
        <v>1589</v>
      </c>
      <c r="B332" s="362" t="s">
        <v>1230</v>
      </c>
      <c r="C332" s="328">
        <v>3781</v>
      </c>
      <c r="D332" s="328">
        <v>3781</v>
      </c>
      <c r="E332" s="328">
        <f>'09'!F332</f>
        <v>1495</v>
      </c>
      <c r="F332" s="328">
        <v>3319</v>
      </c>
      <c r="G332" s="344">
        <f t="shared" si="44"/>
        <v>-0.122189896852684</v>
      </c>
      <c r="H332" s="344">
        <f t="shared" si="45"/>
        <v>1.22006688963211</v>
      </c>
      <c r="I332" s="349" t="str">
        <f t="shared" si="46"/>
        <v>是</v>
      </c>
    </row>
    <row r="333" ht="18.75" spans="1:10">
      <c r="A333" s="363" t="s">
        <v>1590</v>
      </c>
      <c r="B333" s="362" t="s">
        <v>1231</v>
      </c>
      <c r="C333" s="328">
        <v>27400</v>
      </c>
      <c r="D333" s="328">
        <v>7752</v>
      </c>
      <c r="E333" s="328">
        <f>'09'!F333</f>
        <v>3630</v>
      </c>
      <c r="F333" s="328">
        <v>36507</v>
      </c>
      <c r="G333" s="344">
        <f t="shared" si="44"/>
        <v>0.332372262773723</v>
      </c>
      <c r="H333" s="344">
        <f t="shared" si="45"/>
        <v>9.05702479338843</v>
      </c>
      <c r="I333" s="349" t="str">
        <f t="shared" si="46"/>
        <v>是</v>
      </c>
      <c r="J333" s="313"/>
    </row>
    <row r="334" ht="18.75" spans="1:10">
      <c r="A334" s="363" t="s">
        <v>1591</v>
      </c>
      <c r="B334" s="362" t="s">
        <v>1592</v>
      </c>
      <c r="C334" s="328"/>
      <c r="D334" s="328"/>
      <c r="E334" s="328">
        <f>'09'!F334</f>
        <v>7766</v>
      </c>
      <c r="F334" s="328">
        <v>5649</v>
      </c>
      <c r="G334" s="344" t="str">
        <f t="shared" si="44"/>
        <v/>
      </c>
      <c r="H334" s="344">
        <f t="shared" si="45"/>
        <v>-0.272598506309554</v>
      </c>
      <c r="I334" s="349" t="str">
        <f t="shared" si="46"/>
        <v>是</v>
      </c>
      <c r="J334" s="313"/>
    </row>
    <row r="335" ht="18.75" spans="1:10">
      <c r="A335" s="363" t="s">
        <v>1610</v>
      </c>
      <c r="B335" s="365" t="s">
        <v>1611</v>
      </c>
      <c r="C335" s="328">
        <v>185190</v>
      </c>
      <c r="D335" s="328">
        <v>405588</v>
      </c>
      <c r="E335" s="328">
        <f>'09'!F335</f>
        <v>405588</v>
      </c>
      <c r="F335" s="328">
        <v>305250</v>
      </c>
      <c r="G335" s="344">
        <f t="shared" si="44"/>
        <v>0.648307144014256</v>
      </c>
      <c r="H335" s="344">
        <f t="shared" si="45"/>
        <v>-0.247388976005207</v>
      </c>
      <c r="I335" s="349" t="str">
        <f t="shared" si="46"/>
        <v>是</v>
      </c>
      <c r="J335" s="313"/>
    </row>
    <row r="336" ht="18.75" spans="1:10">
      <c r="A336" s="360" t="s">
        <v>1593</v>
      </c>
      <c r="B336" s="366" t="s">
        <v>1594</v>
      </c>
      <c r="C336" s="325">
        <v>54450</v>
      </c>
      <c r="D336" s="325">
        <v>80421</v>
      </c>
      <c r="E336" s="325">
        <f>'09'!F336</f>
        <v>80421</v>
      </c>
      <c r="F336" s="325">
        <v>62650</v>
      </c>
      <c r="G336" s="343">
        <f t="shared" si="44"/>
        <v>0.150596877869605</v>
      </c>
      <c r="H336" s="343">
        <f t="shared" si="45"/>
        <v>-0.220974621056689</v>
      </c>
      <c r="I336" s="349" t="str">
        <f t="shared" si="46"/>
        <v>是</v>
      </c>
      <c r="J336" s="313"/>
    </row>
    <row r="337" ht="18.75" spans="1:10">
      <c r="A337" s="367"/>
      <c r="B337" s="368" t="s">
        <v>209</v>
      </c>
      <c r="C337" s="107">
        <f t="shared" ref="C337:F337" si="50">SUM(C328:C329,C336)</f>
        <v>388839</v>
      </c>
      <c r="D337" s="107">
        <f t="shared" si="50"/>
        <v>622491</v>
      </c>
      <c r="E337" s="107">
        <f t="shared" si="50"/>
        <v>576891</v>
      </c>
      <c r="F337" s="107">
        <f t="shared" si="50"/>
        <v>507972</v>
      </c>
      <c r="G337" s="343">
        <f t="shared" si="44"/>
        <v>0.306381304344472</v>
      </c>
      <c r="H337" s="343">
        <f t="shared" si="45"/>
        <v>-0.119466242323073</v>
      </c>
      <c r="I337" s="349" t="str">
        <f t="shared" si="46"/>
        <v>是</v>
      </c>
      <c r="J337" s="313"/>
    </row>
    <row r="338" spans="3:7">
      <c r="C338" s="369"/>
      <c r="D338" s="369"/>
      <c r="E338" s="369"/>
      <c r="F338" s="369"/>
      <c r="G338" s="369"/>
    </row>
    <row r="339" spans="3:7">
      <c r="C339" s="369"/>
      <c r="D339" s="369"/>
      <c r="E339" s="369"/>
      <c r="F339" s="369"/>
      <c r="G339" s="369"/>
    </row>
    <row r="340" spans="3:7">
      <c r="C340" s="369"/>
      <c r="D340" s="369"/>
      <c r="E340" s="369"/>
      <c r="F340" s="369"/>
      <c r="G340" s="369"/>
    </row>
  </sheetData>
  <autoFilter ref="A4:J337">
    <filterColumn colId="8">
      <customFilters>
        <customFilter operator="equal" val="是"/>
      </customFilters>
    </filterColumn>
    <extLst/>
  </autoFilter>
  <mergeCells count="7">
    <mergeCell ref="B1:H1"/>
    <mergeCell ref="C3:E3"/>
    <mergeCell ref="A3:A4"/>
    <mergeCell ref="B3:B4"/>
    <mergeCell ref="F3:F4"/>
    <mergeCell ref="G3:G4"/>
    <mergeCell ref="H3:H4"/>
  </mergeCells>
  <conditionalFormatting sqref="B335">
    <cfRule type="expression" dxfId="0" priority="2" stopIfTrue="1">
      <formula>"len($A:$A)=3"</formula>
    </cfRule>
  </conditionalFormatting>
  <conditionalFormatting sqref="B336">
    <cfRule type="expression" dxfId="0" priority="1" stopIfTrue="1">
      <formula>"len($A:$A)=3"</formula>
    </cfRule>
  </conditionalFormatting>
  <printOptions horizontalCentered="1"/>
  <pageMargins left="0.472222222222222" right="0.393055555555556" top="0.747916666666667" bottom="0.747916666666667" header="0.314583333333333" footer="0.314583333333333"/>
  <pageSetup paperSize="9" scale="56" fitToHeight="0" orientation="portrait" horizontalDpi="600"/>
  <headerFooter alignWithMargins="0">
    <oddFooter>&amp;C&amp;16- &amp;P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tabColor rgb="FFFFFF00"/>
  </sheetPr>
  <dimension ref="A1:E15"/>
  <sheetViews>
    <sheetView showGridLines="0" showZeros="0" view="pageBreakPreview" zoomScale="85" zoomScaleNormal="100" workbookViewId="0">
      <selection activeCell="F21" sqref="F21"/>
    </sheetView>
  </sheetViews>
  <sheetFormatPr defaultColWidth="9" defaultRowHeight="13.5" outlineLevelCol="4"/>
  <cols>
    <col min="1" max="1" width="52.1333333333333" style="202" customWidth="1"/>
    <col min="2" max="3" width="20.6333333333333" style="202" customWidth="1"/>
    <col min="4" max="4" width="16.0166666666667" style="202" customWidth="1"/>
    <col min="5" max="16384" width="9" style="202"/>
  </cols>
  <sheetData>
    <row r="1" s="290" customFormat="1" ht="45" customHeight="1" spans="1:4">
      <c r="A1" s="291" t="s">
        <v>70</v>
      </c>
      <c r="B1" s="291"/>
      <c r="C1" s="291"/>
      <c r="D1" s="291"/>
    </row>
    <row r="2" ht="20.1" customHeight="1" spans="1:4">
      <c r="A2" s="292" t="s">
        <v>69</v>
      </c>
      <c r="B2" s="293"/>
      <c r="C2" s="294"/>
      <c r="D2" s="294" t="s">
        <v>103</v>
      </c>
    </row>
    <row r="3" ht="45" customHeight="1" spans="1:5">
      <c r="A3" s="295" t="s">
        <v>1718</v>
      </c>
      <c r="B3" s="38" t="s">
        <v>1839</v>
      </c>
      <c r="C3" s="38" t="s">
        <v>1754</v>
      </c>
      <c r="D3" s="38" t="s">
        <v>1759</v>
      </c>
      <c r="E3" s="302" t="s">
        <v>113</v>
      </c>
    </row>
    <row r="4" ht="36" customHeight="1" spans="1:5">
      <c r="A4" s="296" t="s">
        <v>1907</v>
      </c>
      <c r="B4" s="297"/>
      <c r="C4" s="297"/>
      <c r="D4" s="298" t="str">
        <f>IFERROR((C4-B4)/B4,"")</f>
        <v/>
      </c>
      <c r="E4" s="303" t="str">
        <f t="shared" ref="E4:E15" si="0">IF(A4&lt;&gt;"",IF(SUM(B4:C4)&lt;&gt;0,"是","否"),"是")</f>
        <v>否</v>
      </c>
    </row>
    <row r="5" ht="36" customHeight="1" spans="1:5">
      <c r="A5" s="296" t="s">
        <v>1908</v>
      </c>
      <c r="B5" s="297"/>
      <c r="C5" s="297"/>
      <c r="D5" s="298" t="str">
        <f t="shared" ref="D5:D15" si="1">IFERROR((C5-B5)/B5,"")</f>
        <v/>
      </c>
      <c r="E5" s="303" t="str">
        <f t="shared" si="0"/>
        <v>否</v>
      </c>
    </row>
    <row r="6" ht="36" customHeight="1" spans="1:5">
      <c r="A6" s="296" t="s">
        <v>1909</v>
      </c>
      <c r="B6" s="297"/>
      <c r="C6" s="297"/>
      <c r="D6" s="298" t="str">
        <f t="shared" si="1"/>
        <v/>
      </c>
      <c r="E6" s="303" t="str">
        <f t="shared" si="0"/>
        <v>否</v>
      </c>
    </row>
    <row r="7" ht="36" customHeight="1" spans="1:5">
      <c r="A7" s="296" t="s">
        <v>1910</v>
      </c>
      <c r="B7" s="297">
        <v>3825</v>
      </c>
      <c r="C7" s="297">
        <v>3000</v>
      </c>
      <c r="D7" s="298">
        <f t="shared" si="1"/>
        <v>-0.215686274509804</v>
      </c>
      <c r="E7" s="304" t="str">
        <f t="shared" si="0"/>
        <v>是</v>
      </c>
    </row>
    <row r="8" ht="36" customHeight="1" spans="1:5">
      <c r="A8" s="296" t="s">
        <v>1911</v>
      </c>
      <c r="B8" s="297"/>
      <c r="C8" s="297"/>
      <c r="D8" s="298" t="str">
        <f t="shared" si="1"/>
        <v/>
      </c>
      <c r="E8" s="303" t="str">
        <f t="shared" si="0"/>
        <v>否</v>
      </c>
    </row>
    <row r="9" ht="36" customHeight="1" spans="1:5">
      <c r="A9" s="296" t="s">
        <v>1912</v>
      </c>
      <c r="B9" s="297"/>
      <c r="C9" s="297"/>
      <c r="D9" s="298" t="str">
        <f t="shared" si="1"/>
        <v/>
      </c>
      <c r="E9" s="303" t="str">
        <f t="shared" si="0"/>
        <v>否</v>
      </c>
    </row>
    <row r="10" ht="36" customHeight="1" spans="1:5">
      <c r="A10" s="296" t="s">
        <v>1913</v>
      </c>
      <c r="B10" s="297"/>
      <c r="C10" s="297"/>
      <c r="D10" s="298" t="str">
        <f t="shared" si="1"/>
        <v/>
      </c>
      <c r="E10" s="304" t="str">
        <f t="shared" si="0"/>
        <v>否</v>
      </c>
    </row>
    <row r="11" ht="36" customHeight="1" spans="1:5">
      <c r="A11" s="296" t="s">
        <v>1914</v>
      </c>
      <c r="B11" s="297">
        <v>3727</v>
      </c>
      <c r="C11" s="297">
        <v>3238</v>
      </c>
      <c r="D11" s="298">
        <f t="shared" si="1"/>
        <v>-0.131204722296753</v>
      </c>
      <c r="E11" s="303" t="str">
        <f t="shared" si="0"/>
        <v>是</v>
      </c>
    </row>
    <row r="12" ht="36" customHeight="1" spans="1:5">
      <c r="A12" s="296" t="s">
        <v>1915</v>
      </c>
      <c r="B12" s="297"/>
      <c r="C12" s="297"/>
      <c r="D12" s="298" t="str">
        <f t="shared" si="1"/>
        <v/>
      </c>
      <c r="E12" s="304" t="str">
        <f t="shared" si="0"/>
        <v>否</v>
      </c>
    </row>
    <row r="13" ht="36" customHeight="1" spans="1:5">
      <c r="A13" s="296" t="s">
        <v>1916</v>
      </c>
      <c r="B13" s="297"/>
      <c r="C13" s="297"/>
      <c r="D13" s="298" t="str">
        <f t="shared" si="1"/>
        <v/>
      </c>
      <c r="E13" s="304" t="str">
        <f t="shared" si="0"/>
        <v>否</v>
      </c>
    </row>
    <row r="14" ht="36" customHeight="1" spans="1:5">
      <c r="A14" s="296" t="s">
        <v>1917</v>
      </c>
      <c r="B14" s="297"/>
      <c r="C14" s="297"/>
      <c r="D14" s="298" t="str">
        <f t="shared" si="1"/>
        <v/>
      </c>
      <c r="E14" s="304" t="str">
        <f t="shared" si="0"/>
        <v>否</v>
      </c>
    </row>
    <row r="15" ht="36" customHeight="1" spans="1:5">
      <c r="A15" s="299" t="s">
        <v>1918</v>
      </c>
      <c r="B15" s="300">
        <f>SUM(B4:B14)</f>
        <v>7552</v>
      </c>
      <c r="C15" s="300">
        <f>SUM(C4:C14)</f>
        <v>6238</v>
      </c>
      <c r="D15" s="301">
        <f t="shared" si="1"/>
        <v>-0.173993644067797</v>
      </c>
      <c r="E15" s="303" t="str">
        <f t="shared" si="0"/>
        <v>是</v>
      </c>
    </row>
  </sheetData>
  <autoFilter ref="A3:E15">
    <extLst/>
  </autoFilter>
  <mergeCells count="1">
    <mergeCell ref="A1:D1"/>
  </mergeCells>
  <conditionalFormatting sqref="E4:E15">
    <cfRule type="cellIs" dxfId="1" priority="2" stopIfTrue="1" operator="lessThan">
      <formula>0</formula>
    </cfRule>
  </conditionalFormatting>
  <conditionalFormatting sqref="E13:E15">
    <cfRule type="cellIs" dxfId="1" priority="1" stopIfTrue="1" operator="lessThan">
      <formula>0</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9">
    <tabColor rgb="FF00B050"/>
  </sheetPr>
  <dimension ref="A1:E55"/>
  <sheetViews>
    <sheetView showGridLines="0" showZeros="0" view="pageBreakPreview" zoomScale="70" zoomScaleNormal="100" workbookViewId="0">
      <pane ySplit="3" topLeftCell="A24" activePane="bottomLeft" state="frozen"/>
      <selection/>
      <selection pane="bottomLeft" activeCell="D49" sqref="D49"/>
    </sheetView>
  </sheetViews>
  <sheetFormatPr defaultColWidth="9" defaultRowHeight="14.25" outlineLevelCol="4"/>
  <cols>
    <col min="1" max="1" width="55.525" style="262" customWidth="1"/>
    <col min="2" max="3" width="20.6333333333333" style="262" customWidth="1"/>
    <col min="4" max="4" width="19.2833333333333" style="262" customWidth="1"/>
    <col min="5" max="5" width="4.25" style="262" customWidth="1"/>
    <col min="6" max="16384" width="9" style="262"/>
  </cols>
  <sheetData>
    <row r="1" ht="35.25" spans="1:4">
      <c r="A1" s="280" t="s">
        <v>72</v>
      </c>
      <c r="B1" s="280"/>
      <c r="C1" s="280"/>
      <c r="D1" s="280"/>
    </row>
    <row r="2" ht="20.1" customHeight="1" spans="1:4">
      <c r="A2" s="281" t="s">
        <v>71</v>
      </c>
      <c r="B2" s="282"/>
      <c r="C2" s="283"/>
      <c r="D2" s="102" t="s">
        <v>1612</v>
      </c>
    </row>
    <row r="3" ht="37.5" spans="1:5">
      <c r="A3" s="244" t="s">
        <v>1613</v>
      </c>
      <c r="B3" s="104" t="s">
        <v>1753</v>
      </c>
      <c r="C3" s="104" t="s">
        <v>1754</v>
      </c>
      <c r="D3" s="104" t="s">
        <v>1755</v>
      </c>
      <c r="E3" s="262" t="s">
        <v>113</v>
      </c>
    </row>
    <row r="4" ht="24" hidden="1" customHeight="1" spans="1:5">
      <c r="A4" s="228" t="s">
        <v>1614</v>
      </c>
      <c r="B4" s="284">
        <f>SUM(B5:B23)</f>
        <v>0</v>
      </c>
      <c r="C4" s="284">
        <f>SUM(C5:C23)</f>
        <v>0</v>
      </c>
      <c r="D4" s="108" t="str">
        <f t="shared" ref="D4:D42" si="0">IFERROR((C4-B4)/B4,"")</f>
        <v/>
      </c>
      <c r="E4" s="289" t="str">
        <f t="shared" ref="E4:E42" si="1">IF(A4&lt;&gt;"",IF(SUM(B4:C4)&lt;&gt;0,"是","否"),"是")</f>
        <v>否</v>
      </c>
    </row>
    <row r="5" ht="24" hidden="1" customHeight="1" spans="1:5">
      <c r="A5" s="268" t="s">
        <v>1615</v>
      </c>
      <c r="B5" s="285">
        <v>0</v>
      </c>
      <c r="C5" s="286"/>
      <c r="D5" s="108" t="str">
        <f t="shared" si="0"/>
        <v/>
      </c>
      <c r="E5" s="289" t="str">
        <f t="shared" si="1"/>
        <v>否</v>
      </c>
    </row>
    <row r="6" ht="24" hidden="1" customHeight="1" spans="1:5">
      <c r="A6" s="268" t="s">
        <v>1616</v>
      </c>
      <c r="B6" s="285">
        <v>0</v>
      </c>
      <c r="C6" s="285"/>
      <c r="D6" s="108" t="str">
        <f t="shared" si="0"/>
        <v/>
      </c>
      <c r="E6" s="289" t="str">
        <f t="shared" si="1"/>
        <v>否</v>
      </c>
    </row>
    <row r="7" ht="24" hidden="1" customHeight="1" spans="1:5">
      <c r="A7" s="268" t="s">
        <v>1617</v>
      </c>
      <c r="B7" s="285">
        <v>0</v>
      </c>
      <c r="C7" s="286"/>
      <c r="D7" s="108" t="str">
        <f t="shared" si="0"/>
        <v/>
      </c>
      <c r="E7" s="289" t="str">
        <f t="shared" si="1"/>
        <v>否</v>
      </c>
    </row>
    <row r="8" ht="24" hidden="1" customHeight="1" spans="1:5">
      <c r="A8" s="268" t="s">
        <v>1618</v>
      </c>
      <c r="B8" s="285">
        <v>0</v>
      </c>
      <c r="C8" s="286"/>
      <c r="D8" s="108" t="str">
        <f t="shared" si="0"/>
        <v/>
      </c>
      <c r="E8" s="289" t="str">
        <f t="shared" si="1"/>
        <v>否</v>
      </c>
    </row>
    <row r="9" ht="24" hidden="1" customHeight="1" spans="1:5">
      <c r="A9" s="268" t="s">
        <v>1619</v>
      </c>
      <c r="B9" s="285">
        <v>0</v>
      </c>
      <c r="C9" s="286"/>
      <c r="D9" s="108" t="str">
        <f t="shared" si="0"/>
        <v/>
      </c>
      <c r="E9" s="289" t="str">
        <f t="shared" si="1"/>
        <v>否</v>
      </c>
    </row>
    <row r="10" ht="24" hidden="1" customHeight="1" spans="1:5">
      <c r="A10" s="268" t="s">
        <v>1620</v>
      </c>
      <c r="B10" s="285">
        <v>0</v>
      </c>
      <c r="C10" s="286"/>
      <c r="D10" s="108" t="str">
        <f t="shared" si="0"/>
        <v/>
      </c>
      <c r="E10" s="289" t="str">
        <f t="shared" si="1"/>
        <v>否</v>
      </c>
    </row>
    <row r="11" ht="24" hidden="1" customHeight="1" spans="1:5">
      <c r="A11" s="268" t="s">
        <v>1621</v>
      </c>
      <c r="B11" s="285">
        <v>0</v>
      </c>
      <c r="C11" s="286"/>
      <c r="D11" s="108" t="str">
        <f t="shared" si="0"/>
        <v/>
      </c>
      <c r="E11" s="289" t="str">
        <f t="shared" si="1"/>
        <v>否</v>
      </c>
    </row>
    <row r="12" ht="24" hidden="1" customHeight="1" spans="1:5">
      <c r="A12" s="268" t="s">
        <v>1622</v>
      </c>
      <c r="B12" s="285">
        <v>0</v>
      </c>
      <c r="C12" s="286"/>
      <c r="D12" s="108" t="str">
        <f t="shared" si="0"/>
        <v/>
      </c>
      <c r="E12" s="289" t="str">
        <f t="shared" si="1"/>
        <v>否</v>
      </c>
    </row>
    <row r="13" ht="24" hidden="1" customHeight="1" spans="1:5">
      <c r="A13" s="268" t="s">
        <v>1623</v>
      </c>
      <c r="B13" s="285">
        <v>0</v>
      </c>
      <c r="C13" s="286"/>
      <c r="D13" s="108" t="str">
        <f t="shared" si="0"/>
        <v/>
      </c>
      <c r="E13" s="289" t="str">
        <f t="shared" si="1"/>
        <v>否</v>
      </c>
    </row>
    <row r="14" ht="24" hidden="1" customHeight="1" spans="1:5">
      <c r="A14" s="268" t="s">
        <v>1624</v>
      </c>
      <c r="B14" s="285">
        <v>0</v>
      </c>
      <c r="C14" s="285"/>
      <c r="D14" s="108" t="str">
        <f t="shared" si="0"/>
        <v/>
      </c>
      <c r="E14" s="289" t="str">
        <f t="shared" si="1"/>
        <v>否</v>
      </c>
    </row>
    <row r="15" ht="24" hidden="1" customHeight="1" spans="1:5">
      <c r="A15" s="268" t="s">
        <v>1625</v>
      </c>
      <c r="B15" s="285">
        <v>0</v>
      </c>
      <c r="C15" s="286"/>
      <c r="D15" s="108" t="str">
        <f t="shared" si="0"/>
        <v/>
      </c>
      <c r="E15" s="289" t="str">
        <f t="shared" si="1"/>
        <v>否</v>
      </c>
    </row>
    <row r="16" ht="24" hidden="1" customHeight="1" spans="1:5">
      <c r="A16" s="268" t="s">
        <v>1626</v>
      </c>
      <c r="B16" s="285">
        <v>0</v>
      </c>
      <c r="C16" s="235"/>
      <c r="D16" s="108" t="str">
        <f t="shared" si="0"/>
        <v/>
      </c>
      <c r="E16" s="289" t="str">
        <f t="shared" si="1"/>
        <v>否</v>
      </c>
    </row>
    <row r="17" ht="24" hidden="1" customHeight="1" spans="1:5">
      <c r="A17" s="268" t="s">
        <v>1627</v>
      </c>
      <c r="B17" s="285">
        <v>0</v>
      </c>
      <c r="C17" s="235"/>
      <c r="D17" s="108" t="str">
        <f t="shared" si="0"/>
        <v/>
      </c>
      <c r="E17" s="289" t="str">
        <f t="shared" si="1"/>
        <v>否</v>
      </c>
    </row>
    <row r="18" ht="24" hidden="1" customHeight="1" spans="1:5">
      <c r="A18" s="268" t="s">
        <v>1628</v>
      </c>
      <c r="B18" s="285">
        <v>0</v>
      </c>
      <c r="C18" s="286"/>
      <c r="D18" s="108" t="str">
        <f t="shared" si="0"/>
        <v/>
      </c>
      <c r="E18" s="289" t="str">
        <f t="shared" si="1"/>
        <v>否</v>
      </c>
    </row>
    <row r="19" ht="24" hidden="1" customHeight="1" spans="1:5">
      <c r="A19" s="268" t="s">
        <v>1629</v>
      </c>
      <c r="B19" s="285">
        <v>0</v>
      </c>
      <c r="C19" s="235"/>
      <c r="D19" s="108" t="str">
        <f t="shared" si="0"/>
        <v/>
      </c>
      <c r="E19" s="289" t="str">
        <f t="shared" si="1"/>
        <v>否</v>
      </c>
    </row>
    <row r="20" ht="24" hidden="1" customHeight="1" spans="1:5">
      <c r="A20" s="268" t="s">
        <v>1630</v>
      </c>
      <c r="B20" s="285">
        <v>0</v>
      </c>
      <c r="C20" s="235"/>
      <c r="D20" s="108" t="str">
        <f t="shared" si="0"/>
        <v/>
      </c>
      <c r="E20" s="289" t="str">
        <f t="shared" si="1"/>
        <v>否</v>
      </c>
    </row>
    <row r="21" ht="24" hidden="1" customHeight="1" spans="1:5">
      <c r="A21" s="268" t="s">
        <v>1631</v>
      </c>
      <c r="B21" s="285">
        <v>0</v>
      </c>
      <c r="C21" s="235"/>
      <c r="D21" s="108" t="str">
        <f t="shared" si="0"/>
        <v/>
      </c>
      <c r="E21" s="289" t="str">
        <f t="shared" si="1"/>
        <v>否</v>
      </c>
    </row>
    <row r="22" ht="24" hidden="1" customHeight="1" spans="1:5">
      <c r="A22" s="268" t="s">
        <v>1632</v>
      </c>
      <c r="B22" s="285">
        <v>0</v>
      </c>
      <c r="C22" s="286"/>
      <c r="D22" s="108" t="str">
        <f t="shared" si="0"/>
        <v/>
      </c>
      <c r="E22" s="289" t="str">
        <f t="shared" si="1"/>
        <v>否</v>
      </c>
    </row>
    <row r="23" ht="24" hidden="1" customHeight="1" spans="1:5">
      <c r="A23" s="268" t="s">
        <v>1633</v>
      </c>
      <c r="B23" s="285">
        <v>0</v>
      </c>
      <c r="C23" s="286"/>
      <c r="D23" s="108" t="str">
        <f t="shared" si="0"/>
        <v/>
      </c>
      <c r="E23" s="289" t="str">
        <f t="shared" si="1"/>
        <v>否</v>
      </c>
    </row>
    <row r="24" ht="24" customHeight="1" spans="1:5">
      <c r="A24" s="228" t="s">
        <v>1634</v>
      </c>
      <c r="B24" s="284">
        <f>SUM(B25:B28)</f>
        <v>3042</v>
      </c>
      <c r="C24" s="284">
        <f>SUM(C25:C28)</f>
        <v>3058</v>
      </c>
      <c r="D24" s="108">
        <f t="shared" si="0"/>
        <v>0.00525969756738988</v>
      </c>
      <c r="E24" s="289" t="str">
        <f t="shared" si="1"/>
        <v>是</v>
      </c>
    </row>
    <row r="25" ht="24" customHeight="1" spans="1:5">
      <c r="A25" s="248" t="s">
        <v>1635</v>
      </c>
      <c r="B25" s="285">
        <v>99</v>
      </c>
      <c r="C25" s="286">
        <v>100</v>
      </c>
      <c r="D25" s="114">
        <f t="shared" si="0"/>
        <v>0.0101010101010101</v>
      </c>
      <c r="E25" s="289" t="str">
        <f t="shared" si="1"/>
        <v>是</v>
      </c>
    </row>
    <row r="26" ht="24" customHeight="1" spans="1:5">
      <c r="A26" s="248" t="s">
        <v>1636</v>
      </c>
      <c r="B26" s="285">
        <v>2943</v>
      </c>
      <c r="C26" s="286">
        <v>2958</v>
      </c>
      <c r="D26" s="114">
        <f t="shared" si="0"/>
        <v>0.00509683995922528</v>
      </c>
      <c r="E26" s="289" t="str">
        <f t="shared" si="1"/>
        <v>是</v>
      </c>
    </row>
    <row r="27" ht="24" hidden="1" customHeight="1" spans="1:5">
      <c r="A27" s="248" t="s">
        <v>1637</v>
      </c>
      <c r="B27" s="285"/>
      <c r="C27" s="286"/>
      <c r="D27" s="108" t="str">
        <f t="shared" si="0"/>
        <v/>
      </c>
      <c r="E27" s="289" t="str">
        <f t="shared" si="1"/>
        <v>否</v>
      </c>
    </row>
    <row r="28" ht="24" hidden="1" customHeight="1" spans="1:5">
      <c r="A28" s="248" t="s">
        <v>1638</v>
      </c>
      <c r="B28" s="285"/>
      <c r="C28" s="286"/>
      <c r="D28" s="114" t="str">
        <f t="shared" si="0"/>
        <v/>
      </c>
      <c r="E28" s="289" t="str">
        <f t="shared" si="1"/>
        <v>否</v>
      </c>
    </row>
    <row r="29" ht="24" hidden="1" customHeight="1" spans="1:5">
      <c r="A29" s="228" t="s">
        <v>1639</v>
      </c>
      <c r="B29" s="284">
        <f>SUM(B30:B32)</f>
        <v>0</v>
      </c>
      <c r="C29" s="284">
        <f>SUM(C30:C32)</f>
        <v>0</v>
      </c>
      <c r="D29" s="108" t="str">
        <f t="shared" si="0"/>
        <v/>
      </c>
      <c r="E29" s="289" t="str">
        <f t="shared" si="1"/>
        <v>否</v>
      </c>
    </row>
    <row r="30" ht="24" hidden="1" customHeight="1" spans="1:5">
      <c r="A30" s="248" t="s">
        <v>1640</v>
      </c>
      <c r="B30" s="285">
        <v>0</v>
      </c>
      <c r="C30" s="286"/>
      <c r="D30" s="108" t="str">
        <f t="shared" si="0"/>
        <v/>
      </c>
      <c r="E30" s="289" t="str">
        <f t="shared" si="1"/>
        <v>否</v>
      </c>
    </row>
    <row r="31" ht="24" hidden="1" customHeight="1" spans="1:5">
      <c r="A31" s="248" t="s">
        <v>1641</v>
      </c>
      <c r="B31" s="285">
        <v>0</v>
      </c>
      <c r="C31" s="286"/>
      <c r="D31" s="108" t="str">
        <f t="shared" si="0"/>
        <v/>
      </c>
      <c r="E31" s="289" t="str">
        <f t="shared" si="1"/>
        <v>否</v>
      </c>
    </row>
    <row r="32" ht="24" hidden="1" customHeight="1" spans="1:5">
      <c r="A32" s="248" t="s">
        <v>1642</v>
      </c>
      <c r="B32" s="285">
        <v>0</v>
      </c>
      <c r="C32" s="286"/>
      <c r="D32" s="108" t="str">
        <f t="shared" si="0"/>
        <v/>
      </c>
      <c r="E32" s="289" t="str">
        <f t="shared" si="1"/>
        <v>否</v>
      </c>
    </row>
    <row r="33" ht="24" hidden="1" customHeight="1" spans="1:5">
      <c r="A33" s="228" t="s">
        <v>1643</v>
      </c>
      <c r="B33" s="284">
        <f>SUM(B34:B36)</f>
        <v>0</v>
      </c>
      <c r="C33" s="284">
        <f>SUM(C34:C36)</f>
        <v>0</v>
      </c>
      <c r="D33" s="108" t="str">
        <f t="shared" si="0"/>
        <v/>
      </c>
      <c r="E33" s="289" t="str">
        <f t="shared" si="1"/>
        <v>否</v>
      </c>
    </row>
    <row r="34" ht="24" hidden="1" customHeight="1" spans="1:5">
      <c r="A34" s="248" t="s">
        <v>1644</v>
      </c>
      <c r="B34" s="285">
        <v>0</v>
      </c>
      <c r="C34" s="287"/>
      <c r="D34" s="108" t="str">
        <f t="shared" si="0"/>
        <v/>
      </c>
      <c r="E34" s="289" t="str">
        <f t="shared" si="1"/>
        <v>否</v>
      </c>
    </row>
    <row r="35" ht="24" hidden="1" customHeight="1" spans="1:5">
      <c r="A35" s="248" t="s">
        <v>1645</v>
      </c>
      <c r="B35" s="285">
        <v>0</v>
      </c>
      <c r="C35" s="287"/>
      <c r="D35" s="108" t="str">
        <f t="shared" si="0"/>
        <v/>
      </c>
      <c r="E35" s="289" t="str">
        <f t="shared" si="1"/>
        <v>否</v>
      </c>
    </row>
    <row r="36" ht="24" hidden="1" customHeight="1" spans="1:5">
      <c r="A36" s="248" t="s">
        <v>1646</v>
      </c>
      <c r="B36" s="285">
        <v>0</v>
      </c>
      <c r="C36" s="235"/>
      <c r="D36" s="108" t="str">
        <f t="shared" si="0"/>
        <v/>
      </c>
      <c r="E36" s="289" t="str">
        <f t="shared" si="1"/>
        <v>否</v>
      </c>
    </row>
    <row r="37" ht="24" hidden="1" customHeight="1" spans="1:5">
      <c r="A37" s="228" t="s">
        <v>1647</v>
      </c>
      <c r="B37" s="285"/>
      <c r="C37" s="288"/>
      <c r="D37" s="108" t="str">
        <f t="shared" si="0"/>
        <v/>
      </c>
      <c r="E37" s="289" t="str">
        <f t="shared" si="1"/>
        <v>否</v>
      </c>
    </row>
    <row r="38" ht="24" customHeight="1" spans="1:5">
      <c r="A38" s="255" t="s">
        <v>1648</v>
      </c>
      <c r="B38" s="284">
        <f>SUM(B4,B24,B29,B33,B37)</f>
        <v>3042</v>
      </c>
      <c r="C38" s="284">
        <f>SUM(C4,C24,C29,C33,C37)</f>
        <v>3058</v>
      </c>
      <c r="D38" s="108">
        <f t="shared" si="0"/>
        <v>0.00525969756738988</v>
      </c>
      <c r="E38" s="289" t="str">
        <f t="shared" si="1"/>
        <v>是</v>
      </c>
    </row>
    <row r="39" ht="24" customHeight="1" spans="1:5">
      <c r="A39" s="256" t="s">
        <v>1649</v>
      </c>
      <c r="B39" s="284">
        <v>47</v>
      </c>
      <c r="C39" s="288">
        <v>47</v>
      </c>
      <c r="D39" s="108">
        <f t="shared" si="0"/>
        <v>0</v>
      </c>
      <c r="E39" s="289" t="str">
        <f t="shared" si="1"/>
        <v>是</v>
      </c>
    </row>
    <row r="40" ht="24" customHeight="1" spans="1:5">
      <c r="A40" s="256" t="s">
        <v>1650</v>
      </c>
      <c r="B40" s="284">
        <v>61</v>
      </c>
      <c r="C40" s="288">
        <v>60</v>
      </c>
      <c r="D40" s="108">
        <f t="shared" si="0"/>
        <v>-0.0163934426229508</v>
      </c>
      <c r="E40" s="289" t="str">
        <f t="shared" si="1"/>
        <v>是</v>
      </c>
    </row>
    <row r="41" ht="24" hidden="1" customHeight="1" spans="1:5">
      <c r="A41" s="256" t="s">
        <v>1651</v>
      </c>
      <c r="B41" s="285"/>
      <c r="C41" s="288"/>
      <c r="D41" s="108" t="str">
        <f t="shared" si="0"/>
        <v/>
      </c>
      <c r="E41" s="289" t="str">
        <f t="shared" si="1"/>
        <v>否</v>
      </c>
    </row>
    <row r="42" ht="18.75" spans="1:5">
      <c r="A42" s="255" t="s">
        <v>174</v>
      </c>
      <c r="B42" s="284">
        <f>SUM(B38:B41)</f>
        <v>3150</v>
      </c>
      <c r="C42" s="284">
        <f>SUM(C38:C41)</f>
        <v>3165</v>
      </c>
      <c r="D42" s="108">
        <f t="shared" si="0"/>
        <v>0.00476190476190476</v>
      </c>
      <c r="E42" s="289" t="str">
        <f t="shared" si="1"/>
        <v>是</v>
      </c>
    </row>
    <row r="43" spans="2:2">
      <c r="B43" s="275"/>
    </row>
    <row r="44" spans="2:3">
      <c r="B44" s="275"/>
      <c r="C44" s="275"/>
    </row>
    <row r="45" spans="2:2">
      <c r="B45" s="275"/>
    </row>
    <row r="46" spans="2:3">
      <c r="B46" s="275"/>
      <c r="C46" s="275"/>
    </row>
    <row r="47" spans="2:2">
      <c r="B47" s="275"/>
    </row>
    <row r="48" spans="2:2">
      <c r="B48" s="275"/>
    </row>
    <row r="49" spans="2:3">
      <c r="B49" s="275"/>
      <c r="C49" s="275"/>
    </row>
    <row r="50" spans="2:2">
      <c r="B50" s="275"/>
    </row>
    <row r="51" spans="2:2">
      <c r="B51" s="275"/>
    </row>
    <row r="52" spans="2:2">
      <c r="B52" s="275"/>
    </row>
    <row r="53" spans="2:2">
      <c r="B53" s="275"/>
    </row>
    <row r="54" spans="2:3">
      <c r="B54" s="275"/>
      <c r="C54" s="275"/>
    </row>
    <row r="55" spans="2:2">
      <c r="B55" s="275"/>
    </row>
  </sheetData>
  <autoFilter ref="A3:E42">
    <filterColumn colId="4">
      <customFilters>
        <customFilter operator="equal" val="是"/>
      </customFilters>
    </filterColumn>
    <extLst/>
  </autoFilter>
  <mergeCells count="1">
    <mergeCell ref="A1:D1"/>
  </mergeCells>
  <conditionalFormatting sqref="E3:E42">
    <cfRule type="cellIs" dxfId="3" priority="2" stopIfTrue="1" operator="lessThanOrEqual">
      <formula>-1</formula>
    </cfRule>
  </conditionalFormatting>
  <conditionalFormatting sqref="E4:E42">
    <cfRule type="cellIs" dxfId="3" priority="1" stopIfTrue="1" operator="lessThanOrEqual">
      <formula>-1</formula>
    </cfRule>
  </conditionalFormatting>
  <printOptions horizontalCentered="1"/>
  <pageMargins left="0.472222222222222" right="0.393055555555556" top="0.354166666666667" bottom="0.354166666666667" header="0.118055555555556" footer="0.314583333333333"/>
  <pageSetup paperSize="9" scale="75" orientation="portrait" horizontalDpi="600"/>
  <headerFooter alignWithMargins="0">
    <oddFooter>&amp;C&amp;16- &amp;P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0">
    <tabColor rgb="FF00B050"/>
    <pageSetUpPr fitToPage="1"/>
  </sheetPr>
  <dimension ref="A1:E41"/>
  <sheetViews>
    <sheetView showGridLines="0" showZeros="0" view="pageBreakPreview" zoomScale="80" zoomScaleNormal="100" workbookViewId="0">
      <pane ySplit="3" topLeftCell="A4" activePane="bottomLeft" state="frozen"/>
      <selection/>
      <selection pane="bottomLeft" activeCell="D22" sqref="D22"/>
    </sheetView>
  </sheetViews>
  <sheetFormatPr defaultColWidth="9" defaultRowHeight="14.25" outlineLevelCol="4"/>
  <cols>
    <col min="1" max="1" width="50.75" style="239" customWidth="1"/>
    <col min="2" max="2" width="20.6333333333333" style="239" customWidth="1"/>
    <col min="3" max="3" width="20.6333333333333" style="262" customWidth="1"/>
    <col min="4" max="4" width="18.9" style="239" customWidth="1"/>
    <col min="5" max="5" width="4.75" style="239" customWidth="1"/>
    <col min="6" max="16384" width="9" style="239"/>
  </cols>
  <sheetData>
    <row r="1" ht="45" customHeight="1" spans="1:5">
      <c r="A1" s="263" t="s">
        <v>74</v>
      </c>
      <c r="B1" s="263"/>
      <c r="C1" s="263"/>
      <c r="D1" s="263"/>
      <c r="E1" s="276"/>
    </row>
    <row r="2" ht="20.1" customHeight="1" spans="1:5">
      <c r="A2" s="264" t="s">
        <v>73</v>
      </c>
      <c r="B2" s="264"/>
      <c r="C2" s="264"/>
      <c r="D2" s="265" t="s">
        <v>103</v>
      </c>
      <c r="E2" s="277"/>
    </row>
    <row r="3" ht="45" customHeight="1" spans="1:5">
      <c r="A3" s="266" t="s">
        <v>105</v>
      </c>
      <c r="B3" s="104" t="s">
        <v>1753</v>
      </c>
      <c r="C3" s="104" t="s">
        <v>1754</v>
      </c>
      <c r="D3" s="104" t="s">
        <v>1755</v>
      </c>
      <c r="E3" s="278" t="s">
        <v>113</v>
      </c>
    </row>
    <row r="4" ht="35.1" customHeight="1" spans="1:5">
      <c r="A4" s="228" t="s">
        <v>1652</v>
      </c>
      <c r="B4" s="221">
        <f>SUM(B5:B10)</f>
        <v>271</v>
      </c>
      <c r="C4" s="221">
        <f>SUM(C5:C10)</f>
        <v>379</v>
      </c>
      <c r="D4" s="108">
        <f t="shared" ref="D4:D28" si="0">IFERROR((C4-B4)/B4,"")</f>
        <v>0.398523985239852</v>
      </c>
      <c r="E4" s="279" t="str">
        <f t="shared" ref="E4:E28" si="1">IF(A4&lt;&gt;"",IF(SUM(B4:C4)&lt;&gt;0,"是","否"),"是")</f>
        <v>是</v>
      </c>
    </row>
    <row r="5" ht="35.1" hidden="1" customHeight="1" spans="1:5">
      <c r="A5" s="230" t="s">
        <v>1653</v>
      </c>
      <c r="B5" s="267">
        <v>0</v>
      </c>
      <c r="C5" s="267"/>
      <c r="D5" s="108" t="str">
        <f t="shared" si="0"/>
        <v/>
      </c>
      <c r="E5" s="279" t="str">
        <f t="shared" si="1"/>
        <v>否</v>
      </c>
    </row>
    <row r="6" ht="35.1" hidden="1" customHeight="1" spans="1:5">
      <c r="A6" s="230" t="s">
        <v>1654</v>
      </c>
      <c r="B6" s="267">
        <v>0</v>
      </c>
      <c r="C6" s="267"/>
      <c r="D6" s="108" t="str">
        <f t="shared" si="0"/>
        <v/>
      </c>
      <c r="E6" s="279" t="str">
        <f t="shared" si="1"/>
        <v>否</v>
      </c>
    </row>
    <row r="7" ht="35.1" customHeight="1" spans="1:5">
      <c r="A7" s="230" t="s">
        <v>1655</v>
      </c>
      <c r="B7" s="267">
        <v>21</v>
      </c>
      <c r="C7" s="267">
        <v>107</v>
      </c>
      <c r="D7" s="114">
        <f t="shared" si="0"/>
        <v>4.09523809523809</v>
      </c>
      <c r="E7" s="279" t="str">
        <f t="shared" si="1"/>
        <v>是</v>
      </c>
    </row>
    <row r="8" ht="35.1" hidden="1" customHeight="1" spans="1:5">
      <c r="A8" s="230" t="s">
        <v>1656</v>
      </c>
      <c r="B8" s="267"/>
      <c r="C8" s="267"/>
      <c r="D8" s="108" t="str">
        <f t="shared" si="0"/>
        <v/>
      </c>
      <c r="E8" s="279" t="str">
        <f t="shared" si="1"/>
        <v>否</v>
      </c>
    </row>
    <row r="9" ht="35.1" hidden="1" customHeight="1" spans="1:5">
      <c r="A9" s="230" t="s">
        <v>1657</v>
      </c>
      <c r="B9" s="267"/>
      <c r="C9" s="267"/>
      <c r="D9" s="108" t="str">
        <f t="shared" si="0"/>
        <v/>
      </c>
      <c r="E9" s="279" t="str">
        <f t="shared" si="1"/>
        <v>否</v>
      </c>
    </row>
    <row r="10" ht="35.1" customHeight="1" spans="1:5">
      <c r="A10" s="230" t="s">
        <v>1658</v>
      </c>
      <c r="B10" s="267">
        <v>250</v>
      </c>
      <c r="C10" s="267">
        <v>272</v>
      </c>
      <c r="D10" s="114">
        <f t="shared" si="0"/>
        <v>0.088</v>
      </c>
      <c r="E10" s="279" t="str">
        <f t="shared" si="1"/>
        <v>是</v>
      </c>
    </row>
    <row r="11" ht="35.1" hidden="1" customHeight="1" spans="1:5">
      <c r="A11" s="228" t="s">
        <v>1659</v>
      </c>
      <c r="B11" s="221">
        <f>SUM(B12:B16)</f>
        <v>0</v>
      </c>
      <c r="C11" s="221">
        <f>SUM(C12:C16)</f>
        <v>0</v>
      </c>
      <c r="D11" s="108" t="str">
        <f t="shared" si="0"/>
        <v/>
      </c>
      <c r="E11" s="279" t="str">
        <f t="shared" si="1"/>
        <v>否</v>
      </c>
    </row>
    <row r="12" ht="35.1" hidden="1" customHeight="1" spans="1:5">
      <c r="A12" s="230" t="s">
        <v>1660</v>
      </c>
      <c r="B12" s="267">
        <v>0</v>
      </c>
      <c r="C12" s="267"/>
      <c r="D12" s="108" t="str">
        <f t="shared" si="0"/>
        <v/>
      </c>
      <c r="E12" s="279" t="str">
        <f t="shared" si="1"/>
        <v>否</v>
      </c>
    </row>
    <row r="13" ht="35.1" hidden="1" customHeight="1" spans="1:5">
      <c r="A13" s="230" t="s">
        <v>1661</v>
      </c>
      <c r="B13" s="267">
        <v>0</v>
      </c>
      <c r="C13" s="267"/>
      <c r="D13" s="108" t="str">
        <f t="shared" si="0"/>
        <v/>
      </c>
      <c r="E13" s="279" t="str">
        <f t="shared" si="1"/>
        <v>否</v>
      </c>
    </row>
    <row r="14" ht="35.1" hidden="1" customHeight="1" spans="1:5">
      <c r="A14" s="230" t="s">
        <v>1662</v>
      </c>
      <c r="B14" s="267">
        <v>0</v>
      </c>
      <c r="C14" s="267"/>
      <c r="D14" s="108" t="str">
        <f t="shared" si="0"/>
        <v/>
      </c>
      <c r="E14" s="279" t="str">
        <f t="shared" si="1"/>
        <v>否</v>
      </c>
    </row>
    <row r="15" ht="35.1" hidden="1" customHeight="1" spans="1:5">
      <c r="A15" s="230" t="s">
        <v>1663</v>
      </c>
      <c r="B15" s="267">
        <v>0</v>
      </c>
      <c r="C15" s="267"/>
      <c r="D15" s="108" t="str">
        <f t="shared" si="0"/>
        <v/>
      </c>
      <c r="E15" s="279" t="str">
        <f t="shared" si="1"/>
        <v>否</v>
      </c>
    </row>
    <row r="16" ht="35.1" hidden="1" customHeight="1" spans="1:5">
      <c r="A16" s="230" t="s">
        <v>1664</v>
      </c>
      <c r="B16" s="267"/>
      <c r="C16" s="267"/>
      <c r="D16" s="114" t="str">
        <f t="shared" si="0"/>
        <v/>
      </c>
      <c r="E16" s="279" t="str">
        <f t="shared" si="1"/>
        <v>否</v>
      </c>
    </row>
    <row r="17" s="261" customFormat="1" ht="35.1" hidden="1" customHeight="1" spans="1:5">
      <c r="A17" s="228" t="s">
        <v>1665</v>
      </c>
      <c r="B17" s="221">
        <f t="shared" ref="B17:B21" si="2">SUM(B18:B18)</f>
        <v>0</v>
      </c>
      <c r="C17" s="221">
        <f t="shared" ref="C17:C21" si="3">SUM(C18:C18)</f>
        <v>0</v>
      </c>
      <c r="D17" s="108" t="str">
        <f t="shared" si="0"/>
        <v/>
      </c>
      <c r="E17" s="279" t="str">
        <f t="shared" si="1"/>
        <v>否</v>
      </c>
    </row>
    <row r="18" ht="35.1" hidden="1" customHeight="1" spans="1:5">
      <c r="A18" s="230" t="s">
        <v>1666</v>
      </c>
      <c r="B18" s="267">
        <v>0</v>
      </c>
      <c r="C18" s="267"/>
      <c r="D18" s="108" t="str">
        <f t="shared" si="0"/>
        <v/>
      </c>
      <c r="E18" s="279" t="str">
        <f t="shared" si="1"/>
        <v>否</v>
      </c>
    </row>
    <row r="19" ht="35.1" hidden="1" customHeight="1" spans="1:5">
      <c r="A19" s="228" t="s">
        <v>1667</v>
      </c>
      <c r="B19" s="221">
        <f t="shared" si="2"/>
        <v>0</v>
      </c>
      <c r="C19" s="221">
        <f t="shared" si="3"/>
        <v>0</v>
      </c>
      <c r="D19" s="108" t="str">
        <f t="shared" si="0"/>
        <v/>
      </c>
      <c r="E19" s="279" t="str">
        <f t="shared" si="1"/>
        <v>否</v>
      </c>
    </row>
    <row r="20" ht="35.1" hidden="1" customHeight="1" spans="1:5">
      <c r="A20" s="268" t="s">
        <v>1668</v>
      </c>
      <c r="B20" s="267">
        <v>0</v>
      </c>
      <c r="C20" s="267"/>
      <c r="D20" s="108" t="str">
        <f t="shared" si="0"/>
        <v/>
      </c>
      <c r="E20" s="279" t="str">
        <f t="shared" si="1"/>
        <v>否</v>
      </c>
    </row>
    <row r="21" ht="35.1" customHeight="1" spans="1:5">
      <c r="A21" s="228" t="s">
        <v>1669</v>
      </c>
      <c r="B21" s="221">
        <f t="shared" si="2"/>
        <v>103</v>
      </c>
      <c r="C21" s="221">
        <f t="shared" si="3"/>
        <v>203</v>
      </c>
      <c r="D21" s="108">
        <f t="shared" si="0"/>
        <v>0.970873786407767</v>
      </c>
      <c r="E21" s="279" t="str">
        <f t="shared" si="1"/>
        <v>是</v>
      </c>
    </row>
    <row r="22" ht="35.1" customHeight="1" spans="1:5">
      <c r="A22" s="230" t="s">
        <v>1670</v>
      </c>
      <c r="B22" s="267">
        <v>103</v>
      </c>
      <c r="C22" s="267">
        <v>203</v>
      </c>
      <c r="D22" s="114">
        <f t="shared" si="0"/>
        <v>0.970873786407767</v>
      </c>
      <c r="E22" s="279" t="str">
        <f t="shared" si="1"/>
        <v>是</v>
      </c>
    </row>
    <row r="23" ht="35.1" customHeight="1" spans="1:5">
      <c r="A23" s="255" t="s">
        <v>1671</v>
      </c>
      <c r="B23" s="269">
        <f>SUM(B4,B11,B17,B19,B21)</f>
        <v>374</v>
      </c>
      <c r="C23" s="269">
        <f>SUM(C4,C11,C17,C19,C21)</f>
        <v>582</v>
      </c>
      <c r="D23" s="108">
        <f t="shared" si="0"/>
        <v>0.556149732620321</v>
      </c>
      <c r="E23" s="279" t="str">
        <f t="shared" si="1"/>
        <v>是</v>
      </c>
    </row>
    <row r="24" ht="35.1" customHeight="1" spans="1:5">
      <c r="A24" s="270" t="s">
        <v>201</v>
      </c>
      <c r="B24" s="269">
        <f>SUM(B25:B26)</f>
        <v>2716</v>
      </c>
      <c r="C24" s="269">
        <f>SUM(C25:C26)</f>
        <v>2583</v>
      </c>
      <c r="D24" s="108">
        <f t="shared" si="0"/>
        <v>-0.0489690721649485</v>
      </c>
      <c r="E24" s="279" t="str">
        <f t="shared" si="1"/>
        <v>是</v>
      </c>
    </row>
    <row r="25" ht="35.1" hidden="1" customHeight="1" spans="1:5">
      <c r="A25" s="271" t="s">
        <v>1672</v>
      </c>
      <c r="B25" s="267"/>
      <c r="C25" s="267">
        <v>0</v>
      </c>
      <c r="D25" s="108" t="str">
        <f t="shared" si="0"/>
        <v/>
      </c>
      <c r="E25" s="279" t="str">
        <f t="shared" si="1"/>
        <v>否</v>
      </c>
    </row>
    <row r="26" ht="35.1" customHeight="1" spans="1:5">
      <c r="A26" s="272" t="s">
        <v>1673</v>
      </c>
      <c r="B26" s="267">
        <v>2716</v>
      </c>
      <c r="C26" s="231">
        <v>2583</v>
      </c>
      <c r="D26" s="114">
        <f t="shared" si="0"/>
        <v>-0.0489690721649485</v>
      </c>
      <c r="E26" s="279" t="str">
        <f t="shared" si="1"/>
        <v>是</v>
      </c>
    </row>
    <row r="27" ht="35.1" customHeight="1" spans="1:5">
      <c r="A27" s="273" t="s">
        <v>1674</v>
      </c>
      <c r="B27" s="269">
        <v>60</v>
      </c>
      <c r="C27" s="229"/>
      <c r="D27" s="108">
        <f t="shared" si="0"/>
        <v>-1</v>
      </c>
      <c r="E27" s="279" t="str">
        <f t="shared" si="1"/>
        <v>是</v>
      </c>
    </row>
    <row r="28" ht="35.1" customHeight="1" spans="1:5">
      <c r="A28" s="232" t="s">
        <v>209</v>
      </c>
      <c r="B28" s="274">
        <f>SUM(B23:B24,B27)</f>
        <v>3150</v>
      </c>
      <c r="C28" s="274">
        <f>SUM(C23:C24,C27)</f>
        <v>3165</v>
      </c>
      <c r="D28" s="108">
        <f t="shared" si="0"/>
        <v>0.00476190476190476</v>
      </c>
      <c r="E28" s="279" t="str">
        <f t="shared" si="1"/>
        <v>是</v>
      </c>
    </row>
    <row r="29" spans="2:2">
      <c r="B29" s="259"/>
    </row>
    <row r="30" spans="2:3">
      <c r="B30" s="259"/>
      <c r="C30" s="275"/>
    </row>
    <row r="31" spans="2:2">
      <c r="B31" s="259"/>
    </row>
    <row r="32" spans="2:3">
      <c r="B32" s="259"/>
      <c r="C32" s="275"/>
    </row>
    <row r="33" spans="2:2">
      <c r="B33" s="259"/>
    </row>
    <row r="34" spans="2:2">
      <c r="B34" s="259"/>
    </row>
    <row r="35" spans="2:3">
      <c r="B35" s="259"/>
      <c r="C35" s="275"/>
    </row>
    <row r="36" spans="2:2">
      <c r="B36" s="259"/>
    </row>
    <row r="37" spans="2:2">
      <c r="B37" s="259"/>
    </row>
    <row r="38" spans="2:2">
      <c r="B38" s="259"/>
    </row>
    <row r="39" spans="2:2">
      <c r="B39" s="259"/>
    </row>
    <row r="40" spans="2:3">
      <c r="B40" s="259"/>
      <c r="C40" s="275"/>
    </row>
    <row r="41" spans="2:2">
      <c r="B41" s="259"/>
    </row>
  </sheetData>
  <autoFilter ref="A3:E28">
    <filterColumn colId="4">
      <customFilters>
        <customFilter operator="equal" val="是"/>
      </customFilters>
    </filterColumn>
    <extLst/>
  </autoFilter>
  <mergeCells count="1">
    <mergeCell ref="A1:D1"/>
  </mergeCells>
  <conditionalFormatting sqref="E29">
    <cfRule type="cellIs" dxfId="3" priority="1" stopIfTrue="1" operator="lessThanOrEqual">
      <formula>-1</formula>
    </cfRule>
  </conditionalFormatting>
  <conditionalFormatting sqref="E3:E29">
    <cfRule type="cellIs" dxfId="3" priority="2"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80" orientation="portrait"/>
  <headerFooter alignWithMargins="0">
    <oddFooter>&amp;C&amp;16- &amp;P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1">
    <tabColor rgb="FF00B050"/>
  </sheetPr>
  <dimension ref="A1:E47"/>
  <sheetViews>
    <sheetView showGridLines="0" showZeros="0" view="pageBreakPreview" zoomScale="80" zoomScaleNormal="100" workbookViewId="0">
      <pane ySplit="3" topLeftCell="A4" activePane="bottomLeft" state="frozen"/>
      <selection/>
      <selection pane="bottomLeft" activeCell="D31" sqref="D31"/>
    </sheetView>
  </sheetViews>
  <sheetFormatPr defaultColWidth="9" defaultRowHeight="20.25" outlineLevelCol="4"/>
  <cols>
    <col min="1" max="1" width="52.6333333333333" style="239" customWidth="1"/>
    <col min="2" max="2" width="20.6333333333333" style="239" customWidth="1"/>
    <col min="3" max="3" width="20.6333333333333" style="240" customWidth="1"/>
    <col min="4" max="4" width="20.6333333333333" style="239" customWidth="1"/>
    <col min="5" max="5" width="4.5" style="239" customWidth="1"/>
    <col min="6" max="16384" width="9" style="239"/>
  </cols>
  <sheetData>
    <row r="1" ht="45" customHeight="1" spans="1:4">
      <c r="A1" s="224" t="s">
        <v>76</v>
      </c>
      <c r="B1" s="224"/>
      <c r="C1" s="241"/>
      <c r="D1" s="224"/>
    </row>
    <row r="2" ht="20.1" customHeight="1" spans="1:4">
      <c r="A2" s="205" t="s">
        <v>75</v>
      </c>
      <c r="B2" s="205"/>
      <c r="C2" s="242"/>
      <c r="D2" s="243" t="s">
        <v>103</v>
      </c>
    </row>
    <row r="3" ht="37.5" spans="1:5">
      <c r="A3" s="244" t="s">
        <v>1613</v>
      </c>
      <c r="B3" s="104" t="s">
        <v>1753</v>
      </c>
      <c r="C3" s="245" t="s">
        <v>1754</v>
      </c>
      <c r="D3" s="104" t="s">
        <v>1755</v>
      </c>
      <c r="E3" s="239" t="s">
        <v>113</v>
      </c>
    </row>
    <row r="4" ht="24" hidden="1" customHeight="1" spans="1:5">
      <c r="A4" s="228" t="s">
        <v>1614</v>
      </c>
      <c r="B4" s="112">
        <f>SUM(B5:B20)</f>
        <v>0</v>
      </c>
      <c r="C4" s="112">
        <f>SUM(C5:C20)</f>
        <v>0</v>
      </c>
      <c r="D4" s="108" t="str">
        <f t="shared" ref="D4:D34" si="0">IFERROR((C4-B4)/B4,"")</f>
        <v/>
      </c>
      <c r="E4" s="196" t="str">
        <f t="shared" ref="E4:E34" si="1">IF(A4&lt;&gt;"",IF(SUM(B4:C4)&lt;&gt;0,"是","否"),"是")</f>
        <v>否</v>
      </c>
    </row>
    <row r="5" ht="24" hidden="1" customHeight="1" spans="1:5">
      <c r="A5" s="246" t="s">
        <v>1675</v>
      </c>
      <c r="B5" s="158">
        <v>0</v>
      </c>
      <c r="C5" s="247"/>
      <c r="D5" s="108" t="str">
        <f t="shared" si="0"/>
        <v/>
      </c>
      <c r="E5" s="196" t="str">
        <f t="shared" si="1"/>
        <v>否</v>
      </c>
    </row>
    <row r="6" ht="24" hidden="1" customHeight="1" spans="1:5">
      <c r="A6" s="248" t="s">
        <v>1676</v>
      </c>
      <c r="B6" s="158">
        <v>0</v>
      </c>
      <c r="C6" s="247"/>
      <c r="D6" s="108" t="str">
        <f t="shared" si="0"/>
        <v/>
      </c>
      <c r="E6" s="196" t="str">
        <f t="shared" si="1"/>
        <v>否</v>
      </c>
    </row>
    <row r="7" ht="24" hidden="1" customHeight="1" spans="1:5">
      <c r="A7" s="248" t="s">
        <v>1677</v>
      </c>
      <c r="B7" s="158">
        <v>0</v>
      </c>
      <c r="C7" s="247"/>
      <c r="D7" s="108" t="str">
        <f t="shared" si="0"/>
        <v/>
      </c>
      <c r="E7" s="196" t="str">
        <f t="shared" si="1"/>
        <v>否</v>
      </c>
    </row>
    <row r="8" ht="24" hidden="1" customHeight="1" spans="1:5">
      <c r="A8" s="248" t="s">
        <v>1678</v>
      </c>
      <c r="B8" s="158">
        <v>0</v>
      </c>
      <c r="C8" s="247"/>
      <c r="D8" s="108" t="str">
        <f t="shared" si="0"/>
        <v/>
      </c>
      <c r="E8" s="196" t="str">
        <f t="shared" si="1"/>
        <v>否</v>
      </c>
    </row>
    <row r="9" ht="24" hidden="1" customHeight="1" spans="1:5">
      <c r="A9" s="248" t="s">
        <v>1679</v>
      </c>
      <c r="B9" s="158">
        <v>0</v>
      </c>
      <c r="C9" s="247"/>
      <c r="D9" s="108" t="str">
        <f t="shared" si="0"/>
        <v/>
      </c>
      <c r="E9" s="196" t="str">
        <f t="shared" si="1"/>
        <v>否</v>
      </c>
    </row>
    <row r="10" ht="24" hidden="1" customHeight="1" spans="1:5">
      <c r="A10" s="248" t="s">
        <v>1680</v>
      </c>
      <c r="B10" s="158">
        <v>0</v>
      </c>
      <c r="C10" s="247"/>
      <c r="D10" s="108" t="str">
        <f t="shared" si="0"/>
        <v/>
      </c>
      <c r="E10" s="196" t="str">
        <f t="shared" si="1"/>
        <v>否</v>
      </c>
    </row>
    <row r="11" ht="24" hidden="1" customHeight="1" spans="1:5">
      <c r="A11" s="248" t="s">
        <v>1681</v>
      </c>
      <c r="B11" s="158">
        <v>0</v>
      </c>
      <c r="C11" s="249"/>
      <c r="D11" s="108" t="str">
        <f t="shared" si="0"/>
        <v/>
      </c>
      <c r="E11" s="196" t="str">
        <f t="shared" si="1"/>
        <v>否</v>
      </c>
    </row>
    <row r="12" ht="24" hidden="1" customHeight="1" spans="1:5">
      <c r="A12" s="248" t="s">
        <v>1682</v>
      </c>
      <c r="B12" s="158">
        <v>0</v>
      </c>
      <c r="C12" s="250"/>
      <c r="D12" s="108" t="str">
        <f t="shared" si="0"/>
        <v/>
      </c>
      <c r="E12" s="196" t="str">
        <f t="shared" si="1"/>
        <v>否</v>
      </c>
    </row>
    <row r="13" ht="24" hidden="1" customHeight="1" spans="1:5">
      <c r="A13" s="248" t="s">
        <v>1683</v>
      </c>
      <c r="B13" s="158">
        <v>0</v>
      </c>
      <c r="C13" s="247"/>
      <c r="D13" s="108" t="str">
        <f t="shared" si="0"/>
        <v/>
      </c>
      <c r="E13" s="196" t="str">
        <f t="shared" si="1"/>
        <v>否</v>
      </c>
    </row>
    <row r="14" ht="24" hidden="1" customHeight="1" spans="1:5">
      <c r="A14" s="246" t="s">
        <v>1684</v>
      </c>
      <c r="B14" s="158">
        <v>0</v>
      </c>
      <c r="C14" s="247"/>
      <c r="D14" s="108" t="str">
        <f t="shared" si="0"/>
        <v/>
      </c>
      <c r="E14" s="196" t="str">
        <f t="shared" si="1"/>
        <v>否</v>
      </c>
    </row>
    <row r="15" ht="24" hidden="1" customHeight="1" spans="1:5">
      <c r="A15" s="246" t="s">
        <v>1685</v>
      </c>
      <c r="B15" s="158">
        <v>0</v>
      </c>
      <c r="C15" s="249"/>
      <c r="D15" s="108" t="str">
        <f t="shared" si="0"/>
        <v/>
      </c>
      <c r="E15" s="196" t="str">
        <f t="shared" si="1"/>
        <v>否</v>
      </c>
    </row>
    <row r="16" ht="24" hidden="1" customHeight="1" spans="1:5">
      <c r="A16" s="248" t="s">
        <v>1686</v>
      </c>
      <c r="B16" s="158">
        <v>0</v>
      </c>
      <c r="C16" s="247"/>
      <c r="D16" s="108" t="str">
        <f t="shared" si="0"/>
        <v/>
      </c>
      <c r="E16" s="196" t="str">
        <f t="shared" si="1"/>
        <v>否</v>
      </c>
    </row>
    <row r="17" ht="24" hidden="1" customHeight="1" spans="1:5">
      <c r="A17" s="248" t="s">
        <v>1687</v>
      </c>
      <c r="B17" s="158">
        <v>0</v>
      </c>
      <c r="C17" s="247"/>
      <c r="D17" s="108" t="str">
        <f t="shared" si="0"/>
        <v/>
      </c>
      <c r="E17" s="196" t="str">
        <f t="shared" si="1"/>
        <v>否</v>
      </c>
    </row>
    <row r="18" ht="24" hidden="1" customHeight="1" spans="1:5">
      <c r="A18" s="248" t="s">
        <v>1688</v>
      </c>
      <c r="B18" s="158">
        <v>0</v>
      </c>
      <c r="C18" s="247"/>
      <c r="D18" s="108" t="str">
        <f t="shared" si="0"/>
        <v/>
      </c>
      <c r="E18" s="196" t="str">
        <f t="shared" si="1"/>
        <v>否</v>
      </c>
    </row>
    <row r="19" ht="24" hidden="1" customHeight="1" spans="1:5">
      <c r="A19" s="248" t="s">
        <v>1689</v>
      </c>
      <c r="B19" s="158">
        <v>0</v>
      </c>
      <c r="C19" s="247"/>
      <c r="D19" s="108" t="str">
        <f t="shared" si="0"/>
        <v/>
      </c>
      <c r="E19" s="196" t="str">
        <f t="shared" si="1"/>
        <v>否</v>
      </c>
    </row>
    <row r="20" ht="24" hidden="1" customHeight="1" spans="1:5">
      <c r="A20" s="248" t="s">
        <v>1690</v>
      </c>
      <c r="B20" s="158">
        <v>0</v>
      </c>
      <c r="C20" s="247"/>
      <c r="D20" s="108" t="str">
        <f t="shared" si="0"/>
        <v/>
      </c>
      <c r="E20" s="196" t="str">
        <f t="shared" si="1"/>
        <v>否</v>
      </c>
    </row>
    <row r="21" ht="24" customHeight="1" spans="1:5">
      <c r="A21" s="228" t="s">
        <v>1634</v>
      </c>
      <c r="B21" s="112">
        <f>SUM(B22:B23)</f>
        <v>3042</v>
      </c>
      <c r="C21" s="112">
        <f>SUM(C22:C23)</f>
        <v>3058</v>
      </c>
      <c r="D21" s="108">
        <f t="shared" si="0"/>
        <v>0.00525969756738988</v>
      </c>
      <c r="E21" s="196" t="str">
        <f t="shared" si="1"/>
        <v>是</v>
      </c>
    </row>
    <row r="22" ht="24" customHeight="1" spans="1:5">
      <c r="A22" s="248" t="s">
        <v>1691</v>
      </c>
      <c r="B22" s="158">
        <v>99</v>
      </c>
      <c r="C22" s="251">
        <v>100</v>
      </c>
      <c r="D22" s="114">
        <f t="shared" si="0"/>
        <v>0.0101010101010101</v>
      </c>
      <c r="E22" s="196" t="str">
        <f t="shared" si="1"/>
        <v>是</v>
      </c>
    </row>
    <row r="23" ht="24" customHeight="1" spans="1:5">
      <c r="A23" s="248" t="s">
        <v>1692</v>
      </c>
      <c r="B23" s="158">
        <v>2943</v>
      </c>
      <c r="C23" s="251">
        <v>2958</v>
      </c>
      <c r="D23" s="114">
        <f t="shared" si="0"/>
        <v>0.00509683995922528</v>
      </c>
      <c r="E23" s="196" t="str">
        <f t="shared" si="1"/>
        <v>是</v>
      </c>
    </row>
    <row r="24" ht="24" hidden="1" customHeight="1" spans="1:5">
      <c r="A24" s="228" t="s">
        <v>1639</v>
      </c>
      <c r="B24" s="112">
        <f>SUM(B25:B26)</f>
        <v>0</v>
      </c>
      <c r="C24" s="112">
        <f>SUM(C25:C26)</f>
        <v>0</v>
      </c>
      <c r="D24" s="108" t="str">
        <f t="shared" si="0"/>
        <v/>
      </c>
      <c r="E24" s="196" t="str">
        <f t="shared" si="1"/>
        <v>否</v>
      </c>
    </row>
    <row r="25" ht="24" hidden="1" customHeight="1" spans="1:5">
      <c r="A25" s="248" t="s">
        <v>1693</v>
      </c>
      <c r="B25" s="158">
        <v>0</v>
      </c>
      <c r="C25" s="252"/>
      <c r="D25" s="108" t="str">
        <f t="shared" si="0"/>
        <v/>
      </c>
      <c r="E25" s="196" t="str">
        <f t="shared" si="1"/>
        <v>否</v>
      </c>
    </row>
    <row r="26" ht="24" hidden="1" customHeight="1" spans="1:5">
      <c r="A26" s="248" t="s">
        <v>1694</v>
      </c>
      <c r="B26" s="158">
        <v>0</v>
      </c>
      <c r="C26" s="252"/>
      <c r="D26" s="108" t="str">
        <f t="shared" si="0"/>
        <v/>
      </c>
      <c r="E26" s="196" t="str">
        <f t="shared" si="1"/>
        <v>否</v>
      </c>
    </row>
    <row r="27" ht="24" hidden="1" customHeight="1" spans="1:5">
      <c r="A27" s="228" t="s">
        <v>1643</v>
      </c>
      <c r="B27" s="112">
        <f>SUM(B28:B28)</f>
        <v>0</v>
      </c>
      <c r="C27" s="112">
        <f>SUM(C28:C28)</f>
        <v>0</v>
      </c>
      <c r="D27" s="108" t="str">
        <f t="shared" si="0"/>
        <v/>
      </c>
      <c r="E27" s="196" t="str">
        <f t="shared" si="1"/>
        <v>否</v>
      </c>
    </row>
    <row r="28" ht="24" hidden="1" customHeight="1" spans="1:5">
      <c r="A28" s="248" t="s">
        <v>1695</v>
      </c>
      <c r="B28" s="158">
        <v>0</v>
      </c>
      <c r="C28" s="253"/>
      <c r="D28" s="108" t="str">
        <f t="shared" si="0"/>
        <v/>
      </c>
      <c r="E28" s="196" t="str">
        <f t="shared" si="1"/>
        <v>否</v>
      </c>
    </row>
    <row r="29" ht="24" hidden="1" customHeight="1" spans="1:5">
      <c r="A29" s="228" t="s">
        <v>1647</v>
      </c>
      <c r="B29" s="158">
        <v>0</v>
      </c>
      <c r="C29" s="254"/>
      <c r="D29" s="108" t="str">
        <f t="shared" si="0"/>
        <v/>
      </c>
      <c r="E29" s="196" t="str">
        <f t="shared" si="1"/>
        <v>否</v>
      </c>
    </row>
    <row r="30" ht="24" customHeight="1" spans="1:5">
      <c r="A30" s="255" t="s">
        <v>1696</v>
      </c>
      <c r="B30" s="112">
        <f>SUM(B4,B21,B24,B27,B29)</f>
        <v>3042</v>
      </c>
      <c r="C30" s="112">
        <f>SUM(C4,C21,C24,C27,C29)</f>
        <v>3058</v>
      </c>
      <c r="D30" s="108">
        <f t="shared" si="0"/>
        <v>0.00525969756738988</v>
      </c>
      <c r="E30" s="196" t="str">
        <f t="shared" si="1"/>
        <v>是</v>
      </c>
    </row>
    <row r="31" ht="24" customHeight="1" spans="1:5">
      <c r="A31" s="256" t="s">
        <v>1649</v>
      </c>
      <c r="B31" s="112">
        <v>47</v>
      </c>
      <c r="C31" s="257">
        <v>47</v>
      </c>
      <c r="D31" s="108">
        <f t="shared" si="0"/>
        <v>0</v>
      </c>
      <c r="E31" s="196" t="str">
        <f t="shared" si="1"/>
        <v>是</v>
      </c>
    </row>
    <row r="32" ht="24" hidden="1" customHeight="1" spans="1:5">
      <c r="A32" s="256" t="s">
        <v>1650</v>
      </c>
      <c r="B32" s="158">
        <v>0</v>
      </c>
      <c r="C32" s="257"/>
      <c r="D32" s="108" t="str">
        <f t="shared" si="0"/>
        <v/>
      </c>
      <c r="E32" s="196" t="str">
        <f t="shared" si="1"/>
        <v>否</v>
      </c>
    </row>
    <row r="33" ht="24" hidden="1" customHeight="1" spans="1:5">
      <c r="A33" s="256" t="s">
        <v>1651</v>
      </c>
      <c r="B33" s="158">
        <v>0</v>
      </c>
      <c r="C33" s="258"/>
      <c r="D33" s="108" t="str">
        <f t="shared" si="0"/>
        <v/>
      </c>
      <c r="E33" s="196" t="str">
        <f t="shared" si="1"/>
        <v>否</v>
      </c>
    </row>
    <row r="34" ht="24" customHeight="1" spans="1:5">
      <c r="A34" s="232" t="s">
        <v>174</v>
      </c>
      <c r="B34" s="112">
        <f>SUM(B30:B33)</f>
        <v>3089</v>
      </c>
      <c r="C34" s="112">
        <f>SUM(C30:C33)</f>
        <v>3105</v>
      </c>
      <c r="D34" s="108">
        <f t="shared" si="0"/>
        <v>0.0051796697960505</v>
      </c>
      <c r="E34" s="196" t="str">
        <f t="shared" si="1"/>
        <v>是</v>
      </c>
    </row>
    <row r="35" ht="24" customHeight="1" spans="2:2">
      <c r="B35" s="259"/>
    </row>
    <row r="36" spans="2:2">
      <c r="B36" s="260"/>
    </row>
    <row r="37" spans="2:2">
      <c r="B37" s="259"/>
    </row>
    <row r="38" spans="2:2">
      <c r="B38" s="260"/>
    </row>
    <row r="39" spans="2:2">
      <c r="B39" s="259"/>
    </row>
    <row r="40" spans="2:2">
      <c r="B40" s="259"/>
    </row>
    <row r="41" spans="2:2">
      <c r="B41" s="260"/>
    </row>
    <row r="42" spans="2:2">
      <c r="B42" s="259"/>
    </row>
    <row r="43" spans="2:2">
      <c r="B43" s="259"/>
    </row>
    <row r="44" spans="2:2">
      <c r="B44" s="259"/>
    </row>
    <row r="45" spans="2:2">
      <c r="B45" s="259"/>
    </row>
    <row r="46" spans="2:2">
      <c r="B46" s="260"/>
    </row>
    <row r="47" spans="2:2">
      <c r="B47" s="259"/>
    </row>
  </sheetData>
  <autoFilter ref="A3:E34">
    <filterColumn colId="4">
      <customFilters>
        <customFilter operator="equal" val="是"/>
      </customFilters>
    </filterColumn>
    <extLst/>
  </autoFilter>
  <mergeCells count="1">
    <mergeCell ref="A1:D1"/>
  </mergeCells>
  <conditionalFormatting sqref="E3:E34">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2">
    <tabColor rgb="FF00B050"/>
  </sheetPr>
  <dimension ref="A1:E32"/>
  <sheetViews>
    <sheetView showGridLines="0" showZeros="0" view="pageBreakPreview" zoomScale="80" zoomScaleNormal="100" workbookViewId="0">
      <pane ySplit="3" topLeftCell="A4" activePane="bottomLeft" state="frozen"/>
      <selection/>
      <selection pane="bottomLeft" activeCell="D17" sqref="D17"/>
    </sheetView>
  </sheetViews>
  <sheetFormatPr defaultColWidth="9" defaultRowHeight="13.5" outlineLevelCol="4"/>
  <cols>
    <col min="1" max="1" width="50.75" style="202" customWidth="1"/>
    <col min="2" max="3" width="20.6333333333333" style="202" customWidth="1"/>
    <col min="4" max="4" width="18.4333333333333" style="202" customWidth="1"/>
    <col min="5" max="5" width="5.38333333333333" style="202" customWidth="1"/>
    <col min="6" max="16384" width="9" style="202"/>
  </cols>
  <sheetData>
    <row r="1" ht="45" customHeight="1" spans="1:4">
      <c r="A1" s="224" t="s">
        <v>78</v>
      </c>
      <c r="B1" s="224"/>
      <c r="C1" s="224"/>
      <c r="D1" s="224"/>
    </row>
    <row r="2" ht="20.1" customHeight="1" spans="1:4">
      <c r="A2" s="205" t="s">
        <v>77</v>
      </c>
      <c r="B2" s="205"/>
      <c r="C2" s="225"/>
      <c r="D2" s="226" t="s">
        <v>103</v>
      </c>
    </row>
    <row r="3" ht="45" customHeight="1" spans="1:5">
      <c r="A3" s="227" t="s">
        <v>1697</v>
      </c>
      <c r="B3" s="104" t="s">
        <v>1753</v>
      </c>
      <c r="C3" s="104" t="s">
        <v>1754</v>
      </c>
      <c r="D3" s="104" t="s">
        <v>1755</v>
      </c>
      <c r="E3" s="202" t="s">
        <v>113</v>
      </c>
    </row>
    <row r="4" ht="36" customHeight="1" spans="1:5">
      <c r="A4" s="228" t="s">
        <v>1652</v>
      </c>
      <c r="B4" s="229">
        <f>SUM(B5:B6)</f>
        <v>223</v>
      </c>
      <c r="C4" s="229">
        <f>SUM(C5:C6)</f>
        <v>245</v>
      </c>
      <c r="D4" s="108">
        <f t="shared" ref="D4:D19" si="0">IFERROR((C4-B4)/B4,"")</f>
        <v>0.0986547085201794</v>
      </c>
      <c r="E4" s="196" t="str">
        <f t="shared" ref="E4:E19" si="1">IF(A4&lt;&gt;"",IF(SUM(B4:C4)&lt;&gt;0,"是","否"),"是")</f>
        <v>是</v>
      </c>
    </row>
    <row r="5" ht="36" hidden="1" customHeight="1" spans="1:5">
      <c r="A5" s="230" t="s">
        <v>1698</v>
      </c>
      <c r="B5" s="231"/>
      <c r="C5" s="231"/>
      <c r="D5" s="108" t="str">
        <f t="shared" si="0"/>
        <v/>
      </c>
      <c r="E5" s="196" t="str">
        <f t="shared" si="1"/>
        <v>否</v>
      </c>
    </row>
    <row r="6" ht="36" customHeight="1" spans="1:5">
      <c r="A6" s="230" t="s">
        <v>1658</v>
      </c>
      <c r="B6" s="231">
        <v>223</v>
      </c>
      <c r="C6" s="231">
        <v>245</v>
      </c>
      <c r="D6" s="114">
        <f t="shared" si="0"/>
        <v>0.0986547085201794</v>
      </c>
      <c r="E6" s="196" t="str">
        <f t="shared" si="1"/>
        <v>是</v>
      </c>
    </row>
    <row r="7" ht="36" hidden="1" customHeight="1" spans="1:5">
      <c r="A7" s="228" t="s">
        <v>1659</v>
      </c>
      <c r="B7" s="229">
        <f>SUM(B8:B9)</f>
        <v>0</v>
      </c>
      <c r="C7" s="229">
        <f>SUM(C8:C9)</f>
        <v>0</v>
      </c>
      <c r="D7" s="108" t="str">
        <f t="shared" si="0"/>
        <v/>
      </c>
      <c r="E7" s="196" t="str">
        <f t="shared" si="1"/>
        <v>否</v>
      </c>
    </row>
    <row r="8" ht="36" hidden="1" customHeight="1" spans="1:5">
      <c r="A8" s="230" t="s">
        <v>1660</v>
      </c>
      <c r="B8" s="231"/>
      <c r="C8" s="231"/>
      <c r="D8" s="108" t="str">
        <f t="shared" si="0"/>
        <v/>
      </c>
      <c r="E8" s="196" t="str">
        <f t="shared" si="1"/>
        <v>否</v>
      </c>
    </row>
    <row r="9" ht="36" hidden="1" customHeight="1" spans="1:5">
      <c r="A9" s="230" t="s">
        <v>1664</v>
      </c>
      <c r="B9" s="231"/>
      <c r="C9" s="231"/>
      <c r="D9" s="114" t="str">
        <f t="shared" si="0"/>
        <v/>
      </c>
      <c r="E9" s="196" t="str">
        <f t="shared" si="1"/>
        <v>否</v>
      </c>
    </row>
    <row r="10" ht="36" hidden="1" customHeight="1" spans="1:5">
      <c r="A10" s="228" t="s">
        <v>1665</v>
      </c>
      <c r="B10" s="229">
        <f>B11</f>
        <v>0</v>
      </c>
      <c r="C10" s="229">
        <f>C11</f>
        <v>0</v>
      </c>
      <c r="D10" s="108" t="str">
        <f t="shared" si="0"/>
        <v/>
      </c>
      <c r="E10" s="196" t="str">
        <f t="shared" si="1"/>
        <v>否</v>
      </c>
    </row>
    <row r="11" ht="36" hidden="1" customHeight="1" spans="1:5">
      <c r="A11" s="230" t="s">
        <v>1666</v>
      </c>
      <c r="B11" s="231">
        <v>0</v>
      </c>
      <c r="C11" s="231"/>
      <c r="D11" s="108" t="str">
        <f t="shared" si="0"/>
        <v/>
      </c>
      <c r="E11" s="196" t="str">
        <f t="shared" si="1"/>
        <v>否</v>
      </c>
    </row>
    <row r="12" ht="36" customHeight="1" spans="1:5">
      <c r="A12" s="228" t="s">
        <v>1669</v>
      </c>
      <c r="B12" s="229">
        <f>B13</f>
        <v>103</v>
      </c>
      <c r="C12" s="229">
        <f>C13</f>
        <v>203</v>
      </c>
      <c r="D12" s="108">
        <f t="shared" si="0"/>
        <v>0.970873786407767</v>
      </c>
      <c r="E12" s="196" t="str">
        <f t="shared" si="1"/>
        <v>是</v>
      </c>
    </row>
    <row r="13" ht="36" customHeight="1" spans="1:5">
      <c r="A13" s="230" t="s">
        <v>1670</v>
      </c>
      <c r="B13" s="231">
        <v>103</v>
      </c>
      <c r="C13" s="231">
        <v>203</v>
      </c>
      <c r="D13" s="114">
        <f t="shared" si="0"/>
        <v>0.970873786407767</v>
      </c>
      <c r="E13" s="196" t="str">
        <f t="shared" si="1"/>
        <v>是</v>
      </c>
    </row>
    <row r="14" ht="36" customHeight="1" spans="1:5">
      <c r="A14" s="232" t="s">
        <v>1699</v>
      </c>
      <c r="B14" s="229">
        <f>B4+B7+B10+B12</f>
        <v>326</v>
      </c>
      <c r="C14" s="229">
        <f>C4+C7+C10+C12</f>
        <v>448</v>
      </c>
      <c r="D14" s="108">
        <f t="shared" si="0"/>
        <v>0.374233128834356</v>
      </c>
      <c r="E14" s="196" t="str">
        <f t="shared" si="1"/>
        <v>是</v>
      </c>
    </row>
    <row r="15" ht="36" customHeight="1" spans="1:5">
      <c r="A15" s="233" t="s">
        <v>201</v>
      </c>
      <c r="B15" s="229">
        <f>SUM(B16:B17)</f>
        <v>2763</v>
      </c>
      <c r="C15" s="229">
        <f>SUM(C16:C17)</f>
        <v>2657</v>
      </c>
      <c r="D15" s="108">
        <f t="shared" si="0"/>
        <v>-0.0383640969960188</v>
      </c>
      <c r="E15" s="196" t="str">
        <f t="shared" si="1"/>
        <v>是</v>
      </c>
    </row>
    <row r="16" ht="36" customHeight="1" spans="1:5">
      <c r="A16" s="234" t="s">
        <v>1672</v>
      </c>
      <c r="B16" s="231">
        <v>74</v>
      </c>
      <c r="C16" s="231">
        <v>74</v>
      </c>
      <c r="D16" s="114">
        <f t="shared" si="0"/>
        <v>0</v>
      </c>
      <c r="E16" s="196" t="str">
        <f t="shared" si="1"/>
        <v>是</v>
      </c>
    </row>
    <row r="17" ht="36" customHeight="1" spans="1:5">
      <c r="A17" s="234" t="s">
        <v>1700</v>
      </c>
      <c r="B17" s="231">
        <v>2689</v>
      </c>
      <c r="C17" s="235">
        <v>2583</v>
      </c>
      <c r="D17" s="114">
        <f t="shared" si="0"/>
        <v>-0.0394198586835255</v>
      </c>
      <c r="E17" s="196" t="str">
        <f t="shared" si="1"/>
        <v>是</v>
      </c>
    </row>
    <row r="18" ht="36" hidden="1" customHeight="1" spans="1:5">
      <c r="A18" s="236" t="s">
        <v>1674</v>
      </c>
      <c r="B18" s="229"/>
      <c r="C18" s="229"/>
      <c r="D18" s="108" t="str">
        <f t="shared" si="0"/>
        <v/>
      </c>
      <c r="E18" s="196" t="str">
        <f t="shared" si="1"/>
        <v>否</v>
      </c>
    </row>
    <row r="19" ht="36" customHeight="1" spans="1:5">
      <c r="A19" s="232" t="s">
        <v>209</v>
      </c>
      <c r="B19" s="229">
        <f>B14+B15+B18</f>
        <v>3089</v>
      </c>
      <c r="C19" s="229">
        <f>C14+C15+C18</f>
        <v>3105</v>
      </c>
      <c r="D19" s="108">
        <f t="shared" si="0"/>
        <v>0.0051796697960505</v>
      </c>
      <c r="E19" s="196" t="str">
        <f t="shared" si="1"/>
        <v>是</v>
      </c>
    </row>
    <row r="20" ht="36" customHeight="1" spans="2:2">
      <c r="B20" s="237"/>
    </row>
    <row r="21" ht="36" customHeight="1" spans="2:3">
      <c r="B21" s="238"/>
      <c r="C21" s="238"/>
    </row>
    <row r="22" spans="2:2">
      <c r="B22" s="237"/>
    </row>
    <row r="23" spans="2:3">
      <c r="B23" s="238"/>
      <c r="C23" s="238"/>
    </row>
    <row r="24" spans="2:2">
      <c r="B24" s="237"/>
    </row>
    <row r="25" spans="2:2">
      <c r="B25" s="237"/>
    </row>
    <row r="26" spans="2:3">
      <c r="B26" s="238"/>
      <c r="C26" s="238"/>
    </row>
    <row r="27" spans="2:2">
      <c r="B27" s="237"/>
    </row>
    <row r="28" spans="2:2">
      <c r="B28" s="237"/>
    </row>
    <row r="29" spans="2:2">
      <c r="B29" s="237"/>
    </row>
    <row r="30" spans="2:2">
      <c r="B30" s="237"/>
    </row>
    <row r="31" spans="2:3">
      <c r="B31" s="238"/>
      <c r="C31" s="238"/>
    </row>
    <row r="32" spans="2:2">
      <c r="B32" s="237"/>
    </row>
  </sheetData>
  <autoFilter ref="A3:E19">
    <filterColumn colId="4">
      <customFilters>
        <customFilter operator="equal" val="是"/>
      </customFilters>
    </filterColumn>
    <extLst/>
  </autoFilter>
  <mergeCells count="1">
    <mergeCell ref="A1:D1"/>
  </mergeCells>
  <conditionalFormatting sqref="E3:E19">
    <cfRule type="cellIs" dxfId="3" priority="2" stopIfTrue="1" operator="lessThanOrEqual">
      <formula>-1</formula>
    </cfRule>
  </conditionalFormatting>
  <conditionalFormatting sqref="E4:E19">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3">
    <tabColor rgb="FF00B050"/>
  </sheetPr>
  <dimension ref="A1:XEY18"/>
  <sheetViews>
    <sheetView showGridLines="0" view="pageBreakPreview" zoomScaleNormal="100" workbookViewId="0">
      <selection activeCell="I7" sqref="I7"/>
    </sheetView>
  </sheetViews>
  <sheetFormatPr defaultColWidth="8" defaultRowHeight="13.5"/>
  <cols>
    <col min="1" max="1" width="12.1333333333333" style="199" customWidth="1"/>
    <col min="2" max="2" width="65.1333333333333" style="200" customWidth="1"/>
    <col min="3" max="3" width="24.1333333333333" style="201" customWidth="1"/>
    <col min="4" max="16379" width="8" style="199"/>
    <col min="16380" max="16384" width="8" style="202"/>
  </cols>
  <sheetData>
    <row r="1" s="197" customFormat="1" ht="45" customHeight="1" spans="1:3">
      <c r="A1" s="203" t="s">
        <v>80</v>
      </c>
      <c r="B1" s="204"/>
      <c r="C1" s="203"/>
    </row>
    <row r="2" s="197" customFormat="1" ht="17.1" customHeight="1" spans="1:3">
      <c r="A2" s="205" t="s">
        <v>79</v>
      </c>
      <c r="B2" s="206"/>
      <c r="C2" s="207" t="s">
        <v>103</v>
      </c>
    </row>
    <row r="3" s="197" customFormat="1" ht="45" customHeight="1" spans="1:3">
      <c r="A3" s="208" t="s">
        <v>1237</v>
      </c>
      <c r="B3" s="209" t="s">
        <v>1701</v>
      </c>
      <c r="C3" s="210" t="s">
        <v>1754</v>
      </c>
    </row>
    <row r="4" s="197" customFormat="1" ht="36" customHeight="1" spans="1:3">
      <c r="A4" s="211" t="s">
        <v>1919</v>
      </c>
      <c r="B4" s="211"/>
      <c r="C4" s="212">
        <f>SUM(C5:C6)</f>
        <v>245</v>
      </c>
    </row>
    <row r="5" s="197" customFormat="1" ht="36" customHeight="1" spans="1:3">
      <c r="A5" s="213">
        <v>1</v>
      </c>
      <c r="B5" s="214" t="s">
        <v>1920</v>
      </c>
      <c r="C5" s="215">
        <v>45</v>
      </c>
    </row>
    <row r="6" s="197" customFormat="1" ht="36" customHeight="1" spans="1:3">
      <c r="A6" s="213">
        <v>2</v>
      </c>
      <c r="B6" s="214" t="s">
        <v>1921</v>
      </c>
      <c r="C6" s="215">
        <v>200</v>
      </c>
    </row>
    <row r="7" s="197" customFormat="1" ht="36" customHeight="1" spans="1:3">
      <c r="A7" s="211" t="s">
        <v>1922</v>
      </c>
      <c r="B7" s="211"/>
      <c r="C7" s="212">
        <f>SUM(C8:C8)</f>
        <v>203</v>
      </c>
    </row>
    <row r="8" s="197" customFormat="1" ht="36" customHeight="1" spans="1:3">
      <c r="A8" s="213">
        <v>1</v>
      </c>
      <c r="B8" s="214" t="s">
        <v>1923</v>
      </c>
      <c r="C8" s="215">
        <v>203</v>
      </c>
    </row>
    <row r="9" s="197" customFormat="1" ht="36" customHeight="1" spans="1:3">
      <c r="A9" s="216" t="s">
        <v>1924</v>
      </c>
      <c r="B9" s="216"/>
      <c r="C9" s="212">
        <f>C4+C7</f>
        <v>448</v>
      </c>
    </row>
    <row r="10" s="197" customFormat="1" ht="36" customHeight="1" spans="1:3">
      <c r="A10" s="217" t="s">
        <v>1925</v>
      </c>
      <c r="B10" s="218"/>
      <c r="C10" s="212">
        <f>SUM(C11:C12)</f>
        <v>74</v>
      </c>
    </row>
    <row r="11" s="197" customFormat="1" ht="36" customHeight="1" spans="1:3">
      <c r="A11" s="213">
        <v>1</v>
      </c>
      <c r="B11" s="214" t="s">
        <v>1926</v>
      </c>
      <c r="C11" s="215">
        <v>47</v>
      </c>
    </row>
    <row r="12" s="197" customFormat="1" ht="36" customHeight="1" spans="1:3">
      <c r="A12" s="213">
        <v>2</v>
      </c>
      <c r="B12" s="214" t="s">
        <v>1927</v>
      </c>
      <c r="C12" s="215">
        <v>27</v>
      </c>
    </row>
    <row r="13" s="198" customFormat="1" ht="36" customHeight="1" spans="1:16379">
      <c r="A13" s="219" t="s">
        <v>1700</v>
      </c>
      <c r="B13" s="220"/>
      <c r="C13" s="221">
        <v>2583</v>
      </c>
      <c r="D13" s="222"/>
      <c r="E13" s="222"/>
      <c r="F13" s="222"/>
      <c r="G13" s="222"/>
      <c r="H13" s="222"/>
      <c r="I13" s="222"/>
      <c r="J13" s="222"/>
      <c r="K13" s="222"/>
      <c r="L13" s="222"/>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c r="CY13" s="222"/>
      <c r="CZ13" s="222"/>
      <c r="DA13" s="222"/>
      <c r="DB13" s="222"/>
      <c r="DC13" s="222"/>
      <c r="DD13" s="222"/>
      <c r="DE13" s="222"/>
      <c r="DF13" s="222"/>
      <c r="DG13" s="222"/>
      <c r="DH13" s="222"/>
      <c r="DI13" s="222"/>
      <c r="DJ13" s="222"/>
      <c r="DK13" s="222"/>
      <c r="DL13" s="222"/>
      <c r="DM13" s="222"/>
      <c r="DN13" s="222"/>
      <c r="DO13" s="222"/>
      <c r="DP13" s="222"/>
      <c r="DQ13" s="222"/>
      <c r="DR13" s="222"/>
      <c r="DS13" s="222"/>
      <c r="DT13" s="222"/>
      <c r="DU13" s="222"/>
      <c r="DV13" s="222"/>
      <c r="DW13" s="222"/>
      <c r="DX13" s="222"/>
      <c r="DY13" s="222"/>
      <c r="DZ13" s="222"/>
      <c r="EA13" s="222"/>
      <c r="EB13" s="222"/>
      <c r="EC13" s="222"/>
      <c r="ED13" s="222"/>
      <c r="EE13" s="222"/>
      <c r="EF13" s="222"/>
      <c r="EG13" s="222"/>
      <c r="EH13" s="222"/>
      <c r="EI13" s="222"/>
      <c r="EJ13" s="222"/>
      <c r="EK13" s="222"/>
      <c r="EL13" s="222"/>
      <c r="EM13" s="222"/>
      <c r="EN13" s="222"/>
      <c r="EO13" s="222"/>
      <c r="EP13" s="222"/>
      <c r="EQ13" s="222"/>
      <c r="ER13" s="222"/>
      <c r="ES13" s="222"/>
      <c r="ET13" s="222"/>
      <c r="EU13" s="222"/>
      <c r="EV13" s="222"/>
      <c r="EW13" s="222"/>
      <c r="EX13" s="222"/>
      <c r="EY13" s="222"/>
      <c r="EZ13" s="222"/>
      <c r="FA13" s="222"/>
      <c r="FB13" s="222"/>
      <c r="FC13" s="222"/>
      <c r="FD13" s="222"/>
      <c r="FE13" s="222"/>
      <c r="FF13" s="222"/>
      <c r="FG13" s="222"/>
      <c r="FH13" s="222"/>
      <c r="FI13" s="222"/>
      <c r="FJ13" s="222"/>
      <c r="FK13" s="222"/>
      <c r="FL13" s="222"/>
      <c r="FM13" s="222"/>
      <c r="FN13" s="222"/>
      <c r="FO13" s="222"/>
      <c r="FP13" s="222"/>
      <c r="FQ13" s="222"/>
      <c r="FR13" s="222"/>
      <c r="FS13" s="222"/>
      <c r="FT13" s="222"/>
      <c r="FU13" s="222"/>
      <c r="FV13" s="222"/>
      <c r="FW13" s="222"/>
      <c r="FX13" s="222"/>
      <c r="FY13" s="222"/>
      <c r="FZ13" s="222"/>
      <c r="GA13" s="222"/>
      <c r="GB13" s="222"/>
      <c r="GC13" s="222"/>
      <c r="GD13" s="222"/>
      <c r="GE13" s="222"/>
      <c r="GF13" s="222"/>
      <c r="GG13" s="222"/>
      <c r="GH13" s="222"/>
      <c r="GI13" s="222"/>
      <c r="GJ13" s="222"/>
      <c r="GK13" s="222"/>
      <c r="GL13" s="222"/>
      <c r="GM13" s="222"/>
      <c r="GN13" s="222"/>
      <c r="GO13" s="222"/>
      <c r="GP13" s="222"/>
      <c r="GQ13" s="222"/>
      <c r="GR13" s="222"/>
      <c r="GS13" s="222"/>
      <c r="GT13" s="222"/>
      <c r="GU13" s="222"/>
      <c r="GV13" s="222"/>
      <c r="GW13" s="222"/>
      <c r="GX13" s="222"/>
      <c r="GY13" s="222"/>
      <c r="GZ13" s="222"/>
      <c r="HA13" s="222"/>
      <c r="HB13" s="222"/>
      <c r="HC13" s="222"/>
      <c r="HD13" s="222"/>
      <c r="HE13" s="222"/>
      <c r="HF13" s="222"/>
      <c r="HG13" s="222"/>
      <c r="HH13" s="222"/>
      <c r="HI13" s="222"/>
      <c r="HJ13" s="222"/>
      <c r="HK13" s="222"/>
      <c r="HL13" s="222"/>
      <c r="HM13" s="222"/>
      <c r="HN13" s="222"/>
      <c r="HO13" s="222"/>
      <c r="HP13" s="222"/>
      <c r="HQ13" s="222"/>
      <c r="HR13" s="222"/>
      <c r="HS13" s="222"/>
      <c r="HT13" s="222"/>
      <c r="HU13" s="222"/>
      <c r="HV13" s="222"/>
      <c r="HW13" s="222"/>
      <c r="HX13" s="222"/>
      <c r="HY13" s="222"/>
      <c r="HZ13" s="222"/>
      <c r="IA13" s="222"/>
      <c r="IB13" s="222"/>
      <c r="IC13" s="222"/>
      <c r="ID13" s="222"/>
      <c r="IE13" s="222"/>
      <c r="IF13" s="222"/>
      <c r="IG13" s="222"/>
      <c r="IH13" s="222"/>
      <c r="II13" s="222"/>
      <c r="IJ13" s="222"/>
      <c r="IK13" s="222"/>
      <c r="IL13" s="222"/>
      <c r="IM13" s="222"/>
      <c r="IN13" s="222"/>
      <c r="IO13" s="222"/>
      <c r="IP13" s="222"/>
      <c r="IQ13" s="222"/>
      <c r="IR13" s="222"/>
      <c r="IS13" s="222"/>
      <c r="IT13" s="222"/>
      <c r="IU13" s="222"/>
      <c r="IV13" s="222"/>
      <c r="IW13" s="222"/>
      <c r="IX13" s="222"/>
      <c r="IY13" s="222"/>
      <c r="IZ13" s="222"/>
      <c r="JA13" s="222"/>
      <c r="JB13" s="222"/>
      <c r="JC13" s="222"/>
      <c r="JD13" s="222"/>
      <c r="JE13" s="222"/>
      <c r="JF13" s="222"/>
      <c r="JG13" s="222"/>
      <c r="JH13" s="222"/>
      <c r="JI13" s="222"/>
      <c r="JJ13" s="222"/>
      <c r="JK13" s="222"/>
      <c r="JL13" s="222"/>
      <c r="JM13" s="222"/>
      <c r="JN13" s="222"/>
      <c r="JO13" s="222"/>
      <c r="JP13" s="222"/>
      <c r="JQ13" s="222"/>
      <c r="JR13" s="222"/>
      <c r="JS13" s="222"/>
      <c r="JT13" s="222"/>
      <c r="JU13" s="222"/>
      <c r="JV13" s="222"/>
      <c r="JW13" s="222"/>
      <c r="JX13" s="222"/>
      <c r="JY13" s="222"/>
      <c r="JZ13" s="222"/>
      <c r="KA13" s="222"/>
      <c r="KB13" s="222"/>
      <c r="KC13" s="222"/>
      <c r="KD13" s="222"/>
      <c r="KE13" s="222"/>
      <c r="KF13" s="222"/>
      <c r="KG13" s="222"/>
      <c r="KH13" s="222"/>
      <c r="KI13" s="222"/>
      <c r="KJ13" s="222"/>
      <c r="KK13" s="222"/>
      <c r="KL13" s="222"/>
      <c r="KM13" s="222"/>
      <c r="KN13" s="222"/>
      <c r="KO13" s="222"/>
      <c r="KP13" s="222"/>
      <c r="KQ13" s="222"/>
      <c r="KR13" s="222"/>
      <c r="KS13" s="222"/>
      <c r="KT13" s="222"/>
      <c r="KU13" s="222"/>
      <c r="KV13" s="222"/>
      <c r="KW13" s="222"/>
      <c r="KX13" s="222"/>
      <c r="KY13" s="222"/>
      <c r="KZ13" s="222"/>
      <c r="LA13" s="222"/>
      <c r="LB13" s="222"/>
      <c r="LC13" s="222"/>
      <c r="LD13" s="222"/>
      <c r="LE13" s="222"/>
      <c r="LF13" s="222"/>
      <c r="LG13" s="222"/>
      <c r="LH13" s="222"/>
      <c r="LI13" s="222"/>
      <c r="LJ13" s="222"/>
      <c r="LK13" s="222"/>
      <c r="LL13" s="222"/>
      <c r="LM13" s="222"/>
      <c r="LN13" s="222"/>
      <c r="LO13" s="222"/>
      <c r="LP13" s="222"/>
      <c r="LQ13" s="222"/>
      <c r="LR13" s="222"/>
      <c r="LS13" s="222"/>
      <c r="LT13" s="222"/>
      <c r="LU13" s="222"/>
      <c r="LV13" s="222"/>
      <c r="LW13" s="222"/>
      <c r="LX13" s="222"/>
      <c r="LY13" s="222"/>
      <c r="LZ13" s="222"/>
      <c r="MA13" s="222"/>
      <c r="MB13" s="222"/>
      <c r="MC13" s="222"/>
      <c r="MD13" s="222"/>
      <c r="ME13" s="222"/>
      <c r="MF13" s="222"/>
      <c r="MG13" s="222"/>
      <c r="MH13" s="222"/>
      <c r="MI13" s="222"/>
      <c r="MJ13" s="222"/>
      <c r="MK13" s="222"/>
      <c r="ML13" s="222"/>
      <c r="MM13" s="222"/>
      <c r="MN13" s="222"/>
      <c r="MO13" s="222"/>
      <c r="MP13" s="222"/>
      <c r="MQ13" s="222"/>
      <c r="MR13" s="222"/>
      <c r="MS13" s="222"/>
      <c r="MT13" s="222"/>
      <c r="MU13" s="222"/>
      <c r="MV13" s="222"/>
      <c r="MW13" s="222"/>
      <c r="MX13" s="222"/>
      <c r="MY13" s="222"/>
      <c r="MZ13" s="222"/>
      <c r="NA13" s="222"/>
      <c r="NB13" s="222"/>
      <c r="NC13" s="222"/>
      <c r="ND13" s="222"/>
      <c r="NE13" s="222"/>
      <c r="NF13" s="222"/>
      <c r="NG13" s="222"/>
      <c r="NH13" s="222"/>
      <c r="NI13" s="222"/>
      <c r="NJ13" s="222"/>
      <c r="NK13" s="222"/>
      <c r="NL13" s="222"/>
      <c r="NM13" s="222"/>
      <c r="NN13" s="222"/>
      <c r="NO13" s="222"/>
      <c r="NP13" s="222"/>
      <c r="NQ13" s="222"/>
      <c r="NR13" s="222"/>
      <c r="NS13" s="222"/>
      <c r="NT13" s="222"/>
      <c r="NU13" s="222"/>
      <c r="NV13" s="222"/>
      <c r="NW13" s="222"/>
      <c r="NX13" s="222"/>
      <c r="NY13" s="222"/>
      <c r="NZ13" s="222"/>
      <c r="OA13" s="222"/>
      <c r="OB13" s="222"/>
      <c r="OC13" s="222"/>
      <c r="OD13" s="222"/>
      <c r="OE13" s="222"/>
      <c r="OF13" s="222"/>
      <c r="OG13" s="222"/>
      <c r="OH13" s="222"/>
      <c r="OI13" s="222"/>
      <c r="OJ13" s="222"/>
      <c r="OK13" s="222"/>
      <c r="OL13" s="222"/>
      <c r="OM13" s="222"/>
      <c r="ON13" s="222"/>
      <c r="OO13" s="222"/>
      <c r="OP13" s="222"/>
      <c r="OQ13" s="222"/>
      <c r="OR13" s="222"/>
      <c r="OS13" s="222"/>
      <c r="OT13" s="222"/>
      <c r="OU13" s="222"/>
      <c r="OV13" s="222"/>
      <c r="OW13" s="222"/>
      <c r="OX13" s="222"/>
      <c r="OY13" s="222"/>
      <c r="OZ13" s="222"/>
      <c r="PA13" s="222"/>
      <c r="PB13" s="222"/>
      <c r="PC13" s="222"/>
      <c r="PD13" s="222"/>
      <c r="PE13" s="222"/>
      <c r="PF13" s="222"/>
      <c r="PG13" s="222"/>
      <c r="PH13" s="222"/>
      <c r="PI13" s="222"/>
      <c r="PJ13" s="222"/>
      <c r="PK13" s="222"/>
      <c r="PL13" s="222"/>
      <c r="PM13" s="222"/>
      <c r="PN13" s="222"/>
      <c r="PO13" s="222"/>
      <c r="PP13" s="222"/>
      <c r="PQ13" s="222"/>
      <c r="PR13" s="222"/>
      <c r="PS13" s="222"/>
      <c r="PT13" s="222"/>
      <c r="PU13" s="222"/>
      <c r="PV13" s="222"/>
      <c r="PW13" s="222"/>
      <c r="PX13" s="222"/>
      <c r="PY13" s="222"/>
      <c r="PZ13" s="222"/>
      <c r="QA13" s="222"/>
      <c r="QB13" s="222"/>
      <c r="QC13" s="222"/>
      <c r="QD13" s="222"/>
      <c r="QE13" s="222"/>
      <c r="QF13" s="222"/>
      <c r="QG13" s="222"/>
      <c r="QH13" s="222"/>
      <c r="QI13" s="222"/>
      <c r="QJ13" s="222"/>
      <c r="QK13" s="222"/>
      <c r="QL13" s="222"/>
      <c r="QM13" s="222"/>
      <c r="QN13" s="222"/>
      <c r="QO13" s="222"/>
      <c r="QP13" s="222"/>
      <c r="QQ13" s="222"/>
      <c r="QR13" s="222"/>
      <c r="QS13" s="222"/>
      <c r="QT13" s="222"/>
      <c r="QU13" s="222"/>
      <c r="QV13" s="222"/>
      <c r="QW13" s="222"/>
      <c r="QX13" s="222"/>
      <c r="QY13" s="222"/>
      <c r="QZ13" s="222"/>
      <c r="RA13" s="222"/>
      <c r="RB13" s="222"/>
      <c r="RC13" s="222"/>
      <c r="RD13" s="222"/>
      <c r="RE13" s="222"/>
      <c r="RF13" s="222"/>
      <c r="RG13" s="222"/>
      <c r="RH13" s="222"/>
      <c r="RI13" s="222"/>
      <c r="RJ13" s="222"/>
      <c r="RK13" s="222"/>
      <c r="RL13" s="222"/>
      <c r="RM13" s="222"/>
      <c r="RN13" s="222"/>
      <c r="RO13" s="222"/>
      <c r="RP13" s="222"/>
      <c r="RQ13" s="222"/>
      <c r="RR13" s="222"/>
      <c r="RS13" s="222"/>
      <c r="RT13" s="222"/>
      <c r="RU13" s="222"/>
      <c r="RV13" s="222"/>
      <c r="RW13" s="222"/>
      <c r="RX13" s="222"/>
      <c r="RY13" s="222"/>
      <c r="RZ13" s="222"/>
      <c r="SA13" s="222"/>
      <c r="SB13" s="222"/>
      <c r="SC13" s="222"/>
      <c r="SD13" s="222"/>
      <c r="SE13" s="222"/>
      <c r="SF13" s="222"/>
      <c r="SG13" s="222"/>
      <c r="SH13" s="222"/>
      <c r="SI13" s="222"/>
      <c r="SJ13" s="222"/>
      <c r="SK13" s="222"/>
      <c r="SL13" s="222"/>
      <c r="SM13" s="222"/>
      <c r="SN13" s="222"/>
      <c r="SO13" s="222"/>
      <c r="SP13" s="222"/>
      <c r="SQ13" s="222"/>
      <c r="SR13" s="222"/>
      <c r="SS13" s="222"/>
      <c r="ST13" s="222"/>
      <c r="SU13" s="222"/>
      <c r="SV13" s="222"/>
      <c r="SW13" s="222"/>
      <c r="SX13" s="222"/>
      <c r="SY13" s="222"/>
      <c r="SZ13" s="222"/>
      <c r="TA13" s="222"/>
      <c r="TB13" s="222"/>
      <c r="TC13" s="222"/>
      <c r="TD13" s="222"/>
      <c r="TE13" s="222"/>
      <c r="TF13" s="222"/>
      <c r="TG13" s="222"/>
      <c r="TH13" s="222"/>
      <c r="TI13" s="222"/>
      <c r="TJ13" s="222"/>
      <c r="TK13" s="222"/>
      <c r="TL13" s="222"/>
      <c r="TM13" s="222"/>
      <c r="TN13" s="222"/>
      <c r="TO13" s="222"/>
      <c r="TP13" s="222"/>
      <c r="TQ13" s="222"/>
      <c r="TR13" s="222"/>
      <c r="TS13" s="222"/>
      <c r="TT13" s="222"/>
      <c r="TU13" s="222"/>
      <c r="TV13" s="222"/>
      <c r="TW13" s="222"/>
      <c r="TX13" s="222"/>
      <c r="TY13" s="222"/>
      <c r="TZ13" s="222"/>
      <c r="UA13" s="222"/>
      <c r="UB13" s="222"/>
      <c r="UC13" s="222"/>
      <c r="UD13" s="222"/>
      <c r="UE13" s="222"/>
      <c r="UF13" s="222"/>
      <c r="UG13" s="222"/>
      <c r="UH13" s="222"/>
      <c r="UI13" s="222"/>
      <c r="UJ13" s="222"/>
      <c r="UK13" s="222"/>
      <c r="UL13" s="222"/>
      <c r="UM13" s="222"/>
      <c r="UN13" s="222"/>
      <c r="UO13" s="222"/>
      <c r="UP13" s="222"/>
      <c r="UQ13" s="222"/>
      <c r="UR13" s="222"/>
      <c r="US13" s="222"/>
      <c r="UT13" s="222"/>
      <c r="UU13" s="222"/>
      <c r="UV13" s="222"/>
      <c r="UW13" s="222"/>
      <c r="UX13" s="222"/>
      <c r="UY13" s="222"/>
      <c r="UZ13" s="222"/>
      <c r="VA13" s="222"/>
      <c r="VB13" s="222"/>
      <c r="VC13" s="222"/>
      <c r="VD13" s="222"/>
      <c r="VE13" s="222"/>
      <c r="VF13" s="222"/>
      <c r="VG13" s="222"/>
      <c r="VH13" s="222"/>
      <c r="VI13" s="222"/>
      <c r="VJ13" s="222"/>
      <c r="VK13" s="222"/>
      <c r="VL13" s="222"/>
      <c r="VM13" s="222"/>
      <c r="VN13" s="222"/>
      <c r="VO13" s="222"/>
      <c r="VP13" s="222"/>
      <c r="VQ13" s="222"/>
      <c r="VR13" s="222"/>
      <c r="VS13" s="222"/>
      <c r="VT13" s="222"/>
      <c r="VU13" s="222"/>
      <c r="VV13" s="222"/>
      <c r="VW13" s="222"/>
      <c r="VX13" s="222"/>
      <c r="VY13" s="222"/>
      <c r="VZ13" s="222"/>
      <c r="WA13" s="222"/>
      <c r="WB13" s="222"/>
      <c r="WC13" s="222"/>
      <c r="WD13" s="222"/>
      <c r="WE13" s="222"/>
      <c r="WF13" s="222"/>
      <c r="WG13" s="222"/>
      <c r="WH13" s="222"/>
      <c r="WI13" s="222"/>
      <c r="WJ13" s="222"/>
      <c r="WK13" s="222"/>
      <c r="WL13" s="222"/>
      <c r="WM13" s="222"/>
      <c r="WN13" s="222"/>
      <c r="WO13" s="222"/>
      <c r="WP13" s="222"/>
      <c r="WQ13" s="222"/>
      <c r="WR13" s="222"/>
      <c r="WS13" s="222"/>
      <c r="WT13" s="222"/>
      <c r="WU13" s="222"/>
      <c r="WV13" s="222"/>
      <c r="WW13" s="222"/>
      <c r="WX13" s="222"/>
      <c r="WY13" s="222"/>
      <c r="WZ13" s="222"/>
      <c r="XA13" s="222"/>
      <c r="XB13" s="222"/>
      <c r="XC13" s="222"/>
      <c r="XD13" s="222"/>
      <c r="XE13" s="222"/>
      <c r="XF13" s="222"/>
      <c r="XG13" s="222"/>
      <c r="XH13" s="222"/>
      <c r="XI13" s="222"/>
      <c r="XJ13" s="222"/>
      <c r="XK13" s="222"/>
      <c r="XL13" s="222"/>
      <c r="XM13" s="222"/>
      <c r="XN13" s="222"/>
      <c r="XO13" s="222"/>
      <c r="XP13" s="222"/>
      <c r="XQ13" s="222"/>
      <c r="XR13" s="222"/>
      <c r="XS13" s="222"/>
      <c r="XT13" s="222"/>
      <c r="XU13" s="222"/>
      <c r="XV13" s="222"/>
      <c r="XW13" s="222"/>
      <c r="XX13" s="222"/>
      <c r="XY13" s="222"/>
      <c r="XZ13" s="222"/>
      <c r="YA13" s="222"/>
      <c r="YB13" s="222"/>
      <c r="YC13" s="222"/>
      <c r="YD13" s="222"/>
      <c r="YE13" s="222"/>
      <c r="YF13" s="222"/>
      <c r="YG13" s="222"/>
      <c r="YH13" s="222"/>
      <c r="YI13" s="222"/>
      <c r="YJ13" s="222"/>
      <c r="YK13" s="222"/>
      <c r="YL13" s="222"/>
      <c r="YM13" s="222"/>
      <c r="YN13" s="222"/>
      <c r="YO13" s="222"/>
      <c r="YP13" s="222"/>
      <c r="YQ13" s="222"/>
      <c r="YR13" s="222"/>
      <c r="YS13" s="222"/>
      <c r="YT13" s="222"/>
      <c r="YU13" s="222"/>
      <c r="YV13" s="222"/>
      <c r="YW13" s="222"/>
      <c r="YX13" s="222"/>
      <c r="YY13" s="222"/>
      <c r="YZ13" s="222"/>
      <c r="ZA13" s="222"/>
      <c r="ZB13" s="222"/>
      <c r="ZC13" s="222"/>
      <c r="ZD13" s="222"/>
      <c r="ZE13" s="222"/>
      <c r="ZF13" s="222"/>
      <c r="ZG13" s="222"/>
      <c r="ZH13" s="222"/>
      <c r="ZI13" s="222"/>
      <c r="ZJ13" s="222"/>
      <c r="ZK13" s="222"/>
      <c r="ZL13" s="222"/>
      <c r="ZM13" s="222"/>
      <c r="ZN13" s="222"/>
      <c r="ZO13" s="222"/>
      <c r="ZP13" s="222"/>
      <c r="ZQ13" s="222"/>
      <c r="ZR13" s="222"/>
      <c r="ZS13" s="222"/>
      <c r="ZT13" s="222"/>
      <c r="ZU13" s="222"/>
      <c r="ZV13" s="222"/>
      <c r="ZW13" s="222"/>
      <c r="ZX13" s="222"/>
      <c r="ZY13" s="222"/>
      <c r="ZZ13" s="222"/>
      <c r="AAA13" s="222"/>
      <c r="AAB13" s="222"/>
      <c r="AAC13" s="222"/>
      <c r="AAD13" s="222"/>
      <c r="AAE13" s="222"/>
      <c r="AAF13" s="222"/>
      <c r="AAG13" s="222"/>
      <c r="AAH13" s="222"/>
      <c r="AAI13" s="222"/>
      <c r="AAJ13" s="222"/>
      <c r="AAK13" s="222"/>
      <c r="AAL13" s="222"/>
      <c r="AAM13" s="222"/>
      <c r="AAN13" s="222"/>
      <c r="AAO13" s="222"/>
      <c r="AAP13" s="222"/>
      <c r="AAQ13" s="222"/>
      <c r="AAR13" s="222"/>
      <c r="AAS13" s="222"/>
      <c r="AAT13" s="222"/>
      <c r="AAU13" s="222"/>
      <c r="AAV13" s="222"/>
      <c r="AAW13" s="222"/>
      <c r="AAX13" s="222"/>
      <c r="AAY13" s="222"/>
      <c r="AAZ13" s="222"/>
      <c r="ABA13" s="222"/>
      <c r="ABB13" s="222"/>
      <c r="ABC13" s="222"/>
      <c r="ABD13" s="222"/>
      <c r="ABE13" s="222"/>
      <c r="ABF13" s="222"/>
      <c r="ABG13" s="222"/>
      <c r="ABH13" s="222"/>
      <c r="ABI13" s="222"/>
      <c r="ABJ13" s="222"/>
      <c r="ABK13" s="222"/>
      <c r="ABL13" s="222"/>
      <c r="ABM13" s="222"/>
      <c r="ABN13" s="222"/>
      <c r="ABO13" s="222"/>
      <c r="ABP13" s="222"/>
      <c r="ABQ13" s="222"/>
      <c r="ABR13" s="222"/>
      <c r="ABS13" s="222"/>
      <c r="ABT13" s="222"/>
      <c r="ABU13" s="222"/>
      <c r="ABV13" s="222"/>
      <c r="ABW13" s="222"/>
      <c r="ABX13" s="222"/>
      <c r="ABY13" s="222"/>
      <c r="ABZ13" s="222"/>
      <c r="ACA13" s="222"/>
      <c r="ACB13" s="222"/>
      <c r="ACC13" s="222"/>
      <c r="ACD13" s="222"/>
      <c r="ACE13" s="222"/>
      <c r="ACF13" s="222"/>
      <c r="ACG13" s="222"/>
      <c r="ACH13" s="222"/>
      <c r="ACI13" s="222"/>
      <c r="ACJ13" s="222"/>
      <c r="ACK13" s="222"/>
      <c r="ACL13" s="222"/>
      <c r="ACM13" s="222"/>
      <c r="ACN13" s="222"/>
      <c r="ACO13" s="222"/>
      <c r="ACP13" s="222"/>
      <c r="ACQ13" s="222"/>
      <c r="ACR13" s="222"/>
      <c r="ACS13" s="222"/>
      <c r="ACT13" s="222"/>
      <c r="ACU13" s="222"/>
      <c r="ACV13" s="222"/>
      <c r="ACW13" s="222"/>
      <c r="ACX13" s="222"/>
      <c r="ACY13" s="222"/>
      <c r="ACZ13" s="222"/>
      <c r="ADA13" s="222"/>
      <c r="ADB13" s="222"/>
      <c r="ADC13" s="222"/>
      <c r="ADD13" s="222"/>
      <c r="ADE13" s="222"/>
      <c r="ADF13" s="222"/>
      <c r="ADG13" s="222"/>
      <c r="ADH13" s="222"/>
      <c r="ADI13" s="222"/>
      <c r="ADJ13" s="222"/>
      <c r="ADK13" s="222"/>
      <c r="ADL13" s="222"/>
      <c r="ADM13" s="222"/>
      <c r="ADN13" s="222"/>
      <c r="ADO13" s="222"/>
      <c r="ADP13" s="222"/>
      <c r="ADQ13" s="222"/>
      <c r="ADR13" s="222"/>
      <c r="ADS13" s="222"/>
      <c r="ADT13" s="222"/>
      <c r="ADU13" s="222"/>
      <c r="ADV13" s="222"/>
      <c r="ADW13" s="222"/>
      <c r="ADX13" s="222"/>
      <c r="ADY13" s="222"/>
      <c r="ADZ13" s="222"/>
      <c r="AEA13" s="222"/>
      <c r="AEB13" s="222"/>
      <c r="AEC13" s="222"/>
      <c r="AED13" s="222"/>
      <c r="AEE13" s="222"/>
      <c r="AEF13" s="222"/>
      <c r="AEG13" s="222"/>
      <c r="AEH13" s="222"/>
      <c r="AEI13" s="222"/>
      <c r="AEJ13" s="222"/>
      <c r="AEK13" s="222"/>
      <c r="AEL13" s="222"/>
      <c r="AEM13" s="222"/>
      <c r="AEN13" s="222"/>
      <c r="AEO13" s="222"/>
      <c r="AEP13" s="222"/>
      <c r="AEQ13" s="222"/>
      <c r="AER13" s="222"/>
      <c r="AES13" s="222"/>
      <c r="AET13" s="222"/>
      <c r="AEU13" s="222"/>
      <c r="AEV13" s="222"/>
      <c r="AEW13" s="222"/>
      <c r="AEX13" s="222"/>
      <c r="AEY13" s="222"/>
      <c r="AEZ13" s="222"/>
      <c r="AFA13" s="222"/>
      <c r="AFB13" s="222"/>
      <c r="AFC13" s="222"/>
      <c r="AFD13" s="222"/>
      <c r="AFE13" s="222"/>
      <c r="AFF13" s="222"/>
      <c r="AFG13" s="222"/>
      <c r="AFH13" s="222"/>
      <c r="AFI13" s="222"/>
      <c r="AFJ13" s="222"/>
      <c r="AFK13" s="222"/>
      <c r="AFL13" s="222"/>
      <c r="AFM13" s="222"/>
      <c r="AFN13" s="222"/>
      <c r="AFO13" s="222"/>
      <c r="AFP13" s="222"/>
      <c r="AFQ13" s="222"/>
      <c r="AFR13" s="222"/>
      <c r="AFS13" s="222"/>
      <c r="AFT13" s="222"/>
      <c r="AFU13" s="222"/>
      <c r="AFV13" s="222"/>
      <c r="AFW13" s="222"/>
      <c r="AFX13" s="222"/>
      <c r="AFY13" s="222"/>
      <c r="AFZ13" s="222"/>
      <c r="AGA13" s="222"/>
      <c r="AGB13" s="222"/>
      <c r="AGC13" s="222"/>
      <c r="AGD13" s="222"/>
      <c r="AGE13" s="222"/>
      <c r="AGF13" s="222"/>
      <c r="AGG13" s="222"/>
      <c r="AGH13" s="222"/>
      <c r="AGI13" s="222"/>
      <c r="AGJ13" s="222"/>
      <c r="AGK13" s="222"/>
      <c r="AGL13" s="222"/>
      <c r="AGM13" s="222"/>
      <c r="AGN13" s="222"/>
      <c r="AGO13" s="222"/>
      <c r="AGP13" s="222"/>
      <c r="AGQ13" s="222"/>
      <c r="AGR13" s="222"/>
      <c r="AGS13" s="222"/>
      <c r="AGT13" s="222"/>
      <c r="AGU13" s="222"/>
      <c r="AGV13" s="222"/>
      <c r="AGW13" s="222"/>
      <c r="AGX13" s="222"/>
      <c r="AGY13" s="222"/>
      <c r="AGZ13" s="222"/>
      <c r="AHA13" s="222"/>
      <c r="AHB13" s="222"/>
      <c r="AHC13" s="222"/>
      <c r="AHD13" s="222"/>
      <c r="AHE13" s="222"/>
      <c r="AHF13" s="222"/>
      <c r="AHG13" s="222"/>
      <c r="AHH13" s="222"/>
      <c r="AHI13" s="222"/>
      <c r="AHJ13" s="222"/>
      <c r="AHK13" s="222"/>
      <c r="AHL13" s="222"/>
      <c r="AHM13" s="222"/>
      <c r="AHN13" s="222"/>
      <c r="AHO13" s="222"/>
      <c r="AHP13" s="222"/>
      <c r="AHQ13" s="222"/>
      <c r="AHR13" s="222"/>
      <c r="AHS13" s="222"/>
      <c r="AHT13" s="222"/>
      <c r="AHU13" s="222"/>
      <c r="AHV13" s="222"/>
      <c r="AHW13" s="222"/>
      <c r="AHX13" s="222"/>
      <c r="AHY13" s="222"/>
      <c r="AHZ13" s="222"/>
      <c r="AIA13" s="222"/>
      <c r="AIB13" s="222"/>
      <c r="AIC13" s="222"/>
      <c r="AID13" s="222"/>
      <c r="AIE13" s="222"/>
      <c r="AIF13" s="222"/>
      <c r="AIG13" s="222"/>
      <c r="AIH13" s="222"/>
      <c r="AII13" s="222"/>
      <c r="AIJ13" s="222"/>
      <c r="AIK13" s="222"/>
      <c r="AIL13" s="222"/>
      <c r="AIM13" s="222"/>
      <c r="AIN13" s="222"/>
      <c r="AIO13" s="222"/>
      <c r="AIP13" s="222"/>
      <c r="AIQ13" s="222"/>
      <c r="AIR13" s="222"/>
      <c r="AIS13" s="222"/>
      <c r="AIT13" s="222"/>
      <c r="AIU13" s="222"/>
      <c r="AIV13" s="222"/>
      <c r="AIW13" s="222"/>
      <c r="AIX13" s="222"/>
      <c r="AIY13" s="222"/>
      <c r="AIZ13" s="222"/>
      <c r="AJA13" s="222"/>
      <c r="AJB13" s="222"/>
      <c r="AJC13" s="222"/>
      <c r="AJD13" s="222"/>
      <c r="AJE13" s="222"/>
      <c r="AJF13" s="222"/>
      <c r="AJG13" s="222"/>
      <c r="AJH13" s="222"/>
      <c r="AJI13" s="222"/>
      <c r="AJJ13" s="222"/>
      <c r="AJK13" s="222"/>
      <c r="AJL13" s="222"/>
      <c r="AJM13" s="222"/>
      <c r="AJN13" s="222"/>
      <c r="AJO13" s="222"/>
      <c r="AJP13" s="222"/>
      <c r="AJQ13" s="222"/>
      <c r="AJR13" s="222"/>
      <c r="AJS13" s="222"/>
      <c r="AJT13" s="222"/>
      <c r="AJU13" s="222"/>
      <c r="AJV13" s="222"/>
      <c r="AJW13" s="222"/>
      <c r="AJX13" s="222"/>
      <c r="AJY13" s="222"/>
      <c r="AJZ13" s="222"/>
      <c r="AKA13" s="222"/>
      <c r="AKB13" s="222"/>
      <c r="AKC13" s="222"/>
      <c r="AKD13" s="222"/>
      <c r="AKE13" s="222"/>
      <c r="AKF13" s="222"/>
      <c r="AKG13" s="222"/>
      <c r="AKH13" s="222"/>
      <c r="AKI13" s="222"/>
      <c r="AKJ13" s="222"/>
      <c r="AKK13" s="222"/>
      <c r="AKL13" s="222"/>
      <c r="AKM13" s="222"/>
      <c r="AKN13" s="222"/>
      <c r="AKO13" s="222"/>
      <c r="AKP13" s="222"/>
      <c r="AKQ13" s="222"/>
      <c r="AKR13" s="222"/>
      <c r="AKS13" s="222"/>
      <c r="AKT13" s="222"/>
      <c r="AKU13" s="222"/>
      <c r="AKV13" s="222"/>
      <c r="AKW13" s="222"/>
      <c r="AKX13" s="222"/>
      <c r="AKY13" s="222"/>
      <c r="AKZ13" s="222"/>
      <c r="ALA13" s="222"/>
      <c r="ALB13" s="222"/>
      <c r="ALC13" s="222"/>
      <c r="ALD13" s="222"/>
      <c r="ALE13" s="222"/>
      <c r="ALF13" s="222"/>
      <c r="ALG13" s="222"/>
      <c r="ALH13" s="222"/>
      <c r="ALI13" s="222"/>
      <c r="ALJ13" s="222"/>
      <c r="ALK13" s="222"/>
      <c r="ALL13" s="222"/>
      <c r="ALM13" s="222"/>
      <c r="ALN13" s="222"/>
      <c r="ALO13" s="222"/>
      <c r="ALP13" s="222"/>
      <c r="ALQ13" s="222"/>
      <c r="ALR13" s="222"/>
      <c r="ALS13" s="222"/>
      <c r="ALT13" s="222"/>
      <c r="ALU13" s="222"/>
      <c r="ALV13" s="222"/>
      <c r="ALW13" s="222"/>
      <c r="ALX13" s="222"/>
      <c r="ALY13" s="222"/>
      <c r="ALZ13" s="222"/>
      <c r="AMA13" s="222"/>
      <c r="AMB13" s="222"/>
      <c r="AMC13" s="222"/>
      <c r="AMD13" s="222"/>
      <c r="AME13" s="222"/>
      <c r="AMF13" s="222"/>
      <c r="AMG13" s="222"/>
      <c r="AMH13" s="222"/>
      <c r="AMI13" s="222"/>
      <c r="AMJ13" s="222"/>
      <c r="AMK13" s="222"/>
      <c r="AML13" s="222"/>
      <c r="AMM13" s="222"/>
      <c r="AMN13" s="222"/>
      <c r="AMO13" s="222"/>
      <c r="AMP13" s="222"/>
      <c r="AMQ13" s="222"/>
      <c r="AMR13" s="222"/>
      <c r="AMS13" s="222"/>
      <c r="AMT13" s="222"/>
      <c r="AMU13" s="222"/>
      <c r="AMV13" s="222"/>
      <c r="AMW13" s="222"/>
      <c r="AMX13" s="222"/>
      <c r="AMY13" s="222"/>
      <c r="AMZ13" s="222"/>
      <c r="ANA13" s="222"/>
      <c r="ANB13" s="222"/>
      <c r="ANC13" s="222"/>
      <c r="AND13" s="222"/>
      <c r="ANE13" s="222"/>
      <c r="ANF13" s="222"/>
      <c r="ANG13" s="222"/>
      <c r="ANH13" s="222"/>
      <c r="ANI13" s="222"/>
      <c r="ANJ13" s="222"/>
      <c r="ANK13" s="222"/>
      <c r="ANL13" s="222"/>
      <c r="ANM13" s="222"/>
      <c r="ANN13" s="222"/>
      <c r="ANO13" s="222"/>
      <c r="ANP13" s="222"/>
      <c r="ANQ13" s="222"/>
      <c r="ANR13" s="222"/>
      <c r="ANS13" s="222"/>
      <c r="ANT13" s="222"/>
      <c r="ANU13" s="222"/>
      <c r="ANV13" s="222"/>
      <c r="ANW13" s="222"/>
      <c r="ANX13" s="222"/>
      <c r="ANY13" s="222"/>
      <c r="ANZ13" s="222"/>
      <c r="AOA13" s="222"/>
      <c r="AOB13" s="222"/>
      <c r="AOC13" s="222"/>
      <c r="AOD13" s="222"/>
      <c r="AOE13" s="222"/>
      <c r="AOF13" s="222"/>
      <c r="AOG13" s="222"/>
      <c r="AOH13" s="222"/>
      <c r="AOI13" s="222"/>
      <c r="AOJ13" s="222"/>
      <c r="AOK13" s="222"/>
      <c r="AOL13" s="222"/>
      <c r="AOM13" s="222"/>
      <c r="AON13" s="222"/>
      <c r="AOO13" s="222"/>
      <c r="AOP13" s="222"/>
      <c r="AOQ13" s="222"/>
      <c r="AOR13" s="222"/>
      <c r="AOS13" s="222"/>
      <c r="AOT13" s="222"/>
      <c r="AOU13" s="222"/>
      <c r="AOV13" s="222"/>
      <c r="AOW13" s="222"/>
      <c r="AOX13" s="222"/>
      <c r="AOY13" s="222"/>
      <c r="AOZ13" s="222"/>
      <c r="APA13" s="222"/>
      <c r="APB13" s="222"/>
      <c r="APC13" s="222"/>
      <c r="APD13" s="222"/>
      <c r="APE13" s="222"/>
      <c r="APF13" s="222"/>
      <c r="APG13" s="222"/>
      <c r="APH13" s="222"/>
      <c r="API13" s="222"/>
      <c r="APJ13" s="222"/>
      <c r="APK13" s="222"/>
      <c r="APL13" s="222"/>
      <c r="APM13" s="222"/>
      <c r="APN13" s="222"/>
      <c r="APO13" s="222"/>
      <c r="APP13" s="222"/>
      <c r="APQ13" s="222"/>
      <c r="APR13" s="222"/>
      <c r="APS13" s="222"/>
      <c r="APT13" s="222"/>
      <c r="APU13" s="222"/>
      <c r="APV13" s="222"/>
      <c r="APW13" s="222"/>
      <c r="APX13" s="222"/>
      <c r="APY13" s="222"/>
      <c r="APZ13" s="222"/>
      <c r="AQA13" s="222"/>
      <c r="AQB13" s="222"/>
      <c r="AQC13" s="222"/>
      <c r="AQD13" s="222"/>
      <c r="AQE13" s="222"/>
      <c r="AQF13" s="222"/>
      <c r="AQG13" s="222"/>
      <c r="AQH13" s="222"/>
      <c r="AQI13" s="222"/>
      <c r="AQJ13" s="222"/>
      <c r="AQK13" s="222"/>
      <c r="AQL13" s="222"/>
      <c r="AQM13" s="222"/>
      <c r="AQN13" s="222"/>
      <c r="AQO13" s="222"/>
      <c r="AQP13" s="222"/>
      <c r="AQQ13" s="222"/>
      <c r="AQR13" s="222"/>
      <c r="AQS13" s="222"/>
      <c r="AQT13" s="222"/>
      <c r="AQU13" s="222"/>
      <c r="AQV13" s="222"/>
      <c r="AQW13" s="222"/>
      <c r="AQX13" s="222"/>
      <c r="AQY13" s="222"/>
      <c r="AQZ13" s="222"/>
      <c r="ARA13" s="222"/>
      <c r="ARB13" s="222"/>
      <c r="ARC13" s="222"/>
      <c r="ARD13" s="222"/>
      <c r="ARE13" s="222"/>
      <c r="ARF13" s="222"/>
      <c r="ARG13" s="222"/>
      <c r="ARH13" s="222"/>
      <c r="ARI13" s="222"/>
      <c r="ARJ13" s="222"/>
      <c r="ARK13" s="222"/>
      <c r="ARL13" s="222"/>
      <c r="ARM13" s="222"/>
      <c r="ARN13" s="222"/>
      <c r="ARO13" s="222"/>
      <c r="ARP13" s="222"/>
      <c r="ARQ13" s="222"/>
      <c r="ARR13" s="222"/>
      <c r="ARS13" s="222"/>
      <c r="ART13" s="222"/>
      <c r="ARU13" s="222"/>
      <c r="ARV13" s="222"/>
      <c r="ARW13" s="222"/>
      <c r="ARX13" s="222"/>
      <c r="ARY13" s="222"/>
      <c r="ARZ13" s="222"/>
      <c r="ASA13" s="222"/>
      <c r="ASB13" s="222"/>
      <c r="ASC13" s="222"/>
      <c r="ASD13" s="222"/>
      <c r="ASE13" s="222"/>
      <c r="ASF13" s="222"/>
      <c r="ASG13" s="222"/>
      <c r="ASH13" s="222"/>
      <c r="ASI13" s="222"/>
      <c r="ASJ13" s="222"/>
      <c r="ASK13" s="222"/>
      <c r="ASL13" s="222"/>
      <c r="ASM13" s="222"/>
      <c r="ASN13" s="222"/>
      <c r="ASO13" s="222"/>
      <c r="ASP13" s="222"/>
      <c r="ASQ13" s="222"/>
      <c r="ASR13" s="222"/>
      <c r="ASS13" s="222"/>
      <c r="AST13" s="222"/>
      <c r="ASU13" s="222"/>
      <c r="ASV13" s="222"/>
      <c r="ASW13" s="222"/>
      <c r="ASX13" s="222"/>
      <c r="ASY13" s="222"/>
      <c r="ASZ13" s="222"/>
      <c r="ATA13" s="222"/>
      <c r="ATB13" s="222"/>
      <c r="ATC13" s="222"/>
      <c r="ATD13" s="222"/>
      <c r="ATE13" s="222"/>
      <c r="ATF13" s="222"/>
      <c r="ATG13" s="222"/>
      <c r="ATH13" s="222"/>
      <c r="ATI13" s="222"/>
      <c r="ATJ13" s="222"/>
      <c r="ATK13" s="222"/>
      <c r="ATL13" s="222"/>
      <c r="ATM13" s="222"/>
      <c r="ATN13" s="222"/>
      <c r="ATO13" s="222"/>
      <c r="ATP13" s="222"/>
      <c r="ATQ13" s="222"/>
      <c r="ATR13" s="222"/>
      <c r="ATS13" s="222"/>
      <c r="ATT13" s="222"/>
      <c r="ATU13" s="222"/>
      <c r="ATV13" s="222"/>
      <c r="ATW13" s="222"/>
      <c r="ATX13" s="222"/>
      <c r="ATY13" s="222"/>
      <c r="ATZ13" s="222"/>
      <c r="AUA13" s="222"/>
      <c r="AUB13" s="222"/>
      <c r="AUC13" s="222"/>
      <c r="AUD13" s="222"/>
      <c r="AUE13" s="222"/>
      <c r="AUF13" s="222"/>
      <c r="AUG13" s="222"/>
      <c r="AUH13" s="222"/>
      <c r="AUI13" s="222"/>
      <c r="AUJ13" s="222"/>
      <c r="AUK13" s="222"/>
      <c r="AUL13" s="222"/>
      <c r="AUM13" s="222"/>
      <c r="AUN13" s="222"/>
      <c r="AUO13" s="222"/>
      <c r="AUP13" s="222"/>
      <c r="AUQ13" s="222"/>
      <c r="AUR13" s="222"/>
      <c r="AUS13" s="222"/>
      <c r="AUT13" s="222"/>
      <c r="AUU13" s="222"/>
      <c r="AUV13" s="222"/>
      <c r="AUW13" s="222"/>
      <c r="AUX13" s="222"/>
      <c r="AUY13" s="222"/>
      <c r="AUZ13" s="222"/>
      <c r="AVA13" s="222"/>
      <c r="AVB13" s="222"/>
      <c r="AVC13" s="222"/>
      <c r="AVD13" s="222"/>
      <c r="AVE13" s="222"/>
      <c r="AVF13" s="222"/>
      <c r="AVG13" s="222"/>
      <c r="AVH13" s="222"/>
      <c r="AVI13" s="222"/>
      <c r="AVJ13" s="222"/>
      <c r="AVK13" s="222"/>
      <c r="AVL13" s="222"/>
      <c r="AVM13" s="222"/>
      <c r="AVN13" s="222"/>
      <c r="AVO13" s="222"/>
      <c r="AVP13" s="222"/>
      <c r="AVQ13" s="222"/>
      <c r="AVR13" s="222"/>
      <c r="AVS13" s="222"/>
      <c r="AVT13" s="222"/>
      <c r="AVU13" s="222"/>
      <c r="AVV13" s="222"/>
      <c r="AVW13" s="222"/>
      <c r="AVX13" s="222"/>
      <c r="AVY13" s="222"/>
      <c r="AVZ13" s="222"/>
      <c r="AWA13" s="222"/>
      <c r="AWB13" s="222"/>
      <c r="AWC13" s="222"/>
      <c r="AWD13" s="222"/>
      <c r="AWE13" s="222"/>
      <c r="AWF13" s="222"/>
      <c r="AWG13" s="222"/>
      <c r="AWH13" s="222"/>
      <c r="AWI13" s="222"/>
      <c r="AWJ13" s="222"/>
      <c r="AWK13" s="222"/>
      <c r="AWL13" s="222"/>
      <c r="AWM13" s="222"/>
      <c r="AWN13" s="222"/>
      <c r="AWO13" s="222"/>
      <c r="AWP13" s="222"/>
      <c r="AWQ13" s="222"/>
      <c r="AWR13" s="222"/>
      <c r="AWS13" s="222"/>
      <c r="AWT13" s="222"/>
      <c r="AWU13" s="222"/>
      <c r="AWV13" s="222"/>
      <c r="AWW13" s="222"/>
      <c r="AWX13" s="222"/>
      <c r="AWY13" s="222"/>
      <c r="AWZ13" s="222"/>
      <c r="AXA13" s="222"/>
      <c r="AXB13" s="222"/>
      <c r="AXC13" s="222"/>
      <c r="AXD13" s="222"/>
      <c r="AXE13" s="222"/>
      <c r="AXF13" s="222"/>
      <c r="AXG13" s="222"/>
      <c r="AXH13" s="222"/>
      <c r="AXI13" s="222"/>
      <c r="AXJ13" s="222"/>
      <c r="AXK13" s="222"/>
      <c r="AXL13" s="222"/>
      <c r="AXM13" s="222"/>
      <c r="AXN13" s="222"/>
      <c r="AXO13" s="222"/>
      <c r="AXP13" s="222"/>
      <c r="AXQ13" s="222"/>
      <c r="AXR13" s="222"/>
      <c r="AXS13" s="222"/>
      <c r="AXT13" s="222"/>
      <c r="AXU13" s="222"/>
      <c r="AXV13" s="222"/>
      <c r="AXW13" s="222"/>
      <c r="AXX13" s="222"/>
      <c r="AXY13" s="222"/>
      <c r="AXZ13" s="222"/>
      <c r="AYA13" s="222"/>
      <c r="AYB13" s="222"/>
      <c r="AYC13" s="222"/>
      <c r="AYD13" s="222"/>
      <c r="AYE13" s="222"/>
      <c r="AYF13" s="222"/>
      <c r="AYG13" s="222"/>
      <c r="AYH13" s="222"/>
      <c r="AYI13" s="222"/>
      <c r="AYJ13" s="222"/>
      <c r="AYK13" s="222"/>
      <c r="AYL13" s="222"/>
      <c r="AYM13" s="222"/>
      <c r="AYN13" s="222"/>
      <c r="AYO13" s="222"/>
      <c r="AYP13" s="222"/>
      <c r="AYQ13" s="222"/>
      <c r="AYR13" s="222"/>
      <c r="AYS13" s="222"/>
      <c r="AYT13" s="222"/>
      <c r="AYU13" s="222"/>
      <c r="AYV13" s="222"/>
      <c r="AYW13" s="222"/>
      <c r="AYX13" s="222"/>
      <c r="AYY13" s="222"/>
      <c r="AYZ13" s="222"/>
      <c r="AZA13" s="222"/>
      <c r="AZB13" s="222"/>
      <c r="AZC13" s="222"/>
      <c r="AZD13" s="222"/>
      <c r="AZE13" s="222"/>
      <c r="AZF13" s="222"/>
      <c r="AZG13" s="222"/>
      <c r="AZH13" s="222"/>
      <c r="AZI13" s="222"/>
      <c r="AZJ13" s="222"/>
      <c r="AZK13" s="222"/>
      <c r="AZL13" s="222"/>
      <c r="AZM13" s="222"/>
      <c r="AZN13" s="222"/>
      <c r="AZO13" s="222"/>
      <c r="AZP13" s="222"/>
      <c r="AZQ13" s="222"/>
      <c r="AZR13" s="222"/>
      <c r="AZS13" s="222"/>
      <c r="AZT13" s="222"/>
      <c r="AZU13" s="222"/>
      <c r="AZV13" s="222"/>
      <c r="AZW13" s="222"/>
      <c r="AZX13" s="222"/>
      <c r="AZY13" s="222"/>
      <c r="AZZ13" s="222"/>
      <c r="BAA13" s="222"/>
      <c r="BAB13" s="222"/>
      <c r="BAC13" s="222"/>
      <c r="BAD13" s="222"/>
      <c r="BAE13" s="222"/>
      <c r="BAF13" s="222"/>
      <c r="BAG13" s="222"/>
      <c r="BAH13" s="222"/>
      <c r="BAI13" s="222"/>
      <c r="BAJ13" s="222"/>
      <c r="BAK13" s="222"/>
      <c r="BAL13" s="222"/>
      <c r="BAM13" s="222"/>
      <c r="BAN13" s="222"/>
      <c r="BAO13" s="222"/>
      <c r="BAP13" s="222"/>
      <c r="BAQ13" s="222"/>
      <c r="BAR13" s="222"/>
      <c r="BAS13" s="222"/>
      <c r="BAT13" s="222"/>
      <c r="BAU13" s="222"/>
      <c r="BAV13" s="222"/>
      <c r="BAW13" s="222"/>
      <c r="BAX13" s="222"/>
      <c r="BAY13" s="222"/>
      <c r="BAZ13" s="222"/>
      <c r="BBA13" s="222"/>
      <c r="BBB13" s="222"/>
      <c r="BBC13" s="222"/>
      <c r="BBD13" s="222"/>
      <c r="BBE13" s="222"/>
      <c r="BBF13" s="222"/>
      <c r="BBG13" s="222"/>
      <c r="BBH13" s="222"/>
      <c r="BBI13" s="222"/>
      <c r="BBJ13" s="222"/>
      <c r="BBK13" s="222"/>
      <c r="BBL13" s="222"/>
      <c r="BBM13" s="222"/>
      <c r="BBN13" s="222"/>
      <c r="BBO13" s="222"/>
      <c r="BBP13" s="222"/>
      <c r="BBQ13" s="222"/>
      <c r="BBR13" s="222"/>
      <c r="BBS13" s="222"/>
      <c r="BBT13" s="222"/>
      <c r="BBU13" s="222"/>
      <c r="BBV13" s="222"/>
      <c r="BBW13" s="222"/>
      <c r="BBX13" s="222"/>
      <c r="BBY13" s="222"/>
      <c r="BBZ13" s="222"/>
      <c r="BCA13" s="222"/>
      <c r="BCB13" s="222"/>
      <c r="BCC13" s="222"/>
      <c r="BCD13" s="222"/>
      <c r="BCE13" s="222"/>
      <c r="BCF13" s="222"/>
      <c r="BCG13" s="222"/>
      <c r="BCH13" s="222"/>
      <c r="BCI13" s="222"/>
      <c r="BCJ13" s="222"/>
      <c r="BCK13" s="222"/>
      <c r="BCL13" s="222"/>
      <c r="BCM13" s="222"/>
      <c r="BCN13" s="222"/>
      <c r="BCO13" s="222"/>
      <c r="BCP13" s="222"/>
      <c r="BCQ13" s="222"/>
      <c r="BCR13" s="222"/>
      <c r="BCS13" s="222"/>
      <c r="BCT13" s="222"/>
      <c r="BCU13" s="222"/>
      <c r="BCV13" s="222"/>
      <c r="BCW13" s="222"/>
      <c r="BCX13" s="222"/>
      <c r="BCY13" s="222"/>
      <c r="BCZ13" s="222"/>
      <c r="BDA13" s="222"/>
      <c r="BDB13" s="222"/>
      <c r="BDC13" s="222"/>
      <c r="BDD13" s="222"/>
      <c r="BDE13" s="222"/>
      <c r="BDF13" s="222"/>
      <c r="BDG13" s="222"/>
      <c r="BDH13" s="222"/>
      <c r="BDI13" s="222"/>
      <c r="BDJ13" s="222"/>
      <c r="BDK13" s="222"/>
      <c r="BDL13" s="222"/>
      <c r="BDM13" s="222"/>
      <c r="BDN13" s="222"/>
      <c r="BDO13" s="222"/>
      <c r="BDP13" s="222"/>
      <c r="BDQ13" s="222"/>
      <c r="BDR13" s="222"/>
      <c r="BDS13" s="222"/>
      <c r="BDT13" s="222"/>
      <c r="BDU13" s="222"/>
      <c r="BDV13" s="222"/>
      <c r="BDW13" s="222"/>
      <c r="BDX13" s="222"/>
      <c r="BDY13" s="222"/>
      <c r="BDZ13" s="222"/>
      <c r="BEA13" s="222"/>
      <c r="BEB13" s="222"/>
      <c r="BEC13" s="222"/>
      <c r="BED13" s="222"/>
      <c r="BEE13" s="222"/>
      <c r="BEF13" s="222"/>
      <c r="BEG13" s="222"/>
      <c r="BEH13" s="222"/>
      <c r="BEI13" s="222"/>
      <c r="BEJ13" s="222"/>
      <c r="BEK13" s="222"/>
      <c r="BEL13" s="222"/>
      <c r="BEM13" s="222"/>
      <c r="BEN13" s="222"/>
      <c r="BEO13" s="222"/>
      <c r="BEP13" s="222"/>
      <c r="BEQ13" s="222"/>
      <c r="BER13" s="222"/>
      <c r="BES13" s="222"/>
      <c r="BET13" s="222"/>
      <c r="BEU13" s="222"/>
      <c r="BEV13" s="222"/>
      <c r="BEW13" s="222"/>
      <c r="BEX13" s="222"/>
      <c r="BEY13" s="222"/>
      <c r="BEZ13" s="222"/>
      <c r="BFA13" s="222"/>
      <c r="BFB13" s="222"/>
      <c r="BFC13" s="222"/>
      <c r="BFD13" s="222"/>
      <c r="BFE13" s="222"/>
      <c r="BFF13" s="222"/>
      <c r="BFG13" s="222"/>
      <c r="BFH13" s="222"/>
      <c r="BFI13" s="222"/>
      <c r="BFJ13" s="222"/>
      <c r="BFK13" s="222"/>
      <c r="BFL13" s="222"/>
      <c r="BFM13" s="222"/>
      <c r="BFN13" s="222"/>
      <c r="BFO13" s="222"/>
      <c r="BFP13" s="222"/>
      <c r="BFQ13" s="222"/>
      <c r="BFR13" s="222"/>
      <c r="BFS13" s="222"/>
      <c r="BFT13" s="222"/>
      <c r="BFU13" s="222"/>
      <c r="BFV13" s="222"/>
      <c r="BFW13" s="222"/>
      <c r="BFX13" s="222"/>
      <c r="BFY13" s="222"/>
      <c r="BFZ13" s="222"/>
      <c r="BGA13" s="222"/>
      <c r="BGB13" s="222"/>
      <c r="BGC13" s="222"/>
      <c r="BGD13" s="222"/>
      <c r="BGE13" s="222"/>
      <c r="BGF13" s="222"/>
      <c r="BGG13" s="222"/>
      <c r="BGH13" s="222"/>
      <c r="BGI13" s="222"/>
      <c r="BGJ13" s="222"/>
      <c r="BGK13" s="222"/>
      <c r="BGL13" s="222"/>
      <c r="BGM13" s="222"/>
      <c r="BGN13" s="222"/>
      <c r="BGO13" s="222"/>
      <c r="BGP13" s="222"/>
      <c r="BGQ13" s="222"/>
      <c r="BGR13" s="222"/>
      <c r="BGS13" s="222"/>
      <c r="BGT13" s="222"/>
      <c r="BGU13" s="222"/>
      <c r="BGV13" s="222"/>
      <c r="BGW13" s="222"/>
      <c r="BGX13" s="222"/>
      <c r="BGY13" s="222"/>
      <c r="BGZ13" s="222"/>
      <c r="BHA13" s="222"/>
      <c r="BHB13" s="222"/>
      <c r="BHC13" s="222"/>
      <c r="BHD13" s="222"/>
      <c r="BHE13" s="222"/>
      <c r="BHF13" s="222"/>
      <c r="BHG13" s="222"/>
      <c r="BHH13" s="222"/>
      <c r="BHI13" s="222"/>
      <c r="BHJ13" s="222"/>
      <c r="BHK13" s="222"/>
      <c r="BHL13" s="222"/>
      <c r="BHM13" s="222"/>
      <c r="BHN13" s="222"/>
      <c r="BHO13" s="222"/>
      <c r="BHP13" s="222"/>
      <c r="BHQ13" s="222"/>
      <c r="BHR13" s="222"/>
      <c r="BHS13" s="222"/>
      <c r="BHT13" s="222"/>
      <c r="BHU13" s="222"/>
      <c r="BHV13" s="222"/>
      <c r="BHW13" s="222"/>
      <c r="BHX13" s="222"/>
      <c r="BHY13" s="222"/>
      <c r="BHZ13" s="222"/>
      <c r="BIA13" s="222"/>
      <c r="BIB13" s="222"/>
      <c r="BIC13" s="222"/>
      <c r="BID13" s="222"/>
      <c r="BIE13" s="222"/>
      <c r="BIF13" s="222"/>
      <c r="BIG13" s="222"/>
      <c r="BIH13" s="222"/>
      <c r="BII13" s="222"/>
      <c r="BIJ13" s="222"/>
      <c r="BIK13" s="222"/>
      <c r="BIL13" s="222"/>
      <c r="BIM13" s="222"/>
      <c r="BIN13" s="222"/>
      <c r="BIO13" s="222"/>
      <c r="BIP13" s="222"/>
      <c r="BIQ13" s="222"/>
      <c r="BIR13" s="222"/>
      <c r="BIS13" s="222"/>
      <c r="BIT13" s="222"/>
      <c r="BIU13" s="222"/>
      <c r="BIV13" s="222"/>
      <c r="BIW13" s="222"/>
      <c r="BIX13" s="222"/>
      <c r="BIY13" s="222"/>
      <c r="BIZ13" s="222"/>
      <c r="BJA13" s="222"/>
      <c r="BJB13" s="222"/>
      <c r="BJC13" s="222"/>
      <c r="BJD13" s="222"/>
      <c r="BJE13" s="222"/>
      <c r="BJF13" s="222"/>
      <c r="BJG13" s="222"/>
      <c r="BJH13" s="222"/>
      <c r="BJI13" s="222"/>
      <c r="BJJ13" s="222"/>
      <c r="BJK13" s="222"/>
      <c r="BJL13" s="222"/>
      <c r="BJM13" s="222"/>
      <c r="BJN13" s="222"/>
      <c r="BJO13" s="222"/>
      <c r="BJP13" s="222"/>
      <c r="BJQ13" s="222"/>
      <c r="BJR13" s="222"/>
      <c r="BJS13" s="222"/>
      <c r="BJT13" s="222"/>
      <c r="BJU13" s="222"/>
      <c r="BJV13" s="222"/>
      <c r="BJW13" s="222"/>
      <c r="BJX13" s="222"/>
      <c r="BJY13" s="222"/>
      <c r="BJZ13" s="222"/>
      <c r="BKA13" s="222"/>
      <c r="BKB13" s="222"/>
      <c r="BKC13" s="222"/>
      <c r="BKD13" s="222"/>
      <c r="BKE13" s="222"/>
      <c r="BKF13" s="222"/>
      <c r="BKG13" s="222"/>
      <c r="BKH13" s="222"/>
      <c r="BKI13" s="222"/>
      <c r="BKJ13" s="222"/>
      <c r="BKK13" s="222"/>
      <c r="BKL13" s="222"/>
      <c r="BKM13" s="222"/>
      <c r="BKN13" s="222"/>
      <c r="BKO13" s="222"/>
      <c r="BKP13" s="222"/>
      <c r="BKQ13" s="222"/>
      <c r="BKR13" s="222"/>
      <c r="BKS13" s="222"/>
      <c r="BKT13" s="222"/>
      <c r="BKU13" s="222"/>
      <c r="BKV13" s="222"/>
      <c r="BKW13" s="222"/>
      <c r="BKX13" s="222"/>
      <c r="BKY13" s="222"/>
      <c r="BKZ13" s="222"/>
      <c r="BLA13" s="222"/>
      <c r="BLB13" s="222"/>
      <c r="BLC13" s="222"/>
      <c r="BLD13" s="222"/>
      <c r="BLE13" s="222"/>
      <c r="BLF13" s="222"/>
      <c r="BLG13" s="222"/>
      <c r="BLH13" s="222"/>
      <c r="BLI13" s="222"/>
      <c r="BLJ13" s="222"/>
      <c r="BLK13" s="222"/>
      <c r="BLL13" s="222"/>
      <c r="BLM13" s="222"/>
      <c r="BLN13" s="222"/>
      <c r="BLO13" s="222"/>
      <c r="BLP13" s="222"/>
      <c r="BLQ13" s="222"/>
      <c r="BLR13" s="222"/>
      <c r="BLS13" s="222"/>
      <c r="BLT13" s="222"/>
      <c r="BLU13" s="222"/>
      <c r="BLV13" s="222"/>
      <c r="BLW13" s="222"/>
      <c r="BLX13" s="222"/>
      <c r="BLY13" s="222"/>
      <c r="BLZ13" s="222"/>
      <c r="BMA13" s="222"/>
      <c r="BMB13" s="222"/>
      <c r="BMC13" s="222"/>
      <c r="BMD13" s="222"/>
      <c r="BME13" s="222"/>
      <c r="BMF13" s="222"/>
      <c r="BMG13" s="222"/>
      <c r="BMH13" s="222"/>
      <c r="BMI13" s="222"/>
      <c r="BMJ13" s="222"/>
      <c r="BMK13" s="222"/>
      <c r="BML13" s="222"/>
      <c r="BMM13" s="222"/>
      <c r="BMN13" s="222"/>
      <c r="BMO13" s="222"/>
      <c r="BMP13" s="222"/>
      <c r="BMQ13" s="222"/>
      <c r="BMR13" s="222"/>
      <c r="BMS13" s="222"/>
      <c r="BMT13" s="222"/>
      <c r="BMU13" s="222"/>
      <c r="BMV13" s="222"/>
      <c r="BMW13" s="222"/>
      <c r="BMX13" s="222"/>
      <c r="BMY13" s="222"/>
      <c r="BMZ13" s="222"/>
      <c r="BNA13" s="222"/>
      <c r="BNB13" s="222"/>
      <c r="BNC13" s="222"/>
      <c r="BND13" s="222"/>
      <c r="BNE13" s="222"/>
      <c r="BNF13" s="222"/>
      <c r="BNG13" s="222"/>
      <c r="BNH13" s="222"/>
      <c r="BNI13" s="222"/>
      <c r="BNJ13" s="222"/>
      <c r="BNK13" s="222"/>
      <c r="BNL13" s="222"/>
      <c r="BNM13" s="222"/>
      <c r="BNN13" s="222"/>
      <c r="BNO13" s="222"/>
      <c r="BNP13" s="222"/>
      <c r="BNQ13" s="222"/>
      <c r="BNR13" s="222"/>
      <c r="BNS13" s="222"/>
      <c r="BNT13" s="222"/>
      <c r="BNU13" s="222"/>
      <c r="BNV13" s="222"/>
      <c r="BNW13" s="222"/>
      <c r="BNX13" s="222"/>
      <c r="BNY13" s="222"/>
      <c r="BNZ13" s="222"/>
      <c r="BOA13" s="222"/>
      <c r="BOB13" s="222"/>
      <c r="BOC13" s="222"/>
      <c r="BOD13" s="222"/>
      <c r="BOE13" s="222"/>
      <c r="BOF13" s="222"/>
      <c r="BOG13" s="222"/>
      <c r="BOH13" s="222"/>
      <c r="BOI13" s="222"/>
      <c r="BOJ13" s="222"/>
      <c r="BOK13" s="222"/>
      <c r="BOL13" s="222"/>
      <c r="BOM13" s="222"/>
      <c r="BON13" s="222"/>
      <c r="BOO13" s="222"/>
      <c r="BOP13" s="222"/>
      <c r="BOQ13" s="222"/>
      <c r="BOR13" s="222"/>
      <c r="BOS13" s="222"/>
      <c r="BOT13" s="222"/>
      <c r="BOU13" s="222"/>
      <c r="BOV13" s="222"/>
      <c r="BOW13" s="222"/>
      <c r="BOX13" s="222"/>
      <c r="BOY13" s="222"/>
      <c r="BOZ13" s="222"/>
      <c r="BPA13" s="222"/>
      <c r="BPB13" s="222"/>
      <c r="BPC13" s="222"/>
      <c r="BPD13" s="222"/>
      <c r="BPE13" s="222"/>
      <c r="BPF13" s="222"/>
      <c r="BPG13" s="222"/>
      <c r="BPH13" s="222"/>
      <c r="BPI13" s="222"/>
      <c r="BPJ13" s="222"/>
      <c r="BPK13" s="222"/>
      <c r="BPL13" s="222"/>
      <c r="BPM13" s="222"/>
      <c r="BPN13" s="222"/>
      <c r="BPO13" s="222"/>
      <c r="BPP13" s="222"/>
      <c r="BPQ13" s="222"/>
      <c r="BPR13" s="222"/>
      <c r="BPS13" s="222"/>
      <c r="BPT13" s="222"/>
      <c r="BPU13" s="222"/>
      <c r="BPV13" s="222"/>
      <c r="BPW13" s="222"/>
      <c r="BPX13" s="222"/>
      <c r="BPY13" s="222"/>
      <c r="BPZ13" s="222"/>
      <c r="BQA13" s="222"/>
      <c r="BQB13" s="222"/>
      <c r="BQC13" s="222"/>
      <c r="BQD13" s="222"/>
      <c r="BQE13" s="222"/>
      <c r="BQF13" s="222"/>
      <c r="BQG13" s="222"/>
      <c r="BQH13" s="222"/>
      <c r="BQI13" s="222"/>
      <c r="BQJ13" s="222"/>
      <c r="BQK13" s="222"/>
      <c r="BQL13" s="222"/>
      <c r="BQM13" s="222"/>
      <c r="BQN13" s="222"/>
      <c r="BQO13" s="222"/>
      <c r="BQP13" s="222"/>
      <c r="BQQ13" s="222"/>
      <c r="BQR13" s="222"/>
      <c r="BQS13" s="222"/>
      <c r="BQT13" s="222"/>
      <c r="BQU13" s="222"/>
      <c r="BQV13" s="222"/>
      <c r="BQW13" s="222"/>
      <c r="BQX13" s="222"/>
      <c r="BQY13" s="222"/>
      <c r="BQZ13" s="222"/>
      <c r="BRA13" s="222"/>
      <c r="BRB13" s="222"/>
      <c r="BRC13" s="222"/>
      <c r="BRD13" s="222"/>
      <c r="BRE13" s="222"/>
      <c r="BRF13" s="222"/>
      <c r="BRG13" s="222"/>
      <c r="BRH13" s="222"/>
      <c r="BRI13" s="222"/>
      <c r="BRJ13" s="222"/>
      <c r="BRK13" s="222"/>
      <c r="BRL13" s="222"/>
      <c r="BRM13" s="222"/>
      <c r="BRN13" s="222"/>
      <c r="BRO13" s="222"/>
      <c r="BRP13" s="222"/>
      <c r="BRQ13" s="222"/>
      <c r="BRR13" s="222"/>
      <c r="BRS13" s="222"/>
      <c r="BRT13" s="222"/>
      <c r="BRU13" s="222"/>
      <c r="BRV13" s="222"/>
      <c r="BRW13" s="222"/>
      <c r="BRX13" s="222"/>
      <c r="BRY13" s="222"/>
      <c r="BRZ13" s="222"/>
      <c r="BSA13" s="222"/>
      <c r="BSB13" s="222"/>
      <c r="BSC13" s="222"/>
      <c r="BSD13" s="222"/>
      <c r="BSE13" s="222"/>
      <c r="BSF13" s="222"/>
      <c r="BSG13" s="222"/>
      <c r="BSH13" s="222"/>
      <c r="BSI13" s="222"/>
      <c r="BSJ13" s="222"/>
      <c r="BSK13" s="222"/>
      <c r="BSL13" s="222"/>
      <c r="BSM13" s="222"/>
      <c r="BSN13" s="222"/>
      <c r="BSO13" s="222"/>
      <c r="BSP13" s="222"/>
      <c r="BSQ13" s="222"/>
      <c r="BSR13" s="222"/>
      <c r="BSS13" s="222"/>
      <c r="BST13" s="222"/>
      <c r="BSU13" s="222"/>
      <c r="BSV13" s="222"/>
      <c r="BSW13" s="222"/>
      <c r="BSX13" s="222"/>
      <c r="BSY13" s="222"/>
      <c r="BSZ13" s="222"/>
      <c r="BTA13" s="222"/>
      <c r="BTB13" s="222"/>
      <c r="BTC13" s="222"/>
      <c r="BTD13" s="222"/>
      <c r="BTE13" s="222"/>
      <c r="BTF13" s="222"/>
      <c r="BTG13" s="222"/>
      <c r="BTH13" s="222"/>
      <c r="BTI13" s="222"/>
      <c r="BTJ13" s="222"/>
      <c r="BTK13" s="222"/>
      <c r="BTL13" s="222"/>
      <c r="BTM13" s="222"/>
      <c r="BTN13" s="222"/>
      <c r="BTO13" s="222"/>
      <c r="BTP13" s="222"/>
      <c r="BTQ13" s="222"/>
      <c r="BTR13" s="222"/>
      <c r="BTS13" s="222"/>
      <c r="BTT13" s="222"/>
      <c r="BTU13" s="222"/>
      <c r="BTV13" s="222"/>
      <c r="BTW13" s="222"/>
      <c r="BTX13" s="222"/>
      <c r="BTY13" s="222"/>
      <c r="BTZ13" s="222"/>
      <c r="BUA13" s="222"/>
      <c r="BUB13" s="222"/>
      <c r="BUC13" s="222"/>
      <c r="BUD13" s="222"/>
      <c r="BUE13" s="222"/>
      <c r="BUF13" s="222"/>
      <c r="BUG13" s="222"/>
      <c r="BUH13" s="222"/>
      <c r="BUI13" s="222"/>
      <c r="BUJ13" s="222"/>
      <c r="BUK13" s="222"/>
      <c r="BUL13" s="222"/>
      <c r="BUM13" s="222"/>
      <c r="BUN13" s="222"/>
      <c r="BUO13" s="222"/>
      <c r="BUP13" s="222"/>
      <c r="BUQ13" s="222"/>
      <c r="BUR13" s="222"/>
      <c r="BUS13" s="222"/>
      <c r="BUT13" s="222"/>
      <c r="BUU13" s="222"/>
      <c r="BUV13" s="222"/>
      <c r="BUW13" s="222"/>
      <c r="BUX13" s="222"/>
      <c r="BUY13" s="222"/>
      <c r="BUZ13" s="222"/>
      <c r="BVA13" s="222"/>
      <c r="BVB13" s="222"/>
      <c r="BVC13" s="222"/>
      <c r="BVD13" s="222"/>
      <c r="BVE13" s="222"/>
      <c r="BVF13" s="222"/>
      <c r="BVG13" s="222"/>
      <c r="BVH13" s="222"/>
      <c r="BVI13" s="222"/>
      <c r="BVJ13" s="222"/>
      <c r="BVK13" s="222"/>
      <c r="BVL13" s="222"/>
      <c r="BVM13" s="222"/>
      <c r="BVN13" s="222"/>
      <c r="BVO13" s="222"/>
      <c r="BVP13" s="222"/>
      <c r="BVQ13" s="222"/>
      <c r="BVR13" s="222"/>
      <c r="BVS13" s="222"/>
      <c r="BVT13" s="222"/>
      <c r="BVU13" s="222"/>
      <c r="BVV13" s="222"/>
      <c r="BVW13" s="222"/>
      <c r="BVX13" s="222"/>
      <c r="BVY13" s="222"/>
      <c r="BVZ13" s="222"/>
      <c r="BWA13" s="222"/>
      <c r="BWB13" s="222"/>
      <c r="BWC13" s="222"/>
      <c r="BWD13" s="222"/>
      <c r="BWE13" s="222"/>
      <c r="BWF13" s="222"/>
      <c r="BWG13" s="222"/>
      <c r="BWH13" s="222"/>
      <c r="BWI13" s="222"/>
      <c r="BWJ13" s="222"/>
      <c r="BWK13" s="222"/>
      <c r="BWL13" s="222"/>
      <c r="BWM13" s="222"/>
      <c r="BWN13" s="222"/>
      <c r="BWO13" s="222"/>
      <c r="BWP13" s="222"/>
      <c r="BWQ13" s="222"/>
      <c r="BWR13" s="222"/>
      <c r="BWS13" s="222"/>
      <c r="BWT13" s="222"/>
      <c r="BWU13" s="222"/>
      <c r="BWV13" s="222"/>
      <c r="BWW13" s="222"/>
      <c r="BWX13" s="222"/>
      <c r="BWY13" s="222"/>
      <c r="BWZ13" s="222"/>
      <c r="BXA13" s="222"/>
      <c r="BXB13" s="222"/>
      <c r="BXC13" s="222"/>
      <c r="BXD13" s="222"/>
      <c r="BXE13" s="222"/>
      <c r="BXF13" s="222"/>
      <c r="BXG13" s="222"/>
      <c r="BXH13" s="222"/>
      <c r="BXI13" s="222"/>
      <c r="BXJ13" s="222"/>
      <c r="BXK13" s="222"/>
      <c r="BXL13" s="222"/>
      <c r="BXM13" s="222"/>
      <c r="BXN13" s="222"/>
      <c r="BXO13" s="222"/>
      <c r="BXP13" s="222"/>
      <c r="BXQ13" s="222"/>
      <c r="BXR13" s="222"/>
      <c r="BXS13" s="222"/>
      <c r="BXT13" s="222"/>
      <c r="BXU13" s="222"/>
      <c r="BXV13" s="222"/>
      <c r="BXW13" s="222"/>
      <c r="BXX13" s="222"/>
      <c r="BXY13" s="222"/>
      <c r="BXZ13" s="222"/>
      <c r="BYA13" s="222"/>
      <c r="BYB13" s="222"/>
      <c r="BYC13" s="222"/>
      <c r="BYD13" s="222"/>
      <c r="BYE13" s="222"/>
      <c r="BYF13" s="222"/>
      <c r="BYG13" s="222"/>
      <c r="BYH13" s="222"/>
      <c r="BYI13" s="222"/>
      <c r="BYJ13" s="222"/>
      <c r="BYK13" s="222"/>
      <c r="BYL13" s="222"/>
      <c r="BYM13" s="222"/>
      <c r="BYN13" s="222"/>
      <c r="BYO13" s="222"/>
      <c r="BYP13" s="222"/>
      <c r="BYQ13" s="222"/>
      <c r="BYR13" s="222"/>
      <c r="BYS13" s="222"/>
      <c r="BYT13" s="222"/>
      <c r="BYU13" s="222"/>
      <c r="BYV13" s="222"/>
      <c r="BYW13" s="222"/>
      <c r="BYX13" s="222"/>
      <c r="BYY13" s="222"/>
      <c r="BYZ13" s="222"/>
      <c r="BZA13" s="222"/>
      <c r="BZB13" s="222"/>
      <c r="BZC13" s="222"/>
      <c r="BZD13" s="222"/>
      <c r="BZE13" s="222"/>
      <c r="BZF13" s="222"/>
      <c r="BZG13" s="222"/>
      <c r="BZH13" s="222"/>
      <c r="BZI13" s="222"/>
      <c r="BZJ13" s="222"/>
      <c r="BZK13" s="222"/>
      <c r="BZL13" s="222"/>
      <c r="BZM13" s="222"/>
      <c r="BZN13" s="222"/>
      <c r="BZO13" s="222"/>
      <c r="BZP13" s="222"/>
      <c r="BZQ13" s="222"/>
      <c r="BZR13" s="222"/>
      <c r="BZS13" s="222"/>
      <c r="BZT13" s="222"/>
      <c r="BZU13" s="222"/>
      <c r="BZV13" s="222"/>
      <c r="BZW13" s="222"/>
      <c r="BZX13" s="222"/>
      <c r="BZY13" s="222"/>
      <c r="BZZ13" s="222"/>
      <c r="CAA13" s="222"/>
      <c r="CAB13" s="222"/>
      <c r="CAC13" s="222"/>
      <c r="CAD13" s="222"/>
      <c r="CAE13" s="222"/>
      <c r="CAF13" s="222"/>
      <c r="CAG13" s="222"/>
      <c r="CAH13" s="222"/>
      <c r="CAI13" s="222"/>
      <c r="CAJ13" s="222"/>
      <c r="CAK13" s="222"/>
      <c r="CAL13" s="222"/>
      <c r="CAM13" s="222"/>
      <c r="CAN13" s="222"/>
      <c r="CAO13" s="222"/>
      <c r="CAP13" s="222"/>
      <c r="CAQ13" s="222"/>
      <c r="CAR13" s="222"/>
      <c r="CAS13" s="222"/>
      <c r="CAT13" s="222"/>
      <c r="CAU13" s="222"/>
      <c r="CAV13" s="222"/>
      <c r="CAW13" s="222"/>
      <c r="CAX13" s="222"/>
      <c r="CAY13" s="222"/>
      <c r="CAZ13" s="222"/>
      <c r="CBA13" s="222"/>
      <c r="CBB13" s="222"/>
      <c r="CBC13" s="222"/>
      <c r="CBD13" s="222"/>
      <c r="CBE13" s="222"/>
      <c r="CBF13" s="222"/>
      <c r="CBG13" s="222"/>
      <c r="CBH13" s="222"/>
      <c r="CBI13" s="222"/>
      <c r="CBJ13" s="222"/>
      <c r="CBK13" s="222"/>
      <c r="CBL13" s="222"/>
      <c r="CBM13" s="222"/>
      <c r="CBN13" s="222"/>
      <c r="CBO13" s="222"/>
      <c r="CBP13" s="222"/>
      <c r="CBQ13" s="222"/>
      <c r="CBR13" s="222"/>
      <c r="CBS13" s="222"/>
      <c r="CBT13" s="222"/>
      <c r="CBU13" s="222"/>
      <c r="CBV13" s="222"/>
      <c r="CBW13" s="222"/>
      <c r="CBX13" s="222"/>
      <c r="CBY13" s="222"/>
      <c r="CBZ13" s="222"/>
      <c r="CCA13" s="222"/>
      <c r="CCB13" s="222"/>
      <c r="CCC13" s="222"/>
      <c r="CCD13" s="222"/>
      <c r="CCE13" s="222"/>
      <c r="CCF13" s="222"/>
      <c r="CCG13" s="222"/>
      <c r="CCH13" s="222"/>
      <c r="CCI13" s="222"/>
      <c r="CCJ13" s="222"/>
      <c r="CCK13" s="222"/>
      <c r="CCL13" s="222"/>
      <c r="CCM13" s="222"/>
      <c r="CCN13" s="222"/>
      <c r="CCO13" s="222"/>
      <c r="CCP13" s="222"/>
      <c r="CCQ13" s="222"/>
      <c r="CCR13" s="222"/>
      <c r="CCS13" s="222"/>
      <c r="CCT13" s="222"/>
      <c r="CCU13" s="222"/>
      <c r="CCV13" s="222"/>
      <c r="CCW13" s="222"/>
      <c r="CCX13" s="222"/>
      <c r="CCY13" s="222"/>
      <c r="CCZ13" s="222"/>
      <c r="CDA13" s="222"/>
      <c r="CDB13" s="222"/>
      <c r="CDC13" s="222"/>
      <c r="CDD13" s="222"/>
      <c r="CDE13" s="222"/>
      <c r="CDF13" s="222"/>
      <c r="CDG13" s="222"/>
      <c r="CDH13" s="222"/>
      <c r="CDI13" s="222"/>
      <c r="CDJ13" s="222"/>
      <c r="CDK13" s="222"/>
      <c r="CDL13" s="222"/>
      <c r="CDM13" s="222"/>
      <c r="CDN13" s="222"/>
      <c r="CDO13" s="222"/>
      <c r="CDP13" s="222"/>
      <c r="CDQ13" s="222"/>
      <c r="CDR13" s="222"/>
      <c r="CDS13" s="222"/>
      <c r="CDT13" s="222"/>
      <c r="CDU13" s="222"/>
      <c r="CDV13" s="222"/>
      <c r="CDW13" s="222"/>
      <c r="CDX13" s="222"/>
      <c r="CDY13" s="222"/>
      <c r="CDZ13" s="222"/>
      <c r="CEA13" s="222"/>
      <c r="CEB13" s="222"/>
      <c r="CEC13" s="222"/>
      <c r="CED13" s="222"/>
      <c r="CEE13" s="222"/>
      <c r="CEF13" s="222"/>
      <c r="CEG13" s="222"/>
      <c r="CEH13" s="222"/>
      <c r="CEI13" s="222"/>
      <c r="CEJ13" s="222"/>
      <c r="CEK13" s="222"/>
      <c r="CEL13" s="222"/>
      <c r="CEM13" s="222"/>
      <c r="CEN13" s="222"/>
      <c r="CEO13" s="222"/>
      <c r="CEP13" s="222"/>
      <c r="CEQ13" s="222"/>
      <c r="CER13" s="222"/>
      <c r="CES13" s="222"/>
      <c r="CET13" s="222"/>
      <c r="CEU13" s="222"/>
      <c r="CEV13" s="222"/>
      <c r="CEW13" s="222"/>
      <c r="CEX13" s="222"/>
      <c r="CEY13" s="222"/>
      <c r="CEZ13" s="222"/>
      <c r="CFA13" s="222"/>
      <c r="CFB13" s="222"/>
      <c r="CFC13" s="222"/>
      <c r="CFD13" s="222"/>
      <c r="CFE13" s="222"/>
      <c r="CFF13" s="222"/>
      <c r="CFG13" s="222"/>
      <c r="CFH13" s="222"/>
      <c r="CFI13" s="222"/>
      <c r="CFJ13" s="222"/>
      <c r="CFK13" s="222"/>
      <c r="CFL13" s="222"/>
      <c r="CFM13" s="222"/>
      <c r="CFN13" s="222"/>
      <c r="CFO13" s="222"/>
      <c r="CFP13" s="222"/>
      <c r="CFQ13" s="222"/>
      <c r="CFR13" s="222"/>
      <c r="CFS13" s="222"/>
      <c r="CFT13" s="222"/>
      <c r="CFU13" s="222"/>
      <c r="CFV13" s="222"/>
      <c r="CFW13" s="222"/>
      <c r="CFX13" s="222"/>
      <c r="CFY13" s="222"/>
      <c r="CFZ13" s="222"/>
      <c r="CGA13" s="222"/>
      <c r="CGB13" s="222"/>
      <c r="CGC13" s="222"/>
      <c r="CGD13" s="222"/>
      <c r="CGE13" s="222"/>
      <c r="CGF13" s="222"/>
      <c r="CGG13" s="222"/>
      <c r="CGH13" s="222"/>
      <c r="CGI13" s="222"/>
      <c r="CGJ13" s="222"/>
      <c r="CGK13" s="222"/>
      <c r="CGL13" s="222"/>
      <c r="CGM13" s="222"/>
      <c r="CGN13" s="222"/>
      <c r="CGO13" s="222"/>
      <c r="CGP13" s="222"/>
      <c r="CGQ13" s="222"/>
      <c r="CGR13" s="222"/>
      <c r="CGS13" s="222"/>
      <c r="CGT13" s="222"/>
      <c r="CGU13" s="222"/>
      <c r="CGV13" s="222"/>
      <c r="CGW13" s="222"/>
      <c r="CGX13" s="222"/>
      <c r="CGY13" s="222"/>
      <c r="CGZ13" s="222"/>
      <c r="CHA13" s="222"/>
      <c r="CHB13" s="222"/>
      <c r="CHC13" s="222"/>
      <c r="CHD13" s="222"/>
      <c r="CHE13" s="222"/>
      <c r="CHF13" s="222"/>
      <c r="CHG13" s="222"/>
      <c r="CHH13" s="222"/>
      <c r="CHI13" s="222"/>
      <c r="CHJ13" s="222"/>
      <c r="CHK13" s="222"/>
      <c r="CHL13" s="222"/>
      <c r="CHM13" s="222"/>
      <c r="CHN13" s="222"/>
      <c r="CHO13" s="222"/>
      <c r="CHP13" s="222"/>
      <c r="CHQ13" s="222"/>
      <c r="CHR13" s="222"/>
      <c r="CHS13" s="222"/>
      <c r="CHT13" s="222"/>
      <c r="CHU13" s="222"/>
      <c r="CHV13" s="222"/>
      <c r="CHW13" s="222"/>
      <c r="CHX13" s="222"/>
      <c r="CHY13" s="222"/>
      <c r="CHZ13" s="222"/>
      <c r="CIA13" s="222"/>
      <c r="CIB13" s="222"/>
      <c r="CIC13" s="222"/>
      <c r="CID13" s="222"/>
      <c r="CIE13" s="222"/>
      <c r="CIF13" s="222"/>
      <c r="CIG13" s="222"/>
      <c r="CIH13" s="222"/>
      <c r="CII13" s="222"/>
      <c r="CIJ13" s="222"/>
      <c r="CIK13" s="222"/>
      <c r="CIL13" s="222"/>
      <c r="CIM13" s="222"/>
      <c r="CIN13" s="222"/>
      <c r="CIO13" s="222"/>
      <c r="CIP13" s="222"/>
      <c r="CIQ13" s="222"/>
      <c r="CIR13" s="222"/>
      <c r="CIS13" s="222"/>
      <c r="CIT13" s="222"/>
      <c r="CIU13" s="222"/>
      <c r="CIV13" s="222"/>
      <c r="CIW13" s="222"/>
      <c r="CIX13" s="222"/>
      <c r="CIY13" s="222"/>
      <c r="CIZ13" s="222"/>
      <c r="CJA13" s="222"/>
      <c r="CJB13" s="222"/>
      <c r="CJC13" s="222"/>
      <c r="CJD13" s="222"/>
      <c r="CJE13" s="222"/>
      <c r="CJF13" s="222"/>
      <c r="CJG13" s="222"/>
      <c r="CJH13" s="222"/>
      <c r="CJI13" s="222"/>
      <c r="CJJ13" s="222"/>
      <c r="CJK13" s="222"/>
      <c r="CJL13" s="222"/>
      <c r="CJM13" s="222"/>
      <c r="CJN13" s="222"/>
      <c r="CJO13" s="222"/>
      <c r="CJP13" s="222"/>
      <c r="CJQ13" s="222"/>
      <c r="CJR13" s="222"/>
      <c r="CJS13" s="222"/>
      <c r="CJT13" s="222"/>
      <c r="CJU13" s="222"/>
      <c r="CJV13" s="222"/>
      <c r="CJW13" s="222"/>
      <c r="CJX13" s="222"/>
      <c r="CJY13" s="222"/>
      <c r="CJZ13" s="222"/>
      <c r="CKA13" s="222"/>
      <c r="CKB13" s="222"/>
      <c r="CKC13" s="222"/>
      <c r="CKD13" s="222"/>
      <c r="CKE13" s="222"/>
      <c r="CKF13" s="222"/>
      <c r="CKG13" s="222"/>
      <c r="CKH13" s="222"/>
      <c r="CKI13" s="222"/>
      <c r="CKJ13" s="222"/>
      <c r="CKK13" s="222"/>
      <c r="CKL13" s="222"/>
      <c r="CKM13" s="222"/>
      <c r="CKN13" s="222"/>
      <c r="CKO13" s="222"/>
      <c r="CKP13" s="222"/>
      <c r="CKQ13" s="222"/>
      <c r="CKR13" s="222"/>
      <c r="CKS13" s="222"/>
      <c r="CKT13" s="222"/>
      <c r="CKU13" s="222"/>
      <c r="CKV13" s="222"/>
      <c r="CKW13" s="222"/>
      <c r="CKX13" s="222"/>
      <c r="CKY13" s="222"/>
      <c r="CKZ13" s="222"/>
      <c r="CLA13" s="222"/>
      <c r="CLB13" s="222"/>
      <c r="CLC13" s="222"/>
      <c r="CLD13" s="222"/>
      <c r="CLE13" s="222"/>
      <c r="CLF13" s="222"/>
      <c r="CLG13" s="222"/>
      <c r="CLH13" s="222"/>
      <c r="CLI13" s="222"/>
      <c r="CLJ13" s="222"/>
      <c r="CLK13" s="222"/>
      <c r="CLL13" s="222"/>
      <c r="CLM13" s="222"/>
      <c r="CLN13" s="222"/>
      <c r="CLO13" s="222"/>
      <c r="CLP13" s="222"/>
      <c r="CLQ13" s="222"/>
      <c r="CLR13" s="222"/>
      <c r="CLS13" s="222"/>
      <c r="CLT13" s="222"/>
      <c r="CLU13" s="222"/>
      <c r="CLV13" s="222"/>
      <c r="CLW13" s="222"/>
      <c r="CLX13" s="222"/>
      <c r="CLY13" s="222"/>
      <c r="CLZ13" s="222"/>
      <c r="CMA13" s="222"/>
      <c r="CMB13" s="222"/>
      <c r="CMC13" s="222"/>
      <c r="CMD13" s="222"/>
      <c r="CME13" s="222"/>
      <c r="CMF13" s="222"/>
      <c r="CMG13" s="222"/>
      <c r="CMH13" s="222"/>
      <c r="CMI13" s="222"/>
      <c r="CMJ13" s="222"/>
      <c r="CMK13" s="222"/>
      <c r="CML13" s="222"/>
      <c r="CMM13" s="222"/>
      <c r="CMN13" s="222"/>
      <c r="CMO13" s="222"/>
      <c r="CMP13" s="222"/>
      <c r="CMQ13" s="222"/>
      <c r="CMR13" s="222"/>
      <c r="CMS13" s="222"/>
      <c r="CMT13" s="222"/>
      <c r="CMU13" s="222"/>
      <c r="CMV13" s="222"/>
      <c r="CMW13" s="222"/>
      <c r="CMX13" s="222"/>
      <c r="CMY13" s="222"/>
      <c r="CMZ13" s="222"/>
      <c r="CNA13" s="222"/>
      <c r="CNB13" s="222"/>
      <c r="CNC13" s="222"/>
      <c r="CND13" s="222"/>
      <c r="CNE13" s="222"/>
      <c r="CNF13" s="222"/>
      <c r="CNG13" s="222"/>
      <c r="CNH13" s="222"/>
      <c r="CNI13" s="222"/>
      <c r="CNJ13" s="222"/>
      <c r="CNK13" s="222"/>
      <c r="CNL13" s="222"/>
      <c r="CNM13" s="222"/>
      <c r="CNN13" s="222"/>
      <c r="CNO13" s="222"/>
      <c r="CNP13" s="222"/>
      <c r="CNQ13" s="222"/>
      <c r="CNR13" s="222"/>
      <c r="CNS13" s="222"/>
      <c r="CNT13" s="222"/>
      <c r="CNU13" s="222"/>
      <c r="CNV13" s="222"/>
      <c r="CNW13" s="222"/>
      <c r="CNX13" s="222"/>
      <c r="CNY13" s="222"/>
      <c r="CNZ13" s="222"/>
      <c r="COA13" s="222"/>
      <c r="COB13" s="222"/>
      <c r="COC13" s="222"/>
      <c r="COD13" s="222"/>
      <c r="COE13" s="222"/>
      <c r="COF13" s="222"/>
      <c r="COG13" s="222"/>
      <c r="COH13" s="222"/>
      <c r="COI13" s="222"/>
      <c r="COJ13" s="222"/>
      <c r="COK13" s="222"/>
      <c r="COL13" s="222"/>
      <c r="COM13" s="222"/>
      <c r="CON13" s="222"/>
      <c r="COO13" s="222"/>
      <c r="COP13" s="222"/>
      <c r="COQ13" s="222"/>
      <c r="COR13" s="222"/>
      <c r="COS13" s="222"/>
      <c r="COT13" s="222"/>
      <c r="COU13" s="222"/>
      <c r="COV13" s="222"/>
      <c r="COW13" s="222"/>
      <c r="COX13" s="222"/>
      <c r="COY13" s="222"/>
      <c r="COZ13" s="222"/>
      <c r="CPA13" s="222"/>
      <c r="CPB13" s="222"/>
      <c r="CPC13" s="222"/>
      <c r="CPD13" s="222"/>
      <c r="CPE13" s="222"/>
      <c r="CPF13" s="222"/>
      <c r="CPG13" s="222"/>
      <c r="CPH13" s="222"/>
      <c r="CPI13" s="222"/>
      <c r="CPJ13" s="222"/>
      <c r="CPK13" s="222"/>
      <c r="CPL13" s="222"/>
      <c r="CPM13" s="222"/>
      <c r="CPN13" s="222"/>
      <c r="CPO13" s="222"/>
      <c r="CPP13" s="222"/>
      <c r="CPQ13" s="222"/>
      <c r="CPR13" s="222"/>
      <c r="CPS13" s="222"/>
      <c r="CPT13" s="222"/>
      <c r="CPU13" s="222"/>
      <c r="CPV13" s="222"/>
      <c r="CPW13" s="222"/>
      <c r="CPX13" s="222"/>
      <c r="CPY13" s="222"/>
      <c r="CPZ13" s="222"/>
      <c r="CQA13" s="222"/>
      <c r="CQB13" s="222"/>
      <c r="CQC13" s="222"/>
      <c r="CQD13" s="222"/>
      <c r="CQE13" s="222"/>
      <c r="CQF13" s="222"/>
      <c r="CQG13" s="222"/>
      <c r="CQH13" s="222"/>
      <c r="CQI13" s="222"/>
      <c r="CQJ13" s="222"/>
      <c r="CQK13" s="222"/>
      <c r="CQL13" s="222"/>
      <c r="CQM13" s="222"/>
      <c r="CQN13" s="222"/>
      <c r="CQO13" s="222"/>
      <c r="CQP13" s="222"/>
      <c r="CQQ13" s="222"/>
      <c r="CQR13" s="222"/>
      <c r="CQS13" s="222"/>
      <c r="CQT13" s="222"/>
      <c r="CQU13" s="222"/>
      <c r="CQV13" s="222"/>
      <c r="CQW13" s="222"/>
      <c r="CQX13" s="222"/>
      <c r="CQY13" s="222"/>
      <c r="CQZ13" s="222"/>
      <c r="CRA13" s="222"/>
      <c r="CRB13" s="222"/>
      <c r="CRC13" s="222"/>
      <c r="CRD13" s="222"/>
      <c r="CRE13" s="222"/>
      <c r="CRF13" s="222"/>
      <c r="CRG13" s="222"/>
      <c r="CRH13" s="222"/>
      <c r="CRI13" s="222"/>
      <c r="CRJ13" s="222"/>
      <c r="CRK13" s="222"/>
      <c r="CRL13" s="222"/>
      <c r="CRM13" s="222"/>
      <c r="CRN13" s="222"/>
      <c r="CRO13" s="222"/>
      <c r="CRP13" s="222"/>
      <c r="CRQ13" s="222"/>
      <c r="CRR13" s="222"/>
      <c r="CRS13" s="222"/>
      <c r="CRT13" s="222"/>
      <c r="CRU13" s="222"/>
      <c r="CRV13" s="222"/>
      <c r="CRW13" s="222"/>
      <c r="CRX13" s="222"/>
      <c r="CRY13" s="222"/>
      <c r="CRZ13" s="222"/>
      <c r="CSA13" s="222"/>
      <c r="CSB13" s="222"/>
      <c r="CSC13" s="222"/>
      <c r="CSD13" s="222"/>
      <c r="CSE13" s="222"/>
      <c r="CSF13" s="222"/>
      <c r="CSG13" s="222"/>
      <c r="CSH13" s="222"/>
      <c r="CSI13" s="222"/>
      <c r="CSJ13" s="222"/>
      <c r="CSK13" s="222"/>
      <c r="CSL13" s="222"/>
      <c r="CSM13" s="222"/>
      <c r="CSN13" s="222"/>
      <c r="CSO13" s="222"/>
      <c r="CSP13" s="222"/>
      <c r="CSQ13" s="222"/>
      <c r="CSR13" s="222"/>
      <c r="CSS13" s="222"/>
      <c r="CST13" s="222"/>
      <c r="CSU13" s="222"/>
      <c r="CSV13" s="222"/>
      <c r="CSW13" s="222"/>
      <c r="CSX13" s="222"/>
      <c r="CSY13" s="222"/>
      <c r="CSZ13" s="222"/>
      <c r="CTA13" s="222"/>
      <c r="CTB13" s="222"/>
      <c r="CTC13" s="222"/>
      <c r="CTD13" s="222"/>
      <c r="CTE13" s="222"/>
      <c r="CTF13" s="222"/>
      <c r="CTG13" s="222"/>
      <c r="CTH13" s="222"/>
      <c r="CTI13" s="222"/>
      <c r="CTJ13" s="222"/>
      <c r="CTK13" s="222"/>
      <c r="CTL13" s="222"/>
      <c r="CTM13" s="222"/>
      <c r="CTN13" s="222"/>
      <c r="CTO13" s="222"/>
      <c r="CTP13" s="222"/>
      <c r="CTQ13" s="222"/>
      <c r="CTR13" s="222"/>
      <c r="CTS13" s="222"/>
      <c r="CTT13" s="222"/>
      <c r="CTU13" s="222"/>
      <c r="CTV13" s="222"/>
      <c r="CTW13" s="222"/>
      <c r="CTX13" s="222"/>
      <c r="CTY13" s="222"/>
      <c r="CTZ13" s="222"/>
      <c r="CUA13" s="222"/>
      <c r="CUB13" s="222"/>
      <c r="CUC13" s="222"/>
      <c r="CUD13" s="222"/>
      <c r="CUE13" s="222"/>
      <c r="CUF13" s="222"/>
      <c r="CUG13" s="222"/>
      <c r="CUH13" s="222"/>
      <c r="CUI13" s="222"/>
      <c r="CUJ13" s="222"/>
      <c r="CUK13" s="222"/>
      <c r="CUL13" s="222"/>
      <c r="CUM13" s="222"/>
      <c r="CUN13" s="222"/>
      <c r="CUO13" s="222"/>
      <c r="CUP13" s="222"/>
      <c r="CUQ13" s="222"/>
      <c r="CUR13" s="222"/>
      <c r="CUS13" s="222"/>
      <c r="CUT13" s="222"/>
      <c r="CUU13" s="222"/>
      <c r="CUV13" s="222"/>
      <c r="CUW13" s="222"/>
      <c r="CUX13" s="222"/>
      <c r="CUY13" s="222"/>
      <c r="CUZ13" s="222"/>
      <c r="CVA13" s="222"/>
      <c r="CVB13" s="222"/>
      <c r="CVC13" s="222"/>
      <c r="CVD13" s="222"/>
      <c r="CVE13" s="222"/>
      <c r="CVF13" s="222"/>
      <c r="CVG13" s="222"/>
      <c r="CVH13" s="222"/>
      <c r="CVI13" s="222"/>
      <c r="CVJ13" s="222"/>
      <c r="CVK13" s="222"/>
      <c r="CVL13" s="222"/>
      <c r="CVM13" s="222"/>
      <c r="CVN13" s="222"/>
      <c r="CVO13" s="222"/>
      <c r="CVP13" s="222"/>
      <c r="CVQ13" s="222"/>
      <c r="CVR13" s="222"/>
      <c r="CVS13" s="222"/>
      <c r="CVT13" s="222"/>
      <c r="CVU13" s="222"/>
      <c r="CVV13" s="222"/>
      <c r="CVW13" s="222"/>
      <c r="CVX13" s="222"/>
      <c r="CVY13" s="222"/>
      <c r="CVZ13" s="222"/>
      <c r="CWA13" s="222"/>
      <c r="CWB13" s="222"/>
      <c r="CWC13" s="222"/>
      <c r="CWD13" s="222"/>
      <c r="CWE13" s="222"/>
      <c r="CWF13" s="222"/>
      <c r="CWG13" s="222"/>
      <c r="CWH13" s="222"/>
      <c r="CWI13" s="222"/>
      <c r="CWJ13" s="222"/>
      <c r="CWK13" s="222"/>
      <c r="CWL13" s="222"/>
      <c r="CWM13" s="222"/>
      <c r="CWN13" s="222"/>
      <c r="CWO13" s="222"/>
      <c r="CWP13" s="222"/>
      <c r="CWQ13" s="222"/>
      <c r="CWR13" s="222"/>
      <c r="CWS13" s="222"/>
      <c r="CWT13" s="222"/>
      <c r="CWU13" s="222"/>
      <c r="CWV13" s="222"/>
      <c r="CWW13" s="222"/>
      <c r="CWX13" s="222"/>
      <c r="CWY13" s="222"/>
      <c r="CWZ13" s="222"/>
      <c r="CXA13" s="222"/>
      <c r="CXB13" s="222"/>
      <c r="CXC13" s="222"/>
      <c r="CXD13" s="222"/>
      <c r="CXE13" s="222"/>
      <c r="CXF13" s="222"/>
      <c r="CXG13" s="222"/>
      <c r="CXH13" s="222"/>
      <c r="CXI13" s="222"/>
      <c r="CXJ13" s="222"/>
      <c r="CXK13" s="222"/>
      <c r="CXL13" s="222"/>
      <c r="CXM13" s="222"/>
      <c r="CXN13" s="222"/>
      <c r="CXO13" s="222"/>
      <c r="CXP13" s="222"/>
      <c r="CXQ13" s="222"/>
      <c r="CXR13" s="222"/>
      <c r="CXS13" s="222"/>
      <c r="CXT13" s="222"/>
      <c r="CXU13" s="222"/>
      <c r="CXV13" s="222"/>
      <c r="CXW13" s="222"/>
      <c r="CXX13" s="222"/>
      <c r="CXY13" s="222"/>
      <c r="CXZ13" s="222"/>
      <c r="CYA13" s="222"/>
      <c r="CYB13" s="222"/>
      <c r="CYC13" s="222"/>
      <c r="CYD13" s="222"/>
      <c r="CYE13" s="222"/>
      <c r="CYF13" s="222"/>
      <c r="CYG13" s="222"/>
      <c r="CYH13" s="222"/>
      <c r="CYI13" s="222"/>
      <c r="CYJ13" s="222"/>
      <c r="CYK13" s="222"/>
      <c r="CYL13" s="222"/>
      <c r="CYM13" s="222"/>
      <c r="CYN13" s="222"/>
      <c r="CYO13" s="222"/>
      <c r="CYP13" s="222"/>
      <c r="CYQ13" s="222"/>
      <c r="CYR13" s="222"/>
      <c r="CYS13" s="222"/>
      <c r="CYT13" s="222"/>
      <c r="CYU13" s="222"/>
      <c r="CYV13" s="222"/>
      <c r="CYW13" s="222"/>
      <c r="CYX13" s="222"/>
      <c r="CYY13" s="222"/>
      <c r="CYZ13" s="222"/>
      <c r="CZA13" s="222"/>
      <c r="CZB13" s="222"/>
      <c r="CZC13" s="222"/>
      <c r="CZD13" s="222"/>
      <c r="CZE13" s="222"/>
      <c r="CZF13" s="222"/>
      <c r="CZG13" s="222"/>
      <c r="CZH13" s="222"/>
      <c r="CZI13" s="222"/>
      <c r="CZJ13" s="222"/>
      <c r="CZK13" s="222"/>
      <c r="CZL13" s="222"/>
      <c r="CZM13" s="222"/>
      <c r="CZN13" s="222"/>
      <c r="CZO13" s="222"/>
      <c r="CZP13" s="222"/>
      <c r="CZQ13" s="222"/>
      <c r="CZR13" s="222"/>
      <c r="CZS13" s="222"/>
      <c r="CZT13" s="222"/>
      <c r="CZU13" s="222"/>
      <c r="CZV13" s="222"/>
      <c r="CZW13" s="222"/>
      <c r="CZX13" s="222"/>
      <c r="CZY13" s="222"/>
      <c r="CZZ13" s="222"/>
      <c r="DAA13" s="222"/>
      <c r="DAB13" s="222"/>
      <c r="DAC13" s="222"/>
      <c r="DAD13" s="222"/>
      <c r="DAE13" s="222"/>
      <c r="DAF13" s="222"/>
      <c r="DAG13" s="222"/>
      <c r="DAH13" s="222"/>
      <c r="DAI13" s="222"/>
      <c r="DAJ13" s="222"/>
      <c r="DAK13" s="222"/>
      <c r="DAL13" s="222"/>
      <c r="DAM13" s="222"/>
      <c r="DAN13" s="222"/>
      <c r="DAO13" s="222"/>
      <c r="DAP13" s="222"/>
      <c r="DAQ13" s="222"/>
      <c r="DAR13" s="222"/>
      <c r="DAS13" s="222"/>
      <c r="DAT13" s="222"/>
      <c r="DAU13" s="222"/>
      <c r="DAV13" s="222"/>
      <c r="DAW13" s="222"/>
      <c r="DAX13" s="222"/>
      <c r="DAY13" s="222"/>
      <c r="DAZ13" s="222"/>
      <c r="DBA13" s="222"/>
      <c r="DBB13" s="222"/>
      <c r="DBC13" s="222"/>
      <c r="DBD13" s="222"/>
      <c r="DBE13" s="222"/>
      <c r="DBF13" s="222"/>
      <c r="DBG13" s="222"/>
      <c r="DBH13" s="222"/>
      <c r="DBI13" s="222"/>
      <c r="DBJ13" s="222"/>
      <c r="DBK13" s="222"/>
      <c r="DBL13" s="222"/>
      <c r="DBM13" s="222"/>
      <c r="DBN13" s="222"/>
      <c r="DBO13" s="222"/>
      <c r="DBP13" s="222"/>
      <c r="DBQ13" s="222"/>
      <c r="DBR13" s="222"/>
      <c r="DBS13" s="222"/>
      <c r="DBT13" s="222"/>
      <c r="DBU13" s="222"/>
      <c r="DBV13" s="222"/>
      <c r="DBW13" s="222"/>
      <c r="DBX13" s="222"/>
      <c r="DBY13" s="222"/>
      <c r="DBZ13" s="222"/>
      <c r="DCA13" s="222"/>
      <c r="DCB13" s="222"/>
      <c r="DCC13" s="222"/>
      <c r="DCD13" s="222"/>
      <c r="DCE13" s="222"/>
      <c r="DCF13" s="222"/>
      <c r="DCG13" s="222"/>
      <c r="DCH13" s="222"/>
      <c r="DCI13" s="222"/>
      <c r="DCJ13" s="222"/>
      <c r="DCK13" s="222"/>
      <c r="DCL13" s="222"/>
      <c r="DCM13" s="222"/>
      <c r="DCN13" s="222"/>
      <c r="DCO13" s="222"/>
      <c r="DCP13" s="222"/>
      <c r="DCQ13" s="222"/>
      <c r="DCR13" s="222"/>
      <c r="DCS13" s="222"/>
      <c r="DCT13" s="222"/>
      <c r="DCU13" s="222"/>
      <c r="DCV13" s="222"/>
      <c r="DCW13" s="222"/>
      <c r="DCX13" s="222"/>
      <c r="DCY13" s="222"/>
      <c r="DCZ13" s="222"/>
      <c r="DDA13" s="222"/>
      <c r="DDB13" s="222"/>
      <c r="DDC13" s="222"/>
      <c r="DDD13" s="222"/>
      <c r="DDE13" s="222"/>
      <c r="DDF13" s="222"/>
      <c r="DDG13" s="222"/>
      <c r="DDH13" s="222"/>
      <c r="DDI13" s="222"/>
      <c r="DDJ13" s="222"/>
      <c r="DDK13" s="222"/>
      <c r="DDL13" s="222"/>
      <c r="DDM13" s="222"/>
      <c r="DDN13" s="222"/>
      <c r="DDO13" s="222"/>
      <c r="DDP13" s="222"/>
      <c r="DDQ13" s="222"/>
      <c r="DDR13" s="222"/>
      <c r="DDS13" s="222"/>
      <c r="DDT13" s="222"/>
      <c r="DDU13" s="222"/>
      <c r="DDV13" s="222"/>
      <c r="DDW13" s="222"/>
      <c r="DDX13" s="222"/>
      <c r="DDY13" s="222"/>
      <c r="DDZ13" s="222"/>
      <c r="DEA13" s="222"/>
      <c r="DEB13" s="222"/>
      <c r="DEC13" s="222"/>
      <c r="DED13" s="222"/>
      <c r="DEE13" s="222"/>
      <c r="DEF13" s="222"/>
      <c r="DEG13" s="222"/>
      <c r="DEH13" s="222"/>
      <c r="DEI13" s="222"/>
      <c r="DEJ13" s="222"/>
      <c r="DEK13" s="222"/>
      <c r="DEL13" s="222"/>
      <c r="DEM13" s="222"/>
      <c r="DEN13" s="222"/>
      <c r="DEO13" s="222"/>
      <c r="DEP13" s="222"/>
      <c r="DEQ13" s="222"/>
      <c r="DER13" s="222"/>
      <c r="DES13" s="222"/>
      <c r="DET13" s="222"/>
      <c r="DEU13" s="222"/>
      <c r="DEV13" s="222"/>
      <c r="DEW13" s="222"/>
      <c r="DEX13" s="222"/>
      <c r="DEY13" s="222"/>
      <c r="DEZ13" s="222"/>
      <c r="DFA13" s="222"/>
      <c r="DFB13" s="222"/>
      <c r="DFC13" s="222"/>
      <c r="DFD13" s="222"/>
      <c r="DFE13" s="222"/>
      <c r="DFF13" s="222"/>
      <c r="DFG13" s="222"/>
      <c r="DFH13" s="222"/>
      <c r="DFI13" s="222"/>
      <c r="DFJ13" s="222"/>
      <c r="DFK13" s="222"/>
      <c r="DFL13" s="222"/>
      <c r="DFM13" s="222"/>
      <c r="DFN13" s="222"/>
      <c r="DFO13" s="222"/>
      <c r="DFP13" s="222"/>
      <c r="DFQ13" s="222"/>
      <c r="DFR13" s="222"/>
      <c r="DFS13" s="222"/>
      <c r="DFT13" s="222"/>
      <c r="DFU13" s="222"/>
      <c r="DFV13" s="222"/>
      <c r="DFW13" s="222"/>
      <c r="DFX13" s="222"/>
      <c r="DFY13" s="222"/>
      <c r="DFZ13" s="222"/>
      <c r="DGA13" s="222"/>
      <c r="DGB13" s="222"/>
      <c r="DGC13" s="222"/>
      <c r="DGD13" s="222"/>
      <c r="DGE13" s="222"/>
      <c r="DGF13" s="222"/>
      <c r="DGG13" s="222"/>
      <c r="DGH13" s="222"/>
      <c r="DGI13" s="222"/>
      <c r="DGJ13" s="222"/>
      <c r="DGK13" s="222"/>
      <c r="DGL13" s="222"/>
      <c r="DGM13" s="222"/>
      <c r="DGN13" s="222"/>
      <c r="DGO13" s="222"/>
      <c r="DGP13" s="222"/>
      <c r="DGQ13" s="222"/>
      <c r="DGR13" s="222"/>
      <c r="DGS13" s="222"/>
      <c r="DGT13" s="222"/>
      <c r="DGU13" s="222"/>
      <c r="DGV13" s="222"/>
      <c r="DGW13" s="222"/>
      <c r="DGX13" s="222"/>
      <c r="DGY13" s="222"/>
      <c r="DGZ13" s="222"/>
      <c r="DHA13" s="222"/>
      <c r="DHB13" s="222"/>
      <c r="DHC13" s="222"/>
      <c r="DHD13" s="222"/>
      <c r="DHE13" s="222"/>
      <c r="DHF13" s="222"/>
      <c r="DHG13" s="222"/>
      <c r="DHH13" s="222"/>
      <c r="DHI13" s="222"/>
      <c r="DHJ13" s="222"/>
      <c r="DHK13" s="222"/>
      <c r="DHL13" s="222"/>
      <c r="DHM13" s="222"/>
      <c r="DHN13" s="222"/>
      <c r="DHO13" s="222"/>
      <c r="DHP13" s="222"/>
      <c r="DHQ13" s="222"/>
      <c r="DHR13" s="222"/>
      <c r="DHS13" s="222"/>
      <c r="DHT13" s="222"/>
      <c r="DHU13" s="222"/>
      <c r="DHV13" s="222"/>
      <c r="DHW13" s="222"/>
      <c r="DHX13" s="222"/>
      <c r="DHY13" s="222"/>
      <c r="DHZ13" s="222"/>
      <c r="DIA13" s="222"/>
      <c r="DIB13" s="222"/>
      <c r="DIC13" s="222"/>
      <c r="DID13" s="222"/>
      <c r="DIE13" s="222"/>
      <c r="DIF13" s="222"/>
      <c r="DIG13" s="222"/>
      <c r="DIH13" s="222"/>
      <c r="DII13" s="222"/>
      <c r="DIJ13" s="222"/>
      <c r="DIK13" s="222"/>
      <c r="DIL13" s="222"/>
      <c r="DIM13" s="222"/>
      <c r="DIN13" s="222"/>
      <c r="DIO13" s="222"/>
      <c r="DIP13" s="222"/>
      <c r="DIQ13" s="222"/>
      <c r="DIR13" s="222"/>
      <c r="DIS13" s="222"/>
      <c r="DIT13" s="222"/>
      <c r="DIU13" s="222"/>
      <c r="DIV13" s="222"/>
      <c r="DIW13" s="222"/>
      <c r="DIX13" s="222"/>
      <c r="DIY13" s="222"/>
      <c r="DIZ13" s="222"/>
      <c r="DJA13" s="222"/>
      <c r="DJB13" s="222"/>
      <c r="DJC13" s="222"/>
      <c r="DJD13" s="222"/>
      <c r="DJE13" s="222"/>
      <c r="DJF13" s="222"/>
      <c r="DJG13" s="222"/>
      <c r="DJH13" s="222"/>
      <c r="DJI13" s="222"/>
      <c r="DJJ13" s="222"/>
      <c r="DJK13" s="222"/>
      <c r="DJL13" s="222"/>
      <c r="DJM13" s="222"/>
      <c r="DJN13" s="222"/>
      <c r="DJO13" s="222"/>
      <c r="DJP13" s="222"/>
      <c r="DJQ13" s="222"/>
      <c r="DJR13" s="222"/>
      <c r="DJS13" s="222"/>
      <c r="DJT13" s="222"/>
      <c r="DJU13" s="222"/>
      <c r="DJV13" s="222"/>
      <c r="DJW13" s="222"/>
      <c r="DJX13" s="222"/>
      <c r="DJY13" s="222"/>
      <c r="DJZ13" s="222"/>
      <c r="DKA13" s="222"/>
      <c r="DKB13" s="222"/>
      <c r="DKC13" s="222"/>
      <c r="DKD13" s="222"/>
      <c r="DKE13" s="222"/>
      <c r="DKF13" s="222"/>
      <c r="DKG13" s="222"/>
      <c r="DKH13" s="222"/>
      <c r="DKI13" s="222"/>
      <c r="DKJ13" s="222"/>
      <c r="DKK13" s="222"/>
      <c r="DKL13" s="222"/>
      <c r="DKM13" s="222"/>
      <c r="DKN13" s="222"/>
      <c r="DKO13" s="222"/>
      <c r="DKP13" s="222"/>
      <c r="DKQ13" s="222"/>
      <c r="DKR13" s="222"/>
      <c r="DKS13" s="222"/>
      <c r="DKT13" s="222"/>
      <c r="DKU13" s="222"/>
      <c r="DKV13" s="222"/>
      <c r="DKW13" s="222"/>
      <c r="DKX13" s="222"/>
      <c r="DKY13" s="222"/>
      <c r="DKZ13" s="222"/>
      <c r="DLA13" s="222"/>
      <c r="DLB13" s="222"/>
      <c r="DLC13" s="222"/>
      <c r="DLD13" s="222"/>
      <c r="DLE13" s="222"/>
      <c r="DLF13" s="222"/>
      <c r="DLG13" s="222"/>
      <c r="DLH13" s="222"/>
      <c r="DLI13" s="222"/>
      <c r="DLJ13" s="222"/>
      <c r="DLK13" s="222"/>
      <c r="DLL13" s="222"/>
      <c r="DLM13" s="222"/>
      <c r="DLN13" s="222"/>
      <c r="DLO13" s="222"/>
      <c r="DLP13" s="222"/>
      <c r="DLQ13" s="222"/>
      <c r="DLR13" s="222"/>
      <c r="DLS13" s="222"/>
      <c r="DLT13" s="222"/>
      <c r="DLU13" s="222"/>
      <c r="DLV13" s="222"/>
      <c r="DLW13" s="222"/>
      <c r="DLX13" s="222"/>
      <c r="DLY13" s="222"/>
      <c r="DLZ13" s="222"/>
      <c r="DMA13" s="222"/>
      <c r="DMB13" s="222"/>
      <c r="DMC13" s="222"/>
      <c r="DMD13" s="222"/>
      <c r="DME13" s="222"/>
      <c r="DMF13" s="222"/>
      <c r="DMG13" s="222"/>
      <c r="DMH13" s="222"/>
      <c r="DMI13" s="222"/>
      <c r="DMJ13" s="222"/>
      <c r="DMK13" s="222"/>
      <c r="DML13" s="222"/>
      <c r="DMM13" s="222"/>
      <c r="DMN13" s="222"/>
      <c r="DMO13" s="222"/>
      <c r="DMP13" s="222"/>
      <c r="DMQ13" s="222"/>
      <c r="DMR13" s="222"/>
      <c r="DMS13" s="222"/>
      <c r="DMT13" s="222"/>
      <c r="DMU13" s="222"/>
      <c r="DMV13" s="222"/>
      <c r="DMW13" s="222"/>
      <c r="DMX13" s="222"/>
      <c r="DMY13" s="222"/>
      <c r="DMZ13" s="222"/>
      <c r="DNA13" s="222"/>
      <c r="DNB13" s="222"/>
      <c r="DNC13" s="222"/>
      <c r="DND13" s="222"/>
      <c r="DNE13" s="222"/>
      <c r="DNF13" s="222"/>
      <c r="DNG13" s="222"/>
      <c r="DNH13" s="222"/>
      <c r="DNI13" s="222"/>
      <c r="DNJ13" s="222"/>
      <c r="DNK13" s="222"/>
      <c r="DNL13" s="222"/>
      <c r="DNM13" s="222"/>
      <c r="DNN13" s="222"/>
      <c r="DNO13" s="222"/>
      <c r="DNP13" s="222"/>
      <c r="DNQ13" s="222"/>
      <c r="DNR13" s="222"/>
      <c r="DNS13" s="222"/>
      <c r="DNT13" s="222"/>
      <c r="DNU13" s="222"/>
      <c r="DNV13" s="222"/>
      <c r="DNW13" s="222"/>
      <c r="DNX13" s="222"/>
      <c r="DNY13" s="222"/>
      <c r="DNZ13" s="222"/>
      <c r="DOA13" s="222"/>
      <c r="DOB13" s="222"/>
      <c r="DOC13" s="222"/>
      <c r="DOD13" s="222"/>
      <c r="DOE13" s="222"/>
      <c r="DOF13" s="222"/>
      <c r="DOG13" s="222"/>
      <c r="DOH13" s="222"/>
      <c r="DOI13" s="222"/>
      <c r="DOJ13" s="222"/>
      <c r="DOK13" s="222"/>
      <c r="DOL13" s="222"/>
      <c r="DOM13" s="222"/>
      <c r="DON13" s="222"/>
      <c r="DOO13" s="222"/>
      <c r="DOP13" s="222"/>
      <c r="DOQ13" s="222"/>
      <c r="DOR13" s="222"/>
      <c r="DOS13" s="222"/>
      <c r="DOT13" s="222"/>
      <c r="DOU13" s="222"/>
      <c r="DOV13" s="222"/>
      <c r="DOW13" s="222"/>
      <c r="DOX13" s="222"/>
      <c r="DOY13" s="222"/>
      <c r="DOZ13" s="222"/>
      <c r="DPA13" s="222"/>
      <c r="DPB13" s="222"/>
      <c r="DPC13" s="222"/>
      <c r="DPD13" s="222"/>
      <c r="DPE13" s="222"/>
      <c r="DPF13" s="222"/>
      <c r="DPG13" s="222"/>
      <c r="DPH13" s="222"/>
      <c r="DPI13" s="222"/>
      <c r="DPJ13" s="222"/>
      <c r="DPK13" s="222"/>
      <c r="DPL13" s="222"/>
      <c r="DPM13" s="222"/>
      <c r="DPN13" s="222"/>
      <c r="DPO13" s="222"/>
      <c r="DPP13" s="222"/>
      <c r="DPQ13" s="222"/>
      <c r="DPR13" s="222"/>
      <c r="DPS13" s="222"/>
      <c r="DPT13" s="222"/>
      <c r="DPU13" s="222"/>
      <c r="DPV13" s="222"/>
      <c r="DPW13" s="222"/>
      <c r="DPX13" s="222"/>
      <c r="DPY13" s="222"/>
      <c r="DPZ13" s="222"/>
      <c r="DQA13" s="222"/>
      <c r="DQB13" s="222"/>
      <c r="DQC13" s="222"/>
      <c r="DQD13" s="222"/>
      <c r="DQE13" s="222"/>
      <c r="DQF13" s="222"/>
      <c r="DQG13" s="222"/>
      <c r="DQH13" s="222"/>
      <c r="DQI13" s="222"/>
      <c r="DQJ13" s="222"/>
      <c r="DQK13" s="222"/>
      <c r="DQL13" s="222"/>
      <c r="DQM13" s="222"/>
      <c r="DQN13" s="222"/>
      <c r="DQO13" s="222"/>
      <c r="DQP13" s="222"/>
      <c r="DQQ13" s="222"/>
      <c r="DQR13" s="222"/>
      <c r="DQS13" s="222"/>
      <c r="DQT13" s="222"/>
      <c r="DQU13" s="222"/>
      <c r="DQV13" s="222"/>
      <c r="DQW13" s="222"/>
      <c r="DQX13" s="222"/>
      <c r="DQY13" s="222"/>
      <c r="DQZ13" s="222"/>
      <c r="DRA13" s="222"/>
      <c r="DRB13" s="222"/>
      <c r="DRC13" s="222"/>
      <c r="DRD13" s="222"/>
      <c r="DRE13" s="222"/>
      <c r="DRF13" s="222"/>
      <c r="DRG13" s="222"/>
      <c r="DRH13" s="222"/>
      <c r="DRI13" s="222"/>
      <c r="DRJ13" s="222"/>
      <c r="DRK13" s="222"/>
      <c r="DRL13" s="222"/>
      <c r="DRM13" s="222"/>
      <c r="DRN13" s="222"/>
      <c r="DRO13" s="222"/>
      <c r="DRP13" s="222"/>
      <c r="DRQ13" s="222"/>
      <c r="DRR13" s="222"/>
      <c r="DRS13" s="222"/>
      <c r="DRT13" s="222"/>
      <c r="DRU13" s="222"/>
      <c r="DRV13" s="222"/>
      <c r="DRW13" s="222"/>
      <c r="DRX13" s="222"/>
      <c r="DRY13" s="222"/>
      <c r="DRZ13" s="222"/>
      <c r="DSA13" s="222"/>
      <c r="DSB13" s="222"/>
      <c r="DSC13" s="222"/>
      <c r="DSD13" s="222"/>
      <c r="DSE13" s="222"/>
      <c r="DSF13" s="222"/>
      <c r="DSG13" s="222"/>
      <c r="DSH13" s="222"/>
      <c r="DSI13" s="222"/>
      <c r="DSJ13" s="222"/>
      <c r="DSK13" s="222"/>
      <c r="DSL13" s="222"/>
      <c r="DSM13" s="222"/>
      <c r="DSN13" s="222"/>
      <c r="DSO13" s="222"/>
      <c r="DSP13" s="222"/>
      <c r="DSQ13" s="222"/>
      <c r="DSR13" s="222"/>
      <c r="DSS13" s="222"/>
      <c r="DST13" s="222"/>
      <c r="DSU13" s="222"/>
      <c r="DSV13" s="222"/>
      <c r="DSW13" s="222"/>
      <c r="DSX13" s="222"/>
      <c r="DSY13" s="222"/>
      <c r="DSZ13" s="222"/>
      <c r="DTA13" s="222"/>
      <c r="DTB13" s="222"/>
      <c r="DTC13" s="222"/>
      <c r="DTD13" s="222"/>
      <c r="DTE13" s="222"/>
      <c r="DTF13" s="222"/>
      <c r="DTG13" s="222"/>
      <c r="DTH13" s="222"/>
      <c r="DTI13" s="222"/>
      <c r="DTJ13" s="222"/>
      <c r="DTK13" s="222"/>
      <c r="DTL13" s="222"/>
      <c r="DTM13" s="222"/>
      <c r="DTN13" s="222"/>
      <c r="DTO13" s="222"/>
      <c r="DTP13" s="222"/>
      <c r="DTQ13" s="222"/>
      <c r="DTR13" s="222"/>
      <c r="DTS13" s="222"/>
      <c r="DTT13" s="222"/>
      <c r="DTU13" s="222"/>
      <c r="DTV13" s="222"/>
      <c r="DTW13" s="222"/>
      <c r="DTX13" s="222"/>
      <c r="DTY13" s="222"/>
      <c r="DTZ13" s="222"/>
      <c r="DUA13" s="222"/>
      <c r="DUB13" s="222"/>
      <c r="DUC13" s="222"/>
      <c r="DUD13" s="222"/>
      <c r="DUE13" s="222"/>
      <c r="DUF13" s="222"/>
      <c r="DUG13" s="222"/>
      <c r="DUH13" s="222"/>
      <c r="DUI13" s="222"/>
      <c r="DUJ13" s="222"/>
      <c r="DUK13" s="222"/>
      <c r="DUL13" s="222"/>
      <c r="DUM13" s="222"/>
      <c r="DUN13" s="222"/>
      <c r="DUO13" s="222"/>
      <c r="DUP13" s="222"/>
      <c r="DUQ13" s="222"/>
      <c r="DUR13" s="222"/>
      <c r="DUS13" s="222"/>
      <c r="DUT13" s="222"/>
      <c r="DUU13" s="222"/>
      <c r="DUV13" s="222"/>
      <c r="DUW13" s="222"/>
      <c r="DUX13" s="222"/>
      <c r="DUY13" s="222"/>
      <c r="DUZ13" s="222"/>
      <c r="DVA13" s="222"/>
      <c r="DVB13" s="222"/>
      <c r="DVC13" s="222"/>
      <c r="DVD13" s="222"/>
      <c r="DVE13" s="222"/>
      <c r="DVF13" s="222"/>
      <c r="DVG13" s="222"/>
      <c r="DVH13" s="222"/>
      <c r="DVI13" s="222"/>
      <c r="DVJ13" s="222"/>
      <c r="DVK13" s="222"/>
      <c r="DVL13" s="222"/>
      <c r="DVM13" s="222"/>
      <c r="DVN13" s="222"/>
      <c r="DVO13" s="222"/>
      <c r="DVP13" s="222"/>
      <c r="DVQ13" s="222"/>
      <c r="DVR13" s="222"/>
      <c r="DVS13" s="222"/>
      <c r="DVT13" s="222"/>
      <c r="DVU13" s="222"/>
      <c r="DVV13" s="222"/>
      <c r="DVW13" s="222"/>
      <c r="DVX13" s="222"/>
      <c r="DVY13" s="222"/>
      <c r="DVZ13" s="222"/>
      <c r="DWA13" s="222"/>
      <c r="DWB13" s="222"/>
      <c r="DWC13" s="222"/>
      <c r="DWD13" s="222"/>
      <c r="DWE13" s="222"/>
      <c r="DWF13" s="222"/>
      <c r="DWG13" s="222"/>
      <c r="DWH13" s="222"/>
      <c r="DWI13" s="222"/>
      <c r="DWJ13" s="222"/>
      <c r="DWK13" s="222"/>
      <c r="DWL13" s="222"/>
      <c r="DWM13" s="222"/>
      <c r="DWN13" s="222"/>
      <c r="DWO13" s="222"/>
      <c r="DWP13" s="222"/>
      <c r="DWQ13" s="222"/>
      <c r="DWR13" s="222"/>
      <c r="DWS13" s="222"/>
      <c r="DWT13" s="222"/>
      <c r="DWU13" s="222"/>
      <c r="DWV13" s="222"/>
      <c r="DWW13" s="222"/>
      <c r="DWX13" s="222"/>
      <c r="DWY13" s="222"/>
      <c r="DWZ13" s="222"/>
      <c r="DXA13" s="222"/>
      <c r="DXB13" s="222"/>
      <c r="DXC13" s="222"/>
      <c r="DXD13" s="222"/>
      <c r="DXE13" s="222"/>
      <c r="DXF13" s="222"/>
      <c r="DXG13" s="222"/>
      <c r="DXH13" s="222"/>
      <c r="DXI13" s="222"/>
      <c r="DXJ13" s="222"/>
      <c r="DXK13" s="222"/>
      <c r="DXL13" s="222"/>
      <c r="DXM13" s="222"/>
      <c r="DXN13" s="222"/>
      <c r="DXO13" s="222"/>
      <c r="DXP13" s="222"/>
      <c r="DXQ13" s="222"/>
      <c r="DXR13" s="222"/>
      <c r="DXS13" s="222"/>
      <c r="DXT13" s="222"/>
      <c r="DXU13" s="222"/>
      <c r="DXV13" s="222"/>
      <c r="DXW13" s="222"/>
      <c r="DXX13" s="222"/>
      <c r="DXY13" s="222"/>
      <c r="DXZ13" s="222"/>
      <c r="DYA13" s="222"/>
      <c r="DYB13" s="222"/>
      <c r="DYC13" s="222"/>
      <c r="DYD13" s="222"/>
      <c r="DYE13" s="222"/>
      <c r="DYF13" s="222"/>
      <c r="DYG13" s="222"/>
      <c r="DYH13" s="222"/>
      <c r="DYI13" s="222"/>
      <c r="DYJ13" s="222"/>
      <c r="DYK13" s="222"/>
      <c r="DYL13" s="222"/>
      <c r="DYM13" s="222"/>
      <c r="DYN13" s="222"/>
      <c r="DYO13" s="222"/>
      <c r="DYP13" s="222"/>
      <c r="DYQ13" s="222"/>
      <c r="DYR13" s="222"/>
      <c r="DYS13" s="222"/>
      <c r="DYT13" s="222"/>
      <c r="DYU13" s="222"/>
      <c r="DYV13" s="222"/>
      <c r="DYW13" s="222"/>
      <c r="DYX13" s="222"/>
      <c r="DYY13" s="222"/>
      <c r="DYZ13" s="222"/>
      <c r="DZA13" s="222"/>
      <c r="DZB13" s="222"/>
      <c r="DZC13" s="222"/>
      <c r="DZD13" s="222"/>
      <c r="DZE13" s="222"/>
      <c r="DZF13" s="222"/>
      <c r="DZG13" s="222"/>
      <c r="DZH13" s="222"/>
      <c r="DZI13" s="222"/>
      <c r="DZJ13" s="222"/>
      <c r="DZK13" s="222"/>
      <c r="DZL13" s="222"/>
      <c r="DZM13" s="222"/>
      <c r="DZN13" s="222"/>
      <c r="DZO13" s="222"/>
      <c r="DZP13" s="222"/>
      <c r="DZQ13" s="222"/>
      <c r="DZR13" s="222"/>
      <c r="DZS13" s="222"/>
      <c r="DZT13" s="222"/>
      <c r="DZU13" s="222"/>
      <c r="DZV13" s="222"/>
      <c r="DZW13" s="222"/>
      <c r="DZX13" s="222"/>
      <c r="DZY13" s="222"/>
      <c r="DZZ13" s="222"/>
      <c r="EAA13" s="222"/>
      <c r="EAB13" s="222"/>
      <c r="EAC13" s="222"/>
      <c r="EAD13" s="222"/>
      <c r="EAE13" s="222"/>
      <c r="EAF13" s="222"/>
      <c r="EAG13" s="222"/>
      <c r="EAH13" s="222"/>
      <c r="EAI13" s="222"/>
      <c r="EAJ13" s="222"/>
      <c r="EAK13" s="222"/>
      <c r="EAL13" s="222"/>
      <c r="EAM13" s="222"/>
      <c r="EAN13" s="222"/>
      <c r="EAO13" s="222"/>
      <c r="EAP13" s="222"/>
      <c r="EAQ13" s="222"/>
      <c r="EAR13" s="222"/>
      <c r="EAS13" s="222"/>
      <c r="EAT13" s="222"/>
      <c r="EAU13" s="222"/>
      <c r="EAV13" s="222"/>
      <c r="EAW13" s="222"/>
      <c r="EAX13" s="222"/>
      <c r="EAY13" s="222"/>
      <c r="EAZ13" s="222"/>
      <c r="EBA13" s="222"/>
      <c r="EBB13" s="222"/>
      <c r="EBC13" s="222"/>
      <c r="EBD13" s="222"/>
      <c r="EBE13" s="222"/>
      <c r="EBF13" s="222"/>
      <c r="EBG13" s="222"/>
      <c r="EBH13" s="222"/>
      <c r="EBI13" s="222"/>
      <c r="EBJ13" s="222"/>
      <c r="EBK13" s="222"/>
      <c r="EBL13" s="222"/>
      <c r="EBM13" s="222"/>
      <c r="EBN13" s="222"/>
      <c r="EBO13" s="222"/>
      <c r="EBP13" s="222"/>
      <c r="EBQ13" s="222"/>
      <c r="EBR13" s="222"/>
      <c r="EBS13" s="222"/>
      <c r="EBT13" s="222"/>
      <c r="EBU13" s="222"/>
      <c r="EBV13" s="222"/>
      <c r="EBW13" s="222"/>
      <c r="EBX13" s="222"/>
      <c r="EBY13" s="222"/>
      <c r="EBZ13" s="222"/>
      <c r="ECA13" s="222"/>
      <c r="ECB13" s="222"/>
      <c r="ECC13" s="222"/>
      <c r="ECD13" s="222"/>
      <c r="ECE13" s="222"/>
      <c r="ECF13" s="222"/>
      <c r="ECG13" s="222"/>
      <c r="ECH13" s="222"/>
      <c r="ECI13" s="222"/>
      <c r="ECJ13" s="222"/>
      <c r="ECK13" s="222"/>
      <c r="ECL13" s="222"/>
      <c r="ECM13" s="222"/>
      <c r="ECN13" s="222"/>
      <c r="ECO13" s="222"/>
      <c r="ECP13" s="222"/>
      <c r="ECQ13" s="222"/>
      <c r="ECR13" s="222"/>
      <c r="ECS13" s="222"/>
      <c r="ECT13" s="222"/>
      <c r="ECU13" s="222"/>
      <c r="ECV13" s="222"/>
      <c r="ECW13" s="222"/>
      <c r="ECX13" s="222"/>
      <c r="ECY13" s="222"/>
      <c r="ECZ13" s="222"/>
      <c r="EDA13" s="222"/>
      <c r="EDB13" s="222"/>
      <c r="EDC13" s="222"/>
      <c r="EDD13" s="222"/>
      <c r="EDE13" s="222"/>
      <c r="EDF13" s="222"/>
      <c r="EDG13" s="222"/>
      <c r="EDH13" s="222"/>
      <c r="EDI13" s="222"/>
      <c r="EDJ13" s="222"/>
      <c r="EDK13" s="222"/>
      <c r="EDL13" s="222"/>
      <c r="EDM13" s="222"/>
      <c r="EDN13" s="222"/>
      <c r="EDO13" s="222"/>
      <c r="EDP13" s="222"/>
      <c r="EDQ13" s="222"/>
      <c r="EDR13" s="222"/>
      <c r="EDS13" s="222"/>
      <c r="EDT13" s="222"/>
      <c r="EDU13" s="222"/>
      <c r="EDV13" s="222"/>
      <c r="EDW13" s="222"/>
      <c r="EDX13" s="222"/>
      <c r="EDY13" s="222"/>
      <c r="EDZ13" s="222"/>
      <c r="EEA13" s="222"/>
      <c r="EEB13" s="222"/>
      <c r="EEC13" s="222"/>
      <c r="EED13" s="222"/>
      <c r="EEE13" s="222"/>
      <c r="EEF13" s="222"/>
      <c r="EEG13" s="222"/>
      <c r="EEH13" s="222"/>
      <c r="EEI13" s="222"/>
      <c r="EEJ13" s="222"/>
      <c r="EEK13" s="222"/>
      <c r="EEL13" s="222"/>
      <c r="EEM13" s="222"/>
      <c r="EEN13" s="222"/>
      <c r="EEO13" s="222"/>
      <c r="EEP13" s="222"/>
      <c r="EEQ13" s="222"/>
      <c r="EER13" s="222"/>
      <c r="EES13" s="222"/>
      <c r="EET13" s="222"/>
      <c r="EEU13" s="222"/>
      <c r="EEV13" s="222"/>
      <c r="EEW13" s="222"/>
      <c r="EEX13" s="222"/>
      <c r="EEY13" s="222"/>
      <c r="EEZ13" s="222"/>
      <c r="EFA13" s="222"/>
      <c r="EFB13" s="222"/>
      <c r="EFC13" s="222"/>
      <c r="EFD13" s="222"/>
      <c r="EFE13" s="222"/>
      <c r="EFF13" s="222"/>
      <c r="EFG13" s="222"/>
      <c r="EFH13" s="222"/>
      <c r="EFI13" s="222"/>
      <c r="EFJ13" s="222"/>
      <c r="EFK13" s="222"/>
      <c r="EFL13" s="222"/>
      <c r="EFM13" s="222"/>
      <c r="EFN13" s="222"/>
      <c r="EFO13" s="222"/>
      <c r="EFP13" s="222"/>
      <c r="EFQ13" s="222"/>
      <c r="EFR13" s="222"/>
      <c r="EFS13" s="222"/>
      <c r="EFT13" s="222"/>
      <c r="EFU13" s="222"/>
      <c r="EFV13" s="222"/>
      <c r="EFW13" s="222"/>
      <c r="EFX13" s="222"/>
      <c r="EFY13" s="222"/>
      <c r="EFZ13" s="222"/>
      <c r="EGA13" s="222"/>
      <c r="EGB13" s="222"/>
      <c r="EGC13" s="222"/>
      <c r="EGD13" s="222"/>
      <c r="EGE13" s="222"/>
      <c r="EGF13" s="222"/>
      <c r="EGG13" s="222"/>
      <c r="EGH13" s="222"/>
      <c r="EGI13" s="222"/>
      <c r="EGJ13" s="222"/>
      <c r="EGK13" s="222"/>
      <c r="EGL13" s="222"/>
      <c r="EGM13" s="222"/>
      <c r="EGN13" s="222"/>
      <c r="EGO13" s="222"/>
      <c r="EGP13" s="222"/>
      <c r="EGQ13" s="222"/>
      <c r="EGR13" s="222"/>
      <c r="EGS13" s="222"/>
      <c r="EGT13" s="222"/>
      <c r="EGU13" s="222"/>
      <c r="EGV13" s="222"/>
      <c r="EGW13" s="222"/>
      <c r="EGX13" s="222"/>
      <c r="EGY13" s="222"/>
      <c r="EGZ13" s="222"/>
      <c r="EHA13" s="222"/>
      <c r="EHB13" s="222"/>
      <c r="EHC13" s="222"/>
      <c r="EHD13" s="222"/>
      <c r="EHE13" s="222"/>
      <c r="EHF13" s="222"/>
      <c r="EHG13" s="222"/>
      <c r="EHH13" s="222"/>
      <c r="EHI13" s="222"/>
      <c r="EHJ13" s="222"/>
      <c r="EHK13" s="222"/>
      <c r="EHL13" s="222"/>
      <c r="EHM13" s="222"/>
      <c r="EHN13" s="222"/>
      <c r="EHO13" s="222"/>
      <c r="EHP13" s="222"/>
      <c r="EHQ13" s="222"/>
      <c r="EHR13" s="222"/>
      <c r="EHS13" s="222"/>
      <c r="EHT13" s="222"/>
      <c r="EHU13" s="222"/>
      <c r="EHV13" s="222"/>
      <c r="EHW13" s="222"/>
      <c r="EHX13" s="222"/>
      <c r="EHY13" s="222"/>
      <c r="EHZ13" s="222"/>
      <c r="EIA13" s="222"/>
      <c r="EIB13" s="222"/>
      <c r="EIC13" s="222"/>
      <c r="EID13" s="222"/>
      <c r="EIE13" s="222"/>
      <c r="EIF13" s="222"/>
      <c r="EIG13" s="222"/>
      <c r="EIH13" s="222"/>
      <c r="EII13" s="222"/>
      <c r="EIJ13" s="222"/>
      <c r="EIK13" s="222"/>
      <c r="EIL13" s="222"/>
      <c r="EIM13" s="222"/>
      <c r="EIN13" s="222"/>
      <c r="EIO13" s="222"/>
      <c r="EIP13" s="222"/>
      <c r="EIQ13" s="222"/>
      <c r="EIR13" s="222"/>
      <c r="EIS13" s="222"/>
      <c r="EIT13" s="222"/>
      <c r="EIU13" s="222"/>
      <c r="EIV13" s="222"/>
      <c r="EIW13" s="222"/>
      <c r="EIX13" s="222"/>
      <c r="EIY13" s="222"/>
      <c r="EIZ13" s="222"/>
      <c r="EJA13" s="222"/>
      <c r="EJB13" s="222"/>
      <c r="EJC13" s="222"/>
      <c r="EJD13" s="222"/>
      <c r="EJE13" s="222"/>
      <c r="EJF13" s="222"/>
      <c r="EJG13" s="222"/>
      <c r="EJH13" s="222"/>
      <c r="EJI13" s="222"/>
      <c r="EJJ13" s="222"/>
      <c r="EJK13" s="222"/>
      <c r="EJL13" s="222"/>
      <c r="EJM13" s="222"/>
      <c r="EJN13" s="222"/>
      <c r="EJO13" s="222"/>
      <c r="EJP13" s="222"/>
      <c r="EJQ13" s="222"/>
      <c r="EJR13" s="222"/>
      <c r="EJS13" s="222"/>
      <c r="EJT13" s="222"/>
      <c r="EJU13" s="222"/>
      <c r="EJV13" s="222"/>
      <c r="EJW13" s="222"/>
      <c r="EJX13" s="222"/>
      <c r="EJY13" s="222"/>
      <c r="EJZ13" s="222"/>
      <c r="EKA13" s="222"/>
      <c r="EKB13" s="222"/>
      <c r="EKC13" s="222"/>
      <c r="EKD13" s="222"/>
      <c r="EKE13" s="222"/>
      <c r="EKF13" s="222"/>
      <c r="EKG13" s="222"/>
      <c r="EKH13" s="222"/>
      <c r="EKI13" s="222"/>
      <c r="EKJ13" s="222"/>
      <c r="EKK13" s="222"/>
      <c r="EKL13" s="222"/>
      <c r="EKM13" s="222"/>
      <c r="EKN13" s="222"/>
      <c r="EKO13" s="222"/>
      <c r="EKP13" s="222"/>
      <c r="EKQ13" s="222"/>
      <c r="EKR13" s="222"/>
      <c r="EKS13" s="222"/>
      <c r="EKT13" s="222"/>
      <c r="EKU13" s="222"/>
      <c r="EKV13" s="222"/>
      <c r="EKW13" s="222"/>
      <c r="EKX13" s="222"/>
      <c r="EKY13" s="222"/>
      <c r="EKZ13" s="222"/>
      <c r="ELA13" s="222"/>
      <c r="ELB13" s="222"/>
      <c r="ELC13" s="222"/>
      <c r="ELD13" s="222"/>
      <c r="ELE13" s="222"/>
      <c r="ELF13" s="222"/>
      <c r="ELG13" s="222"/>
      <c r="ELH13" s="222"/>
      <c r="ELI13" s="222"/>
      <c r="ELJ13" s="222"/>
      <c r="ELK13" s="222"/>
      <c r="ELL13" s="222"/>
      <c r="ELM13" s="222"/>
      <c r="ELN13" s="222"/>
      <c r="ELO13" s="222"/>
      <c r="ELP13" s="222"/>
      <c r="ELQ13" s="222"/>
      <c r="ELR13" s="222"/>
      <c r="ELS13" s="222"/>
      <c r="ELT13" s="222"/>
      <c r="ELU13" s="222"/>
      <c r="ELV13" s="222"/>
      <c r="ELW13" s="222"/>
      <c r="ELX13" s="222"/>
      <c r="ELY13" s="222"/>
      <c r="ELZ13" s="222"/>
      <c r="EMA13" s="222"/>
      <c r="EMB13" s="222"/>
      <c r="EMC13" s="222"/>
      <c r="EMD13" s="222"/>
      <c r="EME13" s="222"/>
      <c r="EMF13" s="222"/>
      <c r="EMG13" s="222"/>
      <c r="EMH13" s="222"/>
      <c r="EMI13" s="222"/>
      <c r="EMJ13" s="222"/>
      <c r="EMK13" s="222"/>
      <c r="EML13" s="222"/>
      <c r="EMM13" s="222"/>
      <c r="EMN13" s="222"/>
      <c r="EMO13" s="222"/>
      <c r="EMP13" s="222"/>
      <c r="EMQ13" s="222"/>
      <c r="EMR13" s="222"/>
      <c r="EMS13" s="222"/>
      <c r="EMT13" s="222"/>
      <c r="EMU13" s="222"/>
      <c r="EMV13" s="222"/>
      <c r="EMW13" s="222"/>
      <c r="EMX13" s="222"/>
      <c r="EMY13" s="222"/>
      <c r="EMZ13" s="222"/>
      <c r="ENA13" s="222"/>
      <c r="ENB13" s="222"/>
      <c r="ENC13" s="222"/>
      <c r="END13" s="222"/>
      <c r="ENE13" s="222"/>
      <c r="ENF13" s="222"/>
      <c r="ENG13" s="222"/>
      <c r="ENH13" s="222"/>
      <c r="ENI13" s="222"/>
      <c r="ENJ13" s="222"/>
      <c r="ENK13" s="222"/>
      <c r="ENL13" s="222"/>
      <c r="ENM13" s="222"/>
      <c r="ENN13" s="222"/>
      <c r="ENO13" s="222"/>
      <c r="ENP13" s="222"/>
      <c r="ENQ13" s="222"/>
      <c r="ENR13" s="222"/>
      <c r="ENS13" s="222"/>
      <c r="ENT13" s="222"/>
      <c r="ENU13" s="222"/>
      <c r="ENV13" s="222"/>
      <c r="ENW13" s="222"/>
      <c r="ENX13" s="222"/>
      <c r="ENY13" s="222"/>
      <c r="ENZ13" s="222"/>
      <c r="EOA13" s="222"/>
      <c r="EOB13" s="222"/>
      <c r="EOC13" s="222"/>
      <c r="EOD13" s="222"/>
      <c r="EOE13" s="222"/>
      <c r="EOF13" s="222"/>
      <c r="EOG13" s="222"/>
      <c r="EOH13" s="222"/>
      <c r="EOI13" s="222"/>
      <c r="EOJ13" s="222"/>
      <c r="EOK13" s="222"/>
      <c r="EOL13" s="222"/>
      <c r="EOM13" s="222"/>
      <c r="EON13" s="222"/>
      <c r="EOO13" s="222"/>
      <c r="EOP13" s="222"/>
      <c r="EOQ13" s="222"/>
      <c r="EOR13" s="222"/>
      <c r="EOS13" s="222"/>
      <c r="EOT13" s="222"/>
      <c r="EOU13" s="222"/>
      <c r="EOV13" s="222"/>
      <c r="EOW13" s="222"/>
      <c r="EOX13" s="222"/>
      <c r="EOY13" s="222"/>
      <c r="EOZ13" s="222"/>
      <c r="EPA13" s="222"/>
      <c r="EPB13" s="222"/>
      <c r="EPC13" s="222"/>
      <c r="EPD13" s="222"/>
      <c r="EPE13" s="222"/>
      <c r="EPF13" s="222"/>
      <c r="EPG13" s="222"/>
      <c r="EPH13" s="222"/>
      <c r="EPI13" s="222"/>
      <c r="EPJ13" s="222"/>
      <c r="EPK13" s="222"/>
      <c r="EPL13" s="222"/>
      <c r="EPM13" s="222"/>
      <c r="EPN13" s="222"/>
      <c r="EPO13" s="222"/>
      <c r="EPP13" s="222"/>
      <c r="EPQ13" s="222"/>
      <c r="EPR13" s="222"/>
      <c r="EPS13" s="222"/>
      <c r="EPT13" s="222"/>
      <c r="EPU13" s="222"/>
      <c r="EPV13" s="222"/>
      <c r="EPW13" s="222"/>
      <c r="EPX13" s="222"/>
      <c r="EPY13" s="222"/>
      <c r="EPZ13" s="222"/>
      <c r="EQA13" s="222"/>
      <c r="EQB13" s="222"/>
      <c r="EQC13" s="222"/>
      <c r="EQD13" s="222"/>
      <c r="EQE13" s="222"/>
      <c r="EQF13" s="222"/>
      <c r="EQG13" s="222"/>
      <c r="EQH13" s="222"/>
      <c r="EQI13" s="222"/>
      <c r="EQJ13" s="222"/>
      <c r="EQK13" s="222"/>
      <c r="EQL13" s="222"/>
      <c r="EQM13" s="222"/>
      <c r="EQN13" s="222"/>
      <c r="EQO13" s="222"/>
      <c r="EQP13" s="222"/>
      <c r="EQQ13" s="222"/>
      <c r="EQR13" s="222"/>
      <c r="EQS13" s="222"/>
      <c r="EQT13" s="222"/>
      <c r="EQU13" s="222"/>
      <c r="EQV13" s="222"/>
      <c r="EQW13" s="222"/>
      <c r="EQX13" s="222"/>
      <c r="EQY13" s="222"/>
      <c r="EQZ13" s="222"/>
      <c r="ERA13" s="222"/>
      <c r="ERB13" s="222"/>
      <c r="ERC13" s="222"/>
      <c r="ERD13" s="222"/>
      <c r="ERE13" s="222"/>
      <c r="ERF13" s="222"/>
      <c r="ERG13" s="222"/>
      <c r="ERH13" s="222"/>
      <c r="ERI13" s="222"/>
      <c r="ERJ13" s="222"/>
      <c r="ERK13" s="222"/>
      <c r="ERL13" s="222"/>
      <c r="ERM13" s="222"/>
      <c r="ERN13" s="222"/>
      <c r="ERO13" s="222"/>
      <c r="ERP13" s="222"/>
      <c r="ERQ13" s="222"/>
      <c r="ERR13" s="222"/>
      <c r="ERS13" s="222"/>
      <c r="ERT13" s="222"/>
      <c r="ERU13" s="222"/>
      <c r="ERV13" s="222"/>
      <c r="ERW13" s="222"/>
      <c r="ERX13" s="222"/>
      <c r="ERY13" s="222"/>
      <c r="ERZ13" s="222"/>
      <c r="ESA13" s="222"/>
      <c r="ESB13" s="222"/>
      <c r="ESC13" s="222"/>
      <c r="ESD13" s="222"/>
      <c r="ESE13" s="222"/>
      <c r="ESF13" s="222"/>
      <c r="ESG13" s="222"/>
      <c r="ESH13" s="222"/>
      <c r="ESI13" s="222"/>
      <c r="ESJ13" s="222"/>
      <c r="ESK13" s="222"/>
      <c r="ESL13" s="222"/>
      <c r="ESM13" s="222"/>
      <c r="ESN13" s="222"/>
      <c r="ESO13" s="222"/>
      <c r="ESP13" s="222"/>
      <c r="ESQ13" s="222"/>
      <c r="ESR13" s="222"/>
      <c r="ESS13" s="222"/>
      <c r="EST13" s="222"/>
      <c r="ESU13" s="222"/>
      <c r="ESV13" s="222"/>
      <c r="ESW13" s="222"/>
      <c r="ESX13" s="222"/>
      <c r="ESY13" s="222"/>
      <c r="ESZ13" s="222"/>
      <c r="ETA13" s="222"/>
      <c r="ETB13" s="222"/>
      <c r="ETC13" s="222"/>
      <c r="ETD13" s="222"/>
      <c r="ETE13" s="222"/>
      <c r="ETF13" s="222"/>
      <c r="ETG13" s="222"/>
      <c r="ETH13" s="222"/>
      <c r="ETI13" s="222"/>
      <c r="ETJ13" s="222"/>
      <c r="ETK13" s="222"/>
      <c r="ETL13" s="222"/>
      <c r="ETM13" s="222"/>
      <c r="ETN13" s="222"/>
      <c r="ETO13" s="222"/>
      <c r="ETP13" s="222"/>
      <c r="ETQ13" s="222"/>
      <c r="ETR13" s="222"/>
      <c r="ETS13" s="222"/>
      <c r="ETT13" s="222"/>
      <c r="ETU13" s="222"/>
      <c r="ETV13" s="222"/>
      <c r="ETW13" s="222"/>
      <c r="ETX13" s="222"/>
      <c r="ETY13" s="222"/>
      <c r="ETZ13" s="222"/>
      <c r="EUA13" s="222"/>
      <c r="EUB13" s="222"/>
      <c r="EUC13" s="222"/>
      <c r="EUD13" s="222"/>
      <c r="EUE13" s="222"/>
      <c r="EUF13" s="222"/>
      <c r="EUG13" s="222"/>
      <c r="EUH13" s="222"/>
      <c r="EUI13" s="222"/>
      <c r="EUJ13" s="222"/>
      <c r="EUK13" s="222"/>
      <c r="EUL13" s="222"/>
      <c r="EUM13" s="222"/>
      <c r="EUN13" s="222"/>
      <c r="EUO13" s="222"/>
      <c r="EUP13" s="222"/>
      <c r="EUQ13" s="222"/>
      <c r="EUR13" s="222"/>
      <c r="EUS13" s="222"/>
      <c r="EUT13" s="222"/>
      <c r="EUU13" s="222"/>
      <c r="EUV13" s="222"/>
      <c r="EUW13" s="222"/>
      <c r="EUX13" s="222"/>
      <c r="EUY13" s="222"/>
      <c r="EUZ13" s="222"/>
      <c r="EVA13" s="222"/>
      <c r="EVB13" s="222"/>
      <c r="EVC13" s="222"/>
      <c r="EVD13" s="222"/>
      <c r="EVE13" s="222"/>
      <c r="EVF13" s="222"/>
      <c r="EVG13" s="222"/>
      <c r="EVH13" s="222"/>
      <c r="EVI13" s="222"/>
      <c r="EVJ13" s="222"/>
      <c r="EVK13" s="222"/>
      <c r="EVL13" s="222"/>
      <c r="EVM13" s="222"/>
      <c r="EVN13" s="222"/>
      <c r="EVO13" s="222"/>
      <c r="EVP13" s="222"/>
      <c r="EVQ13" s="222"/>
      <c r="EVR13" s="222"/>
      <c r="EVS13" s="222"/>
      <c r="EVT13" s="222"/>
      <c r="EVU13" s="222"/>
      <c r="EVV13" s="222"/>
      <c r="EVW13" s="222"/>
      <c r="EVX13" s="222"/>
      <c r="EVY13" s="222"/>
      <c r="EVZ13" s="222"/>
      <c r="EWA13" s="222"/>
      <c r="EWB13" s="222"/>
      <c r="EWC13" s="222"/>
      <c r="EWD13" s="222"/>
      <c r="EWE13" s="222"/>
      <c r="EWF13" s="222"/>
      <c r="EWG13" s="222"/>
      <c r="EWH13" s="222"/>
      <c r="EWI13" s="222"/>
      <c r="EWJ13" s="222"/>
      <c r="EWK13" s="222"/>
      <c r="EWL13" s="222"/>
      <c r="EWM13" s="222"/>
      <c r="EWN13" s="222"/>
      <c r="EWO13" s="222"/>
      <c r="EWP13" s="222"/>
      <c r="EWQ13" s="222"/>
      <c r="EWR13" s="222"/>
      <c r="EWS13" s="222"/>
      <c r="EWT13" s="222"/>
      <c r="EWU13" s="222"/>
      <c r="EWV13" s="222"/>
      <c r="EWW13" s="222"/>
      <c r="EWX13" s="222"/>
      <c r="EWY13" s="222"/>
      <c r="EWZ13" s="222"/>
      <c r="EXA13" s="222"/>
      <c r="EXB13" s="222"/>
      <c r="EXC13" s="222"/>
      <c r="EXD13" s="222"/>
      <c r="EXE13" s="222"/>
      <c r="EXF13" s="222"/>
      <c r="EXG13" s="222"/>
      <c r="EXH13" s="222"/>
      <c r="EXI13" s="222"/>
      <c r="EXJ13" s="222"/>
      <c r="EXK13" s="222"/>
      <c r="EXL13" s="222"/>
      <c r="EXM13" s="222"/>
      <c r="EXN13" s="222"/>
      <c r="EXO13" s="222"/>
      <c r="EXP13" s="222"/>
      <c r="EXQ13" s="222"/>
      <c r="EXR13" s="222"/>
      <c r="EXS13" s="222"/>
      <c r="EXT13" s="222"/>
      <c r="EXU13" s="222"/>
      <c r="EXV13" s="222"/>
      <c r="EXW13" s="222"/>
      <c r="EXX13" s="222"/>
      <c r="EXY13" s="222"/>
      <c r="EXZ13" s="222"/>
      <c r="EYA13" s="222"/>
      <c r="EYB13" s="222"/>
      <c r="EYC13" s="222"/>
      <c r="EYD13" s="222"/>
      <c r="EYE13" s="222"/>
      <c r="EYF13" s="222"/>
      <c r="EYG13" s="222"/>
      <c r="EYH13" s="222"/>
      <c r="EYI13" s="222"/>
      <c r="EYJ13" s="222"/>
      <c r="EYK13" s="222"/>
      <c r="EYL13" s="222"/>
      <c r="EYM13" s="222"/>
      <c r="EYN13" s="222"/>
      <c r="EYO13" s="222"/>
      <c r="EYP13" s="222"/>
      <c r="EYQ13" s="222"/>
      <c r="EYR13" s="222"/>
      <c r="EYS13" s="222"/>
      <c r="EYT13" s="222"/>
      <c r="EYU13" s="222"/>
      <c r="EYV13" s="222"/>
      <c r="EYW13" s="222"/>
      <c r="EYX13" s="222"/>
      <c r="EYY13" s="222"/>
      <c r="EYZ13" s="222"/>
      <c r="EZA13" s="222"/>
      <c r="EZB13" s="222"/>
      <c r="EZC13" s="222"/>
      <c r="EZD13" s="222"/>
      <c r="EZE13" s="222"/>
      <c r="EZF13" s="222"/>
      <c r="EZG13" s="222"/>
      <c r="EZH13" s="222"/>
      <c r="EZI13" s="222"/>
      <c r="EZJ13" s="222"/>
      <c r="EZK13" s="222"/>
      <c r="EZL13" s="222"/>
      <c r="EZM13" s="222"/>
      <c r="EZN13" s="222"/>
      <c r="EZO13" s="222"/>
      <c r="EZP13" s="222"/>
      <c r="EZQ13" s="222"/>
      <c r="EZR13" s="222"/>
      <c r="EZS13" s="222"/>
      <c r="EZT13" s="222"/>
      <c r="EZU13" s="222"/>
      <c r="EZV13" s="222"/>
      <c r="EZW13" s="222"/>
      <c r="EZX13" s="222"/>
      <c r="EZY13" s="222"/>
      <c r="EZZ13" s="222"/>
      <c r="FAA13" s="222"/>
      <c r="FAB13" s="222"/>
      <c r="FAC13" s="222"/>
      <c r="FAD13" s="222"/>
      <c r="FAE13" s="222"/>
      <c r="FAF13" s="222"/>
      <c r="FAG13" s="222"/>
      <c r="FAH13" s="222"/>
      <c r="FAI13" s="222"/>
      <c r="FAJ13" s="222"/>
      <c r="FAK13" s="222"/>
      <c r="FAL13" s="222"/>
      <c r="FAM13" s="222"/>
      <c r="FAN13" s="222"/>
      <c r="FAO13" s="222"/>
      <c r="FAP13" s="222"/>
      <c r="FAQ13" s="222"/>
      <c r="FAR13" s="222"/>
      <c r="FAS13" s="222"/>
      <c r="FAT13" s="222"/>
      <c r="FAU13" s="222"/>
      <c r="FAV13" s="222"/>
      <c r="FAW13" s="222"/>
      <c r="FAX13" s="222"/>
      <c r="FAY13" s="222"/>
      <c r="FAZ13" s="222"/>
      <c r="FBA13" s="222"/>
      <c r="FBB13" s="222"/>
      <c r="FBC13" s="222"/>
      <c r="FBD13" s="222"/>
      <c r="FBE13" s="222"/>
      <c r="FBF13" s="222"/>
      <c r="FBG13" s="222"/>
      <c r="FBH13" s="222"/>
      <c r="FBI13" s="222"/>
      <c r="FBJ13" s="222"/>
      <c r="FBK13" s="222"/>
      <c r="FBL13" s="222"/>
      <c r="FBM13" s="222"/>
      <c r="FBN13" s="222"/>
      <c r="FBO13" s="222"/>
      <c r="FBP13" s="222"/>
      <c r="FBQ13" s="222"/>
      <c r="FBR13" s="222"/>
      <c r="FBS13" s="222"/>
      <c r="FBT13" s="222"/>
      <c r="FBU13" s="222"/>
      <c r="FBV13" s="222"/>
      <c r="FBW13" s="222"/>
      <c r="FBX13" s="222"/>
      <c r="FBY13" s="222"/>
      <c r="FBZ13" s="222"/>
      <c r="FCA13" s="222"/>
      <c r="FCB13" s="222"/>
      <c r="FCC13" s="222"/>
      <c r="FCD13" s="222"/>
      <c r="FCE13" s="222"/>
      <c r="FCF13" s="222"/>
      <c r="FCG13" s="222"/>
      <c r="FCH13" s="222"/>
      <c r="FCI13" s="222"/>
      <c r="FCJ13" s="222"/>
      <c r="FCK13" s="222"/>
      <c r="FCL13" s="222"/>
      <c r="FCM13" s="222"/>
      <c r="FCN13" s="222"/>
      <c r="FCO13" s="222"/>
      <c r="FCP13" s="222"/>
      <c r="FCQ13" s="222"/>
      <c r="FCR13" s="222"/>
      <c r="FCS13" s="222"/>
      <c r="FCT13" s="222"/>
      <c r="FCU13" s="222"/>
      <c r="FCV13" s="222"/>
      <c r="FCW13" s="222"/>
      <c r="FCX13" s="222"/>
      <c r="FCY13" s="222"/>
      <c r="FCZ13" s="222"/>
      <c r="FDA13" s="222"/>
      <c r="FDB13" s="222"/>
      <c r="FDC13" s="222"/>
      <c r="FDD13" s="222"/>
      <c r="FDE13" s="222"/>
      <c r="FDF13" s="222"/>
      <c r="FDG13" s="222"/>
      <c r="FDH13" s="222"/>
      <c r="FDI13" s="222"/>
      <c r="FDJ13" s="222"/>
      <c r="FDK13" s="222"/>
      <c r="FDL13" s="222"/>
      <c r="FDM13" s="222"/>
      <c r="FDN13" s="222"/>
      <c r="FDO13" s="222"/>
      <c r="FDP13" s="222"/>
      <c r="FDQ13" s="222"/>
      <c r="FDR13" s="222"/>
      <c r="FDS13" s="222"/>
      <c r="FDT13" s="222"/>
      <c r="FDU13" s="222"/>
      <c r="FDV13" s="222"/>
      <c r="FDW13" s="222"/>
      <c r="FDX13" s="222"/>
      <c r="FDY13" s="222"/>
      <c r="FDZ13" s="222"/>
      <c r="FEA13" s="222"/>
      <c r="FEB13" s="222"/>
      <c r="FEC13" s="222"/>
      <c r="FED13" s="222"/>
      <c r="FEE13" s="222"/>
      <c r="FEF13" s="222"/>
      <c r="FEG13" s="222"/>
      <c r="FEH13" s="222"/>
      <c r="FEI13" s="222"/>
      <c r="FEJ13" s="222"/>
      <c r="FEK13" s="222"/>
      <c r="FEL13" s="222"/>
      <c r="FEM13" s="222"/>
      <c r="FEN13" s="222"/>
      <c r="FEO13" s="222"/>
      <c r="FEP13" s="222"/>
      <c r="FEQ13" s="222"/>
      <c r="FER13" s="222"/>
      <c r="FES13" s="222"/>
      <c r="FET13" s="222"/>
      <c r="FEU13" s="222"/>
      <c r="FEV13" s="222"/>
      <c r="FEW13" s="222"/>
      <c r="FEX13" s="222"/>
      <c r="FEY13" s="222"/>
      <c r="FEZ13" s="222"/>
      <c r="FFA13" s="222"/>
      <c r="FFB13" s="222"/>
      <c r="FFC13" s="222"/>
      <c r="FFD13" s="222"/>
      <c r="FFE13" s="222"/>
      <c r="FFF13" s="222"/>
      <c r="FFG13" s="222"/>
      <c r="FFH13" s="222"/>
      <c r="FFI13" s="222"/>
      <c r="FFJ13" s="222"/>
      <c r="FFK13" s="222"/>
      <c r="FFL13" s="222"/>
      <c r="FFM13" s="222"/>
      <c r="FFN13" s="222"/>
      <c r="FFO13" s="222"/>
      <c r="FFP13" s="222"/>
      <c r="FFQ13" s="222"/>
      <c r="FFR13" s="222"/>
      <c r="FFS13" s="222"/>
      <c r="FFT13" s="222"/>
      <c r="FFU13" s="222"/>
      <c r="FFV13" s="222"/>
      <c r="FFW13" s="222"/>
      <c r="FFX13" s="222"/>
      <c r="FFY13" s="222"/>
      <c r="FFZ13" s="222"/>
      <c r="FGA13" s="222"/>
      <c r="FGB13" s="222"/>
      <c r="FGC13" s="222"/>
      <c r="FGD13" s="222"/>
      <c r="FGE13" s="222"/>
      <c r="FGF13" s="222"/>
      <c r="FGG13" s="222"/>
      <c r="FGH13" s="222"/>
      <c r="FGI13" s="222"/>
      <c r="FGJ13" s="222"/>
      <c r="FGK13" s="222"/>
      <c r="FGL13" s="222"/>
      <c r="FGM13" s="222"/>
      <c r="FGN13" s="222"/>
      <c r="FGO13" s="222"/>
      <c r="FGP13" s="222"/>
      <c r="FGQ13" s="222"/>
      <c r="FGR13" s="222"/>
      <c r="FGS13" s="222"/>
      <c r="FGT13" s="222"/>
      <c r="FGU13" s="222"/>
      <c r="FGV13" s="222"/>
      <c r="FGW13" s="222"/>
      <c r="FGX13" s="222"/>
      <c r="FGY13" s="222"/>
      <c r="FGZ13" s="222"/>
      <c r="FHA13" s="222"/>
      <c r="FHB13" s="222"/>
      <c r="FHC13" s="222"/>
      <c r="FHD13" s="222"/>
      <c r="FHE13" s="222"/>
      <c r="FHF13" s="222"/>
      <c r="FHG13" s="222"/>
      <c r="FHH13" s="222"/>
      <c r="FHI13" s="222"/>
      <c r="FHJ13" s="222"/>
      <c r="FHK13" s="222"/>
      <c r="FHL13" s="222"/>
      <c r="FHM13" s="222"/>
      <c r="FHN13" s="222"/>
      <c r="FHO13" s="222"/>
      <c r="FHP13" s="222"/>
      <c r="FHQ13" s="222"/>
      <c r="FHR13" s="222"/>
      <c r="FHS13" s="222"/>
      <c r="FHT13" s="222"/>
      <c r="FHU13" s="222"/>
      <c r="FHV13" s="222"/>
      <c r="FHW13" s="222"/>
      <c r="FHX13" s="222"/>
      <c r="FHY13" s="222"/>
      <c r="FHZ13" s="222"/>
      <c r="FIA13" s="222"/>
      <c r="FIB13" s="222"/>
      <c r="FIC13" s="222"/>
      <c r="FID13" s="222"/>
      <c r="FIE13" s="222"/>
      <c r="FIF13" s="222"/>
      <c r="FIG13" s="222"/>
      <c r="FIH13" s="222"/>
      <c r="FII13" s="222"/>
      <c r="FIJ13" s="222"/>
      <c r="FIK13" s="222"/>
      <c r="FIL13" s="222"/>
      <c r="FIM13" s="222"/>
      <c r="FIN13" s="222"/>
      <c r="FIO13" s="222"/>
      <c r="FIP13" s="222"/>
      <c r="FIQ13" s="222"/>
      <c r="FIR13" s="222"/>
      <c r="FIS13" s="222"/>
      <c r="FIT13" s="222"/>
      <c r="FIU13" s="222"/>
      <c r="FIV13" s="222"/>
      <c r="FIW13" s="222"/>
      <c r="FIX13" s="222"/>
      <c r="FIY13" s="222"/>
      <c r="FIZ13" s="222"/>
      <c r="FJA13" s="222"/>
      <c r="FJB13" s="222"/>
      <c r="FJC13" s="222"/>
      <c r="FJD13" s="222"/>
      <c r="FJE13" s="222"/>
      <c r="FJF13" s="222"/>
      <c r="FJG13" s="222"/>
      <c r="FJH13" s="222"/>
      <c r="FJI13" s="222"/>
      <c r="FJJ13" s="222"/>
      <c r="FJK13" s="222"/>
      <c r="FJL13" s="222"/>
      <c r="FJM13" s="222"/>
      <c r="FJN13" s="222"/>
      <c r="FJO13" s="222"/>
      <c r="FJP13" s="222"/>
      <c r="FJQ13" s="222"/>
      <c r="FJR13" s="222"/>
      <c r="FJS13" s="222"/>
      <c r="FJT13" s="222"/>
      <c r="FJU13" s="222"/>
      <c r="FJV13" s="222"/>
      <c r="FJW13" s="222"/>
      <c r="FJX13" s="222"/>
      <c r="FJY13" s="222"/>
      <c r="FJZ13" s="222"/>
      <c r="FKA13" s="222"/>
      <c r="FKB13" s="222"/>
      <c r="FKC13" s="222"/>
      <c r="FKD13" s="222"/>
      <c r="FKE13" s="222"/>
      <c r="FKF13" s="222"/>
      <c r="FKG13" s="222"/>
      <c r="FKH13" s="222"/>
      <c r="FKI13" s="222"/>
      <c r="FKJ13" s="222"/>
      <c r="FKK13" s="222"/>
      <c r="FKL13" s="222"/>
      <c r="FKM13" s="222"/>
      <c r="FKN13" s="222"/>
      <c r="FKO13" s="222"/>
      <c r="FKP13" s="222"/>
      <c r="FKQ13" s="222"/>
      <c r="FKR13" s="222"/>
      <c r="FKS13" s="222"/>
      <c r="FKT13" s="222"/>
      <c r="FKU13" s="222"/>
      <c r="FKV13" s="222"/>
      <c r="FKW13" s="222"/>
      <c r="FKX13" s="222"/>
      <c r="FKY13" s="222"/>
      <c r="FKZ13" s="222"/>
      <c r="FLA13" s="222"/>
      <c r="FLB13" s="222"/>
      <c r="FLC13" s="222"/>
      <c r="FLD13" s="222"/>
      <c r="FLE13" s="222"/>
      <c r="FLF13" s="222"/>
      <c r="FLG13" s="222"/>
      <c r="FLH13" s="222"/>
      <c r="FLI13" s="222"/>
      <c r="FLJ13" s="222"/>
      <c r="FLK13" s="222"/>
      <c r="FLL13" s="222"/>
      <c r="FLM13" s="222"/>
      <c r="FLN13" s="222"/>
      <c r="FLO13" s="222"/>
      <c r="FLP13" s="222"/>
      <c r="FLQ13" s="222"/>
      <c r="FLR13" s="222"/>
      <c r="FLS13" s="222"/>
      <c r="FLT13" s="222"/>
      <c r="FLU13" s="222"/>
      <c r="FLV13" s="222"/>
      <c r="FLW13" s="222"/>
      <c r="FLX13" s="222"/>
      <c r="FLY13" s="222"/>
      <c r="FLZ13" s="222"/>
      <c r="FMA13" s="222"/>
      <c r="FMB13" s="222"/>
      <c r="FMC13" s="222"/>
      <c r="FMD13" s="222"/>
      <c r="FME13" s="222"/>
      <c r="FMF13" s="222"/>
      <c r="FMG13" s="222"/>
      <c r="FMH13" s="222"/>
      <c r="FMI13" s="222"/>
      <c r="FMJ13" s="222"/>
      <c r="FMK13" s="222"/>
      <c r="FML13" s="222"/>
      <c r="FMM13" s="222"/>
      <c r="FMN13" s="222"/>
      <c r="FMO13" s="222"/>
      <c r="FMP13" s="222"/>
      <c r="FMQ13" s="222"/>
      <c r="FMR13" s="222"/>
      <c r="FMS13" s="222"/>
      <c r="FMT13" s="222"/>
      <c r="FMU13" s="222"/>
      <c r="FMV13" s="222"/>
      <c r="FMW13" s="222"/>
      <c r="FMX13" s="222"/>
      <c r="FMY13" s="222"/>
      <c r="FMZ13" s="222"/>
      <c r="FNA13" s="222"/>
      <c r="FNB13" s="222"/>
      <c r="FNC13" s="222"/>
      <c r="FND13" s="222"/>
      <c r="FNE13" s="222"/>
      <c r="FNF13" s="222"/>
      <c r="FNG13" s="222"/>
      <c r="FNH13" s="222"/>
      <c r="FNI13" s="222"/>
      <c r="FNJ13" s="222"/>
      <c r="FNK13" s="222"/>
      <c r="FNL13" s="222"/>
      <c r="FNM13" s="222"/>
      <c r="FNN13" s="222"/>
      <c r="FNO13" s="222"/>
      <c r="FNP13" s="222"/>
      <c r="FNQ13" s="222"/>
      <c r="FNR13" s="222"/>
      <c r="FNS13" s="222"/>
      <c r="FNT13" s="222"/>
      <c r="FNU13" s="222"/>
      <c r="FNV13" s="222"/>
      <c r="FNW13" s="222"/>
      <c r="FNX13" s="222"/>
      <c r="FNY13" s="222"/>
      <c r="FNZ13" s="222"/>
      <c r="FOA13" s="222"/>
      <c r="FOB13" s="222"/>
      <c r="FOC13" s="222"/>
      <c r="FOD13" s="222"/>
      <c r="FOE13" s="222"/>
      <c r="FOF13" s="222"/>
      <c r="FOG13" s="222"/>
      <c r="FOH13" s="222"/>
      <c r="FOI13" s="222"/>
      <c r="FOJ13" s="222"/>
      <c r="FOK13" s="222"/>
      <c r="FOL13" s="222"/>
      <c r="FOM13" s="222"/>
      <c r="FON13" s="222"/>
      <c r="FOO13" s="222"/>
      <c r="FOP13" s="222"/>
      <c r="FOQ13" s="222"/>
      <c r="FOR13" s="222"/>
      <c r="FOS13" s="222"/>
      <c r="FOT13" s="222"/>
      <c r="FOU13" s="222"/>
      <c r="FOV13" s="222"/>
      <c r="FOW13" s="222"/>
      <c r="FOX13" s="222"/>
      <c r="FOY13" s="222"/>
      <c r="FOZ13" s="222"/>
      <c r="FPA13" s="222"/>
      <c r="FPB13" s="222"/>
      <c r="FPC13" s="222"/>
      <c r="FPD13" s="222"/>
      <c r="FPE13" s="222"/>
      <c r="FPF13" s="222"/>
      <c r="FPG13" s="222"/>
      <c r="FPH13" s="222"/>
      <c r="FPI13" s="222"/>
      <c r="FPJ13" s="222"/>
      <c r="FPK13" s="222"/>
      <c r="FPL13" s="222"/>
      <c r="FPM13" s="222"/>
      <c r="FPN13" s="222"/>
      <c r="FPO13" s="222"/>
      <c r="FPP13" s="222"/>
      <c r="FPQ13" s="222"/>
      <c r="FPR13" s="222"/>
      <c r="FPS13" s="222"/>
      <c r="FPT13" s="222"/>
      <c r="FPU13" s="222"/>
      <c r="FPV13" s="222"/>
      <c r="FPW13" s="222"/>
      <c r="FPX13" s="222"/>
      <c r="FPY13" s="222"/>
      <c r="FPZ13" s="222"/>
      <c r="FQA13" s="222"/>
      <c r="FQB13" s="222"/>
      <c r="FQC13" s="222"/>
      <c r="FQD13" s="222"/>
      <c r="FQE13" s="222"/>
      <c r="FQF13" s="222"/>
      <c r="FQG13" s="222"/>
      <c r="FQH13" s="222"/>
      <c r="FQI13" s="222"/>
      <c r="FQJ13" s="222"/>
      <c r="FQK13" s="222"/>
      <c r="FQL13" s="222"/>
      <c r="FQM13" s="222"/>
      <c r="FQN13" s="222"/>
      <c r="FQO13" s="222"/>
      <c r="FQP13" s="222"/>
      <c r="FQQ13" s="222"/>
      <c r="FQR13" s="222"/>
      <c r="FQS13" s="222"/>
      <c r="FQT13" s="222"/>
      <c r="FQU13" s="222"/>
      <c r="FQV13" s="222"/>
      <c r="FQW13" s="222"/>
      <c r="FQX13" s="222"/>
      <c r="FQY13" s="222"/>
      <c r="FQZ13" s="222"/>
      <c r="FRA13" s="222"/>
      <c r="FRB13" s="222"/>
      <c r="FRC13" s="222"/>
      <c r="FRD13" s="222"/>
      <c r="FRE13" s="222"/>
      <c r="FRF13" s="222"/>
      <c r="FRG13" s="222"/>
      <c r="FRH13" s="222"/>
      <c r="FRI13" s="222"/>
      <c r="FRJ13" s="222"/>
      <c r="FRK13" s="222"/>
      <c r="FRL13" s="222"/>
      <c r="FRM13" s="222"/>
      <c r="FRN13" s="222"/>
      <c r="FRO13" s="222"/>
      <c r="FRP13" s="222"/>
      <c r="FRQ13" s="222"/>
      <c r="FRR13" s="222"/>
      <c r="FRS13" s="222"/>
      <c r="FRT13" s="222"/>
      <c r="FRU13" s="222"/>
      <c r="FRV13" s="222"/>
      <c r="FRW13" s="222"/>
      <c r="FRX13" s="222"/>
      <c r="FRY13" s="222"/>
      <c r="FRZ13" s="222"/>
      <c r="FSA13" s="222"/>
      <c r="FSB13" s="222"/>
      <c r="FSC13" s="222"/>
      <c r="FSD13" s="222"/>
      <c r="FSE13" s="222"/>
      <c r="FSF13" s="222"/>
      <c r="FSG13" s="222"/>
      <c r="FSH13" s="222"/>
      <c r="FSI13" s="222"/>
      <c r="FSJ13" s="222"/>
      <c r="FSK13" s="222"/>
      <c r="FSL13" s="222"/>
      <c r="FSM13" s="222"/>
      <c r="FSN13" s="222"/>
      <c r="FSO13" s="222"/>
      <c r="FSP13" s="222"/>
      <c r="FSQ13" s="222"/>
      <c r="FSR13" s="222"/>
      <c r="FSS13" s="222"/>
      <c r="FST13" s="222"/>
      <c r="FSU13" s="222"/>
      <c r="FSV13" s="222"/>
      <c r="FSW13" s="222"/>
      <c r="FSX13" s="222"/>
      <c r="FSY13" s="222"/>
      <c r="FSZ13" s="222"/>
      <c r="FTA13" s="222"/>
      <c r="FTB13" s="222"/>
      <c r="FTC13" s="222"/>
      <c r="FTD13" s="222"/>
      <c r="FTE13" s="222"/>
      <c r="FTF13" s="222"/>
      <c r="FTG13" s="222"/>
      <c r="FTH13" s="222"/>
      <c r="FTI13" s="222"/>
      <c r="FTJ13" s="222"/>
      <c r="FTK13" s="222"/>
      <c r="FTL13" s="222"/>
      <c r="FTM13" s="222"/>
      <c r="FTN13" s="222"/>
      <c r="FTO13" s="222"/>
      <c r="FTP13" s="222"/>
      <c r="FTQ13" s="222"/>
      <c r="FTR13" s="222"/>
      <c r="FTS13" s="222"/>
      <c r="FTT13" s="222"/>
      <c r="FTU13" s="222"/>
      <c r="FTV13" s="222"/>
      <c r="FTW13" s="222"/>
      <c r="FTX13" s="222"/>
      <c r="FTY13" s="222"/>
      <c r="FTZ13" s="222"/>
      <c r="FUA13" s="222"/>
      <c r="FUB13" s="222"/>
      <c r="FUC13" s="222"/>
      <c r="FUD13" s="222"/>
      <c r="FUE13" s="222"/>
      <c r="FUF13" s="222"/>
      <c r="FUG13" s="222"/>
      <c r="FUH13" s="222"/>
      <c r="FUI13" s="222"/>
      <c r="FUJ13" s="222"/>
      <c r="FUK13" s="222"/>
      <c r="FUL13" s="222"/>
      <c r="FUM13" s="222"/>
      <c r="FUN13" s="222"/>
      <c r="FUO13" s="222"/>
      <c r="FUP13" s="222"/>
      <c r="FUQ13" s="222"/>
      <c r="FUR13" s="222"/>
      <c r="FUS13" s="222"/>
      <c r="FUT13" s="222"/>
      <c r="FUU13" s="222"/>
      <c r="FUV13" s="222"/>
      <c r="FUW13" s="222"/>
      <c r="FUX13" s="222"/>
      <c r="FUY13" s="222"/>
      <c r="FUZ13" s="222"/>
      <c r="FVA13" s="222"/>
      <c r="FVB13" s="222"/>
      <c r="FVC13" s="222"/>
      <c r="FVD13" s="222"/>
      <c r="FVE13" s="222"/>
      <c r="FVF13" s="222"/>
      <c r="FVG13" s="222"/>
      <c r="FVH13" s="222"/>
      <c r="FVI13" s="222"/>
      <c r="FVJ13" s="222"/>
      <c r="FVK13" s="222"/>
      <c r="FVL13" s="222"/>
      <c r="FVM13" s="222"/>
      <c r="FVN13" s="222"/>
      <c r="FVO13" s="222"/>
      <c r="FVP13" s="222"/>
      <c r="FVQ13" s="222"/>
      <c r="FVR13" s="222"/>
      <c r="FVS13" s="222"/>
      <c r="FVT13" s="222"/>
      <c r="FVU13" s="222"/>
      <c r="FVV13" s="222"/>
      <c r="FVW13" s="222"/>
      <c r="FVX13" s="222"/>
      <c r="FVY13" s="222"/>
      <c r="FVZ13" s="222"/>
      <c r="FWA13" s="222"/>
      <c r="FWB13" s="222"/>
      <c r="FWC13" s="222"/>
      <c r="FWD13" s="222"/>
      <c r="FWE13" s="222"/>
      <c r="FWF13" s="222"/>
      <c r="FWG13" s="222"/>
      <c r="FWH13" s="222"/>
      <c r="FWI13" s="222"/>
      <c r="FWJ13" s="222"/>
      <c r="FWK13" s="222"/>
      <c r="FWL13" s="222"/>
      <c r="FWM13" s="222"/>
      <c r="FWN13" s="222"/>
      <c r="FWO13" s="222"/>
      <c r="FWP13" s="222"/>
      <c r="FWQ13" s="222"/>
      <c r="FWR13" s="222"/>
      <c r="FWS13" s="222"/>
      <c r="FWT13" s="222"/>
      <c r="FWU13" s="222"/>
      <c r="FWV13" s="222"/>
      <c r="FWW13" s="222"/>
      <c r="FWX13" s="222"/>
      <c r="FWY13" s="222"/>
      <c r="FWZ13" s="222"/>
      <c r="FXA13" s="222"/>
      <c r="FXB13" s="222"/>
      <c r="FXC13" s="222"/>
      <c r="FXD13" s="222"/>
      <c r="FXE13" s="222"/>
      <c r="FXF13" s="222"/>
      <c r="FXG13" s="222"/>
      <c r="FXH13" s="222"/>
      <c r="FXI13" s="222"/>
      <c r="FXJ13" s="222"/>
      <c r="FXK13" s="222"/>
      <c r="FXL13" s="222"/>
      <c r="FXM13" s="222"/>
      <c r="FXN13" s="222"/>
      <c r="FXO13" s="222"/>
      <c r="FXP13" s="222"/>
      <c r="FXQ13" s="222"/>
      <c r="FXR13" s="222"/>
      <c r="FXS13" s="222"/>
      <c r="FXT13" s="222"/>
      <c r="FXU13" s="222"/>
      <c r="FXV13" s="222"/>
      <c r="FXW13" s="222"/>
      <c r="FXX13" s="222"/>
      <c r="FXY13" s="222"/>
      <c r="FXZ13" s="222"/>
      <c r="FYA13" s="222"/>
      <c r="FYB13" s="222"/>
      <c r="FYC13" s="222"/>
      <c r="FYD13" s="222"/>
      <c r="FYE13" s="222"/>
      <c r="FYF13" s="222"/>
      <c r="FYG13" s="222"/>
      <c r="FYH13" s="222"/>
      <c r="FYI13" s="222"/>
      <c r="FYJ13" s="222"/>
      <c r="FYK13" s="222"/>
      <c r="FYL13" s="222"/>
      <c r="FYM13" s="222"/>
      <c r="FYN13" s="222"/>
      <c r="FYO13" s="222"/>
      <c r="FYP13" s="222"/>
      <c r="FYQ13" s="222"/>
      <c r="FYR13" s="222"/>
      <c r="FYS13" s="222"/>
      <c r="FYT13" s="222"/>
      <c r="FYU13" s="222"/>
      <c r="FYV13" s="222"/>
      <c r="FYW13" s="222"/>
      <c r="FYX13" s="222"/>
      <c r="FYY13" s="222"/>
      <c r="FYZ13" s="222"/>
      <c r="FZA13" s="222"/>
      <c r="FZB13" s="222"/>
      <c r="FZC13" s="222"/>
      <c r="FZD13" s="222"/>
      <c r="FZE13" s="222"/>
      <c r="FZF13" s="222"/>
      <c r="FZG13" s="222"/>
      <c r="FZH13" s="222"/>
      <c r="FZI13" s="222"/>
      <c r="FZJ13" s="222"/>
      <c r="FZK13" s="222"/>
      <c r="FZL13" s="222"/>
      <c r="FZM13" s="222"/>
      <c r="FZN13" s="222"/>
      <c r="FZO13" s="222"/>
      <c r="FZP13" s="222"/>
      <c r="FZQ13" s="222"/>
      <c r="FZR13" s="222"/>
      <c r="FZS13" s="222"/>
      <c r="FZT13" s="222"/>
      <c r="FZU13" s="222"/>
      <c r="FZV13" s="222"/>
      <c r="FZW13" s="222"/>
      <c r="FZX13" s="222"/>
      <c r="FZY13" s="222"/>
      <c r="FZZ13" s="222"/>
      <c r="GAA13" s="222"/>
      <c r="GAB13" s="222"/>
      <c r="GAC13" s="222"/>
      <c r="GAD13" s="222"/>
      <c r="GAE13" s="222"/>
      <c r="GAF13" s="222"/>
      <c r="GAG13" s="222"/>
      <c r="GAH13" s="222"/>
      <c r="GAI13" s="222"/>
      <c r="GAJ13" s="222"/>
      <c r="GAK13" s="222"/>
      <c r="GAL13" s="222"/>
      <c r="GAM13" s="222"/>
      <c r="GAN13" s="222"/>
      <c r="GAO13" s="222"/>
      <c r="GAP13" s="222"/>
      <c r="GAQ13" s="222"/>
      <c r="GAR13" s="222"/>
      <c r="GAS13" s="222"/>
      <c r="GAT13" s="222"/>
      <c r="GAU13" s="222"/>
      <c r="GAV13" s="222"/>
      <c r="GAW13" s="222"/>
      <c r="GAX13" s="222"/>
      <c r="GAY13" s="222"/>
      <c r="GAZ13" s="222"/>
      <c r="GBA13" s="222"/>
      <c r="GBB13" s="222"/>
      <c r="GBC13" s="222"/>
      <c r="GBD13" s="222"/>
      <c r="GBE13" s="222"/>
      <c r="GBF13" s="222"/>
      <c r="GBG13" s="222"/>
      <c r="GBH13" s="222"/>
      <c r="GBI13" s="222"/>
      <c r="GBJ13" s="222"/>
      <c r="GBK13" s="222"/>
      <c r="GBL13" s="222"/>
      <c r="GBM13" s="222"/>
      <c r="GBN13" s="222"/>
      <c r="GBO13" s="222"/>
      <c r="GBP13" s="222"/>
      <c r="GBQ13" s="222"/>
      <c r="GBR13" s="222"/>
      <c r="GBS13" s="222"/>
      <c r="GBT13" s="222"/>
      <c r="GBU13" s="222"/>
      <c r="GBV13" s="222"/>
      <c r="GBW13" s="222"/>
      <c r="GBX13" s="222"/>
      <c r="GBY13" s="222"/>
      <c r="GBZ13" s="222"/>
      <c r="GCA13" s="222"/>
      <c r="GCB13" s="222"/>
      <c r="GCC13" s="222"/>
      <c r="GCD13" s="222"/>
      <c r="GCE13" s="222"/>
      <c r="GCF13" s="222"/>
      <c r="GCG13" s="222"/>
      <c r="GCH13" s="222"/>
      <c r="GCI13" s="222"/>
      <c r="GCJ13" s="222"/>
      <c r="GCK13" s="222"/>
      <c r="GCL13" s="222"/>
      <c r="GCM13" s="222"/>
      <c r="GCN13" s="222"/>
      <c r="GCO13" s="222"/>
      <c r="GCP13" s="222"/>
      <c r="GCQ13" s="222"/>
      <c r="GCR13" s="222"/>
      <c r="GCS13" s="222"/>
      <c r="GCT13" s="222"/>
      <c r="GCU13" s="222"/>
      <c r="GCV13" s="222"/>
      <c r="GCW13" s="222"/>
      <c r="GCX13" s="222"/>
      <c r="GCY13" s="222"/>
      <c r="GCZ13" s="222"/>
      <c r="GDA13" s="222"/>
      <c r="GDB13" s="222"/>
      <c r="GDC13" s="222"/>
      <c r="GDD13" s="222"/>
      <c r="GDE13" s="222"/>
      <c r="GDF13" s="222"/>
      <c r="GDG13" s="222"/>
      <c r="GDH13" s="222"/>
      <c r="GDI13" s="222"/>
      <c r="GDJ13" s="222"/>
      <c r="GDK13" s="222"/>
      <c r="GDL13" s="222"/>
      <c r="GDM13" s="222"/>
      <c r="GDN13" s="222"/>
      <c r="GDO13" s="222"/>
      <c r="GDP13" s="222"/>
      <c r="GDQ13" s="222"/>
      <c r="GDR13" s="222"/>
      <c r="GDS13" s="222"/>
      <c r="GDT13" s="222"/>
      <c r="GDU13" s="222"/>
      <c r="GDV13" s="222"/>
      <c r="GDW13" s="222"/>
      <c r="GDX13" s="222"/>
      <c r="GDY13" s="222"/>
      <c r="GDZ13" s="222"/>
      <c r="GEA13" s="222"/>
      <c r="GEB13" s="222"/>
      <c r="GEC13" s="222"/>
      <c r="GED13" s="222"/>
      <c r="GEE13" s="222"/>
      <c r="GEF13" s="222"/>
      <c r="GEG13" s="222"/>
      <c r="GEH13" s="222"/>
      <c r="GEI13" s="222"/>
      <c r="GEJ13" s="222"/>
      <c r="GEK13" s="222"/>
      <c r="GEL13" s="222"/>
      <c r="GEM13" s="222"/>
      <c r="GEN13" s="222"/>
      <c r="GEO13" s="222"/>
      <c r="GEP13" s="222"/>
      <c r="GEQ13" s="222"/>
      <c r="GER13" s="222"/>
      <c r="GES13" s="222"/>
      <c r="GET13" s="222"/>
      <c r="GEU13" s="222"/>
      <c r="GEV13" s="222"/>
      <c r="GEW13" s="222"/>
      <c r="GEX13" s="222"/>
      <c r="GEY13" s="222"/>
      <c r="GEZ13" s="222"/>
      <c r="GFA13" s="222"/>
      <c r="GFB13" s="222"/>
      <c r="GFC13" s="222"/>
      <c r="GFD13" s="222"/>
      <c r="GFE13" s="222"/>
      <c r="GFF13" s="222"/>
      <c r="GFG13" s="222"/>
      <c r="GFH13" s="222"/>
      <c r="GFI13" s="222"/>
      <c r="GFJ13" s="222"/>
      <c r="GFK13" s="222"/>
      <c r="GFL13" s="222"/>
      <c r="GFM13" s="222"/>
      <c r="GFN13" s="222"/>
      <c r="GFO13" s="222"/>
      <c r="GFP13" s="222"/>
      <c r="GFQ13" s="222"/>
      <c r="GFR13" s="222"/>
      <c r="GFS13" s="222"/>
      <c r="GFT13" s="222"/>
      <c r="GFU13" s="222"/>
      <c r="GFV13" s="222"/>
      <c r="GFW13" s="222"/>
      <c r="GFX13" s="222"/>
      <c r="GFY13" s="222"/>
      <c r="GFZ13" s="222"/>
      <c r="GGA13" s="222"/>
      <c r="GGB13" s="222"/>
      <c r="GGC13" s="222"/>
      <c r="GGD13" s="222"/>
      <c r="GGE13" s="222"/>
      <c r="GGF13" s="222"/>
      <c r="GGG13" s="222"/>
      <c r="GGH13" s="222"/>
      <c r="GGI13" s="222"/>
      <c r="GGJ13" s="222"/>
      <c r="GGK13" s="222"/>
      <c r="GGL13" s="222"/>
      <c r="GGM13" s="222"/>
      <c r="GGN13" s="222"/>
      <c r="GGO13" s="222"/>
      <c r="GGP13" s="222"/>
      <c r="GGQ13" s="222"/>
      <c r="GGR13" s="222"/>
      <c r="GGS13" s="222"/>
      <c r="GGT13" s="222"/>
      <c r="GGU13" s="222"/>
      <c r="GGV13" s="222"/>
      <c r="GGW13" s="222"/>
      <c r="GGX13" s="222"/>
      <c r="GGY13" s="222"/>
      <c r="GGZ13" s="222"/>
      <c r="GHA13" s="222"/>
      <c r="GHB13" s="222"/>
      <c r="GHC13" s="222"/>
      <c r="GHD13" s="222"/>
      <c r="GHE13" s="222"/>
      <c r="GHF13" s="222"/>
      <c r="GHG13" s="222"/>
      <c r="GHH13" s="222"/>
      <c r="GHI13" s="222"/>
      <c r="GHJ13" s="222"/>
      <c r="GHK13" s="222"/>
      <c r="GHL13" s="222"/>
      <c r="GHM13" s="222"/>
      <c r="GHN13" s="222"/>
      <c r="GHO13" s="222"/>
      <c r="GHP13" s="222"/>
      <c r="GHQ13" s="222"/>
      <c r="GHR13" s="222"/>
      <c r="GHS13" s="222"/>
      <c r="GHT13" s="222"/>
      <c r="GHU13" s="222"/>
      <c r="GHV13" s="222"/>
      <c r="GHW13" s="222"/>
      <c r="GHX13" s="222"/>
      <c r="GHY13" s="222"/>
      <c r="GHZ13" s="222"/>
      <c r="GIA13" s="222"/>
      <c r="GIB13" s="222"/>
      <c r="GIC13" s="222"/>
      <c r="GID13" s="222"/>
      <c r="GIE13" s="222"/>
      <c r="GIF13" s="222"/>
      <c r="GIG13" s="222"/>
      <c r="GIH13" s="222"/>
      <c r="GII13" s="222"/>
      <c r="GIJ13" s="222"/>
      <c r="GIK13" s="222"/>
      <c r="GIL13" s="222"/>
      <c r="GIM13" s="222"/>
      <c r="GIN13" s="222"/>
      <c r="GIO13" s="222"/>
      <c r="GIP13" s="222"/>
      <c r="GIQ13" s="222"/>
      <c r="GIR13" s="222"/>
      <c r="GIS13" s="222"/>
      <c r="GIT13" s="222"/>
      <c r="GIU13" s="222"/>
      <c r="GIV13" s="222"/>
      <c r="GIW13" s="222"/>
      <c r="GIX13" s="222"/>
      <c r="GIY13" s="222"/>
      <c r="GIZ13" s="222"/>
      <c r="GJA13" s="222"/>
      <c r="GJB13" s="222"/>
      <c r="GJC13" s="222"/>
      <c r="GJD13" s="222"/>
      <c r="GJE13" s="222"/>
      <c r="GJF13" s="222"/>
      <c r="GJG13" s="222"/>
      <c r="GJH13" s="222"/>
      <c r="GJI13" s="222"/>
      <c r="GJJ13" s="222"/>
      <c r="GJK13" s="222"/>
      <c r="GJL13" s="222"/>
      <c r="GJM13" s="222"/>
      <c r="GJN13" s="222"/>
      <c r="GJO13" s="222"/>
      <c r="GJP13" s="222"/>
      <c r="GJQ13" s="222"/>
      <c r="GJR13" s="222"/>
      <c r="GJS13" s="222"/>
      <c r="GJT13" s="222"/>
      <c r="GJU13" s="222"/>
      <c r="GJV13" s="222"/>
      <c r="GJW13" s="222"/>
      <c r="GJX13" s="222"/>
      <c r="GJY13" s="222"/>
      <c r="GJZ13" s="222"/>
      <c r="GKA13" s="222"/>
      <c r="GKB13" s="222"/>
      <c r="GKC13" s="222"/>
      <c r="GKD13" s="222"/>
      <c r="GKE13" s="222"/>
      <c r="GKF13" s="222"/>
      <c r="GKG13" s="222"/>
      <c r="GKH13" s="222"/>
      <c r="GKI13" s="222"/>
      <c r="GKJ13" s="222"/>
      <c r="GKK13" s="222"/>
      <c r="GKL13" s="222"/>
      <c r="GKM13" s="222"/>
      <c r="GKN13" s="222"/>
      <c r="GKO13" s="222"/>
      <c r="GKP13" s="222"/>
      <c r="GKQ13" s="222"/>
      <c r="GKR13" s="222"/>
      <c r="GKS13" s="222"/>
      <c r="GKT13" s="222"/>
      <c r="GKU13" s="222"/>
      <c r="GKV13" s="222"/>
      <c r="GKW13" s="222"/>
      <c r="GKX13" s="222"/>
      <c r="GKY13" s="222"/>
      <c r="GKZ13" s="222"/>
      <c r="GLA13" s="222"/>
      <c r="GLB13" s="222"/>
      <c r="GLC13" s="222"/>
      <c r="GLD13" s="222"/>
      <c r="GLE13" s="222"/>
      <c r="GLF13" s="222"/>
      <c r="GLG13" s="222"/>
      <c r="GLH13" s="222"/>
      <c r="GLI13" s="222"/>
      <c r="GLJ13" s="222"/>
      <c r="GLK13" s="222"/>
      <c r="GLL13" s="222"/>
      <c r="GLM13" s="222"/>
      <c r="GLN13" s="222"/>
      <c r="GLO13" s="222"/>
      <c r="GLP13" s="222"/>
      <c r="GLQ13" s="222"/>
      <c r="GLR13" s="222"/>
      <c r="GLS13" s="222"/>
      <c r="GLT13" s="222"/>
      <c r="GLU13" s="222"/>
      <c r="GLV13" s="222"/>
      <c r="GLW13" s="222"/>
      <c r="GLX13" s="222"/>
      <c r="GLY13" s="222"/>
      <c r="GLZ13" s="222"/>
      <c r="GMA13" s="222"/>
      <c r="GMB13" s="222"/>
      <c r="GMC13" s="222"/>
      <c r="GMD13" s="222"/>
      <c r="GME13" s="222"/>
      <c r="GMF13" s="222"/>
      <c r="GMG13" s="222"/>
      <c r="GMH13" s="222"/>
      <c r="GMI13" s="222"/>
      <c r="GMJ13" s="222"/>
      <c r="GMK13" s="222"/>
      <c r="GML13" s="222"/>
      <c r="GMM13" s="222"/>
      <c r="GMN13" s="222"/>
      <c r="GMO13" s="222"/>
      <c r="GMP13" s="222"/>
      <c r="GMQ13" s="222"/>
      <c r="GMR13" s="222"/>
      <c r="GMS13" s="222"/>
      <c r="GMT13" s="222"/>
      <c r="GMU13" s="222"/>
      <c r="GMV13" s="222"/>
      <c r="GMW13" s="222"/>
      <c r="GMX13" s="222"/>
      <c r="GMY13" s="222"/>
      <c r="GMZ13" s="222"/>
      <c r="GNA13" s="222"/>
      <c r="GNB13" s="222"/>
      <c r="GNC13" s="222"/>
      <c r="GND13" s="222"/>
      <c r="GNE13" s="222"/>
      <c r="GNF13" s="222"/>
      <c r="GNG13" s="222"/>
      <c r="GNH13" s="222"/>
      <c r="GNI13" s="222"/>
      <c r="GNJ13" s="222"/>
      <c r="GNK13" s="222"/>
      <c r="GNL13" s="222"/>
      <c r="GNM13" s="222"/>
      <c r="GNN13" s="222"/>
      <c r="GNO13" s="222"/>
      <c r="GNP13" s="222"/>
      <c r="GNQ13" s="222"/>
      <c r="GNR13" s="222"/>
      <c r="GNS13" s="222"/>
      <c r="GNT13" s="222"/>
      <c r="GNU13" s="222"/>
      <c r="GNV13" s="222"/>
      <c r="GNW13" s="222"/>
      <c r="GNX13" s="222"/>
      <c r="GNY13" s="222"/>
      <c r="GNZ13" s="222"/>
      <c r="GOA13" s="222"/>
      <c r="GOB13" s="222"/>
      <c r="GOC13" s="222"/>
      <c r="GOD13" s="222"/>
      <c r="GOE13" s="222"/>
      <c r="GOF13" s="222"/>
      <c r="GOG13" s="222"/>
      <c r="GOH13" s="222"/>
      <c r="GOI13" s="222"/>
      <c r="GOJ13" s="222"/>
      <c r="GOK13" s="222"/>
      <c r="GOL13" s="222"/>
      <c r="GOM13" s="222"/>
      <c r="GON13" s="222"/>
      <c r="GOO13" s="222"/>
      <c r="GOP13" s="222"/>
      <c r="GOQ13" s="222"/>
      <c r="GOR13" s="222"/>
      <c r="GOS13" s="222"/>
      <c r="GOT13" s="222"/>
      <c r="GOU13" s="222"/>
      <c r="GOV13" s="222"/>
      <c r="GOW13" s="222"/>
      <c r="GOX13" s="222"/>
      <c r="GOY13" s="222"/>
      <c r="GOZ13" s="222"/>
      <c r="GPA13" s="222"/>
      <c r="GPB13" s="222"/>
      <c r="GPC13" s="222"/>
      <c r="GPD13" s="222"/>
      <c r="GPE13" s="222"/>
      <c r="GPF13" s="222"/>
      <c r="GPG13" s="222"/>
      <c r="GPH13" s="222"/>
      <c r="GPI13" s="222"/>
      <c r="GPJ13" s="222"/>
      <c r="GPK13" s="222"/>
      <c r="GPL13" s="222"/>
      <c r="GPM13" s="222"/>
      <c r="GPN13" s="222"/>
      <c r="GPO13" s="222"/>
      <c r="GPP13" s="222"/>
      <c r="GPQ13" s="222"/>
      <c r="GPR13" s="222"/>
      <c r="GPS13" s="222"/>
      <c r="GPT13" s="222"/>
      <c r="GPU13" s="222"/>
      <c r="GPV13" s="222"/>
      <c r="GPW13" s="222"/>
      <c r="GPX13" s="222"/>
      <c r="GPY13" s="222"/>
      <c r="GPZ13" s="222"/>
      <c r="GQA13" s="222"/>
      <c r="GQB13" s="222"/>
      <c r="GQC13" s="222"/>
      <c r="GQD13" s="222"/>
      <c r="GQE13" s="222"/>
      <c r="GQF13" s="222"/>
      <c r="GQG13" s="222"/>
      <c r="GQH13" s="222"/>
      <c r="GQI13" s="222"/>
      <c r="GQJ13" s="222"/>
      <c r="GQK13" s="222"/>
      <c r="GQL13" s="222"/>
      <c r="GQM13" s="222"/>
      <c r="GQN13" s="222"/>
      <c r="GQO13" s="222"/>
      <c r="GQP13" s="222"/>
      <c r="GQQ13" s="222"/>
      <c r="GQR13" s="222"/>
      <c r="GQS13" s="222"/>
      <c r="GQT13" s="222"/>
      <c r="GQU13" s="222"/>
      <c r="GQV13" s="222"/>
      <c r="GQW13" s="222"/>
      <c r="GQX13" s="222"/>
      <c r="GQY13" s="222"/>
      <c r="GQZ13" s="222"/>
      <c r="GRA13" s="222"/>
      <c r="GRB13" s="222"/>
      <c r="GRC13" s="222"/>
      <c r="GRD13" s="222"/>
      <c r="GRE13" s="222"/>
      <c r="GRF13" s="222"/>
      <c r="GRG13" s="222"/>
      <c r="GRH13" s="222"/>
      <c r="GRI13" s="222"/>
      <c r="GRJ13" s="222"/>
      <c r="GRK13" s="222"/>
      <c r="GRL13" s="222"/>
      <c r="GRM13" s="222"/>
      <c r="GRN13" s="222"/>
      <c r="GRO13" s="222"/>
      <c r="GRP13" s="222"/>
      <c r="GRQ13" s="222"/>
      <c r="GRR13" s="222"/>
      <c r="GRS13" s="222"/>
      <c r="GRT13" s="222"/>
      <c r="GRU13" s="222"/>
      <c r="GRV13" s="222"/>
      <c r="GRW13" s="222"/>
      <c r="GRX13" s="222"/>
      <c r="GRY13" s="222"/>
      <c r="GRZ13" s="222"/>
      <c r="GSA13" s="222"/>
      <c r="GSB13" s="222"/>
      <c r="GSC13" s="222"/>
      <c r="GSD13" s="222"/>
      <c r="GSE13" s="222"/>
      <c r="GSF13" s="222"/>
      <c r="GSG13" s="222"/>
      <c r="GSH13" s="222"/>
      <c r="GSI13" s="222"/>
      <c r="GSJ13" s="222"/>
      <c r="GSK13" s="222"/>
      <c r="GSL13" s="222"/>
      <c r="GSM13" s="222"/>
      <c r="GSN13" s="222"/>
      <c r="GSO13" s="222"/>
      <c r="GSP13" s="222"/>
      <c r="GSQ13" s="222"/>
      <c r="GSR13" s="222"/>
      <c r="GSS13" s="222"/>
      <c r="GST13" s="222"/>
      <c r="GSU13" s="222"/>
      <c r="GSV13" s="222"/>
      <c r="GSW13" s="222"/>
      <c r="GSX13" s="222"/>
      <c r="GSY13" s="222"/>
      <c r="GSZ13" s="222"/>
      <c r="GTA13" s="222"/>
      <c r="GTB13" s="222"/>
      <c r="GTC13" s="222"/>
      <c r="GTD13" s="222"/>
      <c r="GTE13" s="222"/>
      <c r="GTF13" s="222"/>
      <c r="GTG13" s="222"/>
      <c r="GTH13" s="222"/>
      <c r="GTI13" s="222"/>
      <c r="GTJ13" s="222"/>
      <c r="GTK13" s="222"/>
      <c r="GTL13" s="222"/>
      <c r="GTM13" s="222"/>
      <c r="GTN13" s="222"/>
      <c r="GTO13" s="222"/>
      <c r="GTP13" s="222"/>
      <c r="GTQ13" s="222"/>
      <c r="GTR13" s="222"/>
      <c r="GTS13" s="222"/>
      <c r="GTT13" s="222"/>
      <c r="GTU13" s="222"/>
      <c r="GTV13" s="222"/>
      <c r="GTW13" s="222"/>
      <c r="GTX13" s="222"/>
      <c r="GTY13" s="222"/>
      <c r="GTZ13" s="222"/>
      <c r="GUA13" s="222"/>
      <c r="GUB13" s="222"/>
      <c r="GUC13" s="222"/>
      <c r="GUD13" s="222"/>
      <c r="GUE13" s="222"/>
      <c r="GUF13" s="222"/>
      <c r="GUG13" s="222"/>
      <c r="GUH13" s="222"/>
      <c r="GUI13" s="222"/>
      <c r="GUJ13" s="222"/>
      <c r="GUK13" s="222"/>
      <c r="GUL13" s="222"/>
      <c r="GUM13" s="222"/>
      <c r="GUN13" s="222"/>
      <c r="GUO13" s="222"/>
      <c r="GUP13" s="222"/>
      <c r="GUQ13" s="222"/>
      <c r="GUR13" s="222"/>
      <c r="GUS13" s="222"/>
      <c r="GUT13" s="222"/>
      <c r="GUU13" s="222"/>
      <c r="GUV13" s="222"/>
      <c r="GUW13" s="222"/>
      <c r="GUX13" s="222"/>
      <c r="GUY13" s="222"/>
      <c r="GUZ13" s="222"/>
      <c r="GVA13" s="222"/>
      <c r="GVB13" s="222"/>
      <c r="GVC13" s="222"/>
      <c r="GVD13" s="222"/>
      <c r="GVE13" s="222"/>
      <c r="GVF13" s="222"/>
      <c r="GVG13" s="222"/>
      <c r="GVH13" s="222"/>
      <c r="GVI13" s="222"/>
      <c r="GVJ13" s="222"/>
      <c r="GVK13" s="222"/>
      <c r="GVL13" s="222"/>
      <c r="GVM13" s="222"/>
      <c r="GVN13" s="222"/>
      <c r="GVO13" s="222"/>
      <c r="GVP13" s="222"/>
      <c r="GVQ13" s="222"/>
      <c r="GVR13" s="222"/>
      <c r="GVS13" s="222"/>
      <c r="GVT13" s="222"/>
      <c r="GVU13" s="222"/>
      <c r="GVV13" s="222"/>
      <c r="GVW13" s="222"/>
      <c r="GVX13" s="222"/>
      <c r="GVY13" s="222"/>
      <c r="GVZ13" s="222"/>
      <c r="GWA13" s="222"/>
      <c r="GWB13" s="222"/>
      <c r="GWC13" s="222"/>
      <c r="GWD13" s="222"/>
      <c r="GWE13" s="222"/>
      <c r="GWF13" s="222"/>
      <c r="GWG13" s="222"/>
      <c r="GWH13" s="222"/>
      <c r="GWI13" s="222"/>
      <c r="GWJ13" s="222"/>
      <c r="GWK13" s="222"/>
      <c r="GWL13" s="222"/>
      <c r="GWM13" s="222"/>
      <c r="GWN13" s="222"/>
      <c r="GWO13" s="222"/>
      <c r="GWP13" s="222"/>
      <c r="GWQ13" s="222"/>
      <c r="GWR13" s="222"/>
      <c r="GWS13" s="222"/>
      <c r="GWT13" s="222"/>
      <c r="GWU13" s="222"/>
      <c r="GWV13" s="222"/>
      <c r="GWW13" s="222"/>
      <c r="GWX13" s="222"/>
      <c r="GWY13" s="222"/>
      <c r="GWZ13" s="222"/>
      <c r="GXA13" s="222"/>
      <c r="GXB13" s="222"/>
      <c r="GXC13" s="222"/>
      <c r="GXD13" s="222"/>
      <c r="GXE13" s="222"/>
      <c r="GXF13" s="222"/>
      <c r="GXG13" s="222"/>
      <c r="GXH13" s="222"/>
      <c r="GXI13" s="222"/>
      <c r="GXJ13" s="222"/>
      <c r="GXK13" s="222"/>
      <c r="GXL13" s="222"/>
      <c r="GXM13" s="222"/>
      <c r="GXN13" s="222"/>
      <c r="GXO13" s="222"/>
      <c r="GXP13" s="222"/>
      <c r="GXQ13" s="222"/>
      <c r="GXR13" s="222"/>
      <c r="GXS13" s="222"/>
      <c r="GXT13" s="222"/>
      <c r="GXU13" s="222"/>
      <c r="GXV13" s="222"/>
      <c r="GXW13" s="222"/>
      <c r="GXX13" s="222"/>
      <c r="GXY13" s="222"/>
      <c r="GXZ13" s="222"/>
      <c r="GYA13" s="222"/>
      <c r="GYB13" s="222"/>
      <c r="GYC13" s="222"/>
      <c r="GYD13" s="222"/>
      <c r="GYE13" s="222"/>
      <c r="GYF13" s="222"/>
      <c r="GYG13" s="222"/>
      <c r="GYH13" s="222"/>
      <c r="GYI13" s="222"/>
      <c r="GYJ13" s="222"/>
      <c r="GYK13" s="222"/>
      <c r="GYL13" s="222"/>
      <c r="GYM13" s="222"/>
      <c r="GYN13" s="222"/>
      <c r="GYO13" s="222"/>
      <c r="GYP13" s="222"/>
      <c r="GYQ13" s="222"/>
      <c r="GYR13" s="222"/>
      <c r="GYS13" s="222"/>
      <c r="GYT13" s="222"/>
      <c r="GYU13" s="222"/>
      <c r="GYV13" s="222"/>
      <c r="GYW13" s="222"/>
      <c r="GYX13" s="222"/>
      <c r="GYY13" s="222"/>
      <c r="GYZ13" s="222"/>
      <c r="GZA13" s="222"/>
      <c r="GZB13" s="222"/>
      <c r="GZC13" s="222"/>
      <c r="GZD13" s="222"/>
      <c r="GZE13" s="222"/>
      <c r="GZF13" s="222"/>
      <c r="GZG13" s="222"/>
      <c r="GZH13" s="222"/>
      <c r="GZI13" s="222"/>
      <c r="GZJ13" s="222"/>
      <c r="GZK13" s="222"/>
      <c r="GZL13" s="222"/>
      <c r="GZM13" s="222"/>
      <c r="GZN13" s="222"/>
      <c r="GZO13" s="222"/>
      <c r="GZP13" s="222"/>
      <c r="GZQ13" s="222"/>
      <c r="GZR13" s="222"/>
      <c r="GZS13" s="222"/>
      <c r="GZT13" s="222"/>
      <c r="GZU13" s="222"/>
      <c r="GZV13" s="222"/>
      <c r="GZW13" s="222"/>
      <c r="GZX13" s="222"/>
      <c r="GZY13" s="222"/>
      <c r="GZZ13" s="222"/>
      <c r="HAA13" s="222"/>
      <c r="HAB13" s="222"/>
      <c r="HAC13" s="222"/>
      <c r="HAD13" s="222"/>
      <c r="HAE13" s="222"/>
      <c r="HAF13" s="222"/>
      <c r="HAG13" s="222"/>
      <c r="HAH13" s="222"/>
      <c r="HAI13" s="222"/>
      <c r="HAJ13" s="222"/>
      <c r="HAK13" s="222"/>
      <c r="HAL13" s="222"/>
      <c r="HAM13" s="222"/>
      <c r="HAN13" s="222"/>
      <c r="HAO13" s="222"/>
      <c r="HAP13" s="222"/>
      <c r="HAQ13" s="222"/>
      <c r="HAR13" s="222"/>
      <c r="HAS13" s="222"/>
      <c r="HAT13" s="222"/>
      <c r="HAU13" s="222"/>
      <c r="HAV13" s="222"/>
      <c r="HAW13" s="222"/>
      <c r="HAX13" s="222"/>
      <c r="HAY13" s="222"/>
      <c r="HAZ13" s="222"/>
      <c r="HBA13" s="222"/>
      <c r="HBB13" s="222"/>
      <c r="HBC13" s="222"/>
      <c r="HBD13" s="222"/>
      <c r="HBE13" s="222"/>
      <c r="HBF13" s="222"/>
      <c r="HBG13" s="222"/>
      <c r="HBH13" s="222"/>
      <c r="HBI13" s="222"/>
      <c r="HBJ13" s="222"/>
      <c r="HBK13" s="222"/>
      <c r="HBL13" s="222"/>
      <c r="HBM13" s="222"/>
      <c r="HBN13" s="222"/>
      <c r="HBO13" s="222"/>
      <c r="HBP13" s="222"/>
      <c r="HBQ13" s="222"/>
      <c r="HBR13" s="222"/>
      <c r="HBS13" s="222"/>
      <c r="HBT13" s="222"/>
      <c r="HBU13" s="222"/>
      <c r="HBV13" s="222"/>
      <c r="HBW13" s="222"/>
      <c r="HBX13" s="222"/>
      <c r="HBY13" s="222"/>
      <c r="HBZ13" s="222"/>
      <c r="HCA13" s="222"/>
      <c r="HCB13" s="222"/>
      <c r="HCC13" s="222"/>
      <c r="HCD13" s="222"/>
      <c r="HCE13" s="222"/>
      <c r="HCF13" s="222"/>
      <c r="HCG13" s="222"/>
      <c r="HCH13" s="222"/>
      <c r="HCI13" s="222"/>
      <c r="HCJ13" s="222"/>
      <c r="HCK13" s="222"/>
      <c r="HCL13" s="222"/>
      <c r="HCM13" s="222"/>
      <c r="HCN13" s="222"/>
      <c r="HCO13" s="222"/>
      <c r="HCP13" s="222"/>
      <c r="HCQ13" s="222"/>
      <c r="HCR13" s="222"/>
      <c r="HCS13" s="222"/>
      <c r="HCT13" s="222"/>
      <c r="HCU13" s="222"/>
      <c r="HCV13" s="222"/>
      <c r="HCW13" s="222"/>
      <c r="HCX13" s="222"/>
      <c r="HCY13" s="222"/>
      <c r="HCZ13" s="222"/>
      <c r="HDA13" s="222"/>
      <c r="HDB13" s="222"/>
      <c r="HDC13" s="222"/>
      <c r="HDD13" s="222"/>
      <c r="HDE13" s="222"/>
      <c r="HDF13" s="222"/>
      <c r="HDG13" s="222"/>
      <c r="HDH13" s="222"/>
      <c r="HDI13" s="222"/>
      <c r="HDJ13" s="222"/>
      <c r="HDK13" s="222"/>
      <c r="HDL13" s="222"/>
      <c r="HDM13" s="222"/>
      <c r="HDN13" s="222"/>
      <c r="HDO13" s="222"/>
      <c r="HDP13" s="222"/>
      <c r="HDQ13" s="222"/>
      <c r="HDR13" s="222"/>
      <c r="HDS13" s="222"/>
      <c r="HDT13" s="222"/>
      <c r="HDU13" s="222"/>
      <c r="HDV13" s="222"/>
      <c r="HDW13" s="222"/>
      <c r="HDX13" s="222"/>
      <c r="HDY13" s="222"/>
      <c r="HDZ13" s="222"/>
      <c r="HEA13" s="222"/>
      <c r="HEB13" s="222"/>
      <c r="HEC13" s="222"/>
      <c r="HED13" s="222"/>
      <c r="HEE13" s="222"/>
      <c r="HEF13" s="222"/>
      <c r="HEG13" s="222"/>
      <c r="HEH13" s="222"/>
      <c r="HEI13" s="222"/>
      <c r="HEJ13" s="222"/>
      <c r="HEK13" s="222"/>
      <c r="HEL13" s="222"/>
      <c r="HEM13" s="222"/>
      <c r="HEN13" s="222"/>
      <c r="HEO13" s="222"/>
      <c r="HEP13" s="222"/>
      <c r="HEQ13" s="222"/>
      <c r="HER13" s="222"/>
      <c r="HES13" s="222"/>
      <c r="HET13" s="222"/>
      <c r="HEU13" s="222"/>
      <c r="HEV13" s="222"/>
      <c r="HEW13" s="222"/>
      <c r="HEX13" s="222"/>
      <c r="HEY13" s="222"/>
      <c r="HEZ13" s="222"/>
      <c r="HFA13" s="222"/>
      <c r="HFB13" s="222"/>
      <c r="HFC13" s="222"/>
      <c r="HFD13" s="222"/>
      <c r="HFE13" s="222"/>
      <c r="HFF13" s="222"/>
      <c r="HFG13" s="222"/>
      <c r="HFH13" s="222"/>
      <c r="HFI13" s="222"/>
      <c r="HFJ13" s="222"/>
      <c r="HFK13" s="222"/>
      <c r="HFL13" s="222"/>
      <c r="HFM13" s="222"/>
      <c r="HFN13" s="222"/>
      <c r="HFO13" s="222"/>
      <c r="HFP13" s="222"/>
      <c r="HFQ13" s="222"/>
      <c r="HFR13" s="222"/>
      <c r="HFS13" s="222"/>
      <c r="HFT13" s="222"/>
      <c r="HFU13" s="222"/>
      <c r="HFV13" s="222"/>
      <c r="HFW13" s="222"/>
      <c r="HFX13" s="222"/>
      <c r="HFY13" s="222"/>
      <c r="HFZ13" s="222"/>
      <c r="HGA13" s="222"/>
      <c r="HGB13" s="222"/>
      <c r="HGC13" s="222"/>
      <c r="HGD13" s="222"/>
      <c r="HGE13" s="222"/>
      <c r="HGF13" s="222"/>
      <c r="HGG13" s="222"/>
      <c r="HGH13" s="222"/>
      <c r="HGI13" s="222"/>
      <c r="HGJ13" s="222"/>
      <c r="HGK13" s="222"/>
      <c r="HGL13" s="222"/>
      <c r="HGM13" s="222"/>
      <c r="HGN13" s="222"/>
      <c r="HGO13" s="222"/>
      <c r="HGP13" s="222"/>
      <c r="HGQ13" s="222"/>
      <c r="HGR13" s="222"/>
      <c r="HGS13" s="222"/>
      <c r="HGT13" s="222"/>
      <c r="HGU13" s="222"/>
      <c r="HGV13" s="222"/>
      <c r="HGW13" s="222"/>
      <c r="HGX13" s="222"/>
      <c r="HGY13" s="222"/>
      <c r="HGZ13" s="222"/>
      <c r="HHA13" s="222"/>
      <c r="HHB13" s="222"/>
      <c r="HHC13" s="222"/>
      <c r="HHD13" s="222"/>
      <c r="HHE13" s="222"/>
      <c r="HHF13" s="222"/>
      <c r="HHG13" s="222"/>
      <c r="HHH13" s="222"/>
      <c r="HHI13" s="222"/>
      <c r="HHJ13" s="222"/>
      <c r="HHK13" s="222"/>
      <c r="HHL13" s="222"/>
      <c r="HHM13" s="222"/>
      <c r="HHN13" s="222"/>
      <c r="HHO13" s="222"/>
      <c r="HHP13" s="222"/>
      <c r="HHQ13" s="222"/>
      <c r="HHR13" s="222"/>
      <c r="HHS13" s="222"/>
      <c r="HHT13" s="222"/>
      <c r="HHU13" s="222"/>
      <c r="HHV13" s="222"/>
      <c r="HHW13" s="222"/>
      <c r="HHX13" s="222"/>
      <c r="HHY13" s="222"/>
      <c r="HHZ13" s="222"/>
      <c r="HIA13" s="222"/>
      <c r="HIB13" s="222"/>
      <c r="HIC13" s="222"/>
      <c r="HID13" s="222"/>
      <c r="HIE13" s="222"/>
      <c r="HIF13" s="222"/>
      <c r="HIG13" s="222"/>
      <c r="HIH13" s="222"/>
      <c r="HII13" s="222"/>
      <c r="HIJ13" s="222"/>
      <c r="HIK13" s="222"/>
      <c r="HIL13" s="222"/>
      <c r="HIM13" s="222"/>
      <c r="HIN13" s="222"/>
      <c r="HIO13" s="222"/>
      <c r="HIP13" s="222"/>
      <c r="HIQ13" s="222"/>
      <c r="HIR13" s="222"/>
      <c r="HIS13" s="222"/>
      <c r="HIT13" s="222"/>
      <c r="HIU13" s="222"/>
      <c r="HIV13" s="222"/>
      <c r="HIW13" s="222"/>
      <c r="HIX13" s="222"/>
      <c r="HIY13" s="222"/>
      <c r="HIZ13" s="222"/>
      <c r="HJA13" s="222"/>
      <c r="HJB13" s="222"/>
      <c r="HJC13" s="222"/>
      <c r="HJD13" s="222"/>
      <c r="HJE13" s="222"/>
      <c r="HJF13" s="222"/>
      <c r="HJG13" s="222"/>
      <c r="HJH13" s="222"/>
      <c r="HJI13" s="222"/>
      <c r="HJJ13" s="222"/>
      <c r="HJK13" s="222"/>
      <c r="HJL13" s="222"/>
      <c r="HJM13" s="222"/>
      <c r="HJN13" s="222"/>
      <c r="HJO13" s="222"/>
      <c r="HJP13" s="222"/>
      <c r="HJQ13" s="222"/>
      <c r="HJR13" s="222"/>
      <c r="HJS13" s="222"/>
      <c r="HJT13" s="222"/>
      <c r="HJU13" s="222"/>
      <c r="HJV13" s="222"/>
      <c r="HJW13" s="222"/>
      <c r="HJX13" s="222"/>
      <c r="HJY13" s="222"/>
      <c r="HJZ13" s="222"/>
      <c r="HKA13" s="222"/>
      <c r="HKB13" s="222"/>
      <c r="HKC13" s="222"/>
      <c r="HKD13" s="222"/>
      <c r="HKE13" s="222"/>
      <c r="HKF13" s="222"/>
      <c r="HKG13" s="222"/>
      <c r="HKH13" s="222"/>
      <c r="HKI13" s="222"/>
      <c r="HKJ13" s="222"/>
      <c r="HKK13" s="222"/>
      <c r="HKL13" s="222"/>
      <c r="HKM13" s="222"/>
      <c r="HKN13" s="222"/>
      <c r="HKO13" s="222"/>
      <c r="HKP13" s="222"/>
      <c r="HKQ13" s="222"/>
      <c r="HKR13" s="222"/>
      <c r="HKS13" s="222"/>
      <c r="HKT13" s="222"/>
      <c r="HKU13" s="222"/>
      <c r="HKV13" s="222"/>
      <c r="HKW13" s="222"/>
      <c r="HKX13" s="222"/>
      <c r="HKY13" s="222"/>
      <c r="HKZ13" s="222"/>
      <c r="HLA13" s="222"/>
      <c r="HLB13" s="222"/>
      <c r="HLC13" s="222"/>
      <c r="HLD13" s="222"/>
      <c r="HLE13" s="222"/>
      <c r="HLF13" s="222"/>
      <c r="HLG13" s="222"/>
      <c r="HLH13" s="222"/>
      <c r="HLI13" s="222"/>
      <c r="HLJ13" s="222"/>
      <c r="HLK13" s="222"/>
      <c r="HLL13" s="222"/>
      <c r="HLM13" s="222"/>
      <c r="HLN13" s="222"/>
      <c r="HLO13" s="222"/>
      <c r="HLP13" s="222"/>
      <c r="HLQ13" s="222"/>
      <c r="HLR13" s="222"/>
      <c r="HLS13" s="222"/>
      <c r="HLT13" s="222"/>
      <c r="HLU13" s="222"/>
      <c r="HLV13" s="222"/>
      <c r="HLW13" s="222"/>
      <c r="HLX13" s="222"/>
      <c r="HLY13" s="222"/>
      <c r="HLZ13" s="222"/>
      <c r="HMA13" s="222"/>
      <c r="HMB13" s="222"/>
      <c r="HMC13" s="222"/>
      <c r="HMD13" s="222"/>
      <c r="HME13" s="222"/>
      <c r="HMF13" s="222"/>
      <c r="HMG13" s="222"/>
      <c r="HMH13" s="222"/>
      <c r="HMI13" s="222"/>
      <c r="HMJ13" s="222"/>
      <c r="HMK13" s="222"/>
      <c r="HML13" s="222"/>
      <c r="HMM13" s="222"/>
      <c r="HMN13" s="222"/>
      <c r="HMO13" s="222"/>
      <c r="HMP13" s="222"/>
      <c r="HMQ13" s="222"/>
      <c r="HMR13" s="222"/>
      <c r="HMS13" s="222"/>
      <c r="HMT13" s="222"/>
      <c r="HMU13" s="222"/>
      <c r="HMV13" s="222"/>
      <c r="HMW13" s="222"/>
      <c r="HMX13" s="222"/>
      <c r="HMY13" s="222"/>
      <c r="HMZ13" s="222"/>
      <c r="HNA13" s="222"/>
      <c r="HNB13" s="222"/>
      <c r="HNC13" s="222"/>
      <c r="HND13" s="222"/>
      <c r="HNE13" s="222"/>
      <c r="HNF13" s="222"/>
      <c r="HNG13" s="222"/>
      <c r="HNH13" s="222"/>
      <c r="HNI13" s="222"/>
      <c r="HNJ13" s="222"/>
      <c r="HNK13" s="222"/>
      <c r="HNL13" s="222"/>
      <c r="HNM13" s="222"/>
      <c r="HNN13" s="222"/>
      <c r="HNO13" s="222"/>
      <c r="HNP13" s="222"/>
      <c r="HNQ13" s="222"/>
      <c r="HNR13" s="222"/>
      <c r="HNS13" s="222"/>
      <c r="HNT13" s="222"/>
      <c r="HNU13" s="222"/>
      <c r="HNV13" s="222"/>
      <c r="HNW13" s="222"/>
      <c r="HNX13" s="222"/>
      <c r="HNY13" s="222"/>
      <c r="HNZ13" s="222"/>
      <c r="HOA13" s="222"/>
      <c r="HOB13" s="222"/>
      <c r="HOC13" s="222"/>
      <c r="HOD13" s="222"/>
      <c r="HOE13" s="222"/>
      <c r="HOF13" s="222"/>
      <c r="HOG13" s="222"/>
      <c r="HOH13" s="222"/>
      <c r="HOI13" s="222"/>
      <c r="HOJ13" s="222"/>
      <c r="HOK13" s="222"/>
      <c r="HOL13" s="222"/>
      <c r="HOM13" s="222"/>
      <c r="HON13" s="222"/>
      <c r="HOO13" s="222"/>
      <c r="HOP13" s="222"/>
      <c r="HOQ13" s="222"/>
      <c r="HOR13" s="222"/>
      <c r="HOS13" s="222"/>
      <c r="HOT13" s="222"/>
      <c r="HOU13" s="222"/>
      <c r="HOV13" s="222"/>
      <c r="HOW13" s="222"/>
      <c r="HOX13" s="222"/>
      <c r="HOY13" s="222"/>
      <c r="HOZ13" s="222"/>
      <c r="HPA13" s="222"/>
      <c r="HPB13" s="222"/>
      <c r="HPC13" s="222"/>
      <c r="HPD13" s="222"/>
      <c r="HPE13" s="222"/>
      <c r="HPF13" s="222"/>
      <c r="HPG13" s="222"/>
      <c r="HPH13" s="222"/>
      <c r="HPI13" s="222"/>
      <c r="HPJ13" s="222"/>
      <c r="HPK13" s="222"/>
      <c r="HPL13" s="222"/>
      <c r="HPM13" s="222"/>
      <c r="HPN13" s="222"/>
      <c r="HPO13" s="222"/>
      <c r="HPP13" s="222"/>
      <c r="HPQ13" s="222"/>
      <c r="HPR13" s="222"/>
      <c r="HPS13" s="222"/>
      <c r="HPT13" s="222"/>
      <c r="HPU13" s="222"/>
      <c r="HPV13" s="222"/>
      <c r="HPW13" s="222"/>
      <c r="HPX13" s="222"/>
      <c r="HPY13" s="222"/>
      <c r="HPZ13" s="222"/>
      <c r="HQA13" s="222"/>
      <c r="HQB13" s="222"/>
      <c r="HQC13" s="222"/>
      <c r="HQD13" s="222"/>
      <c r="HQE13" s="222"/>
      <c r="HQF13" s="222"/>
      <c r="HQG13" s="222"/>
      <c r="HQH13" s="222"/>
      <c r="HQI13" s="222"/>
      <c r="HQJ13" s="222"/>
      <c r="HQK13" s="222"/>
      <c r="HQL13" s="222"/>
      <c r="HQM13" s="222"/>
      <c r="HQN13" s="222"/>
      <c r="HQO13" s="222"/>
      <c r="HQP13" s="222"/>
      <c r="HQQ13" s="222"/>
      <c r="HQR13" s="222"/>
      <c r="HQS13" s="222"/>
      <c r="HQT13" s="222"/>
      <c r="HQU13" s="222"/>
      <c r="HQV13" s="222"/>
      <c r="HQW13" s="222"/>
      <c r="HQX13" s="222"/>
      <c r="HQY13" s="222"/>
      <c r="HQZ13" s="222"/>
      <c r="HRA13" s="222"/>
      <c r="HRB13" s="222"/>
      <c r="HRC13" s="222"/>
      <c r="HRD13" s="222"/>
      <c r="HRE13" s="222"/>
      <c r="HRF13" s="222"/>
      <c r="HRG13" s="222"/>
      <c r="HRH13" s="222"/>
      <c r="HRI13" s="222"/>
      <c r="HRJ13" s="222"/>
      <c r="HRK13" s="222"/>
      <c r="HRL13" s="222"/>
      <c r="HRM13" s="222"/>
      <c r="HRN13" s="222"/>
      <c r="HRO13" s="222"/>
      <c r="HRP13" s="222"/>
      <c r="HRQ13" s="222"/>
      <c r="HRR13" s="222"/>
      <c r="HRS13" s="222"/>
      <c r="HRT13" s="222"/>
      <c r="HRU13" s="222"/>
      <c r="HRV13" s="222"/>
      <c r="HRW13" s="222"/>
      <c r="HRX13" s="222"/>
      <c r="HRY13" s="222"/>
      <c r="HRZ13" s="222"/>
      <c r="HSA13" s="222"/>
      <c r="HSB13" s="222"/>
      <c r="HSC13" s="222"/>
      <c r="HSD13" s="222"/>
      <c r="HSE13" s="222"/>
      <c r="HSF13" s="222"/>
      <c r="HSG13" s="222"/>
      <c r="HSH13" s="222"/>
      <c r="HSI13" s="222"/>
      <c r="HSJ13" s="222"/>
      <c r="HSK13" s="222"/>
      <c r="HSL13" s="222"/>
      <c r="HSM13" s="222"/>
      <c r="HSN13" s="222"/>
      <c r="HSO13" s="222"/>
      <c r="HSP13" s="222"/>
      <c r="HSQ13" s="222"/>
      <c r="HSR13" s="222"/>
      <c r="HSS13" s="222"/>
      <c r="HST13" s="222"/>
      <c r="HSU13" s="222"/>
      <c r="HSV13" s="222"/>
      <c r="HSW13" s="222"/>
      <c r="HSX13" s="222"/>
      <c r="HSY13" s="222"/>
      <c r="HSZ13" s="222"/>
      <c r="HTA13" s="222"/>
      <c r="HTB13" s="222"/>
      <c r="HTC13" s="222"/>
      <c r="HTD13" s="222"/>
      <c r="HTE13" s="222"/>
      <c r="HTF13" s="222"/>
      <c r="HTG13" s="222"/>
      <c r="HTH13" s="222"/>
      <c r="HTI13" s="222"/>
      <c r="HTJ13" s="222"/>
      <c r="HTK13" s="222"/>
      <c r="HTL13" s="222"/>
      <c r="HTM13" s="222"/>
      <c r="HTN13" s="222"/>
      <c r="HTO13" s="222"/>
      <c r="HTP13" s="222"/>
      <c r="HTQ13" s="222"/>
      <c r="HTR13" s="222"/>
      <c r="HTS13" s="222"/>
      <c r="HTT13" s="222"/>
      <c r="HTU13" s="222"/>
      <c r="HTV13" s="222"/>
      <c r="HTW13" s="222"/>
      <c r="HTX13" s="222"/>
      <c r="HTY13" s="222"/>
      <c r="HTZ13" s="222"/>
      <c r="HUA13" s="222"/>
      <c r="HUB13" s="222"/>
      <c r="HUC13" s="222"/>
      <c r="HUD13" s="222"/>
      <c r="HUE13" s="222"/>
      <c r="HUF13" s="222"/>
      <c r="HUG13" s="222"/>
      <c r="HUH13" s="222"/>
      <c r="HUI13" s="222"/>
      <c r="HUJ13" s="222"/>
      <c r="HUK13" s="222"/>
      <c r="HUL13" s="222"/>
      <c r="HUM13" s="222"/>
      <c r="HUN13" s="222"/>
      <c r="HUO13" s="222"/>
      <c r="HUP13" s="222"/>
      <c r="HUQ13" s="222"/>
      <c r="HUR13" s="222"/>
      <c r="HUS13" s="222"/>
      <c r="HUT13" s="222"/>
      <c r="HUU13" s="222"/>
      <c r="HUV13" s="222"/>
      <c r="HUW13" s="222"/>
      <c r="HUX13" s="222"/>
      <c r="HUY13" s="222"/>
      <c r="HUZ13" s="222"/>
      <c r="HVA13" s="222"/>
      <c r="HVB13" s="222"/>
      <c r="HVC13" s="222"/>
      <c r="HVD13" s="222"/>
      <c r="HVE13" s="222"/>
      <c r="HVF13" s="222"/>
      <c r="HVG13" s="222"/>
      <c r="HVH13" s="222"/>
      <c r="HVI13" s="222"/>
      <c r="HVJ13" s="222"/>
      <c r="HVK13" s="222"/>
      <c r="HVL13" s="222"/>
      <c r="HVM13" s="222"/>
      <c r="HVN13" s="222"/>
      <c r="HVO13" s="222"/>
      <c r="HVP13" s="222"/>
      <c r="HVQ13" s="222"/>
      <c r="HVR13" s="222"/>
      <c r="HVS13" s="222"/>
      <c r="HVT13" s="222"/>
      <c r="HVU13" s="222"/>
      <c r="HVV13" s="222"/>
      <c r="HVW13" s="222"/>
      <c r="HVX13" s="222"/>
      <c r="HVY13" s="222"/>
      <c r="HVZ13" s="222"/>
      <c r="HWA13" s="222"/>
      <c r="HWB13" s="222"/>
      <c r="HWC13" s="222"/>
      <c r="HWD13" s="222"/>
      <c r="HWE13" s="222"/>
      <c r="HWF13" s="222"/>
      <c r="HWG13" s="222"/>
      <c r="HWH13" s="222"/>
      <c r="HWI13" s="222"/>
      <c r="HWJ13" s="222"/>
      <c r="HWK13" s="222"/>
      <c r="HWL13" s="222"/>
      <c r="HWM13" s="222"/>
      <c r="HWN13" s="222"/>
      <c r="HWO13" s="222"/>
      <c r="HWP13" s="222"/>
      <c r="HWQ13" s="222"/>
      <c r="HWR13" s="222"/>
      <c r="HWS13" s="222"/>
      <c r="HWT13" s="222"/>
      <c r="HWU13" s="222"/>
      <c r="HWV13" s="222"/>
      <c r="HWW13" s="222"/>
      <c r="HWX13" s="222"/>
      <c r="HWY13" s="222"/>
      <c r="HWZ13" s="222"/>
      <c r="HXA13" s="222"/>
      <c r="HXB13" s="222"/>
      <c r="HXC13" s="222"/>
      <c r="HXD13" s="222"/>
      <c r="HXE13" s="222"/>
      <c r="HXF13" s="222"/>
      <c r="HXG13" s="222"/>
      <c r="HXH13" s="222"/>
      <c r="HXI13" s="222"/>
      <c r="HXJ13" s="222"/>
      <c r="HXK13" s="222"/>
      <c r="HXL13" s="222"/>
      <c r="HXM13" s="222"/>
      <c r="HXN13" s="222"/>
      <c r="HXO13" s="222"/>
      <c r="HXP13" s="222"/>
      <c r="HXQ13" s="222"/>
      <c r="HXR13" s="222"/>
      <c r="HXS13" s="222"/>
      <c r="HXT13" s="222"/>
      <c r="HXU13" s="222"/>
      <c r="HXV13" s="222"/>
      <c r="HXW13" s="222"/>
      <c r="HXX13" s="222"/>
      <c r="HXY13" s="222"/>
      <c r="HXZ13" s="222"/>
      <c r="HYA13" s="222"/>
      <c r="HYB13" s="222"/>
      <c r="HYC13" s="222"/>
      <c r="HYD13" s="222"/>
      <c r="HYE13" s="222"/>
      <c r="HYF13" s="222"/>
      <c r="HYG13" s="222"/>
      <c r="HYH13" s="222"/>
      <c r="HYI13" s="222"/>
      <c r="HYJ13" s="222"/>
      <c r="HYK13" s="222"/>
      <c r="HYL13" s="222"/>
      <c r="HYM13" s="222"/>
      <c r="HYN13" s="222"/>
      <c r="HYO13" s="222"/>
      <c r="HYP13" s="222"/>
      <c r="HYQ13" s="222"/>
      <c r="HYR13" s="222"/>
      <c r="HYS13" s="222"/>
      <c r="HYT13" s="222"/>
      <c r="HYU13" s="222"/>
      <c r="HYV13" s="222"/>
      <c r="HYW13" s="222"/>
      <c r="HYX13" s="222"/>
      <c r="HYY13" s="222"/>
      <c r="HYZ13" s="222"/>
      <c r="HZA13" s="222"/>
      <c r="HZB13" s="222"/>
      <c r="HZC13" s="222"/>
      <c r="HZD13" s="222"/>
      <c r="HZE13" s="222"/>
      <c r="HZF13" s="222"/>
      <c r="HZG13" s="222"/>
      <c r="HZH13" s="222"/>
      <c r="HZI13" s="222"/>
      <c r="HZJ13" s="222"/>
      <c r="HZK13" s="222"/>
      <c r="HZL13" s="222"/>
      <c r="HZM13" s="222"/>
      <c r="HZN13" s="222"/>
      <c r="HZO13" s="222"/>
      <c r="HZP13" s="222"/>
      <c r="HZQ13" s="222"/>
      <c r="HZR13" s="222"/>
      <c r="HZS13" s="222"/>
      <c r="HZT13" s="222"/>
      <c r="HZU13" s="222"/>
      <c r="HZV13" s="222"/>
      <c r="HZW13" s="222"/>
      <c r="HZX13" s="222"/>
      <c r="HZY13" s="222"/>
      <c r="HZZ13" s="222"/>
      <c r="IAA13" s="222"/>
      <c r="IAB13" s="222"/>
      <c r="IAC13" s="222"/>
      <c r="IAD13" s="222"/>
      <c r="IAE13" s="222"/>
      <c r="IAF13" s="222"/>
      <c r="IAG13" s="222"/>
      <c r="IAH13" s="222"/>
      <c r="IAI13" s="222"/>
      <c r="IAJ13" s="222"/>
      <c r="IAK13" s="222"/>
      <c r="IAL13" s="222"/>
      <c r="IAM13" s="222"/>
      <c r="IAN13" s="222"/>
      <c r="IAO13" s="222"/>
      <c r="IAP13" s="222"/>
      <c r="IAQ13" s="222"/>
      <c r="IAR13" s="222"/>
      <c r="IAS13" s="222"/>
      <c r="IAT13" s="222"/>
      <c r="IAU13" s="222"/>
      <c r="IAV13" s="222"/>
      <c r="IAW13" s="222"/>
      <c r="IAX13" s="222"/>
      <c r="IAY13" s="222"/>
      <c r="IAZ13" s="222"/>
      <c r="IBA13" s="222"/>
      <c r="IBB13" s="222"/>
      <c r="IBC13" s="222"/>
      <c r="IBD13" s="222"/>
      <c r="IBE13" s="222"/>
      <c r="IBF13" s="222"/>
      <c r="IBG13" s="222"/>
      <c r="IBH13" s="222"/>
      <c r="IBI13" s="222"/>
      <c r="IBJ13" s="222"/>
      <c r="IBK13" s="222"/>
      <c r="IBL13" s="222"/>
      <c r="IBM13" s="222"/>
      <c r="IBN13" s="222"/>
      <c r="IBO13" s="222"/>
      <c r="IBP13" s="222"/>
      <c r="IBQ13" s="222"/>
      <c r="IBR13" s="222"/>
      <c r="IBS13" s="222"/>
      <c r="IBT13" s="222"/>
      <c r="IBU13" s="222"/>
      <c r="IBV13" s="222"/>
      <c r="IBW13" s="222"/>
      <c r="IBX13" s="222"/>
      <c r="IBY13" s="222"/>
      <c r="IBZ13" s="222"/>
      <c r="ICA13" s="222"/>
      <c r="ICB13" s="222"/>
      <c r="ICC13" s="222"/>
      <c r="ICD13" s="222"/>
      <c r="ICE13" s="222"/>
      <c r="ICF13" s="222"/>
      <c r="ICG13" s="222"/>
      <c r="ICH13" s="222"/>
      <c r="ICI13" s="222"/>
      <c r="ICJ13" s="222"/>
      <c r="ICK13" s="222"/>
      <c r="ICL13" s="222"/>
      <c r="ICM13" s="222"/>
      <c r="ICN13" s="222"/>
      <c r="ICO13" s="222"/>
      <c r="ICP13" s="222"/>
      <c r="ICQ13" s="222"/>
      <c r="ICR13" s="222"/>
      <c r="ICS13" s="222"/>
      <c r="ICT13" s="222"/>
      <c r="ICU13" s="222"/>
      <c r="ICV13" s="222"/>
      <c r="ICW13" s="222"/>
      <c r="ICX13" s="222"/>
      <c r="ICY13" s="222"/>
      <c r="ICZ13" s="222"/>
      <c r="IDA13" s="222"/>
      <c r="IDB13" s="222"/>
      <c r="IDC13" s="222"/>
      <c r="IDD13" s="222"/>
      <c r="IDE13" s="222"/>
      <c r="IDF13" s="222"/>
      <c r="IDG13" s="222"/>
      <c r="IDH13" s="222"/>
      <c r="IDI13" s="222"/>
      <c r="IDJ13" s="222"/>
      <c r="IDK13" s="222"/>
      <c r="IDL13" s="222"/>
      <c r="IDM13" s="222"/>
      <c r="IDN13" s="222"/>
      <c r="IDO13" s="222"/>
      <c r="IDP13" s="222"/>
      <c r="IDQ13" s="222"/>
      <c r="IDR13" s="222"/>
      <c r="IDS13" s="222"/>
      <c r="IDT13" s="222"/>
      <c r="IDU13" s="222"/>
      <c r="IDV13" s="222"/>
      <c r="IDW13" s="222"/>
      <c r="IDX13" s="222"/>
      <c r="IDY13" s="222"/>
      <c r="IDZ13" s="222"/>
      <c r="IEA13" s="222"/>
      <c r="IEB13" s="222"/>
      <c r="IEC13" s="222"/>
      <c r="IED13" s="222"/>
      <c r="IEE13" s="222"/>
      <c r="IEF13" s="222"/>
      <c r="IEG13" s="222"/>
      <c r="IEH13" s="222"/>
      <c r="IEI13" s="222"/>
      <c r="IEJ13" s="222"/>
      <c r="IEK13" s="222"/>
      <c r="IEL13" s="222"/>
      <c r="IEM13" s="222"/>
      <c r="IEN13" s="222"/>
      <c r="IEO13" s="222"/>
      <c r="IEP13" s="222"/>
      <c r="IEQ13" s="222"/>
      <c r="IER13" s="222"/>
      <c r="IES13" s="222"/>
      <c r="IET13" s="222"/>
      <c r="IEU13" s="222"/>
      <c r="IEV13" s="222"/>
      <c r="IEW13" s="222"/>
      <c r="IEX13" s="222"/>
      <c r="IEY13" s="222"/>
      <c r="IEZ13" s="222"/>
      <c r="IFA13" s="222"/>
      <c r="IFB13" s="222"/>
      <c r="IFC13" s="222"/>
      <c r="IFD13" s="222"/>
      <c r="IFE13" s="222"/>
      <c r="IFF13" s="222"/>
      <c r="IFG13" s="222"/>
      <c r="IFH13" s="222"/>
      <c r="IFI13" s="222"/>
      <c r="IFJ13" s="222"/>
      <c r="IFK13" s="222"/>
      <c r="IFL13" s="222"/>
      <c r="IFM13" s="222"/>
      <c r="IFN13" s="222"/>
      <c r="IFO13" s="222"/>
      <c r="IFP13" s="222"/>
      <c r="IFQ13" s="222"/>
      <c r="IFR13" s="222"/>
      <c r="IFS13" s="222"/>
      <c r="IFT13" s="222"/>
      <c r="IFU13" s="222"/>
      <c r="IFV13" s="222"/>
      <c r="IFW13" s="222"/>
      <c r="IFX13" s="222"/>
      <c r="IFY13" s="222"/>
      <c r="IFZ13" s="222"/>
      <c r="IGA13" s="222"/>
      <c r="IGB13" s="222"/>
      <c r="IGC13" s="222"/>
      <c r="IGD13" s="222"/>
      <c r="IGE13" s="222"/>
      <c r="IGF13" s="222"/>
      <c r="IGG13" s="222"/>
      <c r="IGH13" s="222"/>
      <c r="IGI13" s="222"/>
      <c r="IGJ13" s="222"/>
      <c r="IGK13" s="222"/>
      <c r="IGL13" s="222"/>
      <c r="IGM13" s="222"/>
      <c r="IGN13" s="222"/>
      <c r="IGO13" s="222"/>
      <c r="IGP13" s="222"/>
      <c r="IGQ13" s="222"/>
      <c r="IGR13" s="222"/>
      <c r="IGS13" s="222"/>
      <c r="IGT13" s="222"/>
      <c r="IGU13" s="222"/>
      <c r="IGV13" s="222"/>
      <c r="IGW13" s="222"/>
      <c r="IGX13" s="222"/>
      <c r="IGY13" s="222"/>
      <c r="IGZ13" s="222"/>
      <c r="IHA13" s="222"/>
      <c r="IHB13" s="222"/>
      <c r="IHC13" s="222"/>
      <c r="IHD13" s="222"/>
      <c r="IHE13" s="222"/>
      <c r="IHF13" s="222"/>
      <c r="IHG13" s="222"/>
      <c r="IHH13" s="222"/>
      <c r="IHI13" s="222"/>
      <c r="IHJ13" s="222"/>
      <c r="IHK13" s="222"/>
      <c r="IHL13" s="222"/>
      <c r="IHM13" s="222"/>
      <c r="IHN13" s="222"/>
      <c r="IHO13" s="222"/>
      <c r="IHP13" s="222"/>
      <c r="IHQ13" s="222"/>
      <c r="IHR13" s="222"/>
      <c r="IHS13" s="222"/>
      <c r="IHT13" s="222"/>
      <c r="IHU13" s="222"/>
      <c r="IHV13" s="222"/>
      <c r="IHW13" s="222"/>
      <c r="IHX13" s="222"/>
      <c r="IHY13" s="222"/>
      <c r="IHZ13" s="222"/>
      <c r="IIA13" s="222"/>
      <c r="IIB13" s="222"/>
      <c r="IIC13" s="222"/>
      <c r="IID13" s="222"/>
      <c r="IIE13" s="222"/>
      <c r="IIF13" s="222"/>
      <c r="IIG13" s="222"/>
      <c r="IIH13" s="222"/>
      <c r="III13" s="222"/>
      <c r="IIJ13" s="222"/>
      <c r="IIK13" s="222"/>
      <c r="IIL13" s="222"/>
      <c r="IIM13" s="222"/>
      <c r="IIN13" s="222"/>
      <c r="IIO13" s="222"/>
      <c r="IIP13" s="222"/>
      <c r="IIQ13" s="222"/>
      <c r="IIR13" s="222"/>
      <c r="IIS13" s="222"/>
      <c r="IIT13" s="222"/>
      <c r="IIU13" s="222"/>
      <c r="IIV13" s="222"/>
      <c r="IIW13" s="222"/>
      <c r="IIX13" s="222"/>
      <c r="IIY13" s="222"/>
      <c r="IIZ13" s="222"/>
      <c r="IJA13" s="222"/>
      <c r="IJB13" s="222"/>
      <c r="IJC13" s="222"/>
      <c r="IJD13" s="222"/>
      <c r="IJE13" s="222"/>
      <c r="IJF13" s="222"/>
      <c r="IJG13" s="222"/>
      <c r="IJH13" s="222"/>
      <c r="IJI13" s="222"/>
      <c r="IJJ13" s="222"/>
      <c r="IJK13" s="222"/>
      <c r="IJL13" s="222"/>
      <c r="IJM13" s="222"/>
      <c r="IJN13" s="222"/>
      <c r="IJO13" s="222"/>
      <c r="IJP13" s="222"/>
      <c r="IJQ13" s="222"/>
      <c r="IJR13" s="222"/>
      <c r="IJS13" s="222"/>
      <c r="IJT13" s="222"/>
      <c r="IJU13" s="222"/>
      <c r="IJV13" s="222"/>
      <c r="IJW13" s="222"/>
      <c r="IJX13" s="222"/>
      <c r="IJY13" s="222"/>
      <c r="IJZ13" s="222"/>
      <c r="IKA13" s="222"/>
      <c r="IKB13" s="222"/>
      <c r="IKC13" s="222"/>
      <c r="IKD13" s="222"/>
      <c r="IKE13" s="222"/>
      <c r="IKF13" s="222"/>
      <c r="IKG13" s="222"/>
      <c r="IKH13" s="222"/>
      <c r="IKI13" s="222"/>
      <c r="IKJ13" s="222"/>
      <c r="IKK13" s="222"/>
      <c r="IKL13" s="222"/>
      <c r="IKM13" s="222"/>
      <c r="IKN13" s="222"/>
      <c r="IKO13" s="222"/>
      <c r="IKP13" s="222"/>
      <c r="IKQ13" s="222"/>
      <c r="IKR13" s="222"/>
      <c r="IKS13" s="222"/>
      <c r="IKT13" s="222"/>
      <c r="IKU13" s="222"/>
      <c r="IKV13" s="222"/>
      <c r="IKW13" s="222"/>
      <c r="IKX13" s="222"/>
      <c r="IKY13" s="222"/>
      <c r="IKZ13" s="222"/>
      <c r="ILA13" s="222"/>
      <c r="ILB13" s="222"/>
      <c r="ILC13" s="222"/>
      <c r="ILD13" s="222"/>
      <c r="ILE13" s="222"/>
      <c r="ILF13" s="222"/>
      <c r="ILG13" s="222"/>
      <c r="ILH13" s="222"/>
      <c r="ILI13" s="222"/>
      <c r="ILJ13" s="222"/>
      <c r="ILK13" s="222"/>
      <c r="ILL13" s="222"/>
      <c r="ILM13" s="222"/>
      <c r="ILN13" s="222"/>
      <c r="ILO13" s="222"/>
      <c r="ILP13" s="222"/>
      <c r="ILQ13" s="222"/>
      <c r="ILR13" s="222"/>
      <c r="ILS13" s="222"/>
      <c r="ILT13" s="222"/>
      <c r="ILU13" s="222"/>
      <c r="ILV13" s="222"/>
      <c r="ILW13" s="222"/>
      <c r="ILX13" s="222"/>
      <c r="ILY13" s="222"/>
      <c r="ILZ13" s="222"/>
      <c r="IMA13" s="222"/>
      <c r="IMB13" s="222"/>
      <c r="IMC13" s="222"/>
      <c r="IMD13" s="222"/>
      <c r="IME13" s="222"/>
      <c r="IMF13" s="222"/>
      <c r="IMG13" s="222"/>
      <c r="IMH13" s="222"/>
      <c r="IMI13" s="222"/>
      <c r="IMJ13" s="222"/>
      <c r="IMK13" s="222"/>
      <c r="IML13" s="222"/>
      <c r="IMM13" s="222"/>
      <c r="IMN13" s="222"/>
      <c r="IMO13" s="222"/>
      <c r="IMP13" s="222"/>
      <c r="IMQ13" s="222"/>
      <c r="IMR13" s="222"/>
      <c r="IMS13" s="222"/>
      <c r="IMT13" s="222"/>
      <c r="IMU13" s="222"/>
      <c r="IMV13" s="222"/>
      <c r="IMW13" s="222"/>
      <c r="IMX13" s="222"/>
      <c r="IMY13" s="222"/>
      <c r="IMZ13" s="222"/>
      <c r="INA13" s="222"/>
      <c r="INB13" s="222"/>
      <c r="INC13" s="222"/>
      <c r="IND13" s="222"/>
      <c r="INE13" s="222"/>
      <c r="INF13" s="222"/>
      <c r="ING13" s="222"/>
      <c r="INH13" s="222"/>
      <c r="INI13" s="222"/>
      <c r="INJ13" s="222"/>
      <c r="INK13" s="222"/>
      <c r="INL13" s="222"/>
      <c r="INM13" s="222"/>
      <c r="INN13" s="222"/>
      <c r="INO13" s="222"/>
      <c r="INP13" s="222"/>
      <c r="INQ13" s="222"/>
      <c r="INR13" s="222"/>
      <c r="INS13" s="222"/>
      <c r="INT13" s="222"/>
      <c r="INU13" s="222"/>
      <c r="INV13" s="222"/>
      <c r="INW13" s="222"/>
      <c r="INX13" s="222"/>
      <c r="INY13" s="222"/>
      <c r="INZ13" s="222"/>
      <c r="IOA13" s="222"/>
      <c r="IOB13" s="222"/>
      <c r="IOC13" s="222"/>
      <c r="IOD13" s="222"/>
      <c r="IOE13" s="222"/>
      <c r="IOF13" s="222"/>
      <c r="IOG13" s="222"/>
      <c r="IOH13" s="222"/>
      <c r="IOI13" s="222"/>
      <c r="IOJ13" s="222"/>
      <c r="IOK13" s="222"/>
      <c r="IOL13" s="222"/>
      <c r="IOM13" s="222"/>
      <c r="ION13" s="222"/>
      <c r="IOO13" s="222"/>
      <c r="IOP13" s="222"/>
      <c r="IOQ13" s="222"/>
      <c r="IOR13" s="222"/>
      <c r="IOS13" s="222"/>
      <c r="IOT13" s="222"/>
      <c r="IOU13" s="222"/>
      <c r="IOV13" s="222"/>
      <c r="IOW13" s="222"/>
      <c r="IOX13" s="222"/>
      <c r="IOY13" s="222"/>
      <c r="IOZ13" s="222"/>
      <c r="IPA13" s="222"/>
      <c r="IPB13" s="222"/>
      <c r="IPC13" s="222"/>
      <c r="IPD13" s="222"/>
      <c r="IPE13" s="222"/>
      <c r="IPF13" s="222"/>
      <c r="IPG13" s="222"/>
      <c r="IPH13" s="222"/>
      <c r="IPI13" s="222"/>
      <c r="IPJ13" s="222"/>
      <c r="IPK13" s="222"/>
      <c r="IPL13" s="222"/>
      <c r="IPM13" s="222"/>
      <c r="IPN13" s="222"/>
      <c r="IPO13" s="222"/>
      <c r="IPP13" s="222"/>
      <c r="IPQ13" s="222"/>
      <c r="IPR13" s="222"/>
      <c r="IPS13" s="222"/>
      <c r="IPT13" s="222"/>
      <c r="IPU13" s="222"/>
      <c r="IPV13" s="222"/>
      <c r="IPW13" s="222"/>
      <c r="IPX13" s="222"/>
      <c r="IPY13" s="222"/>
      <c r="IPZ13" s="222"/>
      <c r="IQA13" s="222"/>
      <c r="IQB13" s="222"/>
      <c r="IQC13" s="222"/>
      <c r="IQD13" s="222"/>
      <c r="IQE13" s="222"/>
      <c r="IQF13" s="222"/>
      <c r="IQG13" s="222"/>
      <c r="IQH13" s="222"/>
      <c r="IQI13" s="222"/>
      <c r="IQJ13" s="222"/>
      <c r="IQK13" s="222"/>
      <c r="IQL13" s="222"/>
      <c r="IQM13" s="222"/>
      <c r="IQN13" s="222"/>
      <c r="IQO13" s="222"/>
      <c r="IQP13" s="222"/>
      <c r="IQQ13" s="222"/>
      <c r="IQR13" s="222"/>
      <c r="IQS13" s="222"/>
      <c r="IQT13" s="222"/>
      <c r="IQU13" s="222"/>
      <c r="IQV13" s="222"/>
      <c r="IQW13" s="222"/>
      <c r="IQX13" s="222"/>
      <c r="IQY13" s="222"/>
      <c r="IQZ13" s="222"/>
      <c r="IRA13" s="222"/>
      <c r="IRB13" s="222"/>
      <c r="IRC13" s="222"/>
      <c r="IRD13" s="222"/>
      <c r="IRE13" s="222"/>
      <c r="IRF13" s="222"/>
      <c r="IRG13" s="222"/>
      <c r="IRH13" s="222"/>
      <c r="IRI13" s="222"/>
      <c r="IRJ13" s="222"/>
      <c r="IRK13" s="222"/>
      <c r="IRL13" s="222"/>
      <c r="IRM13" s="222"/>
      <c r="IRN13" s="222"/>
      <c r="IRO13" s="222"/>
      <c r="IRP13" s="222"/>
      <c r="IRQ13" s="222"/>
      <c r="IRR13" s="222"/>
      <c r="IRS13" s="222"/>
      <c r="IRT13" s="222"/>
      <c r="IRU13" s="222"/>
      <c r="IRV13" s="222"/>
      <c r="IRW13" s="222"/>
      <c r="IRX13" s="222"/>
      <c r="IRY13" s="222"/>
      <c r="IRZ13" s="222"/>
      <c r="ISA13" s="222"/>
      <c r="ISB13" s="222"/>
      <c r="ISC13" s="222"/>
      <c r="ISD13" s="222"/>
      <c r="ISE13" s="222"/>
      <c r="ISF13" s="222"/>
      <c r="ISG13" s="222"/>
      <c r="ISH13" s="222"/>
      <c r="ISI13" s="222"/>
      <c r="ISJ13" s="222"/>
      <c r="ISK13" s="222"/>
      <c r="ISL13" s="222"/>
      <c r="ISM13" s="222"/>
      <c r="ISN13" s="222"/>
      <c r="ISO13" s="222"/>
      <c r="ISP13" s="222"/>
      <c r="ISQ13" s="222"/>
      <c r="ISR13" s="222"/>
      <c r="ISS13" s="222"/>
      <c r="IST13" s="222"/>
      <c r="ISU13" s="222"/>
      <c r="ISV13" s="222"/>
      <c r="ISW13" s="222"/>
      <c r="ISX13" s="222"/>
      <c r="ISY13" s="222"/>
      <c r="ISZ13" s="222"/>
      <c r="ITA13" s="222"/>
      <c r="ITB13" s="222"/>
      <c r="ITC13" s="222"/>
      <c r="ITD13" s="222"/>
      <c r="ITE13" s="222"/>
      <c r="ITF13" s="222"/>
      <c r="ITG13" s="222"/>
      <c r="ITH13" s="222"/>
      <c r="ITI13" s="222"/>
      <c r="ITJ13" s="222"/>
      <c r="ITK13" s="222"/>
      <c r="ITL13" s="222"/>
      <c r="ITM13" s="222"/>
      <c r="ITN13" s="222"/>
      <c r="ITO13" s="222"/>
      <c r="ITP13" s="222"/>
      <c r="ITQ13" s="222"/>
      <c r="ITR13" s="222"/>
      <c r="ITS13" s="222"/>
      <c r="ITT13" s="222"/>
      <c r="ITU13" s="222"/>
      <c r="ITV13" s="222"/>
      <c r="ITW13" s="222"/>
      <c r="ITX13" s="222"/>
      <c r="ITY13" s="222"/>
      <c r="ITZ13" s="222"/>
      <c r="IUA13" s="222"/>
      <c r="IUB13" s="222"/>
      <c r="IUC13" s="222"/>
      <c r="IUD13" s="222"/>
      <c r="IUE13" s="222"/>
      <c r="IUF13" s="222"/>
      <c r="IUG13" s="222"/>
      <c r="IUH13" s="222"/>
      <c r="IUI13" s="222"/>
      <c r="IUJ13" s="222"/>
      <c r="IUK13" s="222"/>
      <c r="IUL13" s="222"/>
      <c r="IUM13" s="222"/>
      <c r="IUN13" s="222"/>
      <c r="IUO13" s="222"/>
      <c r="IUP13" s="222"/>
      <c r="IUQ13" s="222"/>
      <c r="IUR13" s="222"/>
      <c r="IUS13" s="222"/>
      <c r="IUT13" s="222"/>
      <c r="IUU13" s="222"/>
      <c r="IUV13" s="222"/>
      <c r="IUW13" s="222"/>
      <c r="IUX13" s="222"/>
      <c r="IUY13" s="222"/>
      <c r="IUZ13" s="222"/>
      <c r="IVA13" s="222"/>
      <c r="IVB13" s="222"/>
      <c r="IVC13" s="222"/>
      <c r="IVD13" s="222"/>
      <c r="IVE13" s="222"/>
      <c r="IVF13" s="222"/>
      <c r="IVG13" s="222"/>
      <c r="IVH13" s="222"/>
      <c r="IVI13" s="222"/>
      <c r="IVJ13" s="222"/>
      <c r="IVK13" s="222"/>
      <c r="IVL13" s="222"/>
      <c r="IVM13" s="222"/>
      <c r="IVN13" s="222"/>
      <c r="IVO13" s="222"/>
      <c r="IVP13" s="222"/>
      <c r="IVQ13" s="222"/>
      <c r="IVR13" s="222"/>
      <c r="IVS13" s="222"/>
      <c r="IVT13" s="222"/>
      <c r="IVU13" s="222"/>
      <c r="IVV13" s="222"/>
      <c r="IVW13" s="222"/>
      <c r="IVX13" s="222"/>
      <c r="IVY13" s="222"/>
      <c r="IVZ13" s="222"/>
      <c r="IWA13" s="222"/>
      <c r="IWB13" s="222"/>
      <c r="IWC13" s="222"/>
      <c r="IWD13" s="222"/>
      <c r="IWE13" s="222"/>
      <c r="IWF13" s="222"/>
      <c r="IWG13" s="222"/>
      <c r="IWH13" s="222"/>
      <c r="IWI13" s="222"/>
      <c r="IWJ13" s="222"/>
      <c r="IWK13" s="222"/>
      <c r="IWL13" s="222"/>
      <c r="IWM13" s="222"/>
      <c r="IWN13" s="222"/>
      <c r="IWO13" s="222"/>
      <c r="IWP13" s="222"/>
      <c r="IWQ13" s="222"/>
      <c r="IWR13" s="222"/>
      <c r="IWS13" s="222"/>
      <c r="IWT13" s="222"/>
      <c r="IWU13" s="222"/>
      <c r="IWV13" s="222"/>
      <c r="IWW13" s="222"/>
      <c r="IWX13" s="222"/>
      <c r="IWY13" s="222"/>
      <c r="IWZ13" s="222"/>
      <c r="IXA13" s="222"/>
      <c r="IXB13" s="222"/>
      <c r="IXC13" s="222"/>
      <c r="IXD13" s="222"/>
      <c r="IXE13" s="222"/>
      <c r="IXF13" s="222"/>
      <c r="IXG13" s="222"/>
      <c r="IXH13" s="222"/>
      <c r="IXI13" s="222"/>
      <c r="IXJ13" s="222"/>
      <c r="IXK13" s="222"/>
      <c r="IXL13" s="222"/>
      <c r="IXM13" s="222"/>
      <c r="IXN13" s="222"/>
      <c r="IXO13" s="222"/>
      <c r="IXP13" s="222"/>
      <c r="IXQ13" s="222"/>
      <c r="IXR13" s="222"/>
      <c r="IXS13" s="222"/>
      <c r="IXT13" s="222"/>
      <c r="IXU13" s="222"/>
      <c r="IXV13" s="222"/>
      <c r="IXW13" s="222"/>
      <c r="IXX13" s="222"/>
      <c r="IXY13" s="222"/>
      <c r="IXZ13" s="222"/>
      <c r="IYA13" s="222"/>
      <c r="IYB13" s="222"/>
      <c r="IYC13" s="222"/>
      <c r="IYD13" s="222"/>
      <c r="IYE13" s="222"/>
      <c r="IYF13" s="222"/>
      <c r="IYG13" s="222"/>
      <c r="IYH13" s="222"/>
      <c r="IYI13" s="222"/>
      <c r="IYJ13" s="222"/>
      <c r="IYK13" s="222"/>
      <c r="IYL13" s="222"/>
      <c r="IYM13" s="222"/>
      <c r="IYN13" s="222"/>
      <c r="IYO13" s="222"/>
      <c r="IYP13" s="222"/>
      <c r="IYQ13" s="222"/>
      <c r="IYR13" s="222"/>
      <c r="IYS13" s="222"/>
      <c r="IYT13" s="222"/>
      <c r="IYU13" s="222"/>
      <c r="IYV13" s="222"/>
      <c r="IYW13" s="222"/>
      <c r="IYX13" s="222"/>
      <c r="IYY13" s="222"/>
      <c r="IYZ13" s="222"/>
      <c r="IZA13" s="222"/>
      <c r="IZB13" s="222"/>
      <c r="IZC13" s="222"/>
      <c r="IZD13" s="222"/>
      <c r="IZE13" s="222"/>
      <c r="IZF13" s="222"/>
      <c r="IZG13" s="222"/>
      <c r="IZH13" s="222"/>
      <c r="IZI13" s="222"/>
      <c r="IZJ13" s="222"/>
      <c r="IZK13" s="222"/>
      <c r="IZL13" s="222"/>
      <c r="IZM13" s="222"/>
      <c r="IZN13" s="222"/>
      <c r="IZO13" s="222"/>
      <c r="IZP13" s="222"/>
      <c r="IZQ13" s="222"/>
      <c r="IZR13" s="222"/>
      <c r="IZS13" s="222"/>
      <c r="IZT13" s="222"/>
      <c r="IZU13" s="222"/>
      <c r="IZV13" s="222"/>
      <c r="IZW13" s="222"/>
      <c r="IZX13" s="222"/>
      <c r="IZY13" s="222"/>
      <c r="IZZ13" s="222"/>
      <c r="JAA13" s="222"/>
      <c r="JAB13" s="222"/>
      <c r="JAC13" s="222"/>
      <c r="JAD13" s="222"/>
      <c r="JAE13" s="222"/>
      <c r="JAF13" s="222"/>
      <c r="JAG13" s="222"/>
      <c r="JAH13" s="222"/>
      <c r="JAI13" s="222"/>
      <c r="JAJ13" s="222"/>
      <c r="JAK13" s="222"/>
      <c r="JAL13" s="222"/>
      <c r="JAM13" s="222"/>
      <c r="JAN13" s="222"/>
      <c r="JAO13" s="222"/>
      <c r="JAP13" s="222"/>
      <c r="JAQ13" s="222"/>
      <c r="JAR13" s="222"/>
      <c r="JAS13" s="222"/>
      <c r="JAT13" s="222"/>
      <c r="JAU13" s="222"/>
      <c r="JAV13" s="222"/>
      <c r="JAW13" s="222"/>
      <c r="JAX13" s="222"/>
      <c r="JAY13" s="222"/>
      <c r="JAZ13" s="222"/>
      <c r="JBA13" s="222"/>
      <c r="JBB13" s="222"/>
      <c r="JBC13" s="222"/>
      <c r="JBD13" s="222"/>
      <c r="JBE13" s="222"/>
      <c r="JBF13" s="222"/>
      <c r="JBG13" s="222"/>
      <c r="JBH13" s="222"/>
      <c r="JBI13" s="222"/>
      <c r="JBJ13" s="222"/>
      <c r="JBK13" s="222"/>
      <c r="JBL13" s="222"/>
      <c r="JBM13" s="222"/>
      <c r="JBN13" s="222"/>
      <c r="JBO13" s="222"/>
      <c r="JBP13" s="222"/>
      <c r="JBQ13" s="222"/>
      <c r="JBR13" s="222"/>
      <c r="JBS13" s="222"/>
      <c r="JBT13" s="222"/>
      <c r="JBU13" s="222"/>
      <c r="JBV13" s="222"/>
      <c r="JBW13" s="222"/>
      <c r="JBX13" s="222"/>
      <c r="JBY13" s="222"/>
      <c r="JBZ13" s="222"/>
      <c r="JCA13" s="222"/>
      <c r="JCB13" s="222"/>
      <c r="JCC13" s="222"/>
      <c r="JCD13" s="222"/>
      <c r="JCE13" s="222"/>
      <c r="JCF13" s="222"/>
      <c r="JCG13" s="222"/>
      <c r="JCH13" s="222"/>
      <c r="JCI13" s="222"/>
      <c r="JCJ13" s="222"/>
      <c r="JCK13" s="222"/>
      <c r="JCL13" s="222"/>
      <c r="JCM13" s="222"/>
      <c r="JCN13" s="222"/>
      <c r="JCO13" s="222"/>
      <c r="JCP13" s="222"/>
      <c r="JCQ13" s="222"/>
      <c r="JCR13" s="222"/>
      <c r="JCS13" s="222"/>
      <c r="JCT13" s="222"/>
      <c r="JCU13" s="222"/>
      <c r="JCV13" s="222"/>
      <c r="JCW13" s="222"/>
      <c r="JCX13" s="222"/>
      <c r="JCY13" s="222"/>
      <c r="JCZ13" s="222"/>
      <c r="JDA13" s="222"/>
      <c r="JDB13" s="222"/>
      <c r="JDC13" s="222"/>
      <c r="JDD13" s="222"/>
      <c r="JDE13" s="222"/>
      <c r="JDF13" s="222"/>
      <c r="JDG13" s="222"/>
      <c r="JDH13" s="222"/>
      <c r="JDI13" s="222"/>
      <c r="JDJ13" s="222"/>
      <c r="JDK13" s="222"/>
      <c r="JDL13" s="222"/>
      <c r="JDM13" s="222"/>
      <c r="JDN13" s="222"/>
      <c r="JDO13" s="222"/>
      <c r="JDP13" s="222"/>
      <c r="JDQ13" s="222"/>
      <c r="JDR13" s="222"/>
      <c r="JDS13" s="222"/>
      <c r="JDT13" s="222"/>
      <c r="JDU13" s="222"/>
      <c r="JDV13" s="222"/>
      <c r="JDW13" s="222"/>
      <c r="JDX13" s="222"/>
      <c r="JDY13" s="222"/>
      <c r="JDZ13" s="222"/>
      <c r="JEA13" s="222"/>
      <c r="JEB13" s="222"/>
      <c r="JEC13" s="222"/>
      <c r="JED13" s="222"/>
      <c r="JEE13" s="222"/>
      <c r="JEF13" s="222"/>
      <c r="JEG13" s="222"/>
      <c r="JEH13" s="222"/>
      <c r="JEI13" s="222"/>
      <c r="JEJ13" s="222"/>
      <c r="JEK13" s="222"/>
      <c r="JEL13" s="222"/>
      <c r="JEM13" s="222"/>
      <c r="JEN13" s="222"/>
      <c r="JEO13" s="222"/>
      <c r="JEP13" s="222"/>
      <c r="JEQ13" s="222"/>
      <c r="JER13" s="222"/>
      <c r="JES13" s="222"/>
      <c r="JET13" s="222"/>
      <c r="JEU13" s="222"/>
      <c r="JEV13" s="222"/>
      <c r="JEW13" s="222"/>
      <c r="JEX13" s="222"/>
      <c r="JEY13" s="222"/>
      <c r="JEZ13" s="222"/>
      <c r="JFA13" s="222"/>
      <c r="JFB13" s="222"/>
      <c r="JFC13" s="222"/>
      <c r="JFD13" s="222"/>
      <c r="JFE13" s="222"/>
      <c r="JFF13" s="222"/>
      <c r="JFG13" s="222"/>
      <c r="JFH13" s="222"/>
      <c r="JFI13" s="222"/>
      <c r="JFJ13" s="222"/>
      <c r="JFK13" s="222"/>
      <c r="JFL13" s="222"/>
      <c r="JFM13" s="222"/>
      <c r="JFN13" s="222"/>
      <c r="JFO13" s="222"/>
      <c r="JFP13" s="222"/>
      <c r="JFQ13" s="222"/>
      <c r="JFR13" s="222"/>
      <c r="JFS13" s="222"/>
      <c r="JFT13" s="222"/>
      <c r="JFU13" s="222"/>
      <c r="JFV13" s="222"/>
      <c r="JFW13" s="222"/>
      <c r="JFX13" s="222"/>
      <c r="JFY13" s="222"/>
      <c r="JFZ13" s="222"/>
      <c r="JGA13" s="222"/>
      <c r="JGB13" s="222"/>
      <c r="JGC13" s="222"/>
      <c r="JGD13" s="222"/>
      <c r="JGE13" s="222"/>
      <c r="JGF13" s="222"/>
      <c r="JGG13" s="222"/>
      <c r="JGH13" s="222"/>
      <c r="JGI13" s="222"/>
      <c r="JGJ13" s="222"/>
      <c r="JGK13" s="222"/>
      <c r="JGL13" s="222"/>
      <c r="JGM13" s="222"/>
      <c r="JGN13" s="222"/>
      <c r="JGO13" s="222"/>
      <c r="JGP13" s="222"/>
      <c r="JGQ13" s="222"/>
      <c r="JGR13" s="222"/>
      <c r="JGS13" s="222"/>
      <c r="JGT13" s="222"/>
      <c r="JGU13" s="222"/>
      <c r="JGV13" s="222"/>
      <c r="JGW13" s="222"/>
      <c r="JGX13" s="222"/>
      <c r="JGY13" s="222"/>
      <c r="JGZ13" s="222"/>
      <c r="JHA13" s="222"/>
      <c r="JHB13" s="222"/>
      <c r="JHC13" s="222"/>
      <c r="JHD13" s="222"/>
      <c r="JHE13" s="222"/>
      <c r="JHF13" s="222"/>
      <c r="JHG13" s="222"/>
      <c r="JHH13" s="222"/>
      <c r="JHI13" s="222"/>
      <c r="JHJ13" s="222"/>
      <c r="JHK13" s="222"/>
      <c r="JHL13" s="222"/>
      <c r="JHM13" s="222"/>
      <c r="JHN13" s="222"/>
      <c r="JHO13" s="222"/>
      <c r="JHP13" s="222"/>
      <c r="JHQ13" s="222"/>
      <c r="JHR13" s="222"/>
      <c r="JHS13" s="222"/>
      <c r="JHT13" s="222"/>
      <c r="JHU13" s="222"/>
      <c r="JHV13" s="222"/>
      <c r="JHW13" s="222"/>
      <c r="JHX13" s="222"/>
      <c r="JHY13" s="222"/>
      <c r="JHZ13" s="222"/>
      <c r="JIA13" s="222"/>
      <c r="JIB13" s="222"/>
      <c r="JIC13" s="222"/>
      <c r="JID13" s="222"/>
      <c r="JIE13" s="222"/>
      <c r="JIF13" s="222"/>
      <c r="JIG13" s="222"/>
      <c r="JIH13" s="222"/>
      <c r="JII13" s="222"/>
      <c r="JIJ13" s="222"/>
      <c r="JIK13" s="222"/>
      <c r="JIL13" s="222"/>
      <c r="JIM13" s="222"/>
      <c r="JIN13" s="222"/>
      <c r="JIO13" s="222"/>
      <c r="JIP13" s="222"/>
      <c r="JIQ13" s="222"/>
      <c r="JIR13" s="222"/>
      <c r="JIS13" s="222"/>
      <c r="JIT13" s="222"/>
      <c r="JIU13" s="222"/>
      <c r="JIV13" s="222"/>
      <c r="JIW13" s="222"/>
      <c r="JIX13" s="222"/>
      <c r="JIY13" s="222"/>
      <c r="JIZ13" s="222"/>
      <c r="JJA13" s="222"/>
      <c r="JJB13" s="222"/>
      <c r="JJC13" s="222"/>
      <c r="JJD13" s="222"/>
      <c r="JJE13" s="222"/>
      <c r="JJF13" s="222"/>
      <c r="JJG13" s="222"/>
      <c r="JJH13" s="222"/>
      <c r="JJI13" s="222"/>
      <c r="JJJ13" s="222"/>
      <c r="JJK13" s="222"/>
      <c r="JJL13" s="222"/>
      <c r="JJM13" s="222"/>
      <c r="JJN13" s="222"/>
      <c r="JJO13" s="222"/>
      <c r="JJP13" s="222"/>
      <c r="JJQ13" s="222"/>
      <c r="JJR13" s="222"/>
      <c r="JJS13" s="222"/>
      <c r="JJT13" s="222"/>
      <c r="JJU13" s="222"/>
      <c r="JJV13" s="222"/>
      <c r="JJW13" s="222"/>
      <c r="JJX13" s="222"/>
      <c r="JJY13" s="222"/>
      <c r="JJZ13" s="222"/>
      <c r="JKA13" s="222"/>
      <c r="JKB13" s="222"/>
      <c r="JKC13" s="222"/>
      <c r="JKD13" s="222"/>
      <c r="JKE13" s="222"/>
      <c r="JKF13" s="222"/>
      <c r="JKG13" s="222"/>
      <c r="JKH13" s="222"/>
      <c r="JKI13" s="222"/>
      <c r="JKJ13" s="222"/>
      <c r="JKK13" s="222"/>
      <c r="JKL13" s="222"/>
      <c r="JKM13" s="222"/>
      <c r="JKN13" s="222"/>
      <c r="JKO13" s="222"/>
      <c r="JKP13" s="222"/>
      <c r="JKQ13" s="222"/>
      <c r="JKR13" s="222"/>
      <c r="JKS13" s="222"/>
      <c r="JKT13" s="222"/>
      <c r="JKU13" s="222"/>
      <c r="JKV13" s="222"/>
      <c r="JKW13" s="222"/>
      <c r="JKX13" s="222"/>
      <c r="JKY13" s="222"/>
      <c r="JKZ13" s="222"/>
      <c r="JLA13" s="222"/>
      <c r="JLB13" s="222"/>
      <c r="JLC13" s="222"/>
      <c r="JLD13" s="222"/>
      <c r="JLE13" s="222"/>
      <c r="JLF13" s="222"/>
      <c r="JLG13" s="222"/>
      <c r="JLH13" s="222"/>
      <c r="JLI13" s="222"/>
      <c r="JLJ13" s="222"/>
      <c r="JLK13" s="222"/>
      <c r="JLL13" s="222"/>
      <c r="JLM13" s="222"/>
      <c r="JLN13" s="222"/>
      <c r="JLO13" s="222"/>
      <c r="JLP13" s="222"/>
      <c r="JLQ13" s="222"/>
      <c r="JLR13" s="222"/>
      <c r="JLS13" s="222"/>
      <c r="JLT13" s="222"/>
      <c r="JLU13" s="222"/>
      <c r="JLV13" s="222"/>
      <c r="JLW13" s="222"/>
      <c r="JLX13" s="222"/>
      <c r="JLY13" s="222"/>
      <c r="JLZ13" s="222"/>
      <c r="JMA13" s="222"/>
      <c r="JMB13" s="222"/>
      <c r="JMC13" s="222"/>
      <c r="JMD13" s="222"/>
      <c r="JME13" s="222"/>
      <c r="JMF13" s="222"/>
      <c r="JMG13" s="222"/>
      <c r="JMH13" s="222"/>
      <c r="JMI13" s="222"/>
      <c r="JMJ13" s="222"/>
      <c r="JMK13" s="222"/>
      <c r="JML13" s="222"/>
      <c r="JMM13" s="222"/>
      <c r="JMN13" s="222"/>
      <c r="JMO13" s="222"/>
      <c r="JMP13" s="222"/>
      <c r="JMQ13" s="222"/>
      <c r="JMR13" s="222"/>
      <c r="JMS13" s="222"/>
      <c r="JMT13" s="222"/>
      <c r="JMU13" s="222"/>
      <c r="JMV13" s="222"/>
      <c r="JMW13" s="222"/>
      <c r="JMX13" s="222"/>
      <c r="JMY13" s="222"/>
      <c r="JMZ13" s="222"/>
      <c r="JNA13" s="222"/>
      <c r="JNB13" s="222"/>
      <c r="JNC13" s="222"/>
      <c r="JND13" s="222"/>
      <c r="JNE13" s="222"/>
      <c r="JNF13" s="222"/>
      <c r="JNG13" s="222"/>
      <c r="JNH13" s="222"/>
      <c r="JNI13" s="222"/>
      <c r="JNJ13" s="222"/>
      <c r="JNK13" s="222"/>
      <c r="JNL13" s="222"/>
      <c r="JNM13" s="222"/>
      <c r="JNN13" s="222"/>
      <c r="JNO13" s="222"/>
      <c r="JNP13" s="222"/>
      <c r="JNQ13" s="222"/>
      <c r="JNR13" s="222"/>
      <c r="JNS13" s="222"/>
      <c r="JNT13" s="222"/>
      <c r="JNU13" s="222"/>
      <c r="JNV13" s="222"/>
      <c r="JNW13" s="222"/>
      <c r="JNX13" s="222"/>
      <c r="JNY13" s="222"/>
      <c r="JNZ13" s="222"/>
      <c r="JOA13" s="222"/>
      <c r="JOB13" s="222"/>
      <c r="JOC13" s="222"/>
      <c r="JOD13" s="222"/>
      <c r="JOE13" s="222"/>
      <c r="JOF13" s="222"/>
      <c r="JOG13" s="222"/>
      <c r="JOH13" s="222"/>
      <c r="JOI13" s="222"/>
      <c r="JOJ13" s="222"/>
      <c r="JOK13" s="222"/>
      <c r="JOL13" s="222"/>
      <c r="JOM13" s="222"/>
      <c r="JON13" s="222"/>
      <c r="JOO13" s="222"/>
      <c r="JOP13" s="222"/>
      <c r="JOQ13" s="222"/>
      <c r="JOR13" s="222"/>
      <c r="JOS13" s="222"/>
      <c r="JOT13" s="222"/>
      <c r="JOU13" s="222"/>
      <c r="JOV13" s="222"/>
      <c r="JOW13" s="222"/>
      <c r="JOX13" s="222"/>
      <c r="JOY13" s="222"/>
      <c r="JOZ13" s="222"/>
      <c r="JPA13" s="222"/>
      <c r="JPB13" s="222"/>
      <c r="JPC13" s="222"/>
      <c r="JPD13" s="222"/>
      <c r="JPE13" s="222"/>
      <c r="JPF13" s="222"/>
      <c r="JPG13" s="222"/>
      <c r="JPH13" s="222"/>
      <c r="JPI13" s="222"/>
      <c r="JPJ13" s="222"/>
      <c r="JPK13" s="222"/>
      <c r="JPL13" s="222"/>
      <c r="JPM13" s="222"/>
      <c r="JPN13" s="222"/>
      <c r="JPO13" s="222"/>
      <c r="JPP13" s="222"/>
      <c r="JPQ13" s="222"/>
      <c r="JPR13" s="222"/>
      <c r="JPS13" s="222"/>
      <c r="JPT13" s="222"/>
      <c r="JPU13" s="222"/>
      <c r="JPV13" s="222"/>
      <c r="JPW13" s="222"/>
      <c r="JPX13" s="222"/>
      <c r="JPY13" s="222"/>
      <c r="JPZ13" s="222"/>
      <c r="JQA13" s="222"/>
      <c r="JQB13" s="222"/>
      <c r="JQC13" s="222"/>
      <c r="JQD13" s="222"/>
      <c r="JQE13" s="222"/>
      <c r="JQF13" s="222"/>
      <c r="JQG13" s="222"/>
      <c r="JQH13" s="222"/>
      <c r="JQI13" s="222"/>
      <c r="JQJ13" s="222"/>
      <c r="JQK13" s="222"/>
      <c r="JQL13" s="222"/>
      <c r="JQM13" s="222"/>
      <c r="JQN13" s="222"/>
      <c r="JQO13" s="222"/>
      <c r="JQP13" s="222"/>
      <c r="JQQ13" s="222"/>
      <c r="JQR13" s="222"/>
      <c r="JQS13" s="222"/>
      <c r="JQT13" s="222"/>
      <c r="JQU13" s="222"/>
      <c r="JQV13" s="222"/>
      <c r="JQW13" s="222"/>
      <c r="JQX13" s="222"/>
      <c r="JQY13" s="222"/>
      <c r="JQZ13" s="222"/>
      <c r="JRA13" s="222"/>
      <c r="JRB13" s="222"/>
      <c r="JRC13" s="222"/>
      <c r="JRD13" s="222"/>
      <c r="JRE13" s="222"/>
      <c r="JRF13" s="222"/>
      <c r="JRG13" s="222"/>
      <c r="JRH13" s="222"/>
      <c r="JRI13" s="222"/>
      <c r="JRJ13" s="222"/>
      <c r="JRK13" s="222"/>
      <c r="JRL13" s="222"/>
      <c r="JRM13" s="222"/>
      <c r="JRN13" s="222"/>
      <c r="JRO13" s="222"/>
      <c r="JRP13" s="222"/>
      <c r="JRQ13" s="222"/>
      <c r="JRR13" s="222"/>
      <c r="JRS13" s="222"/>
      <c r="JRT13" s="222"/>
      <c r="JRU13" s="222"/>
      <c r="JRV13" s="222"/>
      <c r="JRW13" s="222"/>
      <c r="JRX13" s="222"/>
      <c r="JRY13" s="222"/>
      <c r="JRZ13" s="222"/>
      <c r="JSA13" s="222"/>
      <c r="JSB13" s="222"/>
      <c r="JSC13" s="222"/>
      <c r="JSD13" s="222"/>
      <c r="JSE13" s="222"/>
      <c r="JSF13" s="222"/>
      <c r="JSG13" s="222"/>
      <c r="JSH13" s="222"/>
      <c r="JSI13" s="222"/>
      <c r="JSJ13" s="222"/>
      <c r="JSK13" s="222"/>
      <c r="JSL13" s="222"/>
      <c r="JSM13" s="222"/>
      <c r="JSN13" s="222"/>
      <c r="JSO13" s="222"/>
      <c r="JSP13" s="222"/>
      <c r="JSQ13" s="222"/>
      <c r="JSR13" s="222"/>
      <c r="JSS13" s="222"/>
      <c r="JST13" s="222"/>
      <c r="JSU13" s="222"/>
      <c r="JSV13" s="222"/>
      <c r="JSW13" s="222"/>
      <c r="JSX13" s="222"/>
      <c r="JSY13" s="222"/>
      <c r="JSZ13" s="222"/>
      <c r="JTA13" s="222"/>
      <c r="JTB13" s="222"/>
      <c r="JTC13" s="222"/>
      <c r="JTD13" s="222"/>
      <c r="JTE13" s="222"/>
      <c r="JTF13" s="222"/>
      <c r="JTG13" s="222"/>
      <c r="JTH13" s="222"/>
      <c r="JTI13" s="222"/>
      <c r="JTJ13" s="222"/>
      <c r="JTK13" s="222"/>
      <c r="JTL13" s="222"/>
      <c r="JTM13" s="222"/>
      <c r="JTN13" s="222"/>
      <c r="JTO13" s="222"/>
      <c r="JTP13" s="222"/>
      <c r="JTQ13" s="222"/>
      <c r="JTR13" s="222"/>
      <c r="JTS13" s="222"/>
      <c r="JTT13" s="222"/>
      <c r="JTU13" s="222"/>
      <c r="JTV13" s="222"/>
      <c r="JTW13" s="222"/>
      <c r="JTX13" s="222"/>
      <c r="JTY13" s="222"/>
      <c r="JTZ13" s="222"/>
      <c r="JUA13" s="222"/>
      <c r="JUB13" s="222"/>
      <c r="JUC13" s="222"/>
      <c r="JUD13" s="222"/>
      <c r="JUE13" s="222"/>
      <c r="JUF13" s="222"/>
      <c r="JUG13" s="222"/>
      <c r="JUH13" s="222"/>
      <c r="JUI13" s="222"/>
      <c r="JUJ13" s="222"/>
      <c r="JUK13" s="222"/>
      <c r="JUL13" s="222"/>
      <c r="JUM13" s="222"/>
      <c r="JUN13" s="222"/>
      <c r="JUO13" s="222"/>
      <c r="JUP13" s="222"/>
      <c r="JUQ13" s="222"/>
      <c r="JUR13" s="222"/>
      <c r="JUS13" s="222"/>
      <c r="JUT13" s="222"/>
      <c r="JUU13" s="222"/>
      <c r="JUV13" s="222"/>
      <c r="JUW13" s="222"/>
      <c r="JUX13" s="222"/>
      <c r="JUY13" s="222"/>
      <c r="JUZ13" s="222"/>
      <c r="JVA13" s="222"/>
      <c r="JVB13" s="222"/>
      <c r="JVC13" s="222"/>
      <c r="JVD13" s="222"/>
      <c r="JVE13" s="222"/>
      <c r="JVF13" s="222"/>
      <c r="JVG13" s="222"/>
      <c r="JVH13" s="222"/>
      <c r="JVI13" s="222"/>
      <c r="JVJ13" s="222"/>
      <c r="JVK13" s="222"/>
      <c r="JVL13" s="222"/>
      <c r="JVM13" s="222"/>
      <c r="JVN13" s="222"/>
      <c r="JVO13" s="222"/>
      <c r="JVP13" s="222"/>
      <c r="JVQ13" s="222"/>
      <c r="JVR13" s="222"/>
      <c r="JVS13" s="222"/>
      <c r="JVT13" s="222"/>
      <c r="JVU13" s="222"/>
      <c r="JVV13" s="222"/>
      <c r="JVW13" s="222"/>
      <c r="JVX13" s="222"/>
      <c r="JVY13" s="222"/>
      <c r="JVZ13" s="222"/>
      <c r="JWA13" s="222"/>
      <c r="JWB13" s="222"/>
      <c r="JWC13" s="222"/>
      <c r="JWD13" s="222"/>
      <c r="JWE13" s="222"/>
      <c r="JWF13" s="222"/>
      <c r="JWG13" s="222"/>
      <c r="JWH13" s="222"/>
      <c r="JWI13" s="222"/>
      <c r="JWJ13" s="222"/>
      <c r="JWK13" s="222"/>
      <c r="JWL13" s="222"/>
      <c r="JWM13" s="222"/>
      <c r="JWN13" s="222"/>
      <c r="JWO13" s="222"/>
      <c r="JWP13" s="222"/>
      <c r="JWQ13" s="222"/>
      <c r="JWR13" s="222"/>
      <c r="JWS13" s="222"/>
      <c r="JWT13" s="222"/>
      <c r="JWU13" s="222"/>
      <c r="JWV13" s="222"/>
      <c r="JWW13" s="222"/>
      <c r="JWX13" s="222"/>
      <c r="JWY13" s="222"/>
      <c r="JWZ13" s="222"/>
      <c r="JXA13" s="222"/>
      <c r="JXB13" s="222"/>
      <c r="JXC13" s="222"/>
      <c r="JXD13" s="222"/>
      <c r="JXE13" s="222"/>
      <c r="JXF13" s="222"/>
      <c r="JXG13" s="222"/>
      <c r="JXH13" s="222"/>
      <c r="JXI13" s="222"/>
      <c r="JXJ13" s="222"/>
      <c r="JXK13" s="222"/>
      <c r="JXL13" s="222"/>
      <c r="JXM13" s="222"/>
      <c r="JXN13" s="222"/>
      <c r="JXO13" s="222"/>
      <c r="JXP13" s="222"/>
      <c r="JXQ13" s="222"/>
      <c r="JXR13" s="222"/>
      <c r="JXS13" s="222"/>
      <c r="JXT13" s="222"/>
      <c r="JXU13" s="222"/>
      <c r="JXV13" s="222"/>
      <c r="JXW13" s="222"/>
      <c r="JXX13" s="222"/>
      <c r="JXY13" s="222"/>
      <c r="JXZ13" s="222"/>
      <c r="JYA13" s="222"/>
      <c r="JYB13" s="222"/>
      <c r="JYC13" s="222"/>
      <c r="JYD13" s="222"/>
      <c r="JYE13" s="222"/>
      <c r="JYF13" s="222"/>
      <c r="JYG13" s="222"/>
      <c r="JYH13" s="222"/>
      <c r="JYI13" s="222"/>
      <c r="JYJ13" s="222"/>
      <c r="JYK13" s="222"/>
      <c r="JYL13" s="222"/>
      <c r="JYM13" s="222"/>
      <c r="JYN13" s="222"/>
      <c r="JYO13" s="222"/>
      <c r="JYP13" s="222"/>
      <c r="JYQ13" s="222"/>
      <c r="JYR13" s="222"/>
      <c r="JYS13" s="222"/>
      <c r="JYT13" s="222"/>
      <c r="JYU13" s="222"/>
      <c r="JYV13" s="222"/>
      <c r="JYW13" s="222"/>
      <c r="JYX13" s="222"/>
      <c r="JYY13" s="222"/>
      <c r="JYZ13" s="222"/>
      <c r="JZA13" s="222"/>
      <c r="JZB13" s="222"/>
      <c r="JZC13" s="222"/>
      <c r="JZD13" s="222"/>
      <c r="JZE13" s="222"/>
      <c r="JZF13" s="222"/>
      <c r="JZG13" s="222"/>
      <c r="JZH13" s="222"/>
      <c r="JZI13" s="222"/>
      <c r="JZJ13" s="222"/>
      <c r="JZK13" s="222"/>
      <c r="JZL13" s="222"/>
      <c r="JZM13" s="222"/>
      <c r="JZN13" s="222"/>
      <c r="JZO13" s="222"/>
      <c r="JZP13" s="222"/>
      <c r="JZQ13" s="222"/>
      <c r="JZR13" s="222"/>
      <c r="JZS13" s="222"/>
      <c r="JZT13" s="222"/>
      <c r="JZU13" s="222"/>
      <c r="JZV13" s="222"/>
      <c r="JZW13" s="222"/>
      <c r="JZX13" s="222"/>
      <c r="JZY13" s="222"/>
      <c r="JZZ13" s="222"/>
      <c r="KAA13" s="222"/>
      <c r="KAB13" s="222"/>
      <c r="KAC13" s="222"/>
      <c r="KAD13" s="222"/>
      <c r="KAE13" s="222"/>
      <c r="KAF13" s="222"/>
      <c r="KAG13" s="222"/>
      <c r="KAH13" s="222"/>
      <c r="KAI13" s="222"/>
      <c r="KAJ13" s="222"/>
      <c r="KAK13" s="222"/>
      <c r="KAL13" s="222"/>
      <c r="KAM13" s="222"/>
      <c r="KAN13" s="222"/>
      <c r="KAO13" s="222"/>
      <c r="KAP13" s="222"/>
      <c r="KAQ13" s="222"/>
      <c r="KAR13" s="222"/>
      <c r="KAS13" s="222"/>
      <c r="KAT13" s="222"/>
      <c r="KAU13" s="222"/>
      <c r="KAV13" s="222"/>
      <c r="KAW13" s="222"/>
      <c r="KAX13" s="222"/>
      <c r="KAY13" s="222"/>
      <c r="KAZ13" s="222"/>
      <c r="KBA13" s="222"/>
      <c r="KBB13" s="222"/>
      <c r="KBC13" s="222"/>
      <c r="KBD13" s="222"/>
      <c r="KBE13" s="222"/>
      <c r="KBF13" s="222"/>
      <c r="KBG13" s="222"/>
      <c r="KBH13" s="222"/>
      <c r="KBI13" s="222"/>
      <c r="KBJ13" s="222"/>
      <c r="KBK13" s="222"/>
      <c r="KBL13" s="222"/>
      <c r="KBM13" s="222"/>
      <c r="KBN13" s="222"/>
      <c r="KBO13" s="222"/>
      <c r="KBP13" s="222"/>
      <c r="KBQ13" s="222"/>
      <c r="KBR13" s="222"/>
      <c r="KBS13" s="222"/>
      <c r="KBT13" s="222"/>
      <c r="KBU13" s="222"/>
      <c r="KBV13" s="222"/>
      <c r="KBW13" s="222"/>
      <c r="KBX13" s="222"/>
      <c r="KBY13" s="222"/>
      <c r="KBZ13" s="222"/>
      <c r="KCA13" s="222"/>
      <c r="KCB13" s="222"/>
      <c r="KCC13" s="222"/>
      <c r="KCD13" s="222"/>
      <c r="KCE13" s="222"/>
      <c r="KCF13" s="222"/>
      <c r="KCG13" s="222"/>
      <c r="KCH13" s="222"/>
      <c r="KCI13" s="222"/>
      <c r="KCJ13" s="222"/>
      <c r="KCK13" s="222"/>
      <c r="KCL13" s="222"/>
      <c r="KCM13" s="222"/>
      <c r="KCN13" s="222"/>
      <c r="KCO13" s="222"/>
      <c r="KCP13" s="222"/>
      <c r="KCQ13" s="222"/>
      <c r="KCR13" s="222"/>
      <c r="KCS13" s="222"/>
      <c r="KCT13" s="222"/>
      <c r="KCU13" s="222"/>
      <c r="KCV13" s="222"/>
      <c r="KCW13" s="222"/>
      <c r="KCX13" s="222"/>
      <c r="KCY13" s="222"/>
      <c r="KCZ13" s="222"/>
      <c r="KDA13" s="222"/>
      <c r="KDB13" s="222"/>
      <c r="KDC13" s="222"/>
      <c r="KDD13" s="222"/>
      <c r="KDE13" s="222"/>
      <c r="KDF13" s="222"/>
      <c r="KDG13" s="222"/>
      <c r="KDH13" s="222"/>
      <c r="KDI13" s="222"/>
      <c r="KDJ13" s="222"/>
      <c r="KDK13" s="222"/>
      <c r="KDL13" s="222"/>
      <c r="KDM13" s="222"/>
      <c r="KDN13" s="222"/>
      <c r="KDO13" s="222"/>
      <c r="KDP13" s="222"/>
      <c r="KDQ13" s="222"/>
      <c r="KDR13" s="222"/>
      <c r="KDS13" s="222"/>
      <c r="KDT13" s="222"/>
      <c r="KDU13" s="222"/>
      <c r="KDV13" s="222"/>
      <c r="KDW13" s="222"/>
      <c r="KDX13" s="222"/>
      <c r="KDY13" s="222"/>
      <c r="KDZ13" s="222"/>
      <c r="KEA13" s="222"/>
      <c r="KEB13" s="222"/>
      <c r="KEC13" s="222"/>
      <c r="KED13" s="222"/>
      <c r="KEE13" s="222"/>
      <c r="KEF13" s="222"/>
      <c r="KEG13" s="222"/>
      <c r="KEH13" s="222"/>
      <c r="KEI13" s="222"/>
      <c r="KEJ13" s="222"/>
      <c r="KEK13" s="222"/>
      <c r="KEL13" s="222"/>
      <c r="KEM13" s="222"/>
      <c r="KEN13" s="222"/>
      <c r="KEO13" s="222"/>
      <c r="KEP13" s="222"/>
      <c r="KEQ13" s="222"/>
      <c r="KER13" s="222"/>
      <c r="KES13" s="222"/>
      <c r="KET13" s="222"/>
      <c r="KEU13" s="222"/>
      <c r="KEV13" s="222"/>
      <c r="KEW13" s="222"/>
      <c r="KEX13" s="222"/>
      <c r="KEY13" s="222"/>
      <c r="KEZ13" s="222"/>
      <c r="KFA13" s="222"/>
      <c r="KFB13" s="222"/>
      <c r="KFC13" s="222"/>
      <c r="KFD13" s="222"/>
      <c r="KFE13" s="222"/>
      <c r="KFF13" s="222"/>
      <c r="KFG13" s="222"/>
      <c r="KFH13" s="222"/>
      <c r="KFI13" s="222"/>
      <c r="KFJ13" s="222"/>
      <c r="KFK13" s="222"/>
      <c r="KFL13" s="222"/>
      <c r="KFM13" s="222"/>
      <c r="KFN13" s="222"/>
      <c r="KFO13" s="222"/>
      <c r="KFP13" s="222"/>
      <c r="KFQ13" s="222"/>
      <c r="KFR13" s="222"/>
      <c r="KFS13" s="222"/>
      <c r="KFT13" s="222"/>
      <c r="KFU13" s="222"/>
      <c r="KFV13" s="222"/>
      <c r="KFW13" s="222"/>
      <c r="KFX13" s="222"/>
      <c r="KFY13" s="222"/>
      <c r="KFZ13" s="222"/>
      <c r="KGA13" s="222"/>
      <c r="KGB13" s="222"/>
      <c r="KGC13" s="222"/>
      <c r="KGD13" s="222"/>
      <c r="KGE13" s="222"/>
      <c r="KGF13" s="222"/>
      <c r="KGG13" s="222"/>
      <c r="KGH13" s="222"/>
      <c r="KGI13" s="222"/>
      <c r="KGJ13" s="222"/>
      <c r="KGK13" s="222"/>
      <c r="KGL13" s="222"/>
      <c r="KGM13" s="222"/>
      <c r="KGN13" s="222"/>
      <c r="KGO13" s="222"/>
      <c r="KGP13" s="222"/>
      <c r="KGQ13" s="222"/>
      <c r="KGR13" s="222"/>
      <c r="KGS13" s="222"/>
      <c r="KGT13" s="222"/>
      <c r="KGU13" s="222"/>
      <c r="KGV13" s="222"/>
      <c r="KGW13" s="222"/>
      <c r="KGX13" s="222"/>
      <c r="KGY13" s="222"/>
      <c r="KGZ13" s="222"/>
      <c r="KHA13" s="222"/>
      <c r="KHB13" s="222"/>
      <c r="KHC13" s="222"/>
      <c r="KHD13" s="222"/>
      <c r="KHE13" s="222"/>
      <c r="KHF13" s="222"/>
      <c r="KHG13" s="222"/>
      <c r="KHH13" s="222"/>
      <c r="KHI13" s="222"/>
      <c r="KHJ13" s="222"/>
      <c r="KHK13" s="222"/>
      <c r="KHL13" s="222"/>
      <c r="KHM13" s="222"/>
      <c r="KHN13" s="222"/>
      <c r="KHO13" s="222"/>
      <c r="KHP13" s="222"/>
      <c r="KHQ13" s="222"/>
      <c r="KHR13" s="222"/>
      <c r="KHS13" s="222"/>
      <c r="KHT13" s="222"/>
      <c r="KHU13" s="222"/>
      <c r="KHV13" s="222"/>
      <c r="KHW13" s="222"/>
      <c r="KHX13" s="222"/>
      <c r="KHY13" s="222"/>
      <c r="KHZ13" s="222"/>
      <c r="KIA13" s="222"/>
      <c r="KIB13" s="222"/>
      <c r="KIC13" s="222"/>
      <c r="KID13" s="222"/>
      <c r="KIE13" s="222"/>
      <c r="KIF13" s="222"/>
      <c r="KIG13" s="222"/>
      <c r="KIH13" s="222"/>
      <c r="KII13" s="222"/>
      <c r="KIJ13" s="222"/>
      <c r="KIK13" s="222"/>
      <c r="KIL13" s="222"/>
      <c r="KIM13" s="222"/>
      <c r="KIN13" s="222"/>
      <c r="KIO13" s="222"/>
      <c r="KIP13" s="222"/>
      <c r="KIQ13" s="222"/>
      <c r="KIR13" s="222"/>
      <c r="KIS13" s="222"/>
      <c r="KIT13" s="222"/>
      <c r="KIU13" s="222"/>
      <c r="KIV13" s="222"/>
      <c r="KIW13" s="222"/>
      <c r="KIX13" s="222"/>
      <c r="KIY13" s="222"/>
      <c r="KIZ13" s="222"/>
      <c r="KJA13" s="222"/>
      <c r="KJB13" s="222"/>
      <c r="KJC13" s="222"/>
      <c r="KJD13" s="222"/>
      <c r="KJE13" s="222"/>
      <c r="KJF13" s="222"/>
      <c r="KJG13" s="222"/>
      <c r="KJH13" s="222"/>
      <c r="KJI13" s="222"/>
      <c r="KJJ13" s="222"/>
      <c r="KJK13" s="222"/>
      <c r="KJL13" s="222"/>
      <c r="KJM13" s="222"/>
      <c r="KJN13" s="222"/>
      <c r="KJO13" s="222"/>
      <c r="KJP13" s="222"/>
      <c r="KJQ13" s="222"/>
      <c r="KJR13" s="222"/>
      <c r="KJS13" s="222"/>
      <c r="KJT13" s="222"/>
      <c r="KJU13" s="222"/>
      <c r="KJV13" s="222"/>
      <c r="KJW13" s="222"/>
      <c r="KJX13" s="222"/>
      <c r="KJY13" s="222"/>
      <c r="KJZ13" s="222"/>
      <c r="KKA13" s="222"/>
      <c r="KKB13" s="222"/>
      <c r="KKC13" s="222"/>
      <c r="KKD13" s="222"/>
      <c r="KKE13" s="222"/>
      <c r="KKF13" s="222"/>
      <c r="KKG13" s="222"/>
      <c r="KKH13" s="222"/>
      <c r="KKI13" s="222"/>
      <c r="KKJ13" s="222"/>
      <c r="KKK13" s="222"/>
      <c r="KKL13" s="222"/>
      <c r="KKM13" s="222"/>
      <c r="KKN13" s="222"/>
      <c r="KKO13" s="222"/>
      <c r="KKP13" s="222"/>
      <c r="KKQ13" s="222"/>
      <c r="KKR13" s="222"/>
      <c r="KKS13" s="222"/>
      <c r="KKT13" s="222"/>
      <c r="KKU13" s="222"/>
      <c r="KKV13" s="222"/>
      <c r="KKW13" s="222"/>
      <c r="KKX13" s="222"/>
      <c r="KKY13" s="222"/>
      <c r="KKZ13" s="222"/>
      <c r="KLA13" s="222"/>
      <c r="KLB13" s="222"/>
      <c r="KLC13" s="222"/>
      <c r="KLD13" s="222"/>
      <c r="KLE13" s="222"/>
      <c r="KLF13" s="222"/>
      <c r="KLG13" s="222"/>
      <c r="KLH13" s="222"/>
      <c r="KLI13" s="222"/>
      <c r="KLJ13" s="222"/>
      <c r="KLK13" s="222"/>
      <c r="KLL13" s="222"/>
      <c r="KLM13" s="222"/>
      <c r="KLN13" s="222"/>
      <c r="KLO13" s="222"/>
      <c r="KLP13" s="222"/>
      <c r="KLQ13" s="222"/>
      <c r="KLR13" s="222"/>
      <c r="KLS13" s="222"/>
      <c r="KLT13" s="222"/>
      <c r="KLU13" s="222"/>
      <c r="KLV13" s="222"/>
      <c r="KLW13" s="222"/>
      <c r="KLX13" s="222"/>
      <c r="KLY13" s="222"/>
      <c r="KLZ13" s="222"/>
      <c r="KMA13" s="222"/>
      <c r="KMB13" s="222"/>
      <c r="KMC13" s="222"/>
      <c r="KMD13" s="222"/>
      <c r="KME13" s="222"/>
      <c r="KMF13" s="222"/>
      <c r="KMG13" s="222"/>
      <c r="KMH13" s="222"/>
      <c r="KMI13" s="222"/>
      <c r="KMJ13" s="222"/>
      <c r="KMK13" s="222"/>
      <c r="KML13" s="222"/>
      <c r="KMM13" s="222"/>
      <c r="KMN13" s="222"/>
      <c r="KMO13" s="222"/>
      <c r="KMP13" s="222"/>
      <c r="KMQ13" s="222"/>
      <c r="KMR13" s="222"/>
      <c r="KMS13" s="222"/>
      <c r="KMT13" s="222"/>
      <c r="KMU13" s="222"/>
      <c r="KMV13" s="222"/>
      <c r="KMW13" s="222"/>
      <c r="KMX13" s="222"/>
      <c r="KMY13" s="222"/>
      <c r="KMZ13" s="222"/>
      <c r="KNA13" s="222"/>
      <c r="KNB13" s="222"/>
      <c r="KNC13" s="222"/>
      <c r="KND13" s="222"/>
      <c r="KNE13" s="222"/>
      <c r="KNF13" s="222"/>
      <c r="KNG13" s="222"/>
      <c r="KNH13" s="222"/>
      <c r="KNI13" s="222"/>
      <c r="KNJ13" s="222"/>
      <c r="KNK13" s="222"/>
      <c r="KNL13" s="222"/>
      <c r="KNM13" s="222"/>
      <c r="KNN13" s="222"/>
      <c r="KNO13" s="222"/>
      <c r="KNP13" s="222"/>
      <c r="KNQ13" s="222"/>
      <c r="KNR13" s="222"/>
      <c r="KNS13" s="222"/>
      <c r="KNT13" s="222"/>
      <c r="KNU13" s="222"/>
      <c r="KNV13" s="222"/>
      <c r="KNW13" s="222"/>
      <c r="KNX13" s="222"/>
      <c r="KNY13" s="222"/>
      <c r="KNZ13" s="222"/>
      <c r="KOA13" s="222"/>
      <c r="KOB13" s="222"/>
      <c r="KOC13" s="222"/>
      <c r="KOD13" s="222"/>
      <c r="KOE13" s="222"/>
      <c r="KOF13" s="222"/>
      <c r="KOG13" s="222"/>
      <c r="KOH13" s="222"/>
      <c r="KOI13" s="222"/>
      <c r="KOJ13" s="222"/>
      <c r="KOK13" s="222"/>
      <c r="KOL13" s="222"/>
      <c r="KOM13" s="222"/>
      <c r="KON13" s="222"/>
      <c r="KOO13" s="222"/>
      <c r="KOP13" s="222"/>
      <c r="KOQ13" s="222"/>
      <c r="KOR13" s="222"/>
      <c r="KOS13" s="222"/>
      <c r="KOT13" s="222"/>
      <c r="KOU13" s="222"/>
      <c r="KOV13" s="222"/>
      <c r="KOW13" s="222"/>
      <c r="KOX13" s="222"/>
      <c r="KOY13" s="222"/>
      <c r="KOZ13" s="222"/>
      <c r="KPA13" s="222"/>
      <c r="KPB13" s="222"/>
      <c r="KPC13" s="222"/>
      <c r="KPD13" s="222"/>
      <c r="KPE13" s="222"/>
      <c r="KPF13" s="222"/>
      <c r="KPG13" s="222"/>
      <c r="KPH13" s="222"/>
      <c r="KPI13" s="222"/>
      <c r="KPJ13" s="222"/>
      <c r="KPK13" s="222"/>
      <c r="KPL13" s="222"/>
      <c r="KPM13" s="222"/>
      <c r="KPN13" s="222"/>
      <c r="KPO13" s="222"/>
      <c r="KPP13" s="222"/>
      <c r="KPQ13" s="222"/>
      <c r="KPR13" s="222"/>
      <c r="KPS13" s="222"/>
      <c r="KPT13" s="222"/>
      <c r="KPU13" s="222"/>
      <c r="KPV13" s="222"/>
      <c r="KPW13" s="222"/>
      <c r="KPX13" s="222"/>
      <c r="KPY13" s="222"/>
      <c r="KPZ13" s="222"/>
      <c r="KQA13" s="222"/>
      <c r="KQB13" s="222"/>
      <c r="KQC13" s="222"/>
      <c r="KQD13" s="222"/>
      <c r="KQE13" s="222"/>
      <c r="KQF13" s="222"/>
      <c r="KQG13" s="222"/>
      <c r="KQH13" s="222"/>
      <c r="KQI13" s="222"/>
      <c r="KQJ13" s="222"/>
      <c r="KQK13" s="222"/>
      <c r="KQL13" s="222"/>
      <c r="KQM13" s="222"/>
      <c r="KQN13" s="222"/>
      <c r="KQO13" s="222"/>
      <c r="KQP13" s="222"/>
      <c r="KQQ13" s="222"/>
      <c r="KQR13" s="222"/>
      <c r="KQS13" s="222"/>
      <c r="KQT13" s="222"/>
      <c r="KQU13" s="222"/>
      <c r="KQV13" s="222"/>
      <c r="KQW13" s="222"/>
      <c r="KQX13" s="222"/>
      <c r="KQY13" s="222"/>
      <c r="KQZ13" s="222"/>
      <c r="KRA13" s="222"/>
      <c r="KRB13" s="222"/>
      <c r="KRC13" s="222"/>
      <c r="KRD13" s="222"/>
      <c r="KRE13" s="222"/>
      <c r="KRF13" s="222"/>
      <c r="KRG13" s="222"/>
      <c r="KRH13" s="222"/>
      <c r="KRI13" s="222"/>
      <c r="KRJ13" s="222"/>
      <c r="KRK13" s="222"/>
      <c r="KRL13" s="222"/>
      <c r="KRM13" s="222"/>
      <c r="KRN13" s="222"/>
      <c r="KRO13" s="222"/>
      <c r="KRP13" s="222"/>
      <c r="KRQ13" s="222"/>
      <c r="KRR13" s="222"/>
      <c r="KRS13" s="222"/>
      <c r="KRT13" s="222"/>
      <c r="KRU13" s="222"/>
      <c r="KRV13" s="222"/>
      <c r="KRW13" s="222"/>
      <c r="KRX13" s="222"/>
      <c r="KRY13" s="222"/>
      <c r="KRZ13" s="222"/>
      <c r="KSA13" s="222"/>
      <c r="KSB13" s="222"/>
      <c r="KSC13" s="222"/>
      <c r="KSD13" s="222"/>
      <c r="KSE13" s="222"/>
      <c r="KSF13" s="222"/>
      <c r="KSG13" s="222"/>
      <c r="KSH13" s="222"/>
      <c r="KSI13" s="222"/>
      <c r="KSJ13" s="222"/>
      <c r="KSK13" s="222"/>
      <c r="KSL13" s="222"/>
      <c r="KSM13" s="222"/>
      <c r="KSN13" s="222"/>
      <c r="KSO13" s="222"/>
      <c r="KSP13" s="222"/>
      <c r="KSQ13" s="222"/>
      <c r="KSR13" s="222"/>
      <c r="KSS13" s="222"/>
      <c r="KST13" s="222"/>
      <c r="KSU13" s="222"/>
      <c r="KSV13" s="222"/>
      <c r="KSW13" s="222"/>
      <c r="KSX13" s="222"/>
      <c r="KSY13" s="222"/>
      <c r="KSZ13" s="222"/>
      <c r="KTA13" s="222"/>
      <c r="KTB13" s="222"/>
      <c r="KTC13" s="222"/>
      <c r="KTD13" s="222"/>
      <c r="KTE13" s="222"/>
      <c r="KTF13" s="222"/>
      <c r="KTG13" s="222"/>
      <c r="KTH13" s="222"/>
      <c r="KTI13" s="222"/>
      <c r="KTJ13" s="222"/>
      <c r="KTK13" s="222"/>
      <c r="KTL13" s="222"/>
      <c r="KTM13" s="222"/>
      <c r="KTN13" s="222"/>
      <c r="KTO13" s="222"/>
      <c r="KTP13" s="222"/>
      <c r="KTQ13" s="222"/>
      <c r="KTR13" s="222"/>
      <c r="KTS13" s="222"/>
      <c r="KTT13" s="222"/>
      <c r="KTU13" s="222"/>
      <c r="KTV13" s="222"/>
      <c r="KTW13" s="222"/>
      <c r="KTX13" s="222"/>
      <c r="KTY13" s="222"/>
      <c r="KTZ13" s="222"/>
      <c r="KUA13" s="222"/>
      <c r="KUB13" s="222"/>
      <c r="KUC13" s="222"/>
      <c r="KUD13" s="222"/>
      <c r="KUE13" s="222"/>
      <c r="KUF13" s="222"/>
      <c r="KUG13" s="222"/>
      <c r="KUH13" s="222"/>
      <c r="KUI13" s="222"/>
      <c r="KUJ13" s="222"/>
      <c r="KUK13" s="222"/>
      <c r="KUL13" s="222"/>
      <c r="KUM13" s="222"/>
      <c r="KUN13" s="222"/>
      <c r="KUO13" s="222"/>
      <c r="KUP13" s="222"/>
      <c r="KUQ13" s="222"/>
      <c r="KUR13" s="222"/>
      <c r="KUS13" s="222"/>
      <c r="KUT13" s="222"/>
      <c r="KUU13" s="222"/>
      <c r="KUV13" s="222"/>
      <c r="KUW13" s="222"/>
      <c r="KUX13" s="222"/>
      <c r="KUY13" s="222"/>
      <c r="KUZ13" s="222"/>
      <c r="KVA13" s="222"/>
      <c r="KVB13" s="222"/>
      <c r="KVC13" s="222"/>
      <c r="KVD13" s="222"/>
      <c r="KVE13" s="222"/>
      <c r="KVF13" s="222"/>
      <c r="KVG13" s="222"/>
      <c r="KVH13" s="222"/>
      <c r="KVI13" s="222"/>
      <c r="KVJ13" s="222"/>
      <c r="KVK13" s="222"/>
      <c r="KVL13" s="222"/>
      <c r="KVM13" s="222"/>
      <c r="KVN13" s="222"/>
      <c r="KVO13" s="222"/>
      <c r="KVP13" s="222"/>
      <c r="KVQ13" s="222"/>
      <c r="KVR13" s="222"/>
      <c r="KVS13" s="222"/>
      <c r="KVT13" s="222"/>
      <c r="KVU13" s="222"/>
      <c r="KVV13" s="222"/>
      <c r="KVW13" s="222"/>
      <c r="KVX13" s="222"/>
      <c r="KVY13" s="222"/>
      <c r="KVZ13" s="222"/>
      <c r="KWA13" s="222"/>
      <c r="KWB13" s="222"/>
      <c r="KWC13" s="222"/>
      <c r="KWD13" s="222"/>
      <c r="KWE13" s="222"/>
      <c r="KWF13" s="222"/>
      <c r="KWG13" s="222"/>
      <c r="KWH13" s="222"/>
      <c r="KWI13" s="222"/>
      <c r="KWJ13" s="222"/>
      <c r="KWK13" s="222"/>
      <c r="KWL13" s="222"/>
      <c r="KWM13" s="222"/>
      <c r="KWN13" s="222"/>
      <c r="KWO13" s="222"/>
      <c r="KWP13" s="222"/>
      <c r="KWQ13" s="222"/>
      <c r="KWR13" s="222"/>
      <c r="KWS13" s="222"/>
      <c r="KWT13" s="222"/>
      <c r="KWU13" s="222"/>
      <c r="KWV13" s="222"/>
      <c r="KWW13" s="222"/>
      <c r="KWX13" s="222"/>
      <c r="KWY13" s="222"/>
      <c r="KWZ13" s="222"/>
      <c r="KXA13" s="222"/>
      <c r="KXB13" s="222"/>
      <c r="KXC13" s="222"/>
      <c r="KXD13" s="222"/>
      <c r="KXE13" s="222"/>
      <c r="KXF13" s="222"/>
      <c r="KXG13" s="222"/>
      <c r="KXH13" s="222"/>
      <c r="KXI13" s="222"/>
      <c r="KXJ13" s="222"/>
      <c r="KXK13" s="222"/>
      <c r="KXL13" s="222"/>
      <c r="KXM13" s="222"/>
      <c r="KXN13" s="222"/>
      <c r="KXO13" s="222"/>
      <c r="KXP13" s="222"/>
      <c r="KXQ13" s="222"/>
      <c r="KXR13" s="222"/>
      <c r="KXS13" s="222"/>
      <c r="KXT13" s="222"/>
      <c r="KXU13" s="222"/>
      <c r="KXV13" s="222"/>
      <c r="KXW13" s="222"/>
      <c r="KXX13" s="222"/>
      <c r="KXY13" s="222"/>
      <c r="KXZ13" s="222"/>
      <c r="KYA13" s="222"/>
      <c r="KYB13" s="222"/>
      <c r="KYC13" s="222"/>
      <c r="KYD13" s="222"/>
      <c r="KYE13" s="222"/>
      <c r="KYF13" s="222"/>
      <c r="KYG13" s="222"/>
      <c r="KYH13" s="222"/>
      <c r="KYI13" s="222"/>
      <c r="KYJ13" s="222"/>
      <c r="KYK13" s="222"/>
      <c r="KYL13" s="222"/>
      <c r="KYM13" s="222"/>
      <c r="KYN13" s="222"/>
      <c r="KYO13" s="222"/>
      <c r="KYP13" s="222"/>
      <c r="KYQ13" s="222"/>
      <c r="KYR13" s="222"/>
      <c r="KYS13" s="222"/>
      <c r="KYT13" s="222"/>
      <c r="KYU13" s="222"/>
      <c r="KYV13" s="222"/>
      <c r="KYW13" s="222"/>
      <c r="KYX13" s="222"/>
      <c r="KYY13" s="222"/>
      <c r="KYZ13" s="222"/>
      <c r="KZA13" s="222"/>
      <c r="KZB13" s="222"/>
      <c r="KZC13" s="222"/>
      <c r="KZD13" s="222"/>
      <c r="KZE13" s="222"/>
      <c r="KZF13" s="222"/>
      <c r="KZG13" s="222"/>
      <c r="KZH13" s="222"/>
      <c r="KZI13" s="222"/>
      <c r="KZJ13" s="222"/>
      <c r="KZK13" s="222"/>
      <c r="KZL13" s="222"/>
      <c r="KZM13" s="222"/>
      <c r="KZN13" s="222"/>
      <c r="KZO13" s="222"/>
      <c r="KZP13" s="222"/>
      <c r="KZQ13" s="222"/>
      <c r="KZR13" s="222"/>
      <c r="KZS13" s="222"/>
      <c r="KZT13" s="222"/>
      <c r="KZU13" s="222"/>
      <c r="KZV13" s="222"/>
      <c r="KZW13" s="222"/>
      <c r="KZX13" s="222"/>
      <c r="KZY13" s="222"/>
      <c r="KZZ13" s="222"/>
      <c r="LAA13" s="222"/>
      <c r="LAB13" s="222"/>
      <c r="LAC13" s="222"/>
      <c r="LAD13" s="222"/>
      <c r="LAE13" s="222"/>
      <c r="LAF13" s="222"/>
      <c r="LAG13" s="222"/>
      <c r="LAH13" s="222"/>
      <c r="LAI13" s="222"/>
      <c r="LAJ13" s="222"/>
      <c r="LAK13" s="222"/>
      <c r="LAL13" s="222"/>
      <c r="LAM13" s="222"/>
      <c r="LAN13" s="222"/>
      <c r="LAO13" s="222"/>
      <c r="LAP13" s="222"/>
      <c r="LAQ13" s="222"/>
      <c r="LAR13" s="222"/>
      <c r="LAS13" s="222"/>
      <c r="LAT13" s="222"/>
      <c r="LAU13" s="222"/>
      <c r="LAV13" s="222"/>
      <c r="LAW13" s="222"/>
      <c r="LAX13" s="222"/>
      <c r="LAY13" s="222"/>
      <c r="LAZ13" s="222"/>
      <c r="LBA13" s="222"/>
      <c r="LBB13" s="222"/>
      <c r="LBC13" s="222"/>
      <c r="LBD13" s="222"/>
      <c r="LBE13" s="222"/>
      <c r="LBF13" s="222"/>
      <c r="LBG13" s="222"/>
      <c r="LBH13" s="222"/>
      <c r="LBI13" s="222"/>
      <c r="LBJ13" s="222"/>
      <c r="LBK13" s="222"/>
      <c r="LBL13" s="222"/>
      <c r="LBM13" s="222"/>
      <c r="LBN13" s="222"/>
      <c r="LBO13" s="222"/>
      <c r="LBP13" s="222"/>
      <c r="LBQ13" s="222"/>
      <c r="LBR13" s="222"/>
      <c r="LBS13" s="222"/>
      <c r="LBT13" s="222"/>
      <c r="LBU13" s="222"/>
      <c r="LBV13" s="222"/>
      <c r="LBW13" s="222"/>
      <c r="LBX13" s="222"/>
      <c r="LBY13" s="222"/>
      <c r="LBZ13" s="222"/>
      <c r="LCA13" s="222"/>
      <c r="LCB13" s="222"/>
      <c r="LCC13" s="222"/>
      <c r="LCD13" s="222"/>
      <c r="LCE13" s="222"/>
      <c r="LCF13" s="222"/>
      <c r="LCG13" s="222"/>
      <c r="LCH13" s="222"/>
      <c r="LCI13" s="222"/>
      <c r="LCJ13" s="222"/>
      <c r="LCK13" s="222"/>
      <c r="LCL13" s="222"/>
      <c r="LCM13" s="222"/>
      <c r="LCN13" s="222"/>
      <c r="LCO13" s="222"/>
      <c r="LCP13" s="222"/>
      <c r="LCQ13" s="222"/>
      <c r="LCR13" s="222"/>
      <c r="LCS13" s="222"/>
      <c r="LCT13" s="222"/>
      <c r="LCU13" s="222"/>
      <c r="LCV13" s="222"/>
      <c r="LCW13" s="222"/>
      <c r="LCX13" s="222"/>
      <c r="LCY13" s="222"/>
      <c r="LCZ13" s="222"/>
      <c r="LDA13" s="222"/>
      <c r="LDB13" s="222"/>
      <c r="LDC13" s="222"/>
      <c r="LDD13" s="222"/>
      <c r="LDE13" s="222"/>
      <c r="LDF13" s="222"/>
      <c r="LDG13" s="222"/>
      <c r="LDH13" s="222"/>
      <c r="LDI13" s="222"/>
      <c r="LDJ13" s="222"/>
      <c r="LDK13" s="222"/>
      <c r="LDL13" s="222"/>
      <c r="LDM13" s="222"/>
      <c r="LDN13" s="222"/>
      <c r="LDO13" s="222"/>
      <c r="LDP13" s="222"/>
      <c r="LDQ13" s="222"/>
      <c r="LDR13" s="222"/>
      <c r="LDS13" s="222"/>
      <c r="LDT13" s="222"/>
      <c r="LDU13" s="222"/>
      <c r="LDV13" s="222"/>
      <c r="LDW13" s="222"/>
      <c r="LDX13" s="222"/>
      <c r="LDY13" s="222"/>
      <c r="LDZ13" s="222"/>
      <c r="LEA13" s="222"/>
      <c r="LEB13" s="222"/>
      <c r="LEC13" s="222"/>
      <c r="LED13" s="222"/>
      <c r="LEE13" s="222"/>
      <c r="LEF13" s="222"/>
      <c r="LEG13" s="222"/>
      <c r="LEH13" s="222"/>
      <c r="LEI13" s="222"/>
      <c r="LEJ13" s="222"/>
      <c r="LEK13" s="222"/>
      <c r="LEL13" s="222"/>
      <c r="LEM13" s="222"/>
      <c r="LEN13" s="222"/>
      <c r="LEO13" s="222"/>
      <c r="LEP13" s="222"/>
      <c r="LEQ13" s="222"/>
      <c r="LER13" s="222"/>
      <c r="LES13" s="222"/>
      <c r="LET13" s="222"/>
      <c r="LEU13" s="222"/>
      <c r="LEV13" s="222"/>
      <c r="LEW13" s="222"/>
      <c r="LEX13" s="222"/>
      <c r="LEY13" s="222"/>
      <c r="LEZ13" s="222"/>
      <c r="LFA13" s="222"/>
      <c r="LFB13" s="222"/>
      <c r="LFC13" s="222"/>
      <c r="LFD13" s="222"/>
      <c r="LFE13" s="222"/>
      <c r="LFF13" s="222"/>
      <c r="LFG13" s="222"/>
      <c r="LFH13" s="222"/>
      <c r="LFI13" s="222"/>
      <c r="LFJ13" s="222"/>
      <c r="LFK13" s="222"/>
      <c r="LFL13" s="222"/>
      <c r="LFM13" s="222"/>
      <c r="LFN13" s="222"/>
      <c r="LFO13" s="222"/>
      <c r="LFP13" s="222"/>
      <c r="LFQ13" s="222"/>
      <c r="LFR13" s="222"/>
      <c r="LFS13" s="222"/>
      <c r="LFT13" s="222"/>
      <c r="LFU13" s="222"/>
      <c r="LFV13" s="222"/>
      <c r="LFW13" s="222"/>
      <c r="LFX13" s="222"/>
      <c r="LFY13" s="222"/>
      <c r="LFZ13" s="222"/>
      <c r="LGA13" s="222"/>
      <c r="LGB13" s="222"/>
      <c r="LGC13" s="222"/>
      <c r="LGD13" s="222"/>
      <c r="LGE13" s="222"/>
      <c r="LGF13" s="222"/>
      <c r="LGG13" s="222"/>
      <c r="LGH13" s="222"/>
      <c r="LGI13" s="222"/>
      <c r="LGJ13" s="222"/>
      <c r="LGK13" s="222"/>
      <c r="LGL13" s="222"/>
      <c r="LGM13" s="222"/>
      <c r="LGN13" s="222"/>
      <c r="LGO13" s="222"/>
      <c r="LGP13" s="222"/>
      <c r="LGQ13" s="222"/>
      <c r="LGR13" s="222"/>
      <c r="LGS13" s="222"/>
      <c r="LGT13" s="222"/>
      <c r="LGU13" s="222"/>
      <c r="LGV13" s="222"/>
      <c r="LGW13" s="222"/>
      <c r="LGX13" s="222"/>
      <c r="LGY13" s="222"/>
      <c r="LGZ13" s="222"/>
      <c r="LHA13" s="222"/>
      <c r="LHB13" s="222"/>
      <c r="LHC13" s="222"/>
      <c r="LHD13" s="222"/>
      <c r="LHE13" s="222"/>
      <c r="LHF13" s="222"/>
      <c r="LHG13" s="222"/>
      <c r="LHH13" s="222"/>
      <c r="LHI13" s="222"/>
      <c r="LHJ13" s="222"/>
      <c r="LHK13" s="222"/>
      <c r="LHL13" s="222"/>
      <c r="LHM13" s="222"/>
      <c r="LHN13" s="222"/>
      <c r="LHO13" s="222"/>
      <c r="LHP13" s="222"/>
      <c r="LHQ13" s="222"/>
      <c r="LHR13" s="222"/>
      <c r="LHS13" s="222"/>
      <c r="LHT13" s="222"/>
      <c r="LHU13" s="222"/>
      <c r="LHV13" s="222"/>
      <c r="LHW13" s="222"/>
      <c r="LHX13" s="222"/>
      <c r="LHY13" s="222"/>
      <c r="LHZ13" s="222"/>
      <c r="LIA13" s="222"/>
      <c r="LIB13" s="222"/>
      <c r="LIC13" s="222"/>
      <c r="LID13" s="222"/>
      <c r="LIE13" s="222"/>
      <c r="LIF13" s="222"/>
      <c r="LIG13" s="222"/>
      <c r="LIH13" s="222"/>
      <c r="LII13" s="222"/>
      <c r="LIJ13" s="222"/>
      <c r="LIK13" s="222"/>
      <c r="LIL13" s="222"/>
      <c r="LIM13" s="222"/>
      <c r="LIN13" s="222"/>
      <c r="LIO13" s="222"/>
      <c r="LIP13" s="222"/>
      <c r="LIQ13" s="222"/>
      <c r="LIR13" s="222"/>
      <c r="LIS13" s="222"/>
      <c r="LIT13" s="222"/>
      <c r="LIU13" s="222"/>
      <c r="LIV13" s="222"/>
      <c r="LIW13" s="222"/>
      <c r="LIX13" s="222"/>
      <c r="LIY13" s="222"/>
      <c r="LIZ13" s="222"/>
      <c r="LJA13" s="222"/>
      <c r="LJB13" s="222"/>
      <c r="LJC13" s="222"/>
      <c r="LJD13" s="222"/>
      <c r="LJE13" s="222"/>
      <c r="LJF13" s="222"/>
      <c r="LJG13" s="222"/>
      <c r="LJH13" s="222"/>
      <c r="LJI13" s="222"/>
      <c r="LJJ13" s="222"/>
      <c r="LJK13" s="222"/>
      <c r="LJL13" s="222"/>
      <c r="LJM13" s="222"/>
      <c r="LJN13" s="222"/>
      <c r="LJO13" s="222"/>
      <c r="LJP13" s="222"/>
      <c r="LJQ13" s="222"/>
      <c r="LJR13" s="222"/>
      <c r="LJS13" s="222"/>
      <c r="LJT13" s="222"/>
      <c r="LJU13" s="222"/>
      <c r="LJV13" s="222"/>
      <c r="LJW13" s="222"/>
      <c r="LJX13" s="222"/>
      <c r="LJY13" s="222"/>
      <c r="LJZ13" s="222"/>
      <c r="LKA13" s="222"/>
      <c r="LKB13" s="222"/>
      <c r="LKC13" s="222"/>
      <c r="LKD13" s="222"/>
      <c r="LKE13" s="222"/>
      <c r="LKF13" s="222"/>
      <c r="LKG13" s="222"/>
      <c r="LKH13" s="222"/>
      <c r="LKI13" s="222"/>
      <c r="LKJ13" s="222"/>
      <c r="LKK13" s="222"/>
      <c r="LKL13" s="222"/>
      <c r="LKM13" s="222"/>
      <c r="LKN13" s="222"/>
      <c r="LKO13" s="222"/>
      <c r="LKP13" s="222"/>
      <c r="LKQ13" s="222"/>
      <c r="LKR13" s="222"/>
      <c r="LKS13" s="222"/>
      <c r="LKT13" s="222"/>
      <c r="LKU13" s="222"/>
      <c r="LKV13" s="222"/>
      <c r="LKW13" s="222"/>
      <c r="LKX13" s="222"/>
      <c r="LKY13" s="222"/>
      <c r="LKZ13" s="222"/>
      <c r="LLA13" s="222"/>
      <c r="LLB13" s="222"/>
      <c r="LLC13" s="222"/>
      <c r="LLD13" s="222"/>
      <c r="LLE13" s="222"/>
      <c r="LLF13" s="222"/>
      <c r="LLG13" s="222"/>
      <c r="LLH13" s="222"/>
      <c r="LLI13" s="222"/>
      <c r="LLJ13" s="222"/>
      <c r="LLK13" s="222"/>
      <c r="LLL13" s="222"/>
      <c r="LLM13" s="222"/>
      <c r="LLN13" s="222"/>
      <c r="LLO13" s="222"/>
      <c r="LLP13" s="222"/>
      <c r="LLQ13" s="222"/>
      <c r="LLR13" s="222"/>
      <c r="LLS13" s="222"/>
      <c r="LLT13" s="222"/>
      <c r="LLU13" s="222"/>
      <c r="LLV13" s="222"/>
      <c r="LLW13" s="222"/>
      <c r="LLX13" s="222"/>
      <c r="LLY13" s="222"/>
      <c r="LLZ13" s="222"/>
      <c r="LMA13" s="222"/>
      <c r="LMB13" s="222"/>
      <c r="LMC13" s="222"/>
      <c r="LMD13" s="222"/>
      <c r="LME13" s="222"/>
      <c r="LMF13" s="222"/>
      <c r="LMG13" s="222"/>
      <c r="LMH13" s="222"/>
      <c r="LMI13" s="222"/>
      <c r="LMJ13" s="222"/>
      <c r="LMK13" s="222"/>
      <c r="LML13" s="222"/>
      <c r="LMM13" s="222"/>
      <c r="LMN13" s="222"/>
      <c r="LMO13" s="222"/>
      <c r="LMP13" s="222"/>
      <c r="LMQ13" s="222"/>
      <c r="LMR13" s="222"/>
      <c r="LMS13" s="222"/>
      <c r="LMT13" s="222"/>
      <c r="LMU13" s="222"/>
      <c r="LMV13" s="222"/>
      <c r="LMW13" s="222"/>
      <c r="LMX13" s="222"/>
      <c r="LMY13" s="222"/>
      <c r="LMZ13" s="222"/>
      <c r="LNA13" s="222"/>
      <c r="LNB13" s="222"/>
      <c r="LNC13" s="222"/>
      <c r="LND13" s="222"/>
      <c r="LNE13" s="222"/>
      <c r="LNF13" s="222"/>
      <c r="LNG13" s="222"/>
      <c r="LNH13" s="222"/>
      <c r="LNI13" s="222"/>
      <c r="LNJ13" s="222"/>
      <c r="LNK13" s="222"/>
      <c r="LNL13" s="222"/>
      <c r="LNM13" s="222"/>
      <c r="LNN13" s="222"/>
      <c r="LNO13" s="222"/>
      <c r="LNP13" s="222"/>
      <c r="LNQ13" s="222"/>
      <c r="LNR13" s="222"/>
      <c r="LNS13" s="222"/>
      <c r="LNT13" s="222"/>
      <c r="LNU13" s="222"/>
      <c r="LNV13" s="222"/>
      <c r="LNW13" s="222"/>
      <c r="LNX13" s="222"/>
      <c r="LNY13" s="222"/>
      <c r="LNZ13" s="222"/>
      <c r="LOA13" s="222"/>
      <c r="LOB13" s="222"/>
      <c r="LOC13" s="222"/>
      <c r="LOD13" s="222"/>
      <c r="LOE13" s="222"/>
      <c r="LOF13" s="222"/>
      <c r="LOG13" s="222"/>
      <c r="LOH13" s="222"/>
      <c r="LOI13" s="222"/>
      <c r="LOJ13" s="222"/>
      <c r="LOK13" s="222"/>
      <c r="LOL13" s="222"/>
      <c r="LOM13" s="222"/>
      <c r="LON13" s="222"/>
      <c r="LOO13" s="222"/>
      <c r="LOP13" s="222"/>
      <c r="LOQ13" s="222"/>
      <c r="LOR13" s="222"/>
      <c r="LOS13" s="222"/>
      <c r="LOT13" s="222"/>
      <c r="LOU13" s="222"/>
      <c r="LOV13" s="222"/>
      <c r="LOW13" s="222"/>
      <c r="LOX13" s="222"/>
      <c r="LOY13" s="222"/>
      <c r="LOZ13" s="222"/>
      <c r="LPA13" s="222"/>
      <c r="LPB13" s="222"/>
      <c r="LPC13" s="222"/>
      <c r="LPD13" s="222"/>
      <c r="LPE13" s="222"/>
      <c r="LPF13" s="222"/>
      <c r="LPG13" s="222"/>
      <c r="LPH13" s="222"/>
      <c r="LPI13" s="222"/>
      <c r="LPJ13" s="222"/>
      <c r="LPK13" s="222"/>
      <c r="LPL13" s="222"/>
      <c r="LPM13" s="222"/>
      <c r="LPN13" s="222"/>
      <c r="LPO13" s="222"/>
      <c r="LPP13" s="222"/>
      <c r="LPQ13" s="222"/>
      <c r="LPR13" s="222"/>
      <c r="LPS13" s="222"/>
      <c r="LPT13" s="222"/>
      <c r="LPU13" s="222"/>
      <c r="LPV13" s="222"/>
      <c r="LPW13" s="222"/>
      <c r="LPX13" s="222"/>
      <c r="LPY13" s="222"/>
      <c r="LPZ13" s="222"/>
      <c r="LQA13" s="222"/>
      <c r="LQB13" s="222"/>
      <c r="LQC13" s="222"/>
      <c r="LQD13" s="222"/>
      <c r="LQE13" s="222"/>
      <c r="LQF13" s="222"/>
      <c r="LQG13" s="222"/>
      <c r="LQH13" s="222"/>
      <c r="LQI13" s="222"/>
      <c r="LQJ13" s="222"/>
      <c r="LQK13" s="222"/>
      <c r="LQL13" s="222"/>
      <c r="LQM13" s="222"/>
      <c r="LQN13" s="222"/>
      <c r="LQO13" s="222"/>
      <c r="LQP13" s="222"/>
      <c r="LQQ13" s="222"/>
      <c r="LQR13" s="222"/>
      <c r="LQS13" s="222"/>
      <c r="LQT13" s="222"/>
      <c r="LQU13" s="222"/>
      <c r="LQV13" s="222"/>
      <c r="LQW13" s="222"/>
      <c r="LQX13" s="222"/>
      <c r="LQY13" s="222"/>
      <c r="LQZ13" s="222"/>
      <c r="LRA13" s="222"/>
      <c r="LRB13" s="222"/>
      <c r="LRC13" s="222"/>
      <c r="LRD13" s="222"/>
      <c r="LRE13" s="222"/>
      <c r="LRF13" s="222"/>
      <c r="LRG13" s="222"/>
      <c r="LRH13" s="222"/>
      <c r="LRI13" s="222"/>
      <c r="LRJ13" s="222"/>
      <c r="LRK13" s="222"/>
      <c r="LRL13" s="222"/>
      <c r="LRM13" s="222"/>
      <c r="LRN13" s="222"/>
      <c r="LRO13" s="222"/>
      <c r="LRP13" s="222"/>
      <c r="LRQ13" s="222"/>
      <c r="LRR13" s="222"/>
      <c r="LRS13" s="222"/>
      <c r="LRT13" s="222"/>
      <c r="LRU13" s="222"/>
      <c r="LRV13" s="222"/>
      <c r="LRW13" s="222"/>
      <c r="LRX13" s="222"/>
      <c r="LRY13" s="222"/>
      <c r="LRZ13" s="222"/>
      <c r="LSA13" s="222"/>
      <c r="LSB13" s="222"/>
      <c r="LSC13" s="222"/>
      <c r="LSD13" s="222"/>
      <c r="LSE13" s="222"/>
      <c r="LSF13" s="222"/>
      <c r="LSG13" s="222"/>
      <c r="LSH13" s="222"/>
      <c r="LSI13" s="222"/>
      <c r="LSJ13" s="222"/>
      <c r="LSK13" s="222"/>
      <c r="LSL13" s="222"/>
      <c r="LSM13" s="222"/>
      <c r="LSN13" s="222"/>
      <c r="LSO13" s="222"/>
      <c r="LSP13" s="222"/>
      <c r="LSQ13" s="222"/>
      <c r="LSR13" s="222"/>
      <c r="LSS13" s="222"/>
      <c r="LST13" s="222"/>
      <c r="LSU13" s="222"/>
      <c r="LSV13" s="222"/>
      <c r="LSW13" s="222"/>
      <c r="LSX13" s="222"/>
      <c r="LSY13" s="222"/>
      <c r="LSZ13" s="222"/>
      <c r="LTA13" s="222"/>
      <c r="LTB13" s="222"/>
      <c r="LTC13" s="222"/>
      <c r="LTD13" s="222"/>
      <c r="LTE13" s="222"/>
      <c r="LTF13" s="222"/>
      <c r="LTG13" s="222"/>
      <c r="LTH13" s="222"/>
      <c r="LTI13" s="222"/>
      <c r="LTJ13" s="222"/>
      <c r="LTK13" s="222"/>
      <c r="LTL13" s="222"/>
      <c r="LTM13" s="222"/>
      <c r="LTN13" s="222"/>
      <c r="LTO13" s="222"/>
      <c r="LTP13" s="222"/>
      <c r="LTQ13" s="222"/>
      <c r="LTR13" s="222"/>
      <c r="LTS13" s="222"/>
      <c r="LTT13" s="222"/>
      <c r="LTU13" s="222"/>
      <c r="LTV13" s="222"/>
      <c r="LTW13" s="222"/>
      <c r="LTX13" s="222"/>
      <c r="LTY13" s="222"/>
      <c r="LTZ13" s="222"/>
      <c r="LUA13" s="222"/>
      <c r="LUB13" s="222"/>
      <c r="LUC13" s="222"/>
      <c r="LUD13" s="222"/>
      <c r="LUE13" s="222"/>
      <c r="LUF13" s="222"/>
      <c r="LUG13" s="222"/>
      <c r="LUH13" s="222"/>
      <c r="LUI13" s="222"/>
      <c r="LUJ13" s="222"/>
      <c r="LUK13" s="222"/>
      <c r="LUL13" s="222"/>
      <c r="LUM13" s="222"/>
      <c r="LUN13" s="222"/>
      <c r="LUO13" s="222"/>
      <c r="LUP13" s="222"/>
      <c r="LUQ13" s="222"/>
      <c r="LUR13" s="222"/>
      <c r="LUS13" s="222"/>
      <c r="LUT13" s="222"/>
      <c r="LUU13" s="222"/>
      <c r="LUV13" s="222"/>
      <c r="LUW13" s="222"/>
      <c r="LUX13" s="222"/>
      <c r="LUY13" s="222"/>
      <c r="LUZ13" s="222"/>
      <c r="LVA13" s="222"/>
      <c r="LVB13" s="222"/>
      <c r="LVC13" s="222"/>
      <c r="LVD13" s="222"/>
      <c r="LVE13" s="222"/>
      <c r="LVF13" s="222"/>
      <c r="LVG13" s="222"/>
      <c r="LVH13" s="222"/>
      <c r="LVI13" s="222"/>
      <c r="LVJ13" s="222"/>
      <c r="LVK13" s="222"/>
      <c r="LVL13" s="222"/>
      <c r="LVM13" s="222"/>
      <c r="LVN13" s="222"/>
      <c r="LVO13" s="222"/>
      <c r="LVP13" s="222"/>
      <c r="LVQ13" s="222"/>
      <c r="LVR13" s="222"/>
      <c r="LVS13" s="222"/>
      <c r="LVT13" s="222"/>
      <c r="LVU13" s="222"/>
      <c r="LVV13" s="222"/>
      <c r="LVW13" s="222"/>
      <c r="LVX13" s="222"/>
      <c r="LVY13" s="222"/>
      <c r="LVZ13" s="222"/>
      <c r="LWA13" s="222"/>
      <c r="LWB13" s="222"/>
      <c r="LWC13" s="222"/>
      <c r="LWD13" s="222"/>
      <c r="LWE13" s="222"/>
      <c r="LWF13" s="222"/>
      <c r="LWG13" s="222"/>
      <c r="LWH13" s="222"/>
      <c r="LWI13" s="222"/>
      <c r="LWJ13" s="222"/>
      <c r="LWK13" s="222"/>
      <c r="LWL13" s="222"/>
      <c r="LWM13" s="222"/>
      <c r="LWN13" s="222"/>
      <c r="LWO13" s="222"/>
      <c r="LWP13" s="222"/>
      <c r="LWQ13" s="222"/>
      <c r="LWR13" s="222"/>
      <c r="LWS13" s="222"/>
      <c r="LWT13" s="222"/>
      <c r="LWU13" s="222"/>
      <c r="LWV13" s="222"/>
      <c r="LWW13" s="222"/>
      <c r="LWX13" s="222"/>
      <c r="LWY13" s="222"/>
      <c r="LWZ13" s="222"/>
      <c r="LXA13" s="222"/>
      <c r="LXB13" s="222"/>
      <c r="LXC13" s="222"/>
      <c r="LXD13" s="222"/>
      <c r="LXE13" s="222"/>
      <c r="LXF13" s="222"/>
      <c r="LXG13" s="222"/>
      <c r="LXH13" s="222"/>
      <c r="LXI13" s="222"/>
      <c r="LXJ13" s="222"/>
      <c r="LXK13" s="222"/>
      <c r="LXL13" s="222"/>
      <c r="LXM13" s="222"/>
      <c r="LXN13" s="222"/>
      <c r="LXO13" s="222"/>
      <c r="LXP13" s="222"/>
      <c r="LXQ13" s="222"/>
      <c r="LXR13" s="222"/>
      <c r="LXS13" s="222"/>
      <c r="LXT13" s="222"/>
      <c r="LXU13" s="222"/>
      <c r="LXV13" s="222"/>
      <c r="LXW13" s="222"/>
      <c r="LXX13" s="222"/>
      <c r="LXY13" s="222"/>
      <c r="LXZ13" s="222"/>
      <c r="LYA13" s="222"/>
      <c r="LYB13" s="222"/>
      <c r="LYC13" s="222"/>
      <c r="LYD13" s="222"/>
      <c r="LYE13" s="222"/>
      <c r="LYF13" s="222"/>
      <c r="LYG13" s="222"/>
      <c r="LYH13" s="222"/>
      <c r="LYI13" s="222"/>
      <c r="LYJ13" s="222"/>
      <c r="LYK13" s="222"/>
      <c r="LYL13" s="222"/>
      <c r="LYM13" s="222"/>
      <c r="LYN13" s="222"/>
      <c r="LYO13" s="222"/>
      <c r="LYP13" s="222"/>
      <c r="LYQ13" s="222"/>
      <c r="LYR13" s="222"/>
      <c r="LYS13" s="222"/>
      <c r="LYT13" s="222"/>
      <c r="LYU13" s="222"/>
      <c r="LYV13" s="222"/>
      <c r="LYW13" s="222"/>
      <c r="LYX13" s="222"/>
      <c r="LYY13" s="222"/>
      <c r="LYZ13" s="222"/>
      <c r="LZA13" s="222"/>
      <c r="LZB13" s="222"/>
      <c r="LZC13" s="222"/>
      <c r="LZD13" s="222"/>
      <c r="LZE13" s="222"/>
      <c r="LZF13" s="222"/>
      <c r="LZG13" s="222"/>
      <c r="LZH13" s="222"/>
      <c r="LZI13" s="222"/>
      <c r="LZJ13" s="222"/>
      <c r="LZK13" s="222"/>
      <c r="LZL13" s="222"/>
      <c r="LZM13" s="222"/>
      <c r="LZN13" s="222"/>
      <c r="LZO13" s="222"/>
      <c r="LZP13" s="222"/>
      <c r="LZQ13" s="222"/>
      <c r="LZR13" s="222"/>
      <c r="LZS13" s="222"/>
      <c r="LZT13" s="222"/>
      <c r="LZU13" s="222"/>
      <c r="LZV13" s="222"/>
      <c r="LZW13" s="222"/>
      <c r="LZX13" s="222"/>
      <c r="LZY13" s="222"/>
      <c r="LZZ13" s="222"/>
      <c r="MAA13" s="222"/>
      <c r="MAB13" s="222"/>
      <c r="MAC13" s="222"/>
      <c r="MAD13" s="222"/>
      <c r="MAE13" s="222"/>
      <c r="MAF13" s="222"/>
      <c r="MAG13" s="222"/>
      <c r="MAH13" s="222"/>
      <c r="MAI13" s="222"/>
      <c r="MAJ13" s="222"/>
      <c r="MAK13" s="222"/>
      <c r="MAL13" s="222"/>
      <c r="MAM13" s="222"/>
      <c r="MAN13" s="222"/>
      <c r="MAO13" s="222"/>
      <c r="MAP13" s="222"/>
      <c r="MAQ13" s="222"/>
      <c r="MAR13" s="222"/>
      <c r="MAS13" s="222"/>
      <c r="MAT13" s="222"/>
      <c r="MAU13" s="222"/>
      <c r="MAV13" s="222"/>
      <c r="MAW13" s="222"/>
      <c r="MAX13" s="222"/>
      <c r="MAY13" s="222"/>
      <c r="MAZ13" s="222"/>
      <c r="MBA13" s="222"/>
      <c r="MBB13" s="222"/>
      <c r="MBC13" s="222"/>
      <c r="MBD13" s="222"/>
      <c r="MBE13" s="222"/>
      <c r="MBF13" s="222"/>
      <c r="MBG13" s="222"/>
      <c r="MBH13" s="222"/>
      <c r="MBI13" s="222"/>
      <c r="MBJ13" s="222"/>
      <c r="MBK13" s="222"/>
      <c r="MBL13" s="222"/>
      <c r="MBM13" s="222"/>
      <c r="MBN13" s="222"/>
      <c r="MBO13" s="222"/>
      <c r="MBP13" s="222"/>
      <c r="MBQ13" s="222"/>
      <c r="MBR13" s="222"/>
      <c r="MBS13" s="222"/>
      <c r="MBT13" s="222"/>
      <c r="MBU13" s="222"/>
      <c r="MBV13" s="222"/>
      <c r="MBW13" s="222"/>
      <c r="MBX13" s="222"/>
      <c r="MBY13" s="222"/>
      <c r="MBZ13" s="222"/>
      <c r="MCA13" s="222"/>
      <c r="MCB13" s="222"/>
      <c r="MCC13" s="222"/>
      <c r="MCD13" s="222"/>
      <c r="MCE13" s="222"/>
      <c r="MCF13" s="222"/>
      <c r="MCG13" s="222"/>
      <c r="MCH13" s="222"/>
      <c r="MCI13" s="222"/>
      <c r="MCJ13" s="222"/>
      <c r="MCK13" s="222"/>
      <c r="MCL13" s="222"/>
      <c r="MCM13" s="222"/>
      <c r="MCN13" s="222"/>
      <c r="MCO13" s="222"/>
      <c r="MCP13" s="222"/>
      <c r="MCQ13" s="222"/>
      <c r="MCR13" s="222"/>
      <c r="MCS13" s="222"/>
      <c r="MCT13" s="222"/>
      <c r="MCU13" s="222"/>
      <c r="MCV13" s="222"/>
      <c r="MCW13" s="222"/>
      <c r="MCX13" s="222"/>
      <c r="MCY13" s="222"/>
      <c r="MCZ13" s="222"/>
      <c r="MDA13" s="222"/>
      <c r="MDB13" s="222"/>
      <c r="MDC13" s="222"/>
      <c r="MDD13" s="222"/>
      <c r="MDE13" s="222"/>
      <c r="MDF13" s="222"/>
      <c r="MDG13" s="222"/>
      <c r="MDH13" s="222"/>
      <c r="MDI13" s="222"/>
      <c r="MDJ13" s="222"/>
      <c r="MDK13" s="222"/>
      <c r="MDL13" s="222"/>
      <c r="MDM13" s="222"/>
      <c r="MDN13" s="222"/>
      <c r="MDO13" s="222"/>
      <c r="MDP13" s="222"/>
      <c r="MDQ13" s="222"/>
      <c r="MDR13" s="222"/>
      <c r="MDS13" s="222"/>
      <c r="MDT13" s="222"/>
      <c r="MDU13" s="222"/>
      <c r="MDV13" s="222"/>
      <c r="MDW13" s="222"/>
      <c r="MDX13" s="222"/>
      <c r="MDY13" s="222"/>
      <c r="MDZ13" s="222"/>
      <c r="MEA13" s="222"/>
      <c r="MEB13" s="222"/>
      <c r="MEC13" s="222"/>
      <c r="MED13" s="222"/>
      <c r="MEE13" s="222"/>
      <c r="MEF13" s="222"/>
      <c r="MEG13" s="222"/>
      <c r="MEH13" s="222"/>
      <c r="MEI13" s="222"/>
      <c r="MEJ13" s="222"/>
      <c r="MEK13" s="222"/>
      <c r="MEL13" s="222"/>
      <c r="MEM13" s="222"/>
      <c r="MEN13" s="222"/>
      <c r="MEO13" s="222"/>
      <c r="MEP13" s="222"/>
      <c r="MEQ13" s="222"/>
      <c r="MER13" s="222"/>
      <c r="MES13" s="222"/>
      <c r="MET13" s="222"/>
      <c r="MEU13" s="222"/>
      <c r="MEV13" s="222"/>
      <c r="MEW13" s="222"/>
      <c r="MEX13" s="222"/>
      <c r="MEY13" s="222"/>
      <c r="MEZ13" s="222"/>
      <c r="MFA13" s="222"/>
      <c r="MFB13" s="222"/>
      <c r="MFC13" s="222"/>
      <c r="MFD13" s="222"/>
      <c r="MFE13" s="222"/>
      <c r="MFF13" s="222"/>
      <c r="MFG13" s="222"/>
      <c r="MFH13" s="222"/>
      <c r="MFI13" s="222"/>
      <c r="MFJ13" s="222"/>
      <c r="MFK13" s="222"/>
      <c r="MFL13" s="222"/>
      <c r="MFM13" s="222"/>
      <c r="MFN13" s="222"/>
      <c r="MFO13" s="222"/>
      <c r="MFP13" s="222"/>
      <c r="MFQ13" s="222"/>
      <c r="MFR13" s="222"/>
      <c r="MFS13" s="222"/>
      <c r="MFT13" s="222"/>
      <c r="MFU13" s="222"/>
      <c r="MFV13" s="222"/>
      <c r="MFW13" s="222"/>
      <c r="MFX13" s="222"/>
      <c r="MFY13" s="222"/>
      <c r="MFZ13" s="222"/>
      <c r="MGA13" s="222"/>
      <c r="MGB13" s="222"/>
      <c r="MGC13" s="222"/>
      <c r="MGD13" s="222"/>
      <c r="MGE13" s="222"/>
      <c r="MGF13" s="222"/>
      <c r="MGG13" s="222"/>
      <c r="MGH13" s="222"/>
      <c r="MGI13" s="222"/>
      <c r="MGJ13" s="222"/>
      <c r="MGK13" s="222"/>
      <c r="MGL13" s="222"/>
      <c r="MGM13" s="222"/>
      <c r="MGN13" s="222"/>
      <c r="MGO13" s="222"/>
      <c r="MGP13" s="222"/>
      <c r="MGQ13" s="222"/>
      <c r="MGR13" s="222"/>
      <c r="MGS13" s="222"/>
      <c r="MGT13" s="222"/>
      <c r="MGU13" s="222"/>
      <c r="MGV13" s="222"/>
      <c r="MGW13" s="222"/>
      <c r="MGX13" s="222"/>
      <c r="MGY13" s="222"/>
      <c r="MGZ13" s="222"/>
      <c r="MHA13" s="222"/>
      <c r="MHB13" s="222"/>
      <c r="MHC13" s="222"/>
      <c r="MHD13" s="222"/>
      <c r="MHE13" s="222"/>
      <c r="MHF13" s="222"/>
      <c r="MHG13" s="222"/>
      <c r="MHH13" s="222"/>
      <c r="MHI13" s="222"/>
      <c r="MHJ13" s="222"/>
      <c r="MHK13" s="222"/>
      <c r="MHL13" s="222"/>
      <c r="MHM13" s="222"/>
      <c r="MHN13" s="222"/>
      <c r="MHO13" s="222"/>
      <c r="MHP13" s="222"/>
      <c r="MHQ13" s="222"/>
      <c r="MHR13" s="222"/>
      <c r="MHS13" s="222"/>
      <c r="MHT13" s="222"/>
      <c r="MHU13" s="222"/>
      <c r="MHV13" s="222"/>
      <c r="MHW13" s="222"/>
      <c r="MHX13" s="222"/>
      <c r="MHY13" s="222"/>
      <c r="MHZ13" s="222"/>
      <c r="MIA13" s="222"/>
      <c r="MIB13" s="222"/>
      <c r="MIC13" s="222"/>
      <c r="MID13" s="222"/>
      <c r="MIE13" s="222"/>
      <c r="MIF13" s="222"/>
      <c r="MIG13" s="222"/>
      <c r="MIH13" s="222"/>
      <c r="MII13" s="222"/>
      <c r="MIJ13" s="222"/>
      <c r="MIK13" s="222"/>
      <c r="MIL13" s="222"/>
      <c r="MIM13" s="222"/>
      <c r="MIN13" s="222"/>
      <c r="MIO13" s="222"/>
      <c r="MIP13" s="222"/>
      <c r="MIQ13" s="222"/>
      <c r="MIR13" s="222"/>
      <c r="MIS13" s="222"/>
      <c r="MIT13" s="222"/>
      <c r="MIU13" s="222"/>
      <c r="MIV13" s="222"/>
      <c r="MIW13" s="222"/>
      <c r="MIX13" s="222"/>
      <c r="MIY13" s="222"/>
      <c r="MIZ13" s="222"/>
      <c r="MJA13" s="222"/>
      <c r="MJB13" s="222"/>
      <c r="MJC13" s="222"/>
      <c r="MJD13" s="222"/>
      <c r="MJE13" s="222"/>
      <c r="MJF13" s="222"/>
      <c r="MJG13" s="222"/>
      <c r="MJH13" s="222"/>
      <c r="MJI13" s="222"/>
      <c r="MJJ13" s="222"/>
      <c r="MJK13" s="222"/>
      <c r="MJL13" s="222"/>
      <c r="MJM13" s="222"/>
      <c r="MJN13" s="222"/>
      <c r="MJO13" s="222"/>
      <c r="MJP13" s="222"/>
      <c r="MJQ13" s="222"/>
      <c r="MJR13" s="222"/>
      <c r="MJS13" s="222"/>
      <c r="MJT13" s="222"/>
      <c r="MJU13" s="222"/>
      <c r="MJV13" s="222"/>
      <c r="MJW13" s="222"/>
      <c r="MJX13" s="222"/>
      <c r="MJY13" s="222"/>
      <c r="MJZ13" s="222"/>
      <c r="MKA13" s="222"/>
      <c r="MKB13" s="222"/>
      <c r="MKC13" s="222"/>
      <c r="MKD13" s="222"/>
      <c r="MKE13" s="222"/>
      <c r="MKF13" s="222"/>
      <c r="MKG13" s="222"/>
      <c r="MKH13" s="222"/>
      <c r="MKI13" s="222"/>
      <c r="MKJ13" s="222"/>
      <c r="MKK13" s="222"/>
      <c r="MKL13" s="222"/>
      <c r="MKM13" s="222"/>
      <c r="MKN13" s="222"/>
      <c r="MKO13" s="222"/>
      <c r="MKP13" s="222"/>
      <c r="MKQ13" s="222"/>
      <c r="MKR13" s="222"/>
      <c r="MKS13" s="222"/>
      <c r="MKT13" s="222"/>
      <c r="MKU13" s="222"/>
      <c r="MKV13" s="222"/>
      <c r="MKW13" s="222"/>
      <c r="MKX13" s="222"/>
      <c r="MKY13" s="222"/>
      <c r="MKZ13" s="222"/>
      <c r="MLA13" s="222"/>
      <c r="MLB13" s="222"/>
      <c r="MLC13" s="222"/>
      <c r="MLD13" s="222"/>
      <c r="MLE13" s="222"/>
      <c r="MLF13" s="222"/>
      <c r="MLG13" s="222"/>
      <c r="MLH13" s="222"/>
      <c r="MLI13" s="222"/>
      <c r="MLJ13" s="222"/>
      <c r="MLK13" s="222"/>
      <c r="MLL13" s="222"/>
      <c r="MLM13" s="222"/>
      <c r="MLN13" s="222"/>
      <c r="MLO13" s="222"/>
      <c r="MLP13" s="222"/>
      <c r="MLQ13" s="222"/>
      <c r="MLR13" s="222"/>
      <c r="MLS13" s="222"/>
      <c r="MLT13" s="222"/>
      <c r="MLU13" s="222"/>
      <c r="MLV13" s="222"/>
      <c r="MLW13" s="222"/>
      <c r="MLX13" s="222"/>
      <c r="MLY13" s="222"/>
      <c r="MLZ13" s="222"/>
      <c r="MMA13" s="222"/>
      <c r="MMB13" s="222"/>
      <c r="MMC13" s="222"/>
      <c r="MMD13" s="222"/>
      <c r="MME13" s="222"/>
      <c r="MMF13" s="222"/>
      <c r="MMG13" s="222"/>
      <c r="MMH13" s="222"/>
      <c r="MMI13" s="222"/>
      <c r="MMJ13" s="222"/>
      <c r="MMK13" s="222"/>
      <c r="MML13" s="222"/>
      <c r="MMM13" s="222"/>
      <c r="MMN13" s="222"/>
      <c r="MMO13" s="222"/>
      <c r="MMP13" s="222"/>
      <c r="MMQ13" s="222"/>
      <c r="MMR13" s="222"/>
      <c r="MMS13" s="222"/>
      <c r="MMT13" s="222"/>
      <c r="MMU13" s="222"/>
      <c r="MMV13" s="222"/>
      <c r="MMW13" s="222"/>
      <c r="MMX13" s="222"/>
      <c r="MMY13" s="222"/>
      <c r="MMZ13" s="222"/>
      <c r="MNA13" s="222"/>
      <c r="MNB13" s="222"/>
      <c r="MNC13" s="222"/>
      <c r="MND13" s="222"/>
      <c r="MNE13" s="222"/>
      <c r="MNF13" s="222"/>
      <c r="MNG13" s="222"/>
      <c r="MNH13" s="222"/>
      <c r="MNI13" s="222"/>
      <c r="MNJ13" s="222"/>
      <c r="MNK13" s="222"/>
      <c r="MNL13" s="222"/>
      <c r="MNM13" s="222"/>
      <c r="MNN13" s="222"/>
      <c r="MNO13" s="222"/>
      <c r="MNP13" s="222"/>
      <c r="MNQ13" s="222"/>
      <c r="MNR13" s="222"/>
      <c r="MNS13" s="222"/>
      <c r="MNT13" s="222"/>
      <c r="MNU13" s="222"/>
      <c r="MNV13" s="222"/>
      <c r="MNW13" s="222"/>
      <c r="MNX13" s="222"/>
      <c r="MNY13" s="222"/>
      <c r="MNZ13" s="222"/>
      <c r="MOA13" s="222"/>
      <c r="MOB13" s="222"/>
      <c r="MOC13" s="222"/>
      <c r="MOD13" s="222"/>
      <c r="MOE13" s="222"/>
      <c r="MOF13" s="222"/>
      <c r="MOG13" s="222"/>
      <c r="MOH13" s="222"/>
      <c r="MOI13" s="222"/>
      <c r="MOJ13" s="222"/>
      <c r="MOK13" s="222"/>
      <c r="MOL13" s="222"/>
      <c r="MOM13" s="222"/>
      <c r="MON13" s="222"/>
      <c r="MOO13" s="222"/>
      <c r="MOP13" s="222"/>
      <c r="MOQ13" s="222"/>
      <c r="MOR13" s="222"/>
      <c r="MOS13" s="222"/>
      <c r="MOT13" s="222"/>
      <c r="MOU13" s="222"/>
      <c r="MOV13" s="222"/>
      <c r="MOW13" s="222"/>
      <c r="MOX13" s="222"/>
      <c r="MOY13" s="222"/>
      <c r="MOZ13" s="222"/>
      <c r="MPA13" s="222"/>
      <c r="MPB13" s="222"/>
      <c r="MPC13" s="222"/>
      <c r="MPD13" s="222"/>
      <c r="MPE13" s="222"/>
      <c r="MPF13" s="222"/>
      <c r="MPG13" s="222"/>
      <c r="MPH13" s="222"/>
      <c r="MPI13" s="222"/>
      <c r="MPJ13" s="222"/>
      <c r="MPK13" s="222"/>
      <c r="MPL13" s="222"/>
      <c r="MPM13" s="222"/>
      <c r="MPN13" s="222"/>
      <c r="MPO13" s="222"/>
      <c r="MPP13" s="222"/>
      <c r="MPQ13" s="222"/>
      <c r="MPR13" s="222"/>
      <c r="MPS13" s="222"/>
      <c r="MPT13" s="222"/>
      <c r="MPU13" s="222"/>
      <c r="MPV13" s="222"/>
      <c r="MPW13" s="222"/>
      <c r="MPX13" s="222"/>
      <c r="MPY13" s="222"/>
      <c r="MPZ13" s="222"/>
      <c r="MQA13" s="222"/>
      <c r="MQB13" s="222"/>
      <c r="MQC13" s="222"/>
      <c r="MQD13" s="222"/>
      <c r="MQE13" s="222"/>
      <c r="MQF13" s="222"/>
      <c r="MQG13" s="222"/>
      <c r="MQH13" s="222"/>
      <c r="MQI13" s="222"/>
      <c r="MQJ13" s="222"/>
      <c r="MQK13" s="222"/>
      <c r="MQL13" s="222"/>
      <c r="MQM13" s="222"/>
      <c r="MQN13" s="222"/>
      <c r="MQO13" s="222"/>
      <c r="MQP13" s="222"/>
      <c r="MQQ13" s="222"/>
      <c r="MQR13" s="222"/>
      <c r="MQS13" s="222"/>
      <c r="MQT13" s="222"/>
      <c r="MQU13" s="222"/>
      <c r="MQV13" s="222"/>
      <c r="MQW13" s="222"/>
      <c r="MQX13" s="222"/>
      <c r="MQY13" s="222"/>
      <c r="MQZ13" s="222"/>
      <c r="MRA13" s="222"/>
      <c r="MRB13" s="222"/>
      <c r="MRC13" s="222"/>
      <c r="MRD13" s="222"/>
      <c r="MRE13" s="222"/>
      <c r="MRF13" s="222"/>
      <c r="MRG13" s="222"/>
      <c r="MRH13" s="222"/>
      <c r="MRI13" s="222"/>
      <c r="MRJ13" s="222"/>
      <c r="MRK13" s="222"/>
      <c r="MRL13" s="222"/>
      <c r="MRM13" s="222"/>
      <c r="MRN13" s="222"/>
      <c r="MRO13" s="222"/>
      <c r="MRP13" s="222"/>
      <c r="MRQ13" s="222"/>
      <c r="MRR13" s="222"/>
      <c r="MRS13" s="222"/>
      <c r="MRT13" s="222"/>
      <c r="MRU13" s="222"/>
      <c r="MRV13" s="222"/>
      <c r="MRW13" s="222"/>
      <c r="MRX13" s="222"/>
      <c r="MRY13" s="222"/>
      <c r="MRZ13" s="222"/>
      <c r="MSA13" s="222"/>
      <c r="MSB13" s="222"/>
      <c r="MSC13" s="222"/>
      <c r="MSD13" s="222"/>
      <c r="MSE13" s="222"/>
      <c r="MSF13" s="222"/>
      <c r="MSG13" s="222"/>
      <c r="MSH13" s="222"/>
      <c r="MSI13" s="222"/>
      <c r="MSJ13" s="222"/>
      <c r="MSK13" s="222"/>
      <c r="MSL13" s="222"/>
      <c r="MSM13" s="222"/>
      <c r="MSN13" s="222"/>
      <c r="MSO13" s="222"/>
      <c r="MSP13" s="222"/>
      <c r="MSQ13" s="222"/>
      <c r="MSR13" s="222"/>
      <c r="MSS13" s="222"/>
      <c r="MST13" s="222"/>
      <c r="MSU13" s="222"/>
      <c r="MSV13" s="222"/>
      <c r="MSW13" s="222"/>
      <c r="MSX13" s="222"/>
      <c r="MSY13" s="222"/>
      <c r="MSZ13" s="222"/>
      <c r="MTA13" s="222"/>
      <c r="MTB13" s="222"/>
      <c r="MTC13" s="222"/>
      <c r="MTD13" s="222"/>
      <c r="MTE13" s="222"/>
      <c r="MTF13" s="222"/>
      <c r="MTG13" s="222"/>
      <c r="MTH13" s="222"/>
      <c r="MTI13" s="222"/>
      <c r="MTJ13" s="222"/>
      <c r="MTK13" s="222"/>
      <c r="MTL13" s="222"/>
      <c r="MTM13" s="222"/>
      <c r="MTN13" s="222"/>
      <c r="MTO13" s="222"/>
      <c r="MTP13" s="222"/>
      <c r="MTQ13" s="222"/>
      <c r="MTR13" s="222"/>
      <c r="MTS13" s="222"/>
      <c r="MTT13" s="222"/>
      <c r="MTU13" s="222"/>
      <c r="MTV13" s="222"/>
      <c r="MTW13" s="222"/>
      <c r="MTX13" s="222"/>
      <c r="MTY13" s="222"/>
      <c r="MTZ13" s="222"/>
      <c r="MUA13" s="222"/>
      <c r="MUB13" s="222"/>
      <c r="MUC13" s="222"/>
      <c r="MUD13" s="222"/>
      <c r="MUE13" s="222"/>
      <c r="MUF13" s="222"/>
      <c r="MUG13" s="222"/>
      <c r="MUH13" s="222"/>
      <c r="MUI13" s="222"/>
      <c r="MUJ13" s="222"/>
      <c r="MUK13" s="222"/>
      <c r="MUL13" s="222"/>
      <c r="MUM13" s="222"/>
      <c r="MUN13" s="222"/>
      <c r="MUO13" s="222"/>
      <c r="MUP13" s="222"/>
      <c r="MUQ13" s="222"/>
      <c r="MUR13" s="222"/>
      <c r="MUS13" s="222"/>
      <c r="MUT13" s="222"/>
      <c r="MUU13" s="222"/>
      <c r="MUV13" s="222"/>
      <c r="MUW13" s="222"/>
      <c r="MUX13" s="222"/>
      <c r="MUY13" s="222"/>
      <c r="MUZ13" s="222"/>
      <c r="MVA13" s="222"/>
      <c r="MVB13" s="222"/>
      <c r="MVC13" s="222"/>
      <c r="MVD13" s="222"/>
      <c r="MVE13" s="222"/>
      <c r="MVF13" s="222"/>
      <c r="MVG13" s="222"/>
      <c r="MVH13" s="222"/>
      <c r="MVI13" s="222"/>
      <c r="MVJ13" s="222"/>
      <c r="MVK13" s="222"/>
      <c r="MVL13" s="222"/>
      <c r="MVM13" s="222"/>
      <c r="MVN13" s="222"/>
      <c r="MVO13" s="222"/>
      <c r="MVP13" s="222"/>
      <c r="MVQ13" s="222"/>
      <c r="MVR13" s="222"/>
      <c r="MVS13" s="222"/>
      <c r="MVT13" s="222"/>
      <c r="MVU13" s="222"/>
      <c r="MVV13" s="222"/>
      <c r="MVW13" s="222"/>
      <c r="MVX13" s="222"/>
      <c r="MVY13" s="222"/>
      <c r="MVZ13" s="222"/>
      <c r="MWA13" s="222"/>
      <c r="MWB13" s="222"/>
      <c r="MWC13" s="222"/>
      <c r="MWD13" s="222"/>
      <c r="MWE13" s="222"/>
      <c r="MWF13" s="222"/>
      <c r="MWG13" s="222"/>
      <c r="MWH13" s="222"/>
      <c r="MWI13" s="222"/>
      <c r="MWJ13" s="222"/>
      <c r="MWK13" s="222"/>
      <c r="MWL13" s="222"/>
      <c r="MWM13" s="222"/>
      <c r="MWN13" s="222"/>
      <c r="MWO13" s="222"/>
      <c r="MWP13" s="222"/>
      <c r="MWQ13" s="222"/>
      <c r="MWR13" s="222"/>
      <c r="MWS13" s="222"/>
      <c r="MWT13" s="222"/>
      <c r="MWU13" s="222"/>
      <c r="MWV13" s="222"/>
      <c r="MWW13" s="222"/>
      <c r="MWX13" s="222"/>
      <c r="MWY13" s="222"/>
      <c r="MWZ13" s="222"/>
      <c r="MXA13" s="222"/>
      <c r="MXB13" s="222"/>
      <c r="MXC13" s="222"/>
      <c r="MXD13" s="222"/>
      <c r="MXE13" s="222"/>
      <c r="MXF13" s="222"/>
      <c r="MXG13" s="222"/>
      <c r="MXH13" s="222"/>
      <c r="MXI13" s="222"/>
      <c r="MXJ13" s="222"/>
      <c r="MXK13" s="222"/>
      <c r="MXL13" s="222"/>
      <c r="MXM13" s="222"/>
      <c r="MXN13" s="222"/>
      <c r="MXO13" s="222"/>
      <c r="MXP13" s="222"/>
      <c r="MXQ13" s="222"/>
      <c r="MXR13" s="222"/>
      <c r="MXS13" s="222"/>
      <c r="MXT13" s="222"/>
      <c r="MXU13" s="222"/>
      <c r="MXV13" s="222"/>
      <c r="MXW13" s="222"/>
      <c r="MXX13" s="222"/>
      <c r="MXY13" s="222"/>
      <c r="MXZ13" s="222"/>
      <c r="MYA13" s="222"/>
      <c r="MYB13" s="222"/>
      <c r="MYC13" s="222"/>
      <c r="MYD13" s="222"/>
      <c r="MYE13" s="222"/>
      <c r="MYF13" s="222"/>
      <c r="MYG13" s="222"/>
      <c r="MYH13" s="222"/>
      <c r="MYI13" s="222"/>
      <c r="MYJ13" s="222"/>
      <c r="MYK13" s="222"/>
      <c r="MYL13" s="222"/>
      <c r="MYM13" s="222"/>
      <c r="MYN13" s="222"/>
      <c r="MYO13" s="222"/>
      <c r="MYP13" s="222"/>
      <c r="MYQ13" s="222"/>
      <c r="MYR13" s="222"/>
      <c r="MYS13" s="222"/>
      <c r="MYT13" s="222"/>
      <c r="MYU13" s="222"/>
      <c r="MYV13" s="222"/>
      <c r="MYW13" s="222"/>
      <c r="MYX13" s="222"/>
      <c r="MYY13" s="222"/>
      <c r="MYZ13" s="222"/>
      <c r="MZA13" s="222"/>
      <c r="MZB13" s="222"/>
      <c r="MZC13" s="222"/>
      <c r="MZD13" s="222"/>
      <c r="MZE13" s="222"/>
      <c r="MZF13" s="222"/>
      <c r="MZG13" s="222"/>
      <c r="MZH13" s="222"/>
      <c r="MZI13" s="222"/>
      <c r="MZJ13" s="222"/>
      <c r="MZK13" s="222"/>
      <c r="MZL13" s="222"/>
      <c r="MZM13" s="222"/>
      <c r="MZN13" s="222"/>
      <c r="MZO13" s="222"/>
      <c r="MZP13" s="222"/>
      <c r="MZQ13" s="222"/>
      <c r="MZR13" s="222"/>
      <c r="MZS13" s="222"/>
      <c r="MZT13" s="222"/>
      <c r="MZU13" s="222"/>
      <c r="MZV13" s="222"/>
      <c r="MZW13" s="222"/>
      <c r="MZX13" s="222"/>
      <c r="MZY13" s="222"/>
      <c r="MZZ13" s="222"/>
      <c r="NAA13" s="222"/>
      <c r="NAB13" s="222"/>
      <c r="NAC13" s="222"/>
      <c r="NAD13" s="222"/>
      <c r="NAE13" s="222"/>
      <c r="NAF13" s="222"/>
      <c r="NAG13" s="222"/>
      <c r="NAH13" s="222"/>
      <c r="NAI13" s="222"/>
      <c r="NAJ13" s="222"/>
      <c r="NAK13" s="222"/>
      <c r="NAL13" s="222"/>
      <c r="NAM13" s="222"/>
      <c r="NAN13" s="222"/>
      <c r="NAO13" s="222"/>
      <c r="NAP13" s="222"/>
      <c r="NAQ13" s="222"/>
      <c r="NAR13" s="222"/>
      <c r="NAS13" s="222"/>
      <c r="NAT13" s="222"/>
      <c r="NAU13" s="222"/>
      <c r="NAV13" s="222"/>
      <c r="NAW13" s="222"/>
      <c r="NAX13" s="222"/>
      <c r="NAY13" s="222"/>
      <c r="NAZ13" s="222"/>
      <c r="NBA13" s="222"/>
      <c r="NBB13" s="222"/>
      <c r="NBC13" s="222"/>
      <c r="NBD13" s="222"/>
      <c r="NBE13" s="222"/>
      <c r="NBF13" s="222"/>
      <c r="NBG13" s="222"/>
      <c r="NBH13" s="222"/>
      <c r="NBI13" s="222"/>
      <c r="NBJ13" s="222"/>
      <c r="NBK13" s="222"/>
      <c r="NBL13" s="222"/>
      <c r="NBM13" s="222"/>
      <c r="NBN13" s="222"/>
      <c r="NBO13" s="222"/>
      <c r="NBP13" s="222"/>
      <c r="NBQ13" s="222"/>
      <c r="NBR13" s="222"/>
      <c r="NBS13" s="222"/>
      <c r="NBT13" s="222"/>
      <c r="NBU13" s="222"/>
      <c r="NBV13" s="222"/>
      <c r="NBW13" s="222"/>
      <c r="NBX13" s="222"/>
      <c r="NBY13" s="222"/>
      <c r="NBZ13" s="222"/>
      <c r="NCA13" s="222"/>
      <c r="NCB13" s="222"/>
      <c r="NCC13" s="222"/>
      <c r="NCD13" s="222"/>
      <c r="NCE13" s="222"/>
      <c r="NCF13" s="222"/>
      <c r="NCG13" s="222"/>
      <c r="NCH13" s="222"/>
      <c r="NCI13" s="222"/>
      <c r="NCJ13" s="222"/>
      <c r="NCK13" s="222"/>
      <c r="NCL13" s="222"/>
      <c r="NCM13" s="222"/>
      <c r="NCN13" s="222"/>
      <c r="NCO13" s="222"/>
      <c r="NCP13" s="222"/>
      <c r="NCQ13" s="222"/>
      <c r="NCR13" s="222"/>
      <c r="NCS13" s="222"/>
      <c r="NCT13" s="222"/>
      <c r="NCU13" s="222"/>
      <c r="NCV13" s="222"/>
      <c r="NCW13" s="222"/>
      <c r="NCX13" s="222"/>
      <c r="NCY13" s="222"/>
      <c r="NCZ13" s="222"/>
      <c r="NDA13" s="222"/>
      <c r="NDB13" s="222"/>
      <c r="NDC13" s="222"/>
      <c r="NDD13" s="222"/>
      <c r="NDE13" s="222"/>
      <c r="NDF13" s="222"/>
      <c r="NDG13" s="222"/>
      <c r="NDH13" s="222"/>
      <c r="NDI13" s="222"/>
      <c r="NDJ13" s="222"/>
      <c r="NDK13" s="222"/>
      <c r="NDL13" s="222"/>
      <c r="NDM13" s="222"/>
      <c r="NDN13" s="222"/>
      <c r="NDO13" s="222"/>
      <c r="NDP13" s="222"/>
      <c r="NDQ13" s="222"/>
      <c r="NDR13" s="222"/>
      <c r="NDS13" s="222"/>
      <c r="NDT13" s="222"/>
      <c r="NDU13" s="222"/>
      <c r="NDV13" s="222"/>
      <c r="NDW13" s="222"/>
      <c r="NDX13" s="222"/>
      <c r="NDY13" s="222"/>
      <c r="NDZ13" s="222"/>
      <c r="NEA13" s="222"/>
      <c r="NEB13" s="222"/>
      <c r="NEC13" s="222"/>
      <c r="NED13" s="222"/>
      <c r="NEE13" s="222"/>
      <c r="NEF13" s="222"/>
      <c r="NEG13" s="222"/>
      <c r="NEH13" s="222"/>
      <c r="NEI13" s="222"/>
      <c r="NEJ13" s="222"/>
      <c r="NEK13" s="222"/>
      <c r="NEL13" s="222"/>
      <c r="NEM13" s="222"/>
      <c r="NEN13" s="222"/>
      <c r="NEO13" s="222"/>
      <c r="NEP13" s="222"/>
      <c r="NEQ13" s="222"/>
      <c r="NER13" s="222"/>
      <c r="NES13" s="222"/>
      <c r="NET13" s="222"/>
      <c r="NEU13" s="222"/>
      <c r="NEV13" s="222"/>
      <c r="NEW13" s="222"/>
      <c r="NEX13" s="222"/>
      <c r="NEY13" s="222"/>
      <c r="NEZ13" s="222"/>
      <c r="NFA13" s="222"/>
      <c r="NFB13" s="222"/>
      <c r="NFC13" s="222"/>
      <c r="NFD13" s="222"/>
      <c r="NFE13" s="222"/>
      <c r="NFF13" s="222"/>
      <c r="NFG13" s="222"/>
      <c r="NFH13" s="222"/>
      <c r="NFI13" s="222"/>
      <c r="NFJ13" s="222"/>
      <c r="NFK13" s="222"/>
      <c r="NFL13" s="222"/>
      <c r="NFM13" s="222"/>
      <c r="NFN13" s="222"/>
      <c r="NFO13" s="222"/>
      <c r="NFP13" s="222"/>
      <c r="NFQ13" s="222"/>
      <c r="NFR13" s="222"/>
      <c r="NFS13" s="222"/>
      <c r="NFT13" s="222"/>
      <c r="NFU13" s="222"/>
      <c r="NFV13" s="222"/>
      <c r="NFW13" s="222"/>
      <c r="NFX13" s="222"/>
      <c r="NFY13" s="222"/>
      <c r="NFZ13" s="222"/>
      <c r="NGA13" s="222"/>
      <c r="NGB13" s="222"/>
      <c r="NGC13" s="222"/>
      <c r="NGD13" s="222"/>
      <c r="NGE13" s="222"/>
      <c r="NGF13" s="222"/>
      <c r="NGG13" s="222"/>
      <c r="NGH13" s="222"/>
      <c r="NGI13" s="222"/>
      <c r="NGJ13" s="222"/>
      <c r="NGK13" s="222"/>
      <c r="NGL13" s="222"/>
      <c r="NGM13" s="222"/>
      <c r="NGN13" s="222"/>
      <c r="NGO13" s="222"/>
      <c r="NGP13" s="222"/>
      <c r="NGQ13" s="222"/>
      <c r="NGR13" s="222"/>
      <c r="NGS13" s="222"/>
      <c r="NGT13" s="222"/>
      <c r="NGU13" s="222"/>
      <c r="NGV13" s="222"/>
      <c r="NGW13" s="222"/>
      <c r="NGX13" s="222"/>
      <c r="NGY13" s="222"/>
      <c r="NGZ13" s="222"/>
      <c r="NHA13" s="222"/>
      <c r="NHB13" s="222"/>
      <c r="NHC13" s="222"/>
      <c r="NHD13" s="222"/>
      <c r="NHE13" s="222"/>
      <c r="NHF13" s="222"/>
      <c r="NHG13" s="222"/>
      <c r="NHH13" s="222"/>
      <c r="NHI13" s="222"/>
      <c r="NHJ13" s="222"/>
      <c r="NHK13" s="222"/>
      <c r="NHL13" s="222"/>
      <c r="NHM13" s="222"/>
      <c r="NHN13" s="222"/>
      <c r="NHO13" s="222"/>
      <c r="NHP13" s="222"/>
      <c r="NHQ13" s="222"/>
      <c r="NHR13" s="222"/>
      <c r="NHS13" s="222"/>
      <c r="NHT13" s="222"/>
      <c r="NHU13" s="222"/>
      <c r="NHV13" s="222"/>
      <c r="NHW13" s="222"/>
      <c r="NHX13" s="222"/>
      <c r="NHY13" s="222"/>
      <c r="NHZ13" s="222"/>
      <c r="NIA13" s="222"/>
      <c r="NIB13" s="222"/>
      <c r="NIC13" s="222"/>
      <c r="NID13" s="222"/>
      <c r="NIE13" s="222"/>
      <c r="NIF13" s="222"/>
      <c r="NIG13" s="222"/>
      <c r="NIH13" s="222"/>
      <c r="NII13" s="222"/>
      <c r="NIJ13" s="222"/>
      <c r="NIK13" s="222"/>
      <c r="NIL13" s="222"/>
      <c r="NIM13" s="222"/>
      <c r="NIN13" s="222"/>
      <c r="NIO13" s="222"/>
      <c r="NIP13" s="222"/>
      <c r="NIQ13" s="222"/>
      <c r="NIR13" s="222"/>
      <c r="NIS13" s="222"/>
      <c r="NIT13" s="222"/>
      <c r="NIU13" s="222"/>
      <c r="NIV13" s="222"/>
      <c r="NIW13" s="222"/>
      <c r="NIX13" s="222"/>
      <c r="NIY13" s="222"/>
      <c r="NIZ13" s="222"/>
      <c r="NJA13" s="222"/>
      <c r="NJB13" s="222"/>
      <c r="NJC13" s="222"/>
      <c r="NJD13" s="222"/>
      <c r="NJE13" s="222"/>
      <c r="NJF13" s="222"/>
      <c r="NJG13" s="222"/>
      <c r="NJH13" s="222"/>
      <c r="NJI13" s="222"/>
      <c r="NJJ13" s="222"/>
      <c r="NJK13" s="222"/>
      <c r="NJL13" s="222"/>
      <c r="NJM13" s="222"/>
      <c r="NJN13" s="222"/>
      <c r="NJO13" s="222"/>
      <c r="NJP13" s="222"/>
      <c r="NJQ13" s="222"/>
      <c r="NJR13" s="222"/>
      <c r="NJS13" s="222"/>
      <c r="NJT13" s="222"/>
      <c r="NJU13" s="222"/>
      <c r="NJV13" s="222"/>
      <c r="NJW13" s="222"/>
      <c r="NJX13" s="222"/>
      <c r="NJY13" s="222"/>
      <c r="NJZ13" s="222"/>
      <c r="NKA13" s="222"/>
      <c r="NKB13" s="222"/>
      <c r="NKC13" s="222"/>
      <c r="NKD13" s="222"/>
      <c r="NKE13" s="222"/>
      <c r="NKF13" s="222"/>
      <c r="NKG13" s="222"/>
      <c r="NKH13" s="222"/>
      <c r="NKI13" s="222"/>
      <c r="NKJ13" s="222"/>
      <c r="NKK13" s="222"/>
      <c r="NKL13" s="222"/>
      <c r="NKM13" s="222"/>
      <c r="NKN13" s="222"/>
      <c r="NKO13" s="222"/>
      <c r="NKP13" s="222"/>
      <c r="NKQ13" s="222"/>
      <c r="NKR13" s="222"/>
      <c r="NKS13" s="222"/>
      <c r="NKT13" s="222"/>
      <c r="NKU13" s="222"/>
      <c r="NKV13" s="222"/>
      <c r="NKW13" s="222"/>
      <c r="NKX13" s="222"/>
      <c r="NKY13" s="222"/>
      <c r="NKZ13" s="222"/>
      <c r="NLA13" s="222"/>
      <c r="NLB13" s="222"/>
      <c r="NLC13" s="222"/>
      <c r="NLD13" s="222"/>
      <c r="NLE13" s="222"/>
      <c r="NLF13" s="222"/>
      <c r="NLG13" s="222"/>
      <c r="NLH13" s="222"/>
      <c r="NLI13" s="222"/>
      <c r="NLJ13" s="222"/>
      <c r="NLK13" s="222"/>
      <c r="NLL13" s="222"/>
      <c r="NLM13" s="222"/>
      <c r="NLN13" s="222"/>
      <c r="NLO13" s="222"/>
      <c r="NLP13" s="222"/>
      <c r="NLQ13" s="222"/>
      <c r="NLR13" s="222"/>
      <c r="NLS13" s="222"/>
      <c r="NLT13" s="222"/>
      <c r="NLU13" s="222"/>
      <c r="NLV13" s="222"/>
      <c r="NLW13" s="222"/>
      <c r="NLX13" s="222"/>
      <c r="NLY13" s="222"/>
      <c r="NLZ13" s="222"/>
      <c r="NMA13" s="222"/>
      <c r="NMB13" s="222"/>
      <c r="NMC13" s="222"/>
      <c r="NMD13" s="222"/>
      <c r="NME13" s="222"/>
      <c r="NMF13" s="222"/>
      <c r="NMG13" s="222"/>
      <c r="NMH13" s="222"/>
      <c r="NMI13" s="222"/>
      <c r="NMJ13" s="222"/>
      <c r="NMK13" s="222"/>
      <c r="NML13" s="222"/>
      <c r="NMM13" s="222"/>
      <c r="NMN13" s="222"/>
      <c r="NMO13" s="222"/>
      <c r="NMP13" s="222"/>
      <c r="NMQ13" s="222"/>
      <c r="NMR13" s="222"/>
      <c r="NMS13" s="222"/>
      <c r="NMT13" s="222"/>
      <c r="NMU13" s="222"/>
      <c r="NMV13" s="222"/>
      <c r="NMW13" s="222"/>
      <c r="NMX13" s="222"/>
      <c r="NMY13" s="222"/>
      <c r="NMZ13" s="222"/>
      <c r="NNA13" s="222"/>
      <c r="NNB13" s="222"/>
      <c r="NNC13" s="222"/>
      <c r="NND13" s="222"/>
      <c r="NNE13" s="222"/>
      <c r="NNF13" s="222"/>
      <c r="NNG13" s="222"/>
      <c r="NNH13" s="222"/>
      <c r="NNI13" s="222"/>
      <c r="NNJ13" s="222"/>
      <c r="NNK13" s="222"/>
      <c r="NNL13" s="222"/>
      <c r="NNM13" s="222"/>
      <c r="NNN13" s="222"/>
      <c r="NNO13" s="222"/>
      <c r="NNP13" s="222"/>
      <c r="NNQ13" s="222"/>
      <c r="NNR13" s="222"/>
      <c r="NNS13" s="222"/>
      <c r="NNT13" s="222"/>
      <c r="NNU13" s="222"/>
      <c r="NNV13" s="222"/>
      <c r="NNW13" s="222"/>
      <c r="NNX13" s="222"/>
      <c r="NNY13" s="222"/>
      <c r="NNZ13" s="222"/>
      <c r="NOA13" s="222"/>
      <c r="NOB13" s="222"/>
      <c r="NOC13" s="222"/>
      <c r="NOD13" s="222"/>
      <c r="NOE13" s="222"/>
      <c r="NOF13" s="222"/>
      <c r="NOG13" s="222"/>
      <c r="NOH13" s="222"/>
      <c r="NOI13" s="222"/>
      <c r="NOJ13" s="222"/>
      <c r="NOK13" s="222"/>
      <c r="NOL13" s="222"/>
      <c r="NOM13" s="222"/>
      <c r="NON13" s="222"/>
      <c r="NOO13" s="222"/>
      <c r="NOP13" s="222"/>
      <c r="NOQ13" s="222"/>
      <c r="NOR13" s="222"/>
      <c r="NOS13" s="222"/>
      <c r="NOT13" s="222"/>
      <c r="NOU13" s="222"/>
      <c r="NOV13" s="222"/>
      <c r="NOW13" s="222"/>
      <c r="NOX13" s="222"/>
      <c r="NOY13" s="222"/>
      <c r="NOZ13" s="222"/>
      <c r="NPA13" s="222"/>
      <c r="NPB13" s="222"/>
      <c r="NPC13" s="222"/>
      <c r="NPD13" s="222"/>
      <c r="NPE13" s="222"/>
      <c r="NPF13" s="222"/>
      <c r="NPG13" s="222"/>
      <c r="NPH13" s="222"/>
      <c r="NPI13" s="222"/>
      <c r="NPJ13" s="222"/>
      <c r="NPK13" s="222"/>
      <c r="NPL13" s="222"/>
      <c r="NPM13" s="222"/>
      <c r="NPN13" s="222"/>
      <c r="NPO13" s="222"/>
      <c r="NPP13" s="222"/>
      <c r="NPQ13" s="222"/>
      <c r="NPR13" s="222"/>
      <c r="NPS13" s="222"/>
      <c r="NPT13" s="222"/>
      <c r="NPU13" s="222"/>
      <c r="NPV13" s="222"/>
      <c r="NPW13" s="222"/>
      <c r="NPX13" s="222"/>
      <c r="NPY13" s="222"/>
      <c r="NPZ13" s="222"/>
      <c r="NQA13" s="222"/>
      <c r="NQB13" s="222"/>
      <c r="NQC13" s="222"/>
      <c r="NQD13" s="222"/>
      <c r="NQE13" s="222"/>
      <c r="NQF13" s="222"/>
      <c r="NQG13" s="222"/>
      <c r="NQH13" s="222"/>
      <c r="NQI13" s="222"/>
      <c r="NQJ13" s="222"/>
      <c r="NQK13" s="222"/>
      <c r="NQL13" s="222"/>
      <c r="NQM13" s="222"/>
      <c r="NQN13" s="222"/>
      <c r="NQO13" s="222"/>
      <c r="NQP13" s="222"/>
      <c r="NQQ13" s="222"/>
      <c r="NQR13" s="222"/>
      <c r="NQS13" s="222"/>
      <c r="NQT13" s="222"/>
      <c r="NQU13" s="222"/>
      <c r="NQV13" s="222"/>
      <c r="NQW13" s="222"/>
      <c r="NQX13" s="222"/>
      <c r="NQY13" s="222"/>
      <c r="NQZ13" s="222"/>
      <c r="NRA13" s="222"/>
      <c r="NRB13" s="222"/>
      <c r="NRC13" s="222"/>
      <c r="NRD13" s="222"/>
      <c r="NRE13" s="222"/>
      <c r="NRF13" s="222"/>
      <c r="NRG13" s="222"/>
      <c r="NRH13" s="222"/>
      <c r="NRI13" s="222"/>
      <c r="NRJ13" s="222"/>
      <c r="NRK13" s="222"/>
      <c r="NRL13" s="222"/>
      <c r="NRM13" s="222"/>
      <c r="NRN13" s="222"/>
      <c r="NRO13" s="222"/>
      <c r="NRP13" s="222"/>
      <c r="NRQ13" s="222"/>
      <c r="NRR13" s="222"/>
      <c r="NRS13" s="222"/>
      <c r="NRT13" s="222"/>
      <c r="NRU13" s="222"/>
      <c r="NRV13" s="222"/>
      <c r="NRW13" s="222"/>
      <c r="NRX13" s="222"/>
      <c r="NRY13" s="222"/>
      <c r="NRZ13" s="222"/>
      <c r="NSA13" s="222"/>
      <c r="NSB13" s="222"/>
      <c r="NSC13" s="222"/>
      <c r="NSD13" s="222"/>
      <c r="NSE13" s="222"/>
      <c r="NSF13" s="222"/>
      <c r="NSG13" s="222"/>
      <c r="NSH13" s="222"/>
      <c r="NSI13" s="222"/>
      <c r="NSJ13" s="222"/>
      <c r="NSK13" s="222"/>
      <c r="NSL13" s="222"/>
      <c r="NSM13" s="222"/>
      <c r="NSN13" s="222"/>
      <c r="NSO13" s="222"/>
      <c r="NSP13" s="222"/>
      <c r="NSQ13" s="222"/>
      <c r="NSR13" s="222"/>
      <c r="NSS13" s="222"/>
      <c r="NST13" s="222"/>
      <c r="NSU13" s="222"/>
      <c r="NSV13" s="222"/>
      <c r="NSW13" s="222"/>
      <c r="NSX13" s="222"/>
      <c r="NSY13" s="222"/>
      <c r="NSZ13" s="222"/>
      <c r="NTA13" s="222"/>
      <c r="NTB13" s="222"/>
      <c r="NTC13" s="222"/>
      <c r="NTD13" s="222"/>
      <c r="NTE13" s="222"/>
      <c r="NTF13" s="222"/>
      <c r="NTG13" s="222"/>
      <c r="NTH13" s="222"/>
      <c r="NTI13" s="222"/>
      <c r="NTJ13" s="222"/>
      <c r="NTK13" s="222"/>
      <c r="NTL13" s="222"/>
      <c r="NTM13" s="222"/>
      <c r="NTN13" s="222"/>
      <c r="NTO13" s="222"/>
      <c r="NTP13" s="222"/>
      <c r="NTQ13" s="222"/>
      <c r="NTR13" s="222"/>
      <c r="NTS13" s="222"/>
      <c r="NTT13" s="222"/>
      <c r="NTU13" s="222"/>
      <c r="NTV13" s="222"/>
      <c r="NTW13" s="222"/>
      <c r="NTX13" s="222"/>
      <c r="NTY13" s="222"/>
      <c r="NTZ13" s="222"/>
      <c r="NUA13" s="222"/>
      <c r="NUB13" s="222"/>
      <c r="NUC13" s="222"/>
      <c r="NUD13" s="222"/>
      <c r="NUE13" s="222"/>
      <c r="NUF13" s="222"/>
      <c r="NUG13" s="222"/>
      <c r="NUH13" s="222"/>
      <c r="NUI13" s="222"/>
      <c r="NUJ13" s="222"/>
      <c r="NUK13" s="222"/>
      <c r="NUL13" s="222"/>
      <c r="NUM13" s="222"/>
      <c r="NUN13" s="222"/>
      <c r="NUO13" s="222"/>
      <c r="NUP13" s="222"/>
      <c r="NUQ13" s="222"/>
      <c r="NUR13" s="222"/>
      <c r="NUS13" s="222"/>
      <c r="NUT13" s="222"/>
      <c r="NUU13" s="222"/>
      <c r="NUV13" s="222"/>
      <c r="NUW13" s="222"/>
      <c r="NUX13" s="222"/>
      <c r="NUY13" s="222"/>
      <c r="NUZ13" s="222"/>
      <c r="NVA13" s="222"/>
      <c r="NVB13" s="222"/>
      <c r="NVC13" s="222"/>
      <c r="NVD13" s="222"/>
      <c r="NVE13" s="222"/>
      <c r="NVF13" s="222"/>
      <c r="NVG13" s="222"/>
      <c r="NVH13" s="222"/>
      <c r="NVI13" s="222"/>
      <c r="NVJ13" s="222"/>
      <c r="NVK13" s="222"/>
      <c r="NVL13" s="222"/>
      <c r="NVM13" s="222"/>
      <c r="NVN13" s="222"/>
      <c r="NVO13" s="222"/>
      <c r="NVP13" s="222"/>
      <c r="NVQ13" s="222"/>
      <c r="NVR13" s="222"/>
      <c r="NVS13" s="222"/>
      <c r="NVT13" s="222"/>
      <c r="NVU13" s="222"/>
      <c r="NVV13" s="222"/>
      <c r="NVW13" s="222"/>
      <c r="NVX13" s="222"/>
      <c r="NVY13" s="222"/>
      <c r="NVZ13" s="222"/>
      <c r="NWA13" s="222"/>
      <c r="NWB13" s="222"/>
      <c r="NWC13" s="222"/>
      <c r="NWD13" s="222"/>
      <c r="NWE13" s="222"/>
      <c r="NWF13" s="222"/>
      <c r="NWG13" s="222"/>
      <c r="NWH13" s="222"/>
      <c r="NWI13" s="222"/>
      <c r="NWJ13" s="222"/>
      <c r="NWK13" s="222"/>
      <c r="NWL13" s="222"/>
      <c r="NWM13" s="222"/>
      <c r="NWN13" s="222"/>
      <c r="NWO13" s="222"/>
      <c r="NWP13" s="222"/>
      <c r="NWQ13" s="222"/>
      <c r="NWR13" s="222"/>
      <c r="NWS13" s="222"/>
      <c r="NWT13" s="222"/>
      <c r="NWU13" s="222"/>
      <c r="NWV13" s="222"/>
      <c r="NWW13" s="222"/>
      <c r="NWX13" s="222"/>
      <c r="NWY13" s="222"/>
      <c r="NWZ13" s="222"/>
      <c r="NXA13" s="222"/>
      <c r="NXB13" s="222"/>
      <c r="NXC13" s="222"/>
      <c r="NXD13" s="222"/>
      <c r="NXE13" s="222"/>
      <c r="NXF13" s="222"/>
      <c r="NXG13" s="222"/>
      <c r="NXH13" s="222"/>
      <c r="NXI13" s="222"/>
      <c r="NXJ13" s="222"/>
      <c r="NXK13" s="222"/>
      <c r="NXL13" s="222"/>
      <c r="NXM13" s="222"/>
      <c r="NXN13" s="222"/>
      <c r="NXO13" s="222"/>
      <c r="NXP13" s="222"/>
      <c r="NXQ13" s="222"/>
      <c r="NXR13" s="222"/>
      <c r="NXS13" s="222"/>
      <c r="NXT13" s="222"/>
      <c r="NXU13" s="222"/>
      <c r="NXV13" s="222"/>
      <c r="NXW13" s="222"/>
      <c r="NXX13" s="222"/>
      <c r="NXY13" s="222"/>
      <c r="NXZ13" s="222"/>
      <c r="NYA13" s="222"/>
      <c r="NYB13" s="222"/>
      <c r="NYC13" s="222"/>
      <c r="NYD13" s="222"/>
      <c r="NYE13" s="222"/>
      <c r="NYF13" s="222"/>
      <c r="NYG13" s="222"/>
      <c r="NYH13" s="222"/>
      <c r="NYI13" s="222"/>
      <c r="NYJ13" s="222"/>
      <c r="NYK13" s="222"/>
      <c r="NYL13" s="222"/>
      <c r="NYM13" s="222"/>
      <c r="NYN13" s="222"/>
      <c r="NYO13" s="222"/>
      <c r="NYP13" s="222"/>
      <c r="NYQ13" s="222"/>
      <c r="NYR13" s="222"/>
      <c r="NYS13" s="222"/>
      <c r="NYT13" s="222"/>
      <c r="NYU13" s="222"/>
      <c r="NYV13" s="222"/>
      <c r="NYW13" s="222"/>
      <c r="NYX13" s="222"/>
      <c r="NYY13" s="222"/>
      <c r="NYZ13" s="222"/>
      <c r="NZA13" s="222"/>
      <c r="NZB13" s="222"/>
      <c r="NZC13" s="222"/>
      <c r="NZD13" s="222"/>
      <c r="NZE13" s="222"/>
      <c r="NZF13" s="222"/>
      <c r="NZG13" s="222"/>
      <c r="NZH13" s="222"/>
      <c r="NZI13" s="222"/>
      <c r="NZJ13" s="222"/>
      <c r="NZK13" s="222"/>
      <c r="NZL13" s="222"/>
      <c r="NZM13" s="222"/>
      <c r="NZN13" s="222"/>
      <c r="NZO13" s="222"/>
      <c r="NZP13" s="222"/>
      <c r="NZQ13" s="222"/>
      <c r="NZR13" s="222"/>
      <c r="NZS13" s="222"/>
      <c r="NZT13" s="222"/>
      <c r="NZU13" s="222"/>
      <c r="NZV13" s="222"/>
      <c r="NZW13" s="222"/>
      <c r="NZX13" s="222"/>
      <c r="NZY13" s="222"/>
      <c r="NZZ13" s="222"/>
      <c r="OAA13" s="222"/>
      <c r="OAB13" s="222"/>
      <c r="OAC13" s="222"/>
      <c r="OAD13" s="222"/>
      <c r="OAE13" s="222"/>
      <c r="OAF13" s="222"/>
      <c r="OAG13" s="222"/>
      <c r="OAH13" s="222"/>
      <c r="OAI13" s="222"/>
      <c r="OAJ13" s="222"/>
      <c r="OAK13" s="222"/>
      <c r="OAL13" s="222"/>
      <c r="OAM13" s="222"/>
      <c r="OAN13" s="222"/>
      <c r="OAO13" s="222"/>
      <c r="OAP13" s="222"/>
      <c r="OAQ13" s="222"/>
      <c r="OAR13" s="222"/>
      <c r="OAS13" s="222"/>
      <c r="OAT13" s="222"/>
      <c r="OAU13" s="222"/>
      <c r="OAV13" s="222"/>
      <c r="OAW13" s="222"/>
      <c r="OAX13" s="222"/>
      <c r="OAY13" s="222"/>
      <c r="OAZ13" s="222"/>
      <c r="OBA13" s="222"/>
      <c r="OBB13" s="222"/>
      <c r="OBC13" s="222"/>
      <c r="OBD13" s="222"/>
      <c r="OBE13" s="222"/>
      <c r="OBF13" s="222"/>
      <c r="OBG13" s="222"/>
      <c r="OBH13" s="222"/>
      <c r="OBI13" s="222"/>
      <c r="OBJ13" s="222"/>
      <c r="OBK13" s="222"/>
      <c r="OBL13" s="222"/>
      <c r="OBM13" s="222"/>
      <c r="OBN13" s="222"/>
      <c r="OBO13" s="222"/>
      <c r="OBP13" s="222"/>
      <c r="OBQ13" s="222"/>
      <c r="OBR13" s="222"/>
      <c r="OBS13" s="222"/>
      <c r="OBT13" s="222"/>
      <c r="OBU13" s="222"/>
      <c r="OBV13" s="222"/>
      <c r="OBW13" s="222"/>
      <c r="OBX13" s="222"/>
      <c r="OBY13" s="222"/>
      <c r="OBZ13" s="222"/>
      <c r="OCA13" s="222"/>
      <c r="OCB13" s="222"/>
      <c r="OCC13" s="222"/>
      <c r="OCD13" s="222"/>
      <c r="OCE13" s="222"/>
      <c r="OCF13" s="222"/>
      <c r="OCG13" s="222"/>
      <c r="OCH13" s="222"/>
      <c r="OCI13" s="222"/>
      <c r="OCJ13" s="222"/>
      <c r="OCK13" s="222"/>
      <c r="OCL13" s="222"/>
      <c r="OCM13" s="222"/>
      <c r="OCN13" s="222"/>
      <c r="OCO13" s="222"/>
      <c r="OCP13" s="222"/>
      <c r="OCQ13" s="222"/>
      <c r="OCR13" s="222"/>
      <c r="OCS13" s="222"/>
      <c r="OCT13" s="222"/>
      <c r="OCU13" s="222"/>
      <c r="OCV13" s="222"/>
      <c r="OCW13" s="222"/>
      <c r="OCX13" s="222"/>
      <c r="OCY13" s="222"/>
      <c r="OCZ13" s="222"/>
      <c r="ODA13" s="222"/>
      <c r="ODB13" s="222"/>
      <c r="ODC13" s="222"/>
      <c r="ODD13" s="222"/>
      <c r="ODE13" s="222"/>
      <c r="ODF13" s="222"/>
      <c r="ODG13" s="222"/>
      <c r="ODH13" s="222"/>
      <c r="ODI13" s="222"/>
      <c r="ODJ13" s="222"/>
      <c r="ODK13" s="222"/>
      <c r="ODL13" s="222"/>
      <c r="ODM13" s="222"/>
      <c r="ODN13" s="222"/>
      <c r="ODO13" s="222"/>
      <c r="ODP13" s="222"/>
      <c r="ODQ13" s="222"/>
      <c r="ODR13" s="222"/>
      <c r="ODS13" s="222"/>
      <c r="ODT13" s="222"/>
      <c r="ODU13" s="222"/>
      <c r="ODV13" s="222"/>
      <c r="ODW13" s="222"/>
      <c r="ODX13" s="222"/>
      <c r="ODY13" s="222"/>
      <c r="ODZ13" s="222"/>
      <c r="OEA13" s="222"/>
      <c r="OEB13" s="222"/>
      <c r="OEC13" s="222"/>
      <c r="OED13" s="222"/>
      <c r="OEE13" s="222"/>
      <c r="OEF13" s="222"/>
      <c r="OEG13" s="222"/>
      <c r="OEH13" s="222"/>
      <c r="OEI13" s="222"/>
      <c r="OEJ13" s="222"/>
      <c r="OEK13" s="222"/>
      <c r="OEL13" s="222"/>
      <c r="OEM13" s="222"/>
      <c r="OEN13" s="222"/>
      <c r="OEO13" s="222"/>
      <c r="OEP13" s="222"/>
      <c r="OEQ13" s="222"/>
      <c r="OER13" s="222"/>
      <c r="OES13" s="222"/>
      <c r="OET13" s="222"/>
      <c r="OEU13" s="222"/>
      <c r="OEV13" s="222"/>
      <c r="OEW13" s="222"/>
      <c r="OEX13" s="222"/>
      <c r="OEY13" s="222"/>
      <c r="OEZ13" s="222"/>
      <c r="OFA13" s="222"/>
      <c r="OFB13" s="222"/>
      <c r="OFC13" s="222"/>
      <c r="OFD13" s="222"/>
      <c r="OFE13" s="222"/>
      <c r="OFF13" s="222"/>
      <c r="OFG13" s="222"/>
      <c r="OFH13" s="222"/>
      <c r="OFI13" s="222"/>
      <c r="OFJ13" s="222"/>
      <c r="OFK13" s="222"/>
      <c r="OFL13" s="222"/>
      <c r="OFM13" s="222"/>
      <c r="OFN13" s="222"/>
      <c r="OFO13" s="222"/>
      <c r="OFP13" s="222"/>
      <c r="OFQ13" s="222"/>
      <c r="OFR13" s="222"/>
      <c r="OFS13" s="222"/>
      <c r="OFT13" s="222"/>
      <c r="OFU13" s="222"/>
      <c r="OFV13" s="222"/>
      <c r="OFW13" s="222"/>
      <c r="OFX13" s="222"/>
      <c r="OFY13" s="222"/>
      <c r="OFZ13" s="222"/>
      <c r="OGA13" s="222"/>
      <c r="OGB13" s="222"/>
      <c r="OGC13" s="222"/>
      <c r="OGD13" s="222"/>
      <c r="OGE13" s="222"/>
      <c r="OGF13" s="222"/>
      <c r="OGG13" s="222"/>
      <c r="OGH13" s="222"/>
      <c r="OGI13" s="222"/>
      <c r="OGJ13" s="222"/>
      <c r="OGK13" s="222"/>
      <c r="OGL13" s="222"/>
      <c r="OGM13" s="222"/>
      <c r="OGN13" s="222"/>
      <c r="OGO13" s="222"/>
      <c r="OGP13" s="222"/>
      <c r="OGQ13" s="222"/>
      <c r="OGR13" s="222"/>
      <c r="OGS13" s="222"/>
      <c r="OGT13" s="222"/>
      <c r="OGU13" s="222"/>
      <c r="OGV13" s="222"/>
      <c r="OGW13" s="222"/>
      <c r="OGX13" s="222"/>
      <c r="OGY13" s="222"/>
      <c r="OGZ13" s="222"/>
      <c r="OHA13" s="222"/>
      <c r="OHB13" s="222"/>
      <c r="OHC13" s="222"/>
      <c r="OHD13" s="222"/>
      <c r="OHE13" s="222"/>
      <c r="OHF13" s="222"/>
      <c r="OHG13" s="222"/>
      <c r="OHH13" s="222"/>
      <c r="OHI13" s="222"/>
      <c r="OHJ13" s="222"/>
      <c r="OHK13" s="222"/>
      <c r="OHL13" s="222"/>
      <c r="OHM13" s="222"/>
      <c r="OHN13" s="222"/>
      <c r="OHO13" s="222"/>
      <c r="OHP13" s="222"/>
      <c r="OHQ13" s="222"/>
      <c r="OHR13" s="222"/>
      <c r="OHS13" s="222"/>
      <c r="OHT13" s="222"/>
      <c r="OHU13" s="222"/>
      <c r="OHV13" s="222"/>
      <c r="OHW13" s="222"/>
      <c r="OHX13" s="222"/>
      <c r="OHY13" s="222"/>
      <c r="OHZ13" s="222"/>
      <c r="OIA13" s="222"/>
      <c r="OIB13" s="222"/>
      <c r="OIC13" s="222"/>
      <c r="OID13" s="222"/>
      <c r="OIE13" s="222"/>
      <c r="OIF13" s="222"/>
      <c r="OIG13" s="222"/>
      <c r="OIH13" s="222"/>
      <c r="OII13" s="222"/>
      <c r="OIJ13" s="222"/>
      <c r="OIK13" s="222"/>
      <c r="OIL13" s="222"/>
      <c r="OIM13" s="222"/>
      <c r="OIN13" s="222"/>
      <c r="OIO13" s="222"/>
      <c r="OIP13" s="222"/>
      <c r="OIQ13" s="222"/>
      <c r="OIR13" s="222"/>
      <c r="OIS13" s="222"/>
      <c r="OIT13" s="222"/>
      <c r="OIU13" s="222"/>
      <c r="OIV13" s="222"/>
      <c r="OIW13" s="222"/>
      <c r="OIX13" s="222"/>
      <c r="OIY13" s="222"/>
      <c r="OIZ13" s="222"/>
      <c r="OJA13" s="222"/>
      <c r="OJB13" s="222"/>
      <c r="OJC13" s="222"/>
      <c r="OJD13" s="222"/>
      <c r="OJE13" s="222"/>
      <c r="OJF13" s="222"/>
      <c r="OJG13" s="222"/>
      <c r="OJH13" s="222"/>
      <c r="OJI13" s="222"/>
      <c r="OJJ13" s="222"/>
      <c r="OJK13" s="222"/>
      <c r="OJL13" s="222"/>
      <c r="OJM13" s="222"/>
      <c r="OJN13" s="222"/>
      <c r="OJO13" s="222"/>
      <c r="OJP13" s="222"/>
      <c r="OJQ13" s="222"/>
      <c r="OJR13" s="222"/>
      <c r="OJS13" s="222"/>
      <c r="OJT13" s="222"/>
      <c r="OJU13" s="222"/>
      <c r="OJV13" s="222"/>
      <c r="OJW13" s="222"/>
      <c r="OJX13" s="222"/>
      <c r="OJY13" s="222"/>
      <c r="OJZ13" s="222"/>
      <c r="OKA13" s="222"/>
      <c r="OKB13" s="222"/>
      <c r="OKC13" s="222"/>
      <c r="OKD13" s="222"/>
      <c r="OKE13" s="222"/>
      <c r="OKF13" s="222"/>
      <c r="OKG13" s="222"/>
      <c r="OKH13" s="222"/>
      <c r="OKI13" s="222"/>
      <c r="OKJ13" s="222"/>
      <c r="OKK13" s="222"/>
      <c r="OKL13" s="222"/>
      <c r="OKM13" s="222"/>
      <c r="OKN13" s="222"/>
      <c r="OKO13" s="222"/>
      <c r="OKP13" s="222"/>
      <c r="OKQ13" s="222"/>
      <c r="OKR13" s="222"/>
      <c r="OKS13" s="222"/>
      <c r="OKT13" s="222"/>
      <c r="OKU13" s="222"/>
      <c r="OKV13" s="222"/>
      <c r="OKW13" s="222"/>
      <c r="OKX13" s="222"/>
      <c r="OKY13" s="222"/>
      <c r="OKZ13" s="222"/>
      <c r="OLA13" s="222"/>
      <c r="OLB13" s="222"/>
      <c r="OLC13" s="222"/>
      <c r="OLD13" s="222"/>
      <c r="OLE13" s="222"/>
      <c r="OLF13" s="222"/>
      <c r="OLG13" s="222"/>
      <c r="OLH13" s="222"/>
      <c r="OLI13" s="222"/>
      <c r="OLJ13" s="222"/>
      <c r="OLK13" s="222"/>
      <c r="OLL13" s="222"/>
      <c r="OLM13" s="222"/>
      <c r="OLN13" s="222"/>
      <c r="OLO13" s="222"/>
      <c r="OLP13" s="222"/>
      <c r="OLQ13" s="222"/>
      <c r="OLR13" s="222"/>
      <c r="OLS13" s="222"/>
      <c r="OLT13" s="222"/>
      <c r="OLU13" s="222"/>
      <c r="OLV13" s="222"/>
      <c r="OLW13" s="222"/>
      <c r="OLX13" s="222"/>
      <c r="OLY13" s="222"/>
      <c r="OLZ13" s="222"/>
      <c r="OMA13" s="222"/>
      <c r="OMB13" s="222"/>
      <c r="OMC13" s="222"/>
      <c r="OMD13" s="222"/>
      <c r="OME13" s="222"/>
      <c r="OMF13" s="222"/>
      <c r="OMG13" s="222"/>
      <c r="OMH13" s="222"/>
      <c r="OMI13" s="222"/>
      <c r="OMJ13" s="222"/>
      <c r="OMK13" s="222"/>
      <c r="OML13" s="222"/>
      <c r="OMM13" s="222"/>
      <c r="OMN13" s="222"/>
      <c r="OMO13" s="222"/>
      <c r="OMP13" s="222"/>
      <c r="OMQ13" s="222"/>
      <c r="OMR13" s="222"/>
      <c r="OMS13" s="222"/>
      <c r="OMT13" s="222"/>
      <c r="OMU13" s="222"/>
      <c r="OMV13" s="222"/>
      <c r="OMW13" s="222"/>
      <c r="OMX13" s="222"/>
      <c r="OMY13" s="222"/>
      <c r="OMZ13" s="222"/>
      <c r="ONA13" s="222"/>
      <c r="ONB13" s="222"/>
      <c r="ONC13" s="222"/>
      <c r="OND13" s="222"/>
      <c r="ONE13" s="222"/>
      <c r="ONF13" s="222"/>
      <c r="ONG13" s="222"/>
      <c r="ONH13" s="222"/>
      <c r="ONI13" s="222"/>
      <c r="ONJ13" s="222"/>
      <c r="ONK13" s="222"/>
      <c r="ONL13" s="222"/>
      <c r="ONM13" s="222"/>
      <c r="ONN13" s="222"/>
      <c r="ONO13" s="222"/>
      <c r="ONP13" s="222"/>
      <c r="ONQ13" s="222"/>
      <c r="ONR13" s="222"/>
      <c r="ONS13" s="222"/>
      <c r="ONT13" s="222"/>
      <c r="ONU13" s="222"/>
      <c r="ONV13" s="222"/>
      <c r="ONW13" s="222"/>
      <c r="ONX13" s="222"/>
      <c r="ONY13" s="222"/>
      <c r="ONZ13" s="222"/>
      <c r="OOA13" s="222"/>
      <c r="OOB13" s="222"/>
      <c r="OOC13" s="222"/>
      <c r="OOD13" s="222"/>
      <c r="OOE13" s="222"/>
      <c r="OOF13" s="222"/>
      <c r="OOG13" s="222"/>
      <c r="OOH13" s="222"/>
      <c r="OOI13" s="222"/>
      <c r="OOJ13" s="222"/>
      <c r="OOK13" s="222"/>
      <c r="OOL13" s="222"/>
      <c r="OOM13" s="222"/>
      <c r="OON13" s="222"/>
      <c r="OOO13" s="222"/>
      <c r="OOP13" s="222"/>
      <c r="OOQ13" s="222"/>
      <c r="OOR13" s="222"/>
      <c r="OOS13" s="222"/>
      <c r="OOT13" s="222"/>
      <c r="OOU13" s="222"/>
      <c r="OOV13" s="222"/>
      <c r="OOW13" s="222"/>
      <c r="OOX13" s="222"/>
      <c r="OOY13" s="222"/>
      <c r="OOZ13" s="222"/>
      <c r="OPA13" s="222"/>
      <c r="OPB13" s="222"/>
      <c r="OPC13" s="222"/>
      <c r="OPD13" s="222"/>
      <c r="OPE13" s="222"/>
      <c r="OPF13" s="222"/>
      <c r="OPG13" s="222"/>
      <c r="OPH13" s="222"/>
      <c r="OPI13" s="222"/>
      <c r="OPJ13" s="222"/>
      <c r="OPK13" s="222"/>
      <c r="OPL13" s="222"/>
      <c r="OPM13" s="222"/>
      <c r="OPN13" s="222"/>
      <c r="OPO13" s="222"/>
      <c r="OPP13" s="222"/>
      <c r="OPQ13" s="222"/>
      <c r="OPR13" s="222"/>
      <c r="OPS13" s="222"/>
      <c r="OPT13" s="222"/>
      <c r="OPU13" s="222"/>
      <c r="OPV13" s="222"/>
      <c r="OPW13" s="222"/>
      <c r="OPX13" s="222"/>
      <c r="OPY13" s="222"/>
      <c r="OPZ13" s="222"/>
      <c r="OQA13" s="222"/>
      <c r="OQB13" s="222"/>
      <c r="OQC13" s="222"/>
      <c r="OQD13" s="222"/>
      <c r="OQE13" s="222"/>
      <c r="OQF13" s="222"/>
      <c r="OQG13" s="222"/>
      <c r="OQH13" s="222"/>
      <c r="OQI13" s="222"/>
      <c r="OQJ13" s="222"/>
      <c r="OQK13" s="222"/>
      <c r="OQL13" s="222"/>
      <c r="OQM13" s="222"/>
      <c r="OQN13" s="222"/>
      <c r="OQO13" s="222"/>
      <c r="OQP13" s="222"/>
      <c r="OQQ13" s="222"/>
      <c r="OQR13" s="222"/>
      <c r="OQS13" s="222"/>
      <c r="OQT13" s="222"/>
      <c r="OQU13" s="222"/>
      <c r="OQV13" s="222"/>
      <c r="OQW13" s="222"/>
      <c r="OQX13" s="222"/>
      <c r="OQY13" s="222"/>
      <c r="OQZ13" s="222"/>
      <c r="ORA13" s="222"/>
      <c r="ORB13" s="222"/>
      <c r="ORC13" s="222"/>
      <c r="ORD13" s="222"/>
      <c r="ORE13" s="222"/>
      <c r="ORF13" s="222"/>
      <c r="ORG13" s="222"/>
      <c r="ORH13" s="222"/>
      <c r="ORI13" s="222"/>
      <c r="ORJ13" s="222"/>
      <c r="ORK13" s="222"/>
      <c r="ORL13" s="222"/>
      <c r="ORM13" s="222"/>
      <c r="ORN13" s="222"/>
      <c r="ORO13" s="222"/>
      <c r="ORP13" s="222"/>
      <c r="ORQ13" s="222"/>
      <c r="ORR13" s="222"/>
      <c r="ORS13" s="222"/>
      <c r="ORT13" s="222"/>
      <c r="ORU13" s="222"/>
      <c r="ORV13" s="222"/>
      <c r="ORW13" s="222"/>
      <c r="ORX13" s="222"/>
      <c r="ORY13" s="222"/>
      <c r="ORZ13" s="222"/>
      <c r="OSA13" s="222"/>
      <c r="OSB13" s="222"/>
      <c r="OSC13" s="222"/>
      <c r="OSD13" s="222"/>
      <c r="OSE13" s="222"/>
      <c r="OSF13" s="222"/>
      <c r="OSG13" s="222"/>
      <c r="OSH13" s="222"/>
      <c r="OSI13" s="222"/>
      <c r="OSJ13" s="222"/>
      <c r="OSK13" s="222"/>
      <c r="OSL13" s="222"/>
      <c r="OSM13" s="222"/>
      <c r="OSN13" s="222"/>
      <c r="OSO13" s="222"/>
      <c r="OSP13" s="222"/>
      <c r="OSQ13" s="222"/>
      <c r="OSR13" s="222"/>
      <c r="OSS13" s="222"/>
      <c r="OST13" s="222"/>
      <c r="OSU13" s="222"/>
      <c r="OSV13" s="222"/>
      <c r="OSW13" s="222"/>
      <c r="OSX13" s="222"/>
      <c r="OSY13" s="222"/>
      <c r="OSZ13" s="222"/>
      <c r="OTA13" s="222"/>
      <c r="OTB13" s="222"/>
      <c r="OTC13" s="222"/>
      <c r="OTD13" s="222"/>
      <c r="OTE13" s="222"/>
      <c r="OTF13" s="222"/>
      <c r="OTG13" s="222"/>
      <c r="OTH13" s="222"/>
      <c r="OTI13" s="222"/>
      <c r="OTJ13" s="222"/>
      <c r="OTK13" s="222"/>
      <c r="OTL13" s="222"/>
      <c r="OTM13" s="222"/>
      <c r="OTN13" s="222"/>
      <c r="OTO13" s="222"/>
      <c r="OTP13" s="222"/>
      <c r="OTQ13" s="222"/>
      <c r="OTR13" s="222"/>
      <c r="OTS13" s="222"/>
      <c r="OTT13" s="222"/>
      <c r="OTU13" s="222"/>
      <c r="OTV13" s="222"/>
      <c r="OTW13" s="222"/>
      <c r="OTX13" s="222"/>
      <c r="OTY13" s="222"/>
      <c r="OTZ13" s="222"/>
      <c r="OUA13" s="222"/>
      <c r="OUB13" s="222"/>
      <c r="OUC13" s="222"/>
      <c r="OUD13" s="222"/>
      <c r="OUE13" s="222"/>
      <c r="OUF13" s="222"/>
      <c r="OUG13" s="222"/>
      <c r="OUH13" s="222"/>
      <c r="OUI13" s="222"/>
      <c r="OUJ13" s="222"/>
      <c r="OUK13" s="222"/>
      <c r="OUL13" s="222"/>
      <c r="OUM13" s="222"/>
      <c r="OUN13" s="222"/>
      <c r="OUO13" s="222"/>
      <c r="OUP13" s="222"/>
      <c r="OUQ13" s="222"/>
      <c r="OUR13" s="222"/>
      <c r="OUS13" s="222"/>
      <c r="OUT13" s="222"/>
      <c r="OUU13" s="222"/>
      <c r="OUV13" s="222"/>
      <c r="OUW13" s="222"/>
      <c r="OUX13" s="222"/>
      <c r="OUY13" s="222"/>
      <c r="OUZ13" s="222"/>
      <c r="OVA13" s="222"/>
      <c r="OVB13" s="222"/>
      <c r="OVC13" s="222"/>
      <c r="OVD13" s="222"/>
      <c r="OVE13" s="222"/>
      <c r="OVF13" s="222"/>
      <c r="OVG13" s="222"/>
      <c r="OVH13" s="222"/>
      <c r="OVI13" s="222"/>
      <c r="OVJ13" s="222"/>
      <c r="OVK13" s="222"/>
      <c r="OVL13" s="222"/>
      <c r="OVM13" s="222"/>
      <c r="OVN13" s="222"/>
      <c r="OVO13" s="222"/>
      <c r="OVP13" s="222"/>
      <c r="OVQ13" s="222"/>
      <c r="OVR13" s="222"/>
      <c r="OVS13" s="222"/>
      <c r="OVT13" s="222"/>
      <c r="OVU13" s="222"/>
      <c r="OVV13" s="222"/>
      <c r="OVW13" s="222"/>
      <c r="OVX13" s="222"/>
      <c r="OVY13" s="222"/>
      <c r="OVZ13" s="222"/>
      <c r="OWA13" s="222"/>
      <c r="OWB13" s="222"/>
      <c r="OWC13" s="222"/>
      <c r="OWD13" s="222"/>
      <c r="OWE13" s="222"/>
      <c r="OWF13" s="222"/>
      <c r="OWG13" s="222"/>
      <c r="OWH13" s="222"/>
      <c r="OWI13" s="222"/>
      <c r="OWJ13" s="222"/>
      <c r="OWK13" s="222"/>
      <c r="OWL13" s="222"/>
      <c r="OWM13" s="222"/>
      <c r="OWN13" s="222"/>
      <c r="OWO13" s="222"/>
      <c r="OWP13" s="222"/>
      <c r="OWQ13" s="222"/>
      <c r="OWR13" s="222"/>
      <c r="OWS13" s="222"/>
      <c r="OWT13" s="222"/>
      <c r="OWU13" s="222"/>
      <c r="OWV13" s="222"/>
      <c r="OWW13" s="222"/>
      <c r="OWX13" s="222"/>
      <c r="OWY13" s="222"/>
      <c r="OWZ13" s="222"/>
      <c r="OXA13" s="222"/>
      <c r="OXB13" s="222"/>
      <c r="OXC13" s="222"/>
      <c r="OXD13" s="222"/>
      <c r="OXE13" s="222"/>
      <c r="OXF13" s="222"/>
      <c r="OXG13" s="222"/>
      <c r="OXH13" s="222"/>
      <c r="OXI13" s="222"/>
      <c r="OXJ13" s="222"/>
      <c r="OXK13" s="222"/>
      <c r="OXL13" s="222"/>
      <c r="OXM13" s="222"/>
      <c r="OXN13" s="222"/>
      <c r="OXO13" s="222"/>
      <c r="OXP13" s="222"/>
      <c r="OXQ13" s="222"/>
      <c r="OXR13" s="222"/>
      <c r="OXS13" s="222"/>
      <c r="OXT13" s="222"/>
      <c r="OXU13" s="222"/>
      <c r="OXV13" s="222"/>
      <c r="OXW13" s="222"/>
      <c r="OXX13" s="222"/>
      <c r="OXY13" s="222"/>
      <c r="OXZ13" s="222"/>
      <c r="OYA13" s="222"/>
      <c r="OYB13" s="222"/>
      <c r="OYC13" s="222"/>
      <c r="OYD13" s="222"/>
      <c r="OYE13" s="222"/>
      <c r="OYF13" s="222"/>
      <c r="OYG13" s="222"/>
      <c r="OYH13" s="222"/>
      <c r="OYI13" s="222"/>
      <c r="OYJ13" s="222"/>
      <c r="OYK13" s="222"/>
      <c r="OYL13" s="222"/>
      <c r="OYM13" s="222"/>
      <c r="OYN13" s="222"/>
      <c r="OYO13" s="222"/>
      <c r="OYP13" s="222"/>
      <c r="OYQ13" s="222"/>
      <c r="OYR13" s="222"/>
      <c r="OYS13" s="222"/>
      <c r="OYT13" s="222"/>
      <c r="OYU13" s="222"/>
      <c r="OYV13" s="222"/>
      <c r="OYW13" s="222"/>
      <c r="OYX13" s="222"/>
      <c r="OYY13" s="222"/>
      <c r="OYZ13" s="222"/>
      <c r="OZA13" s="222"/>
      <c r="OZB13" s="222"/>
      <c r="OZC13" s="222"/>
      <c r="OZD13" s="222"/>
      <c r="OZE13" s="222"/>
      <c r="OZF13" s="222"/>
      <c r="OZG13" s="222"/>
      <c r="OZH13" s="222"/>
      <c r="OZI13" s="222"/>
      <c r="OZJ13" s="222"/>
      <c r="OZK13" s="222"/>
      <c r="OZL13" s="222"/>
      <c r="OZM13" s="222"/>
      <c r="OZN13" s="222"/>
      <c r="OZO13" s="222"/>
      <c r="OZP13" s="222"/>
      <c r="OZQ13" s="222"/>
      <c r="OZR13" s="222"/>
      <c r="OZS13" s="222"/>
      <c r="OZT13" s="222"/>
      <c r="OZU13" s="222"/>
      <c r="OZV13" s="222"/>
      <c r="OZW13" s="222"/>
      <c r="OZX13" s="222"/>
      <c r="OZY13" s="222"/>
      <c r="OZZ13" s="222"/>
      <c r="PAA13" s="222"/>
      <c r="PAB13" s="222"/>
      <c r="PAC13" s="222"/>
      <c r="PAD13" s="222"/>
      <c r="PAE13" s="222"/>
      <c r="PAF13" s="222"/>
      <c r="PAG13" s="222"/>
      <c r="PAH13" s="222"/>
      <c r="PAI13" s="222"/>
      <c r="PAJ13" s="222"/>
      <c r="PAK13" s="222"/>
      <c r="PAL13" s="222"/>
      <c r="PAM13" s="222"/>
      <c r="PAN13" s="222"/>
      <c r="PAO13" s="222"/>
      <c r="PAP13" s="222"/>
      <c r="PAQ13" s="222"/>
      <c r="PAR13" s="222"/>
      <c r="PAS13" s="222"/>
      <c r="PAT13" s="222"/>
      <c r="PAU13" s="222"/>
      <c r="PAV13" s="222"/>
      <c r="PAW13" s="222"/>
      <c r="PAX13" s="222"/>
      <c r="PAY13" s="222"/>
      <c r="PAZ13" s="222"/>
      <c r="PBA13" s="222"/>
      <c r="PBB13" s="222"/>
      <c r="PBC13" s="222"/>
      <c r="PBD13" s="222"/>
      <c r="PBE13" s="222"/>
      <c r="PBF13" s="222"/>
      <c r="PBG13" s="222"/>
      <c r="PBH13" s="222"/>
      <c r="PBI13" s="222"/>
      <c r="PBJ13" s="222"/>
      <c r="PBK13" s="222"/>
      <c r="PBL13" s="222"/>
      <c r="PBM13" s="222"/>
      <c r="PBN13" s="222"/>
      <c r="PBO13" s="222"/>
      <c r="PBP13" s="222"/>
      <c r="PBQ13" s="222"/>
      <c r="PBR13" s="222"/>
      <c r="PBS13" s="222"/>
      <c r="PBT13" s="222"/>
      <c r="PBU13" s="222"/>
      <c r="PBV13" s="222"/>
      <c r="PBW13" s="222"/>
      <c r="PBX13" s="222"/>
      <c r="PBY13" s="222"/>
      <c r="PBZ13" s="222"/>
      <c r="PCA13" s="222"/>
      <c r="PCB13" s="222"/>
      <c r="PCC13" s="222"/>
      <c r="PCD13" s="222"/>
      <c r="PCE13" s="222"/>
      <c r="PCF13" s="222"/>
      <c r="PCG13" s="222"/>
      <c r="PCH13" s="222"/>
      <c r="PCI13" s="222"/>
      <c r="PCJ13" s="222"/>
      <c r="PCK13" s="222"/>
      <c r="PCL13" s="222"/>
      <c r="PCM13" s="222"/>
      <c r="PCN13" s="222"/>
      <c r="PCO13" s="222"/>
      <c r="PCP13" s="222"/>
      <c r="PCQ13" s="222"/>
      <c r="PCR13" s="222"/>
      <c r="PCS13" s="222"/>
      <c r="PCT13" s="222"/>
      <c r="PCU13" s="222"/>
      <c r="PCV13" s="222"/>
      <c r="PCW13" s="222"/>
      <c r="PCX13" s="222"/>
      <c r="PCY13" s="222"/>
      <c r="PCZ13" s="222"/>
      <c r="PDA13" s="222"/>
      <c r="PDB13" s="222"/>
      <c r="PDC13" s="222"/>
      <c r="PDD13" s="222"/>
      <c r="PDE13" s="222"/>
      <c r="PDF13" s="222"/>
      <c r="PDG13" s="222"/>
      <c r="PDH13" s="222"/>
      <c r="PDI13" s="222"/>
      <c r="PDJ13" s="222"/>
      <c r="PDK13" s="222"/>
      <c r="PDL13" s="222"/>
      <c r="PDM13" s="222"/>
      <c r="PDN13" s="222"/>
      <c r="PDO13" s="222"/>
      <c r="PDP13" s="222"/>
      <c r="PDQ13" s="222"/>
      <c r="PDR13" s="222"/>
      <c r="PDS13" s="222"/>
      <c r="PDT13" s="222"/>
      <c r="PDU13" s="222"/>
      <c r="PDV13" s="222"/>
      <c r="PDW13" s="222"/>
      <c r="PDX13" s="222"/>
      <c r="PDY13" s="222"/>
      <c r="PDZ13" s="222"/>
      <c r="PEA13" s="222"/>
      <c r="PEB13" s="222"/>
      <c r="PEC13" s="222"/>
      <c r="PED13" s="222"/>
      <c r="PEE13" s="222"/>
      <c r="PEF13" s="222"/>
      <c r="PEG13" s="222"/>
      <c r="PEH13" s="222"/>
      <c r="PEI13" s="222"/>
      <c r="PEJ13" s="222"/>
      <c r="PEK13" s="222"/>
      <c r="PEL13" s="222"/>
      <c r="PEM13" s="222"/>
      <c r="PEN13" s="222"/>
      <c r="PEO13" s="222"/>
      <c r="PEP13" s="222"/>
      <c r="PEQ13" s="222"/>
      <c r="PER13" s="222"/>
      <c r="PES13" s="222"/>
      <c r="PET13" s="222"/>
      <c r="PEU13" s="222"/>
      <c r="PEV13" s="222"/>
      <c r="PEW13" s="222"/>
      <c r="PEX13" s="222"/>
      <c r="PEY13" s="222"/>
      <c r="PEZ13" s="222"/>
      <c r="PFA13" s="222"/>
      <c r="PFB13" s="222"/>
      <c r="PFC13" s="222"/>
      <c r="PFD13" s="222"/>
      <c r="PFE13" s="222"/>
      <c r="PFF13" s="222"/>
      <c r="PFG13" s="222"/>
      <c r="PFH13" s="222"/>
      <c r="PFI13" s="222"/>
      <c r="PFJ13" s="222"/>
      <c r="PFK13" s="222"/>
      <c r="PFL13" s="222"/>
      <c r="PFM13" s="222"/>
      <c r="PFN13" s="222"/>
      <c r="PFO13" s="222"/>
      <c r="PFP13" s="222"/>
      <c r="PFQ13" s="222"/>
      <c r="PFR13" s="222"/>
      <c r="PFS13" s="222"/>
      <c r="PFT13" s="222"/>
      <c r="PFU13" s="222"/>
      <c r="PFV13" s="222"/>
      <c r="PFW13" s="222"/>
      <c r="PFX13" s="222"/>
      <c r="PFY13" s="222"/>
      <c r="PFZ13" s="222"/>
      <c r="PGA13" s="222"/>
      <c r="PGB13" s="222"/>
      <c r="PGC13" s="222"/>
      <c r="PGD13" s="222"/>
      <c r="PGE13" s="222"/>
      <c r="PGF13" s="222"/>
      <c r="PGG13" s="222"/>
      <c r="PGH13" s="222"/>
      <c r="PGI13" s="222"/>
      <c r="PGJ13" s="222"/>
      <c r="PGK13" s="222"/>
      <c r="PGL13" s="222"/>
      <c r="PGM13" s="222"/>
      <c r="PGN13" s="222"/>
      <c r="PGO13" s="222"/>
      <c r="PGP13" s="222"/>
      <c r="PGQ13" s="222"/>
      <c r="PGR13" s="222"/>
      <c r="PGS13" s="222"/>
      <c r="PGT13" s="222"/>
      <c r="PGU13" s="222"/>
      <c r="PGV13" s="222"/>
      <c r="PGW13" s="222"/>
      <c r="PGX13" s="222"/>
      <c r="PGY13" s="222"/>
      <c r="PGZ13" s="222"/>
      <c r="PHA13" s="222"/>
      <c r="PHB13" s="222"/>
      <c r="PHC13" s="222"/>
      <c r="PHD13" s="222"/>
      <c r="PHE13" s="222"/>
      <c r="PHF13" s="222"/>
      <c r="PHG13" s="222"/>
      <c r="PHH13" s="222"/>
      <c r="PHI13" s="222"/>
      <c r="PHJ13" s="222"/>
      <c r="PHK13" s="222"/>
      <c r="PHL13" s="222"/>
      <c r="PHM13" s="222"/>
      <c r="PHN13" s="222"/>
      <c r="PHO13" s="222"/>
      <c r="PHP13" s="222"/>
      <c r="PHQ13" s="222"/>
      <c r="PHR13" s="222"/>
      <c r="PHS13" s="222"/>
      <c r="PHT13" s="222"/>
      <c r="PHU13" s="222"/>
      <c r="PHV13" s="222"/>
      <c r="PHW13" s="222"/>
      <c r="PHX13" s="222"/>
      <c r="PHY13" s="222"/>
      <c r="PHZ13" s="222"/>
      <c r="PIA13" s="222"/>
      <c r="PIB13" s="222"/>
      <c r="PIC13" s="222"/>
      <c r="PID13" s="222"/>
      <c r="PIE13" s="222"/>
      <c r="PIF13" s="222"/>
      <c r="PIG13" s="222"/>
      <c r="PIH13" s="222"/>
      <c r="PII13" s="222"/>
      <c r="PIJ13" s="222"/>
      <c r="PIK13" s="222"/>
      <c r="PIL13" s="222"/>
      <c r="PIM13" s="222"/>
      <c r="PIN13" s="222"/>
      <c r="PIO13" s="222"/>
      <c r="PIP13" s="222"/>
      <c r="PIQ13" s="222"/>
      <c r="PIR13" s="222"/>
      <c r="PIS13" s="222"/>
      <c r="PIT13" s="222"/>
      <c r="PIU13" s="222"/>
      <c r="PIV13" s="222"/>
      <c r="PIW13" s="222"/>
      <c r="PIX13" s="222"/>
      <c r="PIY13" s="222"/>
      <c r="PIZ13" s="222"/>
      <c r="PJA13" s="222"/>
      <c r="PJB13" s="222"/>
      <c r="PJC13" s="222"/>
      <c r="PJD13" s="222"/>
      <c r="PJE13" s="222"/>
      <c r="PJF13" s="222"/>
      <c r="PJG13" s="222"/>
      <c r="PJH13" s="222"/>
      <c r="PJI13" s="222"/>
      <c r="PJJ13" s="222"/>
      <c r="PJK13" s="222"/>
      <c r="PJL13" s="222"/>
      <c r="PJM13" s="222"/>
      <c r="PJN13" s="222"/>
      <c r="PJO13" s="222"/>
      <c r="PJP13" s="222"/>
      <c r="PJQ13" s="222"/>
      <c r="PJR13" s="222"/>
      <c r="PJS13" s="222"/>
      <c r="PJT13" s="222"/>
      <c r="PJU13" s="222"/>
      <c r="PJV13" s="222"/>
      <c r="PJW13" s="222"/>
      <c r="PJX13" s="222"/>
      <c r="PJY13" s="222"/>
      <c r="PJZ13" s="222"/>
      <c r="PKA13" s="222"/>
      <c r="PKB13" s="222"/>
      <c r="PKC13" s="222"/>
      <c r="PKD13" s="222"/>
      <c r="PKE13" s="222"/>
      <c r="PKF13" s="222"/>
      <c r="PKG13" s="222"/>
      <c r="PKH13" s="222"/>
      <c r="PKI13" s="222"/>
      <c r="PKJ13" s="222"/>
      <c r="PKK13" s="222"/>
      <c r="PKL13" s="222"/>
      <c r="PKM13" s="222"/>
      <c r="PKN13" s="222"/>
      <c r="PKO13" s="222"/>
      <c r="PKP13" s="222"/>
      <c r="PKQ13" s="222"/>
      <c r="PKR13" s="222"/>
      <c r="PKS13" s="222"/>
      <c r="PKT13" s="222"/>
      <c r="PKU13" s="222"/>
      <c r="PKV13" s="222"/>
      <c r="PKW13" s="222"/>
      <c r="PKX13" s="222"/>
      <c r="PKY13" s="222"/>
      <c r="PKZ13" s="222"/>
      <c r="PLA13" s="222"/>
      <c r="PLB13" s="222"/>
      <c r="PLC13" s="222"/>
      <c r="PLD13" s="222"/>
      <c r="PLE13" s="222"/>
      <c r="PLF13" s="222"/>
      <c r="PLG13" s="222"/>
      <c r="PLH13" s="222"/>
      <c r="PLI13" s="222"/>
      <c r="PLJ13" s="222"/>
      <c r="PLK13" s="222"/>
      <c r="PLL13" s="222"/>
      <c r="PLM13" s="222"/>
      <c r="PLN13" s="222"/>
      <c r="PLO13" s="222"/>
      <c r="PLP13" s="222"/>
      <c r="PLQ13" s="222"/>
      <c r="PLR13" s="222"/>
      <c r="PLS13" s="222"/>
      <c r="PLT13" s="222"/>
      <c r="PLU13" s="222"/>
      <c r="PLV13" s="222"/>
      <c r="PLW13" s="222"/>
      <c r="PLX13" s="222"/>
      <c r="PLY13" s="222"/>
      <c r="PLZ13" s="222"/>
      <c r="PMA13" s="222"/>
      <c r="PMB13" s="222"/>
      <c r="PMC13" s="222"/>
      <c r="PMD13" s="222"/>
      <c r="PME13" s="222"/>
      <c r="PMF13" s="222"/>
      <c r="PMG13" s="222"/>
      <c r="PMH13" s="222"/>
      <c r="PMI13" s="222"/>
      <c r="PMJ13" s="222"/>
      <c r="PMK13" s="222"/>
      <c r="PML13" s="222"/>
      <c r="PMM13" s="222"/>
      <c r="PMN13" s="222"/>
      <c r="PMO13" s="222"/>
      <c r="PMP13" s="222"/>
      <c r="PMQ13" s="222"/>
      <c r="PMR13" s="222"/>
      <c r="PMS13" s="222"/>
      <c r="PMT13" s="222"/>
      <c r="PMU13" s="222"/>
      <c r="PMV13" s="222"/>
      <c r="PMW13" s="222"/>
      <c r="PMX13" s="222"/>
      <c r="PMY13" s="222"/>
      <c r="PMZ13" s="222"/>
      <c r="PNA13" s="222"/>
      <c r="PNB13" s="222"/>
      <c r="PNC13" s="222"/>
      <c r="PND13" s="222"/>
      <c r="PNE13" s="222"/>
      <c r="PNF13" s="222"/>
      <c r="PNG13" s="222"/>
      <c r="PNH13" s="222"/>
      <c r="PNI13" s="222"/>
      <c r="PNJ13" s="222"/>
      <c r="PNK13" s="222"/>
      <c r="PNL13" s="222"/>
      <c r="PNM13" s="222"/>
      <c r="PNN13" s="222"/>
      <c r="PNO13" s="222"/>
      <c r="PNP13" s="222"/>
      <c r="PNQ13" s="222"/>
      <c r="PNR13" s="222"/>
      <c r="PNS13" s="222"/>
      <c r="PNT13" s="222"/>
      <c r="PNU13" s="222"/>
      <c r="PNV13" s="222"/>
      <c r="PNW13" s="222"/>
      <c r="PNX13" s="222"/>
      <c r="PNY13" s="222"/>
      <c r="PNZ13" s="222"/>
      <c r="POA13" s="222"/>
      <c r="POB13" s="222"/>
      <c r="POC13" s="222"/>
      <c r="POD13" s="222"/>
      <c r="POE13" s="222"/>
      <c r="POF13" s="222"/>
      <c r="POG13" s="222"/>
      <c r="POH13" s="222"/>
      <c r="POI13" s="222"/>
      <c r="POJ13" s="222"/>
      <c r="POK13" s="222"/>
      <c r="POL13" s="222"/>
      <c r="POM13" s="222"/>
      <c r="PON13" s="222"/>
      <c r="POO13" s="222"/>
      <c r="POP13" s="222"/>
      <c r="POQ13" s="222"/>
      <c r="POR13" s="222"/>
      <c r="POS13" s="222"/>
      <c r="POT13" s="222"/>
      <c r="POU13" s="222"/>
      <c r="POV13" s="222"/>
      <c r="POW13" s="222"/>
      <c r="POX13" s="222"/>
      <c r="POY13" s="222"/>
      <c r="POZ13" s="222"/>
      <c r="PPA13" s="222"/>
      <c r="PPB13" s="222"/>
      <c r="PPC13" s="222"/>
      <c r="PPD13" s="222"/>
      <c r="PPE13" s="222"/>
      <c r="PPF13" s="222"/>
      <c r="PPG13" s="222"/>
      <c r="PPH13" s="222"/>
      <c r="PPI13" s="222"/>
      <c r="PPJ13" s="222"/>
      <c r="PPK13" s="222"/>
      <c r="PPL13" s="222"/>
      <c r="PPM13" s="222"/>
      <c r="PPN13" s="222"/>
      <c r="PPO13" s="222"/>
      <c r="PPP13" s="222"/>
      <c r="PPQ13" s="222"/>
      <c r="PPR13" s="222"/>
      <c r="PPS13" s="222"/>
      <c r="PPT13" s="222"/>
      <c r="PPU13" s="222"/>
      <c r="PPV13" s="222"/>
      <c r="PPW13" s="222"/>
      <c r="PPX13" s="222"/>
      <c r="PPY13" s="222"/>
      <c r="PPZ13" s="222"/>
      <c r="PQA13" s="222"/>
      <c r="PQB13" s="222"/>
      <c r="PQC13" s="222"/>
      <c r="PQD13" s="222"/>
      <c r="PQE13" s="222"/>
      <c r="PQF13" s="222"/>
      <c r="PQG13" s="222"/>
      <c r="PQH13" s="222"/>
      <c r="PQI13" s="222"/>
      <c r="PQJ13" s="222"/>
      <c r="PQK13" s="222"/>
      <c r="PQL13" s="222"/>
      <c r="PQM13" s="222"/>
      <c r="PQN13" s="222"/>
      <c r="PQO13" s="222"/>
      <c r="PQP13" s="222"/>
      <c r="PQQ13" s="222"/>
      <c r="PQR13" s="222"/>
      <c r="PQS13" s="222"/>
      <c r="PQT13" s="222"/>
      <c r="PQU13" s="222"/>
      <c r="PQV13" s="222"/>
      <c r="PQW13" s="222"/>
      <c r="PQX13" s="222"/>
      <c r="PQY13" s="222"/>
      <c r="PQZ13" s="222"/>
      <c r="PRA13" s="222"/>
      <c r="PRB13" s="222"/>
      <c r="PRC13" s="222"/>
      <c r="PRD13" s="222"/>
      <c r="PRE13" s="222"/>
      <c r="PRF13" s="222"/>
      <c r="PRG13" s="222"/>
      <c r="PRH13" s="222"/>
      <c r="PRI13" s="222"/>
      <c r="PRJ13" s="222"/>
      <c r="PRK13" s="222"/>
      <c r="PRL13" s="222"/>
      <c r="PRM13" s="222"/>
      <c r="PRN13" s="222"/>
      <c r="PRO13" s="222"/>
      <c r="PRP13" s="222"/>
      <c r="PRQ13" s="222"/>
      <c r="PRR13" s="222"/>
      <c r="PRS13" s="222"/>
      <c r="PRT13" s="222"/>
      <c r="PRU13" s="222"/>
      <c r="PRV13" s="222"/>
      <c r="PRW13" s="222"/>
      <c r="PRX13" s="222"/>
      <c r="PRY13" s="222"/>
      <c r="PRZ13" s="222"/>
      <c r="PSA13" s="222"/>
      <c r="PSB13" s="222"/>
      <c r="PSC13" s="222"/>
      <c r="PSD13" s="222"/>
      <c r="PSE13" s="222"/>
      <c r="PSF13" s="222"/>
      <c r="PSG13" s="222"/>
      <c r="PSH13" s="222"/>
      <c r="PSI13" s="222"/>
      <c r="PSJ13" s="222"/>
      <c r="PSK13" s="222"/>
      <c r="PSL13" s="222"/>
      <c r="PSM13" s="222"/>
      <c r="PSN13" s="222"/>
      <c r="PSO13" s="222"/>
      <c r="PSP13" s="222"/>
      <c r="PSQ13" s="222"/>
      <c r="PSR13" s="222"/>
      <c r="PSS13" s="222"/>
      <c r="PST13" s="222"/>
      <c r="PSU13" s="222"/>
      <c r="PSV13" s="222"/>
      <c r="PSW13" s="222"/>
      <c r="PSX13" s="222"/>
      <c r="PSY13" s="222"/>
      <c r="PSZ13" s="222"/>
      <c r="PTA13" s="222"/>
      <c r="PTB13" s="222"/>
      <c r="PTC13" s="222"/>
      <c r="PTD13" s="222"/>
      <c r="PTE13" s="222"/>
      <c r="PTF13" s="222"/>
      <c r="PTG13" s="222"/>
      <c r="PTH13" s="222"/>
      <c r="PTI13" s="222"/>
      <c r="PTJ13" s="222"/>
      <c r="PTK13" s="222"/>
      <c r="PTL13" s="222"/>
      <c r="PTM13" s="222"/>
      <c r="PTN13" s="222"/>
      <c r="PTO13" s="222"/>
      <c r="PTP13" s="222"/>
      <c r="PTQ13" s="222"/>
      <c r="PTR13" s="222"/>
      <c r="PTS13" s="222"/>
      <c r="PTT13" s="222"/>
      <c r="PTU13" s="222"/>
      <c r="PTV13" s="222"/>
      <c r="PTW13" s="222"/>
      <c r="PTX13" s="222"/>
      <c r="PTY13" s="222"/>
      <c r="PTZ13" s="222"/>
      <c r="PUA13" s="222"/>
      <c r="PUB13" s="222"/>
      <c r="PUC13" s="222"/>
      <c r="PUD13" s="222"/>
      <c r="PUE13" s="222"/>
      <c r="PUF13" s="222"/>
      <c r="PUG13" s="222"/>
      <c r="PUH13" s="222"/>
      <c r="PUI13" s="222"/>
      <c r="PUJ13" s="222"/>
      <c r="PUK13" s="222"/>
      <c r="PUL13" s="222"/>
      <c r="PUM13" s="222"/>
      <c r="PUN13" s="222"/>
      <c r="PUO13" s="222"/>
      <c r="PUP13" s="222"/>
      <c r="PUQ13" s="222"/>
      <c r="PUR13" s="222"/>
      <c r="PUS13" s="222"/>
      <c r="PUT13" s="222"/>
      <c r="PUU13" s="222"/>
      <c r="PUV13" s="222"/>
      <c r="PUW13" s="222"/>
      <c r="PUX13" s="222"/>
      <c r="PUY13" s="222"/>
      <c r="PUZ13" s="222"/>
      <c r="PVA13" s="222"/>
      <c r="PVB13" s="222"/>
      <c r="PVC13" s="222"/>
      <c r="PVD13" s="222"/>
      <c r="PVE13" s="222"/>
      <c r="PVF13" s="222"/>
      <c r="PVG13" s="222"/>
      <c r="PVH13" s="222"/>
      <c r="PVI13" s="222"/>
      <c r="PVJ13" s="222"/>
      <c r="PVK13" s="222"/>
      <c r="PVL13" s="222"/>
      <c r="PVM13" s="222"/>
      <c r="PVN13" s="222"/>
      <c r="PVO13" s="222"/>
      <c r="PVP13" s="222"/>
      <c r="PVQ13" s="222"/>
      <c r="PVR13" s="222"/>
      <c r="PVS13" s="222"/>
      <c r="PVT13" s="222"/>
      <c r="PVU13" s="222"/>
      <c r="PVV13" s="222"/>
      <c r="PVW13" s="222"/>
      <c r="PVX13" s="222"/>
      <c r="PVY13" s="222"/>
      <c r="PVZ13" s="222"/>
      <c r="PWA13" s="222"/>
      <c r="PWB13" s="222"/>
      <c r="PWC13" s="222"/>
      <c r="PWD13" s="222"/>
      <c r="PWE13" s="222"/>
      <c r="PWF13" s="222"/>
      <c r="PWG13" s="222"/>
      <c r="PWH13" s="222"/>
      <c r="PWI13" s="222"/>
      <c r="PWJ13" s="222"/>
      <c r="PWK13" s="222"/>
      <c r="PWL13" s="222"/>
      <c r="PWM13" s="222"/>
      <c r="PWN13" s="222"/>
      <c r="PWO13" s="222"/>
      <c r="PWP13" s="222"/>
      <c r="PWQ13" s="222"/>
      <c r="PWR13" s="222"/>
      <c r="PWS13" s="222"/>
      <c r="PWT13" s="222"/>
      <c r="PWU13" s="222"/>
      <c r="PWV13" s="222"/>
      <c r="PWW13" s="222"/>
      <c r="PWX13" s="222"/>
      <c r="PWY13" s="222"/>
      <c r="PWZ13" s="222"/>
      <c r="PXA13" s="222"/>
      <c r="PXB13" s="222"/>
      <c r="PXC13" s="222"/>
      <c r="PXD13" s="222"/>
      <c r="PXE13" s="222"/>
      <c r="PXF13" s="222"/>
      <c r="PXG13" s="222"/>
      <c r="PXH13" s="222"/>
      <c r="PXI13" s="222"/>
      <c r="PXJ13" s="222"/>
      <c r="PXK13" s="222"/>
      <c r="PXL13" s="222"/>
      <c r="PXM13" s="222"/>
      <c r="PXN13" s="222"/>
      <c r="PXO13" s="222"/>
      <c r="PXP13" s="222"/>
      <c r="PXQ13" s="222"/>
      <c r="PXR13" s="222"/>
      <c r="PXS13" s="222"/>
      <c r="PXT13" s="222"/>
      <c r="PXU13" s="222"/>
      <c r="PXV13" s="222"/>
      <c r="PXW13" s="222"/>
      <c r="PXX13" s="222"/>
      <c r="PXY13" s="222"/>
      <c r="PXZ13" s="222"/>
      <c r="PYA13" s="222"/>
      <c r="PYB13" s="222"/>
      <c r="PYC13" s="222"/>
      <c r="PYD13" s="222"/>
      <c r="PYE13" s="222"/>
      <c r="PYF13" s="222"/>
      <c r="PYG13" s="222"/>
      <c r="PYH13" s="222"/>
      <c r="PYI13" s="222"/>
      <c r="PYJ13" s="222"/>
      <c r="PYK13" s="222"/>
      <c r="PYL13" s="222"/>
      <c r="PYM13" s="222"/>
      <c r="PYN13" s="222"/>
      <c r="PYO13" s="222"/>
      <c r="PYP13" s="222"/>
      <c r="PYQ13" s="222"/>
      <c r="PYR13" s="222"/>
      <c r="PYS13" s="222"/>
      <c r="PYT13" s="222"/>
      <c r="PYU13" s="222"/>
      <c r="PYV13" s="222"/>
      <c r="PYW13" s="222"/>
      <c r="PYX13" s="222"/>
      <c r="PYY13" s="222"/>
      <c r="PYZ13" s="222"/>
      <c r="PZA13" s="222"/>
      <c r="PZB13" s="222"/>
      <c r="PZC13" s="222"/>
      <c r="PZD13" s="222"/>
      <c r="PZE13" s="222"/>
      <c r="PZF13" s="222"/>
      <c r="PZG13" s="222"/>
      <c r="PZH13" s="222"/>
      <c r="PZI13" s="222"/>
      <c r="PZJ13" s="222"/>
      <c r="PZK13" s="222"/>
      <c r="PZL13" s="222"/>
      <c r="PZM13" s="222"/>
      <c r="PZN13" s="222"/>
      <c r="PZO13" s="222"/>
      <c r="PZP13" s="222"/>
      <c r="PZQ13" s="222"/>
      <c r="PZR13" s="222"/>
      <c r="PZS13" s="222"/>
      <c r="PZT13" s="222"/>
      <c r="PZU13" s="222"/>
      <c r="PZV13" s="222"/>
      <c r="PZW13" s="222"/>
      <c r="PZX13" s="222"/>
      <c r="PZY13" s="222"/>
      <c r="PZZ13" s="222"/>
      <c r="QAA13" s="222"/>
      <c r="QAB13" s="222"/>
      <c r="QAC13" s="222"/>
      <c r="QAD13" s="222"/>
      <c r="QAE13" s="222"/>
      <c r="QAF13" s="222"/>
      <c r="QAG13" s="222"/>
      <c r="QAH13" s="222"/>
      <c r="QAI13" s="222"/>
      <c r="QAJ13" s="222"/>
      <c r="QAK13" s="222"/>
      <c r="QAL13" s="222"/>
      <c r="QAM13" s="222"/>
      <c r="QAN13" s="222"/>
      <c r="QAO13" s="222"/>
      <c r="QAP13" s="222"/>
      <c r="QAQ13" s="222"/>
      <c r="QAR13" s="222"/>
      <c r="QAS13" s="222"/>
      <c r="QAT13" s="222"/>
      <c r="QAU13" s="222"/>
      <c r="QAV13" s="222"/>
      <c r="QAW13" s="222"/>
      <c r="QAX13" s="222"/>
      <c r="QAY13" s="222"/>
      <c r="QAZ13" s="222"/>
      <c r="QBA13" s="222"/>
      <c r="QBB13" s="222"/>
      <c r="QBC13" s="222"/>
      <c r="QBD13" s="222"/>
      <c r="QBE13" s="222"/>
      <c r="QBF13" s="222"/>
      <c r="QBG13" s="222"/>
      <c r="QBH13" s="222"/>
      <c r="QBI13" s="222"/>
      <c r="QBJ13" s="222"/>
      <c r="QBK13" s="222"/>
      <c r="QBL13" s="222"/>
      <c r="QBM13" s="222"/>
      <c r="QBN13" s="222"/>
      <c r="QBO13" s="222"/>
      <c r="QBP13" s="222"/>
      <c r="QBQ13" s="222"/>
      <c r="QBR13" s="222"/>
      <c r="QBS13" s="222"/>
      <c r="QBT13" s="222"/>
      <c r="QBU13" s="222"/>
      <c r="QBV13" s="222"/>
      <c r="QBW13" s="222"/>
      <c r="QBX13" s="222"/>
      <c r="QBY13" s="222"/>
      <c r="QBZ13" s="222"/>
      <c r="QCA13" s="222"/>
      <c r="QCB13" s="222"/>
      <c r="QCC13" s="222"/>
      <c r="QCD13" s="222"/>
      <c r="QCE13" s="222"/>
      <c r="QCF13" s="222"/>
      <c r="QCG13" s="222"/>
      <c r="QCH13" s="222"/>
      <c r="QCI13" s="222"/>
      <c r="QCJ13" s="222"/>
      <c r="QCK13" s="222"/>
      <c r="QCL13" s="222"/>
      <c r="QCM13" s="222"/>
      <c r="QCN13" s="222"/>
      <c r="QCO13" s="222"/>
      <c r="QCP13" s="222"/>
      <c r="QCQ13" s="222"/>
      <c r="QCR13" s="222"/>
      <c r="QCS13" s="222"/>
      <c r="QCT13" s="222"/>
      <c r="QCU13" s="222"/>
      <c r="QCV13" s="222"/>
      <c r="QCW13" s="222"/>
      <c r="QCX13" s="222"/>
      <c r="QCY13" s="222"/>
      <c r="QCZ13" s="222"/>
      <c r="QDA13" s="222"/>
      <c r="QDB13" s="222"/>
      <c r="QDC13" s="222"/>
      <c r="QDD13" s="222"/>
      <c r="QDE13" s="222"/>
      <c r="QDF13" s="222"/>
      <c r="QDG13" s="222"/>
      <c r="QDH13" s="222"/>
      <c r="QDI13" s="222"/>
      <c r="QDJ13" s="222"/>
      <c r="QDK13" s="222"/>
      <c r="QDL13" s="222"/>
      <c r="QDM13" s="222"/>
      <c r="QDN13" s="222"/>
      <c r="QDO13" s="222"/>
      <c r="QDP13" s="222"/>
      <c r="QDQ13" s="222"/>
      <c r="QDR13" s="222"/>
      <c r="QDS13" s="222"/>
      <c r="QDT13" s="222"/>
      <c r="QDU13" s="222"/>
      <c r="QDV13" s="222"/>
      <c r="QDW13" s="222"/>
      <c r="QDX13" s="222"/>
      <c r="QDY13" s="222"/>
      <c r="QDZ13" s="222"/>
      <c r="QEA13" s="222"/>
      <c r="QEB13" s="222"/>
      <c r="QEC13" s="222"/>
      <c r="QED13" s="222"/>
      <c r="QEE13" s="222"/>
      <c r="QEF13" s="222"/>
      <c r="QEG13" s="222"/>
      <c r="QEH13" s="222"/>
      <c r="QEI13" s="222"/>
      <c r="QEJ13" s="222"/>
      <c r="QEK13" s="222"/>
      <c r="QEL13" s="222"/>
      <c r="QEM13" s="222"/>
      <c r="QEN13" s="222"/>
      <c r="QEO13" s="222"/>
      <c r="QEP13" s="222"/>
      <c r="QEQ13" s="222"/>
      <c r="QER13" s="222"/>
      <c r="QES13" s="222"/>
      <c r="QET13" s="222"/>
      <c r="QEU13" s="222"/>
      <c r="QEV13" s="222"/>
      <c r="QEW13" s="222"/>
      <c r="QEX13" s="222"/>
      <c r="QEY13" s="222"/>
      <c r="QEZ13" s="222"/>
      <c r="QFA13" s="222"/>
      <c r="QFB13" s="222"/>
      <c r="QFC13" s="222"/>
      <c r="QFD13" s="222"/>
      <c r="QFE13" s="222"/>
      <c r="QFF13" s="222"/>
      <c r="QFG13" s="222"/>
      <c r="QFH13" s="222"/>
      <c r="QFI13" s="222"/>
      <c r="QFJ13" s="222"/>
      <c r="QFK13" s="222"/>
      <c r="QFL13" s="222"/>
      <c r="QFM13" s="222"/>
      <c r="QFN13" s="222"/>
      <c r="QFO13" s="222"/>
      <c r="QFP13" s="222"/>
      <c r="QFQ13" s="222"/>
      <c r="QFR13" s="222"/>
      <c r="QFS13" s="222"/>
      <c r="QFT13" s="222"/>
      <c r="QFU13" s="222"/>
      <c r="QFV13" s="222"/>
      <c r="QFW13" s="222"/>
      <c r="QFX13" s="222"/>
      <c r="QFY13" s="222"/>
      <c r="QFZ13" s="222"/>
      <c r="QGA13" s="222"/>
      <c r="QGB13" s="222"/>
      <c r="QGC13" s="222"/>
      <c r="QGD13" s="222"/>
      <c r="QGE13" s="222"/>
      <c r="QGF13" s="222"/>
      <c r="QGG13" s="222"/>
      <c r="QGH13" s="222"/>
      <c r="QGI13" s="222"/>
      <c r="QGJ13" s="222"/>
      <c r="QGK13" s="222"/>
      <c r="QGL13" s="222"/>
      <c r="QGM13" s="222"/>
      <c r="QGN13" s="222"/>
      <c r="QGO13" s="222"/>
      <c r="QGP13" s="222"/>
      <c r="QGQ13" s="222"/>
      <c r="QGR13" s="222"/>
      <c r="QGS13" s="222"/>
      <c r="QGT13" s="222"/>
      <c r="QGU13" s="222"/>
      <c r="QGV13" s="222"/>
      <c r="QGW13" s="222"/>
      <c r="QGX13" s="222"/>
      <c r="QGY13" s="222"/>
      <c r="QGZ13" s="222"/>
      <c r="QHA13" s="222"/>
      <c r="QHB13" s="222"/>
      <c r="QHC13" s="222"/>
      <c r="QHD13" s="222"/>
      <c r="QHE13" s="222"/>
      <c r="QHF13" s="222"/>
      <c r="QHG13" s="222"/>
      <c r="QHH13" s="222"/>
      <c r="QHI13" s="222"/>
      <c r="QHJ13" s="222"/>
      <c r="QHK13" s="222"/>
      <c r="QHL13" s="222"/>
      <c r="QHM13" s="222"/>
      <c r="QHN13" s="222"/>
      <c r="QHO13" s="222"/>
      <c r="QHP13" s="222"/>
      <c r="QHQ13" s="222"/>
      <c r="QHR13" s="222"/>
      <c r="QHS13" s="222"/>
      <c r="QHT13" s="222"/>
      <c r="QHU13" s="222"/>
      <c r="QHV13" s="222"/>
      <c r="QHW13" s="222"/>
      <c r="QHX13" s="222"/>
      <c r="QHY13" s="222"/>
      <c r="QHZ13" s="222"/>
      <c r="QIA13" s="222"/>
      <c r="QIB13" s="222"/>
      <c r="QIC13" s="222"/>
      <c r="QID13" s="222"/>
      <c r="QIE13" s="222"/>
      <c r="QIF13" s="222"/>
      <c r="QIG13" s="222"/>
      <c r="QIH13" s="222"/>
      <c r="QII13" s="222"/>
      <c r="QIJ13" s="222"/>
      <c r="QIK13" s="222"/>
      <c r="QIL13" s="222"/>
      <c r="QIM13" s="222"/>
      <c r="QIN13" s="222"/>
      <c r="QIO13" s="222"/>
      <c r="QIP13" s="222"/>
      <c r="QIQ13" s="222"/>
      <c r="QIR13" s="222"/>
      <c r="QIS13" s="222"/>
      <c r="QIT13" s="222"/>
      <c r="QIU13" s="222"/>
      <c r="QIV13" s="222"/>
      <c r="QIW13" s="222"/>
      <c r="QIX13" s="222"/>
      <c r="QIY13" s="222"/>
      <c r="QIZ13" s="222"/>
      <c r="QJA13" s="222"/>
      <c r="QJB13" s="222"/>
      <c r="QJC13" s="222"/>
      <c r="QJD13" s="222"/>
      <c r="QJE13" s="222"/>
      <c r="QJF13" s="222"/>
      <c r="QJG13" s="222"/>
      <c r="QJH13" s="222"/>
      <c r="QJI13" s="222"/>
      <c r="QJJ13" s="222"/>
      <c r="QJK13" s="222"/>
      <c r="QJL13" s="222"/>
      <c r="QJM13" s="222"/>
      <c r="QJN13" s="222"/>
      <c r="QJO13" s="222"/>
      <c r="QJP13" s="222"/>
      <c r="QJQ13" s="222"/>
      <c r="QJR13" s="222"/>
      <c r="QJS13" s="222"/>
      <c r="QJT13" s="222"/>
      <c r="QJU13" s="222"/>
      <c r="QJV13" s="222"/>
      <c r="QJW13" s="222"/>
      <c r="QJX13" s="222"/>
      <c r="QJY13" s="222"/>
      <c r="QJZ13" s="222"/>
      <c r="QKA13" s="222"/>
      <c r="QKB13" s="222"/>
      <c r="QKC13" s="222"/>
      <c r="QKD13" s="222"/>
      <c r="QKE13" s="222"/>
      <c r="QKF13" s="222"/>
      <c r="QKG13" s="222"/>
      <c r="QKH13" s="222"/>
      <c r="QKI13" s="222"/>
      <c r="QKJ13" s="222"/>
      <c r="QKK13" s="222"/>
      <c r="QKL13" s="222"/>
      <c r="QKM13" s="222"/>
      <c r="QKN13" s="222"/>
      <c r="QKO13" s="222"/>
      <c r="QKP13" s="222"/>
      <c r="QKQ13" s="222"/>
      <c r="QKR13" s="222"/>
      <c r="QKS13" s="222"/>
      <c r="QKT13" s="222"/>
      <c r="QKU13" s="222"/>
      <c r="QKV13" s="222"/>
      <c r="QKW13" s="222"/>
      <c r="QKX13" s="222"/>
      <c r="QKY13" s="222"/>
      <c r="QKZ13" s="222"/>
      <c r="QLA13" s="222"/>
      <c r="QLB13" s="222"/>
      <c r="QLC13" s="222"/>
      <c r="QLD13" s="222"/>
      <c r="QLE13" s="222"/>
      <c r="QLF13" s="222"/>
      <c r="QLG13" s="222"/>
      <c r="QLH13" s="222"/>
      <c r="QLI13" s="222"/>
      <c r="QLJ13" s="222"/>
      <c r="QLK13" s="222"/>
      <c r="QLL13" s="222"/>
      <c r="QLM13" s="222"/>
      <c r="QLN13" s="222"/>
      <c r="QLO13" s="222"/>
      <c r="QLP13" s="222"/>
      <c r="QLQ13" s="222"/>
      <c r="QLR13" s="222"/>
      <c r="QLS13" s="222"/>
      <c r="QLT13" s="222"/>
      <c r="QLU13" s="222"/>
      <c r="QLV13" s="222"/>
      <c r="QLW13" s="222"/>
      <c r="QLX13" s="222"/>
      <c r="QLY13" s="222"/>
      <c r="QLZ13" s="222"/>
      <c r="QMA13" s="222"/>
      <c r="QMB13" s="222"/>
      <c r="QMC13" s="222"/>
      <c r="QMD13" s="222"/>
      <c r="QME13" s="222"/>
      <c r="QMF13" s="222"/>
      <c r="QMG13" s="222"/>
      <c r="QMH13" s="222"/>
      <c r="QMI13" s="222"/>
      <c r="QMJ13" s="222"/>
      <c r="QMK13" s="222"/>
      <c r="QML13" s="222"/>
      <c r="QMM13" s="222"/>
      <c r="QMN13" s="222"/>
      <c r="QMO13" s="222"/>
      <c r="QMP13" s="222"/>
      <c r="QMQ13" s="222"/>
      <c r="QMR13" s="222"/>
      <c r="QMS13" s="222"/>
      <c r="QMT13" s="222"/>
      <c r="QMU13" s="222"/>
      <c r="QMV13" s="222"/>
      <c r="QMW13" s="222"/>
      <c r="QMX13" s="222"/>
      <c r="QMY13" s="222"/>
      <c r="QMZ13" s="222"/>
      <c r="QNA13" s="222"/>
      <c r="QNB13" s="222"/>
      <c r="QNC13" s="222"/>
      <c r="QND13" s="222"/>
      <c r="QNE13" s="222"/>
      <c r="QNF13" s="222"/>
      <c r="QNG13" s="222"/>
      <c r="QNH13" s="222"/>
      <c r="QNI13" s="222"/>
      <c r="QNJ13" s="222"/>
      <c r="QNK13" s="222"/>
      <c r="QNL13" s="222"/>
      <c r="QNM13" s="222"/>
      <c r="QNN13" s="222"/>
      <c r="QNO13" s="222"/>
      <c r="QNP13" s="222"/>
      <c r="QNQ13" s="222"/>
      <c r="QNR13" s="222"/>
      <c r="QNS13" s="222"/>
      <c r="QNT13" s="222"/>
      <c r="QNU13" s="222"/>
      <c r="QNV13" s="222"/>
      <c r="QNW13" s="222"/>
      <c r="QNX13" s="222"/>
      <c r="QNY13" s="222"/>
      <c r="QNZ13" s="222"/>
      <c r="QOA13" s="222"/>
      <c r="QOB13" s="222"/>
      <c r="QOC13" s="222"/>
      <c r="QOD13" s="222"/>
      <c r="QOE13" s="222"/>
      <c r="QOF13" s="222"/>
      <c r="QOG13" s="222"/>
      <c r="QOH13" s="222"/>
      <c r="QOI13" s="222"/>
      <c r="QOJ13" s="222"/>
      <c r="QOK13" s="222"/>
      <c r="QOL13" s="222"/>
      <c r="QOM13" s="222"/>
      <c r="QON13" s="222"/>
      <c r="QOO13" s="222"/>
      <c r="QOP13" s="222"/>
      <c r="QOQ13" s="222"/>
      <c r="QOR13" s="222"/>
      <c r="QOS13" s="222"/>
      <c r="QOT13" s="222"/>
      <c r="QOU13" s="222"/>
      <c r="QOV13" s="222"/>
      <c r="QOW13" s="222"/>
      <c r="QOX13" s="222"/>
      <c r="QOY13" s="222"/>
      <c r="QOZ13" s="222"/>
      <c r="QPA13" s="222"/>
      <c r="QPB13" s="222"/>
      <c r="QPC13" s="222"/>
      <c r="QPD13" s="222"/>
      <c r="QPE13" s="222"/>
      <c r="QPF13" s="222"/>
      <c r="QPG13" s="222"/>
      <c r="QPH13" s="222"/>
      <c r="QPI13" s="222"/>
      <c r="QPJ13" s="222"/>
      <c r="QPK13" s="222"/>
      <c r="QPL13" s="222"/>
      <c r="QPM13" s="222"/>
      <c r="QPN13" s="222"/>
      <c r="QPO13" s="222"/>
      <c r="QPP13" s="222"/>
      <c r="QPQ13" s="222"/>
      <c r="QPR13" s="222"/>
      <c r="QPS13" s="222"/>
      <c r="QPT13" s="222"/>
      <c r="QPU13" s="222"/>
      <c r="QPV13" s="222"/>
      <c r="QPW13" s="222"/>
      <c r="QPX13" s="222"/>
      <c r="QPY13" s="222"/>
      <c r="QPZ13" s="222"/>
      <c r="QQA13" s="222"/>
      <c r="QQB13" s="222"/>
      <c r="QQC13" s="222"/>
      <c r="QQD13" s="222"/>
      <c r="QQE13" s="222"/>
      <c r="QQF13" s="222"/>
      <c r="QQG13" s="222"/>
      <c r="QQH13" s="222"/>
      <c r="QQI13" s="222"/>
      <c r="QQJ13" s="222"/>
      <c r="QQK13" s="222"/>
      <c r="QQL13" s="222"/>
      <c r="QQM13" s="222"/>
      <c r="QQN13" s="222"/>
      <c r="QQO13" s="222"/>
      <c r="QQP13" s="222"/>
      <c r="QQQ13" s="222"/>
      <c r="QQR13" s="222"/>
      <c r="QQS13" s="222"/>
      <c r="QQT13" s="222"/>
      <c r="QQU13" s="222"/>
      <c r="QQV13" s="222"/>
      <c r="QQW13" s="222"/>
      <c r="QQX13" s="222"/>
      <c r="QQY13" s="222"/>
      <c r="QQZ13" s="222"/>
      <c r="QRA13" s="222"/>
      <c r="QRB13" s="222"/>
      <c r="QRC13" s="222"/>
      <c r="QRD13" s="222"/>
      <c r="QRE13" s="222"/>
      <c r="QRF13" s="222"/>
      <c r="QRG13" s="222"/>
      <c r="QRH13" s="222"/>
      <c r="QRI13" s="222"/>
      <c r="QRJ13" s="222"/>
      <c r="QRK13" s="222"/>
      <c r="QRL13" s="222"/>
      <c r="QRM13" s="222"/>
      <c r="QRN13" s="222"/>
      <c r="QRO13" s="222"/>
      <c r="QRP13" s="222"/>
      <c r="QRQ13" s="222"/>
      <c r="QRR13" s="222"/>
      <c r="QRS13" s="222"/>
      <c r="QRT13" s="222"/>
      <c r="QRU13" s="222"/>
      <c r="QRV13" s="222"/>
      <c r="QRW13" s="222"/>
      <c r="QRX13" s="222"/>
      <c r="QRY13" s="222"/>
      <c r="QRZ13" s="222"/>
      <c r="QSA13" s="222"/>
      <c r="QSB13" s="222"/>
      <c r="QSC13" s="222"/>
      <c r="QSD13" s="222"/>
      <c r="QSE13" s="222"/>
      <c r="QSF13" s="222"/>
      <c r="QSG13" s="222"/>
      <c r="QSH13" s="222"/>
      <c r="QSI13" s="222"/>
      <c r="QSJ13" s="222"/>
      <c r="QSK13" s="222"/>
      <c r="QSL13" s="222"/>
      <c r="QSM13" s="222"/>
      <c r="QSN13" s="222"/>
      <c r="QSO13" s="222"/>
      <c r="QSP13" s="222"/>
      <c r="QSQ13" s="222"/>
      <c r="QSR13" s="222"/>
      <c r="QSS13" s="222"/>
      <c r="QST13" s="222"/>
      <c r="QSU13" s="222"/>
      <c r="QSV13" s="222"/>
      <c r="QSW13" s="222"/>
      <c r="QSX13" s="222"/>
      <c r="QSY13" s="222"/>
      <c r="QSZ13" s="222"/>
      <c r="QTA13" s="222"/>
      <c r="QTB13" s="222"/>
      <c r="QTC13" s="222"/>
      <c r="QTD13" s="222"/>
      <c r="QTE13" s="222"/>
      <c r="QTF13" s="222"/>
      <c r="QTG13" s="222"/>
      <c r="QTH13" s="222"/>
      <c r="QTI13" s="222"/>
      <c r="QTJ13" s="222"/>
      <c r="QTK13" s="222"/>
      <c r="QTL13" s="222"/>
      <c r="QTM13" s="222"/>
      <c r="QTN13" s="222"/>
      <c r="QTO13" s="222"/>
      <c r="QTP13" s="222"/>
      <c r="QTQ13" s="222"/>
      <c r="QTR13" s="222"/>
      <c r="QTS13" s="222"/>
      <c r="QTT13" s="222"/>
      <c r="QTU13" s="222"/>
      <c r="QTV13" s="222"/>
      <c r="QTW13" s="222"/>
      <c r="QTX13" s="222"/>
      <c r="QTY13" s="222"/>
      <c r="QTZ13" s="222"/>
      <c r="QUA13" s="222"/>
      <c r="QUB13" s="222"/>
      <c r="QUC13" s="222"/>
      <c r="QUD13" s="222"/>
      <c r="QUE13" s="222"/>
      <c r="QUF13" s="222"/>
      <c r="QUG13" s="222"/>
      <c r="QUH13" s="222"/>
      <c r="QUI13" s="222"/>
      <c r="QUJ13" s="222"/>
      <c r="QUK13" s="222"/>
      <c r="QUL13" s="222"/>
      <c r="QUM13" s="222"/>
      <c r="QUN13" s="222"/>
      <c r="QUO13" s="222"/>
      <c r="QUP13" s="222"/>
      <c r="QUQ13" s="222"/>
      <c r="QUR13" s="222"/>
      <c r="QUS13" s="222"/>
      <c r="QUT13" s="222"/>
      <c r="QUU13" s="222"/>
      <c r="QUV13" s="222"/>
      <c r="QUW13" s="222"/>
      <c r="QUX13" s="222"/>
      <c r="QUY13" s="222"/>
      <c r="QUZ13" s="222"/>
      <c r="QVA13" s="222"/>
      <c r="QVB13" s="222"/>
      <c r="QVC13" s="222"/>
      <c r="QVD13" s="222"/>
      <c r="QVE13" s="222"/>
      <c r="QVF13" s="222"/>
      <c r="QVG13" s="222"/>
      <c r="QVH13" s="222"/>
      <c r="QVI13" s="222"/>
      <c r="QVJ13" s="222"/>
      <c r="QVK13" s="222"/>
      <c r="QVL13" s="222"/>
      <c r="QVM13" s="222"/>
      <c r="QVN13" s="222"/>
      <c r="QVO13" s="222"/>
      <c r="QVP13" s="222"/>
      <c r="QVQ13" s="222"/>
      <c r="QVR13" s="222"/>
      <c r="QVS13" s="222"/>
      <c r="QVT13" s="222"/>
      <c r="QVU13" s="222"/>
      <c r="QVV13" s="222"/>
      <c r="QVW13" s="222"/>
      <c r="QVX13" s="222"/>
      <c r="QVY13" s="222"/>
      <c r="QVZ13" s="222"/>
      <c r="QWA13" s="222"/>
      <c r="QWB13" s="222"/>
      <c r="QWC13" s="222"/>
      <c r="QWD13" s="222"/>
      <c r="QWE13" s="222"/>
      <c r="QWF13" s="222"/>
      <c r="QWG13" s="222"/>
      <c r="QWH13" s="222"/>
      <c r="QWI13" s="222"/>
      <c r="QWJ13" s="222"/>
      <c r="QWK13" s="222"/>
      <c r="QWL13" s="222"/>
      <c r="QWM13" s="222"/>
      <c r="QWN13" s="222"/>
      <c r="QWO13" s="222"/>
      <c r="QWP13" s="222"/>
      <c r="QWQ13" s="222"/>
      <c r="QWR13" s="222"/>
      <c r="QWS13" s="222"/>
      <c r="QWT13" s="222"/>
      <c r="QWU13" s="222"/>
      <c r="QWV13" s="222"/>
      <c r="QWW13" s="222"/>
      <c r="QWX13" s="222"/>
      <c r="QWY13" s="222"/>
      <c r="QWZ13" s="222"/>
      <c r="QXA13" s="222"/>
      <c r="QXB13" s="222"/>
      <c r="QXC13" s="222"/>
      <c r="QXD13" s="222"/>
      <c r="QXE13" s="222"/>
      <c r="QXF13" s="222"/>
      <c r="QXG13" s="222"/>
      <c r="QXH13" s="222"/>
      <c r="QXI13" s="222"/>
      <c r="QXJ13" s="222"/>
      <c r="QXK13" s="222"/>
      <c r="QXL13" s="222"/>
      <c r="QXM13" s="222"/>
      <c r="QXN13" s="222"/>
      <c r="QXO13" s="222"/>
      <c r="QXP13" s="222"/>
      <c r="QXQ13" s="222"/>
      <c r="QXR13" s="222"/>
      <c r="QXS13" s="222"/>
      <c r="QXT13" s="222"/>
      <c r="QXU13" s="222"/>
      <c r="QXV13" s="222"/>
      <c r="QXW13" s="222"/>
      <c r="QXX13" s="222"/>
      <c r="QXY13" s="222"/>
      <c r="QXZ13" s="222"/>
      <c r="QYA13" s="222"/>
      <c r="QYB13" s="222"/>
      <c r="QYC13" s="222"/>
      <c r="QYD13" s="222"/>
      <c r="QYE13" s="222"/>
      <c r="QYF13" s="222"/>
      <c r="QYG13" s="222"/>
      <c r="QYH13" s="222"/>
      <c r="QYI13" s="222"/>
      <c r="QYJ13" s="222"/>
      <c r="QYK13" s="222"/>
      <c r="QYL13" s="222"/>
      <c r="QYM13" s="222"/>
      <c r="QYN13" s="222"/>
      <c r="QYO13" s="222"/>
      <c r="QYP13" s="222"/>
      <c r="QYQ13" s="222"/>
      <c r="QYR13" s="222"/>
      <c r="QYS13" s="222"/>
      <c r="QYT13" s="222"/>
      <c r="QYU13" s="222"/>
      <c r="QYV13" s="222"/>
      <c r="QYW13" s="222"/>
      <c r="QYX13" s="222"/>
      <c r="QYY13" s="222"/>
      <c r="QYZ13" s="222"/>
      <c r="QZA13" s="222"/>
      <c r="QZB13" s="222"/>
      <c r="QZC13" s="222"/>
      <c r="QZD13" s="222"/>
      <c r="QZE13" s="222"/>
      <c r="QZF13" s="222"/>
      <c r="QZG13" s="222"/>
      <c r="QZH13" s="222"/>
      <c r="QZI13" s="222"/>
      <c r="QZJ13" s="222"/>
      <c r="QZK13" s="222"/>
      <c r="QZL13" s="222"/>
      <c r="QZM13" s="222"/>
      <c r="QZN13" s="222"/>
      <c r="QZO13" s="222"/>
      <c r="QZP13" s="222"/>
      <c r="QZQ13" s="222"/>
      <c r="QZR13" s="222"/>
      <c r="QZS13" s="222"/>
      <c r="QZT13" s="222"/>
      <c r="QZU13" s="222"/>
      <c r="QZV13" s="222"/>
      <c r="QZW13" s="222"/>
      <c r="QZX13" s="222"/>
      <c r="QZY13" s="222"/>
      <c r="QZZ13" s="222"/>
      <c r="RAA13" s="222"/>
      <c r="RAB13" s="222"/>
      <c r="RAC13" s="222"/>
      <c r="RAD13" s="222"/>
      <c r="RAE13" s="222"/>
      <c r="RAF13" s="222"/>
      <c r="RAG13" s="222"/>
      <c r="RAH13" s="222"/>
      <c r="RAI13" s="222"/>
      <c r="RAJ13" s="222"/>
      <c r="RAK13" s="222"/>
      <c r="RAL13" s="222"/>
      <c r="RAM13" s="222"/>
      <c r="RAN13" s="222"/>
      <c r="RAO13" s="222"/>
      <c r="RAP13" s="222"/>
      <c r="RAQ13" s="222"/>
      <c r="RAR13" s="222"/>
      <c r="RAS13" s="222"/>
      <c r="RAT13" s="222"/>
      <c r="RAU13" s="222"/>
      <c r="RAV13" s="222"/>
      <c r="RAW13" s="222"/>
      <c r="RAX13" s="222"/>
      <c r="RAY13" s="222"/>
      <c r="RAZ13" s="222"/>
      <c r="RBA13" s="222"/>
      <c r="RBB13" s="222"/>
      <c r="RBC13" s="222"/>
      <c r="RBD13" s="222"/>
      <c r="RBE13" s="222"/>
      <c r="RBF13" s="222"/>
      <c r="RBG13" s="222"/>
      <c r="RBH13" s="222"/>
      <c r="RBI13" s="222"/>
      <c r="RBJ13" s="222"/>
      <c r="RBK13" s="222"/>
      <c r="RBL13" s="222"/>
      <c r="RBM13" s="222"/>
      <c r="RBN13" s="222"/>
      <c r="RBO13" s="222"/>
      <c r="RBP13" s="222"/>
      <c r="RBQ13" s="222"/>
      <c r="RBR13" s="222"/>
      <c r="RBS13" s="222"/>
      <c r="RBT13" s="222"/>
      <c r="RBU13" s="222"/>
      <c r="RBV13" s="222"/>
      <c r="RBW13" s="222"/>
      <c r="RBX13" s="222"/>
      <c r="RBY13" s="222"/>
      <c r="RBZ13" s="222"/>
      <c r="RCA13" s="222"/>
      <c r="RCB13" s="222"/>
      <c r="RCC13" s="222"/>
      <c r="RCD13" s="222"/>
      <c r="RCE13" s="222"/>
      <c r="RCF13" s="222"/>
      <c r="RCG13" s="222"/>
      <c r="RCH13" s="222"/>
      <c r="RCI13" s="222"/>
      <c r="RCJ13" s="222"/>
      <c r="RCK13" s="222"/>
      <c r="RCL13" s="222"/>
      <c r="RCM13" s="222"/>
      <c r="RCN13" s="222"/>
      <c r="RCO13" s="222"/>
      <c r="RCP13" s="222"/>
      <c r="RCQ13" s="222"/>
      <c r="RCR13" s="222"/>
      <c r="RCS13" s="222"/>
      <c r="RCT13" s="222"/>
      <c r="RCU13" s="222"/>
      <c r="RCV13" s="222"/>
      <c r="RCW13" s="222"/>
      <c r="RCX13" s="222"/>
      <c r="RCY13" s="222"/>
      <c r="RCZ13" s="222"/>
      <c r="RDA13" s="222"/>
      <c r="RDB13" s="222"/>
      <c r="RDC13" s="222"/>
      <c r="RDD13" s="222"/>
      <c r="RDE13" s="222"/>
      <c r="RDF13" s="222"/>
      <c r="RDG13" s="222"/>
      <c r="RDH13" s="222"/>
      <c r="RDI13" s="222"/>
      <c r="RDJ13" s="222"/>
      <c r="RDK13" s="222"/>
      <c r="RDL13" s="222"/>
      <c r="RDM13" s="222"/>
      <c r="RDN13" s="222"/>
      <c r="RDO13" s="222"/>
      <c r="RDP13" s="222"/>
      <c r="RDQ13" s="222"/>
      <c r="RDR13" s="222"/>
      <c r="RDS13" s="222"/>
      <c r="RDT13" s="222"/>
      <c r="RDU13" s="222"/>
      <c r="RDV13" s="222"/>
      <c r="RDW13" s="222"/>
      <c r="RDX13" s="222"/>
      <c r="RDY13" s="222"/>
      <c r="RDZ13" s="222"/>
      <c r="REA13" s="222"/>
      <c r="REB13" s="222"/>
      <c r="REC13" s="222"/>
      <c r="RED13" s="222"/>
      <c r="REE13" s="222"/>
      <c r="REF13" s="222"/>
      <c r="REG13" s="222"/>
      <c r="REH13" s="222"/>
      <c r="REI13" s="222"/>
      <c r="REJ13" s="222"/>
      <c r="REK13" s="222"/>
      <c r="REL13" s="222"/>
      <c r="REM13" s="222"/>
      <c r="REN13" s="222"/>
      <c r="REO13" s="222"/>
      <c r="REP13" s="222"/>
      <c r="REQ13" s="222"/>
      <c r="RER13" s="222"/>
      <c r="RES13" s="222"/>
      <c r="RET13" s="222"/>
      <c r="REU13" s="222"/>
      <c r="REV13" s="222"/>
      <c r="REW13" s="222"/>
      <c r="REX13" s="222"/>
      <c r="REY13" s="222"/>
      <c r="REZ13" s="222"/>
      <c r="RFA13" s="222"/>
      <c r="RFB13" s="222"/>
      <c r="RFC13" s="222"/>
      <c r="RFD13" s="222"/>
      <c r="RFE13" s="222"/>
      <c r="RFF13" s="222"/>
      <c r="RFG13" s="222"/>
      <c r="RFH13" s="222"/>
      <c r="RFI13" s="222"/>
      <c r="RFJ13" s="222"/>
      <c r="RFK13" s="222"/>
      <c r="RFL13" s="222"/>
      <c r="RFM13" s="222"/>
      <c r="RFN13" s="222"/>
      <c r="RFO13" s="222"/>
      <c r="RFP13" s="222"/>
      <c r="RFQ13" s="222"/>
      <c r="RFR13" s="222"/>
      <c r="RFS13" s="222"/>
      <c r="RFT13" s="222"/>
      <c r="RFU13" s="222"/>
      <c r="RFV13" s="222"/>
      <c r="RFW13" s="222"/>
      <c r="RFX13" s="222"/>
      <c r="RFY13" s="222"/>
      <c r="RFZ13" s="222"/>
      <c r="RGA13" s="222"/>
      <c r="RGB13" s="222"/>
      <c r="RGC13" s="222"/>
      <c r="RGD13" s="222"/>
      <c r="RGE13" s="222"/>
      <c r="RGF13" s="222"/>
      <c r="RGG13" s="222"/>
      <c r="RGH13" s="222"/>
      <c r="RGI13" s="222"/>
      <c r="RGJ13" s="222"/>
      <c r="RGK13" s="222"/>
      <c r="RGL13" s="222"/>
      <c r="RGM13" s="222"/>
      <c r="RGN13" s="222"/>
      <c r="RGO13" s="222"/>
      <c r="RGP13" s="222"/>
      <c r="RGQ13" s="222"/>
      <c r="RGR13" s="222"/>
      <c r="RGS13" s="222"/>
      <c r="RGT13" s="222"/>
      <c r="RGU13" s="222"/>
      <c r="RGV13" s="222"/>
      <c r="RGW13" s="222"/>
      <c r="RGX13" s="222"/>
      <c r="RGY13" s="222"/>
      <c r="RGZ13" s="222"/>
      <c r="RHA13" s="222"/>
      <c r="RHB13" s="222"/>
      <c r="RHC13" s="222"/>
      <c r="RHD13" s="222"/>
      <c r="RHE13" s="222"/>
      <c r="RHF13" s="222"/>
      <c r="RHG13" s="222"/>
      <c r="RHH13" s="222"/>
      <c r="RHI13" s="222"/>
      <c r="RHJ13" s="222"/>
      <c r="RHK13" s="222"/>
      <c r="RHL13" s="222"/>
      <c r="RHM13" s="222"/>
      <c r="RHN13" s="222"/>
      <c r="RHO13" s="222"/>
      <c r="RHP13" s="222"/>
      <c r="RHQ13" s="222"/>
      <c r="RHR13" s="222"/>
      <c r="RHS13" s="222"/>
      <c r="RHT13" s="222"/>
      <c r="RHU13" s="222"/>
      <c r="RHV13" s="222"/>
      <c r="RHW13" s="222"/>
      <c r="RHX13" s="222"/>
      <c r="RHY13" s="222"/>
      <c r="RHZ13" s="222"/>
      <c r="RIA13" s="222"/>
      <c r="RIB13" s="222"/>
      <c r="RIC13" s="222"/>
      <c r="RID13" s="222"/>
      <c r="RIE13" s="222"/>
      <c r="RIF13" s="222"/>
      <c r="RIG13" s="222"/>
      <c r="RIH13" s="222"/>
      <c r="RII13" s="222"/>
      <c r="RIJ13" s="222"/>
      <c r="RIK13" s="222"/>
      <c r="RIL13" s="222"/>
      <c r="RIM13" s="222"/>
      <c r="RIN13" s="222"/>
      <c r="RIO13" s="222"/>
      <c r="RIP13" s="222"/>
      <c r="RIQ13" s="222"/>
      <c r="RIR13" s="222"/>
      <c r="RIS13" s="222"/>
      <c r="RIT13" s="222"/>
      <c r="RIU13" s="222"/>
      <c r="RIV13" s="222"/>
      <c r="RIW13" s="222"/>
      <c r="RIX13" s="222"/>
      <c r="RIY13" s="222"/>
      <c r="RIZ13" s="222"/>
      <c r="RJA13" s="222"/>
      <c r="RJB13" s="222"/>
      <c r="RJC13" s="222"/>
      <c r="RJD13" s="222"/>
      <c r="RJE13" s="222"/>
      <c r="RJF13" s="222"/>
      <c r="RJG13" s="222"/>
      <c r="RJH13" s="222"/>
      <c r="RJI13" s="222"/>
      <c r="RJJ13" s="222"/>
      <c r="RJK13" s="222"/>
      <c r="RJL13" s="222"/>
      <c r="RJM13" s="222"/>
      <c r="RJN13" s="222"/>
      <c r="RJO13" s="222"/>
      <c r="RJP13" s="222"/>
      <c r="RJQ13" s="222"/>
      <c r="RJR13" s="222"/>
      <c r="RJS13" s="222"/>
      <c r="RJT13" s="222"/>
      <c r="RJU13" s="222"/>
      <c r="RJV13" s="222"/>
      <c r="RJW13" s="222"/>
      <c r="RJX13" s="222"/>
      <c r="RJY13" s="222"/>
      <c r="RJZ13" s="222"/>
      <c r="RKA13" s="222"/>
      <c r="RKB13" s="222"/>
      <c r="RKC13" s="222"/>
      <c r="RKD13" s="222"/>
      <c r="RKE13" s="222"/>
      <c r="RKF13" s="222"/>
      <c r="RKG13" s="222"/>
      <c r="RKH13" s="222"/>
      <c r="RKI13" s="222"/>
      <c r="RKJ13" s="222"/>
      <c r="RKK13" s="222"/>
      <c r="RKL13" s="222"/>
      <c r="RKM13" s="222"/>
      <c r="RKN13" s="222"/>
      <c r="RKO13" s="222"/>
      <c r="RKP13" s="222"/>
      <c r="RKQ13" s="222"/>
      <c r="RKR13" s="222"/>
      <c r="RKS13" s="222"/>
      <c r="RKT13" s="222"/>
      <c r="RKU13" s="222"/>
      <c r="RKV13" s="222"/>
      <c r="RKW13" s="222"/>
      <c r="RKX13" s="222"/>
      <c r="RKY13" s="222"/>
      <c r="RKZ13" s="222"/>
      <c r="RLA13" s="222"/>
      <c r="RLB13" s="222"/>
      <c r="RLC13" s="222"/>
      <c r="RLD13" s="222"/>
      <c r="RLE13" s="222"/>
      <c r="RLF13" s="222"/>
      <c r="RLG13" s="222"/>
      <c r="RLH13" s="222"/>
      <c r="RLI13" s="222"/>
      <c r="RLJ13" s="222"/>
      <c r="RLK13" s="222"/>
      <c r="RLL13" s="222"/>
      <c r="RLM13" s="222"/>
      <c r="RLN13" s="222"/>
      <c r="RLO13" s="222"/>
      <c r="RLP13" s="222"/>
      <c r="RLQ13" s="222"/>
      <c r="RLR13" s="222"/>
      <c r="RLS13" s="222"/>
      <c r="RLT13" s="222"/>
      <c r="RLU13" s="222"/>
      <c r="RLV13" s="222"/>
      <c r="RLW13" s="222"/>
      <c r="RLX13" s="222"/>
      <c r="RLY13" s="222"/>
      <c r="RLZ13" s="222"/>
      <c r="RMA13" s="222"/>
      <c r="RMB13" s="222"/>
      <c r="RMC13" s="222"/>
      <c r="RMD13" s="222"/>
      <c r="RME13" s="222"/>
      <c r="RMF13" s="222"/>
      <c r="RMG13" s="222"/>
      <c r="RMH13" s="222"/>
      <c r="RMI13" s="222"/>
      <c r="RMJ13" s="222"/>
      <c r="RMK13" s="222"/>
      <c r="RML13" s="222"/>
      <c r="RMM13" s="222"/>
      <c r="RMN13" s="222"/>
      <c r="RMO13" s="222"/>
      <c r="RMP13" s="222"/>
      <c r="RMQ13" s="222"/>
      <c r="RMR13" s="222"/>
      <c r="RMS13" s="222"/>
      <c r="RMT13" s="222"/>
      <c r="RMU13" s="222"/>
      <c r="RMV13" s="222"/>
      <c r="RMW13" s="222"/>
      <c r="RMX13" s="222"/>
      <c r="RMY13" s="222"/>
      <c r="RMZ13" s="222"/>
      <c r="RNA13" s="222"/>
      <c r="RNB13" s="222"/>
      <c r="RNC13" s="222"/>
      <c r="RND13" s="222"/>
      <c r="RNE13" s="222"/>
      <c r="RNF13" s="222"/>
      <c r="RNG13" s="222"/>
      <c r="RNH13" s="222"/>
      <c r="RNI13" s="222"/>
      <c r="RNJ13" s="222"/>
      <c r="RNK13" s="222"/>
      <c r="RNL13" s="222"/>
      <c r="RNM13" s="222"/>
      <c r="RNN13" s="222"/>
      <c r="RNO13" s="222"/>
      <c r="RNP13" s="222"/>
      <c r="RNQ13" s="222"/>
      <c r="RNR13" s="222"/>
      <c r="RNS13" s="222"/>
      <c r="RNT13" s="222"/>
      <c r="RNU13" s="222"/>
      <c r="RNV13" s="222"/>
      <c r="RNW13" s="222"/>
      <c r="RNX13" s="222"/>
      <c r="RNY13" s="222"/>
      <c r="RNZ13" s="222"/>
      <c r="ROA13" s="222"/>
      <c r="ROB13" s="222"/>
      <c r="ROC13" s="222"/>
      <c r="ROD13" s="222"/>
      <c r="ROE13" s="222"/>
      <c r="ROF13" s="222"/>
      <c r="ROG13" s="222"/>
      <c r="ROH13" s="222"/>
      <c r="ROI13" s="222"/>
      <c r="ROJ13" s="222"/>
      <c r="ROK13" s="222"/>
      <c r="ROL13" s="222"/>
      <c r="ROM13" s="222"/>
      <c r="RON13" s="222"/>
      <c r="ROO13" s="222"/>
      <c r="ROP13" s="222"/>
      <c r="ROQ13" s="222"/>
      <c r="ROR13" s="222"/>
      <c r="ROS13" s="222"/>
      <c r="ROT13" s="222"/>
      <c r="ROU13" s="222"/>
      <c r="ROV13" s="222"/>
      <c r="ROW13" s="222"/>
      <c r="ROX13" s="222"/>
      <c r="ROY13" s="222"/>
      <c r="ROZ13" s="222"/>
      <c r="RPA13" s="222"/>
      <c r="RPB13" s="222"/>
      <c r="RPC13" s="222"/>
      <c r="RPD13" s="222"/>
      <c r="RPE13" s="222"/>
      <c r="RPF13" s="222"/>
      <c r="RPG13" s="222"/>
      <c r="RPH13" s="222"/>
      <c r="RPI13" s="222"/>
      <c r="RPJ13" s="222"/>
      <c r="RPK13" s="222"/>
      <c r="RPL13" s="222"/>
      <c r="RPM13" s="222"/>
      <c r="RPN13" s="222"/>
      <c r="RPO13" s="222"/>
      <c r="RPP13" s="222"/>
      <c r="RPQ13" s="222"/>
      <c r="RPR13" s="222"/>
      <c r="RPS13" s="222"/>
      <c r="RPT13" s="222"/>
      <c r="RPU13" s="222"/>
      <c r="RPV13" s="222"/>
      <c r="RPW13" s="222"/>
      <c r="RPX13" s="222"/>
      <c r="RPY13" s="222"/>
      <c r="RPZ13" s="222"/>
      <c r="RQA13" s="222"/>
      <c r="RQB13" s="222"/>
      <c r="RQC13" s="222"/>
      <c r="RQD13" s="222"/>
      <c r="RQE13" s="222"/>
      <c r="RQF13" s="222"/>
      <c r="RQG13" s="222"/>
      <c r="RQH13" s="222"/>
      <c r="RQI13" s="222"/>
      <c r="RQJ13" s="222"/>
      <c r="RQK13" s="222"/>
      <c r="RQL13" s="222"/>
      <c r="RQM13" s="222"/>
      <c r="RQN13" s="222"/>
      <c r="RQO13" s="222"/>
      <c r="RQP13" s="222"/>
      <c r="RQQ13" s="222"/>
      <c r="RQR13" s="222"/>
      <c r="RQS13" s="222"/>
      <c r="RQT13" s="222"/>
      <c r="RQU13" s="222"/>
      <c r="RQV13" s="222"/>
      <c r="RQW13" s="222"/>
      <c r="RQX13" s="222"/>
      <c r="RQY13" s="222"/>
      <c r="RQZ13" s="222"/>
      <c r="RRA13" s="222"/>
      <c r="RRB13" s="222"/>
      <c r="RRC13" s="222"/>
      <c r="RRD13" s="222"/>
      <c r="RRE13" s="222"/>
      <c r="RRF13" s="222"/>
      <c r="RRG13" s="222"/>
      <c r="RRH13" s="222"/>
      <c r="RRI13" s="222"/>
      <c r="RRJ13" s="222"/>
      <c r="RRK13" s="222"/>
      <c r="RRL13" s="222"/>
      <c r="RRM13" s="222"/>
      <c r="RRN13" s="222"/>
      <c r="RRO13" s="222"/>
      <c r="RRP13" s="222"/>
      <c r="RRQ13" s="222"/>
      <c r="RRR13" s="222"/>
      <c r="RRS13" s="222"/>
      <c r="RRT13" s="222"/>
      <c r="RRU13" s="222"/>
      <c r="RRV13" s="222"/>
      <c r="RRW13" s="222"/>
      <c r="RRX13" s="222"/>
      <c r="RRY13" s="222"/>
      <c r="RRZ13" s="222"/>
      <c r="RSA13" s="222"/>
      <c r="RSB13" s="222"/>
      <c r="RSC13" s="222"/>
      <c r="RSD13" s="222"/>
      <c r="RSE13" s="222"/>
      <c r="RSF13" s="222"/>
      <c r="RSG13" s="222"/>
      <c r="RSH13" s="222"/>
      <c r="RSI13" s="222"/>
      <c r="RSJ13" s="222"/>
      <c r="RSK13" s="222"/>
      <c r="RSL13" s="222"/>
      <c r="RSM13" s="222"/>
      <c r="RSN13" s="222"/>
      <c r="RSO13" s="222"/>
      <c r="RSP13" s="222"/>
      <c r="RSQ13" s="222"/>
      <c r="RSR13" s="222"/>
      <c r="RSS13" s="222"/>
      <c r="RST13" s="222"/>
      <c r="RSU13" s="222"/>
      <c r="RSV13" s="222"/>
      <c r="RSW13" s="222"/>
      <c r="RSX13" s="222"/>
      <c r="RSY13" s="222"/>
      <c r="RSZ13" s="222"/>
      <c r="RTA13" s="222"/>
      <c r="RTB13" s="222"/>
      <c r="RTC13" s="222"/>
      <c r="RTD13" s="222"/>
      <c r="RTE13" s="222"/>
      <c r="RTF13" s="222"/>
      <c r="RTG13" s="222"/>
      <c r="RTH13" s="222"/>
      <c r="RTI13" s="222"/>
      <c r="RTJ13" s="222"/>
      <c r="RTK13" s="222"/>
      <c r="RTL13" s="222"/>
      <c r="RTM13" s="222"/>
      <c r="RTN13" s="222"/>
      <c r="RTO13" s="222"/>
      <c r="RTP13" s="222"/>
      <c r="RTQ13" s="222"/>
      <c r="RTR13" s="222"/>
      <c r="RTS13" s="222"/>
      <c r="RTT13" s="222"/>
      <c r="RTU13" s="222"/>
      <c r="RTV13" s="222"/>
      <c r="RTW13" s="222"/>
      <c r="RTX13" s="222"/>
      <c r="RTY13" s="222"/>
      <c r="RTZ13" s="222"/>
      <c r="RUA13" s="222"/>
      <c r="RUB13" s="222"/>
      <c r="RUC13" s="222"/>
      <c r="RUD13" s="222"/>
      <c r="RUE13" s="222"/>
      <c r="RUF13" s="222"/>
      <c r="RUG13" s="222"/>
      <c r="RUH13" s="222"/>
      <c r="RUI13" s="222"/>
      <c r="RUJ13" s="222"/>
      <c r="RUK13" s="222"/>
      <c r="RUL13" s="222"/>
      <c r="RUM13" s="222"/>
      <c r="RUN13" s="222"/>
      <c r="RUO13" s="222"/>
      <c r="RUP13" s="222"/>
      <c r="RUQ13" s="222"/>
      <c r="RUR13" s="222"/>
      <c r="RUS13" s="222"/>
      <c r="RUT13" s="222"/>
      <c r="RUU13" s="222"/>
      <c r="RUV13" s="222"/>
      <c r="RUW13" s="222"/>
      <c r="RUX13" s="222"/>
      <c r="RUY13" s="222"/>
      <c r="RUZ13" s="222"/>
      <c r="RVA13" s="222"/>
      <c r="RVB13" s="222"/>
      <c r="RVC13" s="222"/>
      <c r="RVD13" s="222"/>
      <c r="RVE13" s="222"/>
      <c r="RVF13" s="222"/>
      <c r="RVG13" s="222"/>
      <c r="RVH13" s="222"/>
      <c r="RVI13" s="222"/>
      <c r="RVJ13" s="222"/>
      <c r="RVK13" s="222"/>
      <c r="RVL13" s="222"/>
      <c r="RVM13" s="222"/>
      <c r="RVN13" s="222"/>
      <c r="RVO13" s="222"/>
      <c r="RVP13" s="222"/>
      <c r="RVQ13" s="222"/>
      <c r="RVR13" s="222"/>
      <c r="RVS13" s="222"/>
      <c r="RVT13" s="222"/>
      <c r="RVU13" s="222"/>
      <c r="RVV13" s="222"/>
      <c r="RVW13" s="222"/>
      <c r="RVX13" s="222"/>
      <c r="RVY13" s="222"/>
      <c r="RVZ13" s="222"/>
      <c r="RWA13" s="222"/>
      <c r="RWB13" s="222"/>
      <c r="RWC13" s="222"/>
      <c r="RWD13" s="222"/>
      <c r="RWE13" s="222"/>
      <c r="RWF13" s="222"/>
      <c r="RWG13" s="222"/>
      <c r="RWH13" s="222"/>
      <c r="RWI13" s="222"/>
      <c r="RWJ13" s="222"/>
      <c r="RWK13" s="222"/>
      <c r="RWL13" s="222"/>
      <c r="RWM13" s="222"/>
      <c r="RWN13" s="222"/>
      <c r="RWO13" s="222"/>
      <c r="RWP13" s="222"/>
      <c r="RWQ13" s="222"/>
      <c r="RWR13" s="222"/>
      <c r="RWS13" s="222"/>
      <c r="RWT13" s="222"/>
      <c r="RWU13" s="222"/>
      <c r="RWV13" s="222"/>
      <c r="RWW13" s="222"/>
      <c r="RWX13" s="222"/>
      <c r="RWY13" s="222"/>
      <c r="RWZ13" s="222"/>
      <c r="RXA13" s="222"/>
      <c r="RXB13" s="222"/>
      <c r="RXC13" s="222"/>
      <c r="RXD13" s="222"/>
      <c r="RXE13" s="222"/>
      <c r="RXF13" s="222"/>
      <c r="RXG13" s="222"/>
      <c r="RXH13" s="222"/>
      <c r="RXI13" s="222"/>
      <c r="RXJ13" s="222"/>
      <c r="RXK13" s="222"/>
      <c r="RXL13" s="222"/>
      <c r="RXM13" s="222"/>
      <c r="RXN13" s="222"/>
      <c r="RXO13" s="222"/>
      <c r="RXP13" s="222"/>
      <c r="RXQ13" s="222"/>
      <c r="RXR13" s="222"/>
      <c r="RXS13" s="222"/>
      <c r="RXT13" s="222"/>
      <c r="RXU13" s="222"/>
      <c r="RXV13" s="222"/>
      <c r="RXW13" s="222"/>
      <c r="RXX13" s="222"/>
      <c r="RXY13" s="222"/>
      <c r="RXZ13" s="222"/>
      <c r="RYA13" s="222"/>
      <c r="RYB13" s="222"/>
      <c r="RYC13" s="222"/>
      <c r="RYD13" s="222"/>
      <c r="RYE13" s="222"/>
      <c r="RYF13" s="222"/>
      <c r="RYG13" s="222"/>
      <c r="RYH13" s="222"/>
      <c r="RYI13" s="222"/>
      <c r="RYJ13" s="222"/>
      <c r="RYK13" s="222"/>
      <c r="RYL13" s="222"/>
      <c r="RYM13" s="222"/>
      <c r="RYN13" s="222"/>
      <c r="RYO13" s="222"/>
      <c r="RYP13" s="222"/>
      <c r="RYQ13" s="222"/>
      <c r="RYR13" s="222"/>
      <c r="RYS13" s="222"/>
      <c r="RYT13" s="222"/>
      <c r="RYU13" s="222"/>
      <c r="RYV13" s="222"/>
      <c r="RYW13" s="222"/>
      <c r="RYX13" s="222"/>
      <c r="RYY13" s="222"/>
      <c r="RYZ13" s="222"/>
      <c r="RZA13" s="222"/>
      <c r="RZB13" s="222"/>
      <c r="RZC13" s="222"/>
      <c r="RZD13" s="222"/>
      <c r="RZE13" s="222"/>
      <c r="RZF13" s="222"/>
      <c r="RZG13" s="222"/>
      <c r="RZH13" s="222"/>
      <c r="RZI13" s="222"/>
      <c r="RZJ13" s="222"/>
      <c r="RZK13" s="222"/>
      <c r="RZL13" s="222"/>
      <c r="RZM13" s="222"/>
      <c r="RZN13" s="222"/>
      <c r="RZO13" s="222"/>
      <c r="RZP13" s="222"/>
      <c r="RZQ13" s="222"/>
      <c r="RZR13" s="222"/>
      <c r="RZS13" s="222"/>
      <c r="RZT13" s="222"/>
      <c r="RZU13" s="222"/>
      <c r="RZV13" s="222"/>
      <c r="RZW13" s="222"/>
      <c r="RZX13" s="222"/>
      <c r="RZY13" s="222"/>
      <c r="RZZ13" s="222"/>
      <c r="SAA13" s="222"/>
      <c r="SAB13" s="222"/>
      <c r="SAC13" s="222"/>
      <c r="SAD13" s="222"/>
      <c r="SAE13" s="222"/>
      <c r="SAF13" s="222"/>
      <c r="SAG13" s="222"/>
      <c r="SAH13" s="222"/>
      <c r="SAI13" s="222"/>
      <c r="SAJ13" s="222"/>
      <c r="SAK13" s="222"/>
      <c r="SAL13" s="222"/>
      <c r="SAM13" s="222"/>
      <c r="SAN13" s="222"/>
      <c r="SAO13" s="222"/>
      <c r="SAP13" s="222"/>
      <c r="SAQ13" s="222"/>
      <c r="SAR13" s="222"/>
      <c r="SAS13" s="222"/>
      <c r="SAT13" s="222"/>
      <c r="SAU13" s="222"/>
      <c r="SAV13" s="222"/>
      <c r="SAW13" s="222"/>
      <c r="SAX13" s="222"/>
      <c r="SAY13" s="222"/>
      <c r="SAZ13" s="222"/>
      <c r="SBA13" s="222"/>
      <c r="SBB13" s="222"/>
      <c r="SBC13" s="222"/>
      <c r="SBD13" s="222"/>
      <c r="SBE13" s="222"/>
      <c r="SBF13" s="222"/>
      <c r="SBG13" s="222"/>
      <c r="SBH13" s="222"/>
      <c r="SBI13" s="222"/>
      <c r="SBJ13" s="222"/>
      <c r="SBK13" s="222"/>
      <c r="SBL13" s="222"/>
      <c r="SBM13" s="222"/>
      <c r="SBN13" s="222"/>
      <c r="SBO13" s="222"/>
      <c r="SBP13" s="222"/>
      <c r="SBQ13" s="222"/>
      <c r="SBR13" s="222"/>
      <c r="SBS13" s="222"/>
      <c r="SBT13" s="222"/>
      <c r="SBU13" s="222"/>
      <c r="SBV13" s="222"/>
      <c r="SBW13" s="222"/>
      <c r="SBX13" s="222"/>
      <c r="SBY13" s="222"/>
      <c r="SBZ13" s="222"/>
      <c r="SCA13" s="222"/>
      <c r="SCB13" s="222"/>
      <c r="SCC13" s="222"/>
      <c r="SCD13" s="222"/>
      <c r="SCE13" s="222"/>
      <c r="SCF13" s="222"/>
      <c r="SCG13" s="222"/>
      <c r="SCH13" s="222"/>
      <c r="SCI13" s="222"/>
      <c r="SCJ13" s="222"/>
      <c r="SCK13" s="222"/>
      <c r="SCL13" s="222"/>
      <c r="SCM13" s="222"/>
      <c r="SCN13" s="222"/>
      <c r="SCO13" s="222"/>
      <c r="SCP13" s="222"/>
      <c r="SCQ13" s="222"/>
      <c r="SCR13" s="222"/>
      <c r="SCS13" s="222"/>
      <c r="SCT13" s="222"/>
      <c r="SCU13" s="222"/>
      <c r="SCV13" s="222"/>
      <c r="SCW13" s="222"/>
      <c r="SCX13" s="222"/>
      <c r="SCY13" s="222"/>
      <c r="SCZ13" s="222"/>
      <c r="SDA13" s="222"/>
      <c r="SDB13" s="222"/>
      <c r="SDC13" s="222"/>
      <c r="SDD13" s="222"/>
      <c r="SDE13" s="222"/>
      <c r="SDF13" s="222"/>
      <c r="SDG13" s="222"/>
      <c r="SDH13" s="222"/>
      <c r="SDI13" s="222"/>
      <c r="SDJ13" s="222"/>
      <c r="SDK13" s="222"/>
      <c r="SDL13" s="222"/>
      <c r="SDM13" s="222"/>
      <c r="SDN13" s="222"/>
      <c r="SDO13" s="222"/>
      <c r="SDP13" s="222"/>
      <c r="SDQ13" s="222"/>
      <c r="SDR13" s="222"/>
      <c r="SDS13" s="222"/>
      <c r="SDT13" s="222"/>
      <c r="SDU13" s="222"/>
      <c r="SDV13" s="222"/>
      <c r="SDW13" s="222"/>
      <c r="SDX13" s="222"/>
      <c r="SDY13" s="222"/>
      <c r="SDZ13" s="222"/>
      <c r="SEA13" s="222"/>
      <c r="SEB13" s="222"/>
      <c r="SEC13" s="222"/>
      <c r="SED13" s="222"/>
      <c r="SEE13" s="222"/>
      <c r="SEF13" s="222"/>
      <c r="SEG13" s="222"/>
      <c r="SEH13" s="222"/>
      <c r="SEI13" s="222"/>
      <c r="SEJ13" s="222"/>
      <c r="SEK13" s="222"/>
      <c r="SEL13" s="222"/>
      <c r="SEM13" s="222"/>
      <c r="SEN13" s="222"/>
      <c r="SEO13" s="222"/>
      <c r="SEP13" s="222"/>
      <c r="SEQ13" s="222"/>
      <c r="SER13" s="222"/>
      <c r="SES13" s="222"/>
      <c r="SET13" s="222"/>
      <c r="SEU13" s="222"/>
      <c r="SEV13" s="222"/>
      <c r="SEW13" s="222"/>
      <c r="SEX13" s="222"/>
      <c r="SEY13" s="222"/>
      <c r="SEZ13" s="222"/>
      <c r="SFA13" s="222"/>
      <c r="SFB13" s="222"/>
      <c r="SFC13" s="222"/>
      <c r="SFD13" s="222"/>
      <c r="SFE13" s="222"/>
      <c r="SFF13" s="222"/>
      <c r="SFG13" s="222"/>
      <c r="SFH13" s="222"/>
      <c r="SFI13" s="222"/>
      <c r="SFJ13" s="222"/>
      <c r="SFK13" s="222"/>
      <c r="SFL13" s="222"/>
      <c r="SFM13" s="222"/>
      <c r="SFN13" s="222"/>
      <c r="SFO13" s="222"/>
      <c r="SFP13" s="222"/>
      <c r="SFQ13" s="222"/>
      <c r="SFR13" s="222"/>
      <c r="SFS13" s="222"/>
      <c r="SFT13" s="222"/>
      <c r="SFU13" s="222"/>
      <c r="SFV13" s="222"/>
      <c r="SFW13" s="222"/>
      <c r="SFX13" s="222"/>
      <c r="SFY13" s="222"/>
      <c r="SFZ13" s="222"/>
      <c r="SGA13" s="222"/>
      <c r="SGB13" s="222"/>
      <c r="SGC13" s="222"/>
      <c r="SGD13" s="222"/>
      <c r="SGE13" s="222"/>
      <c r="SGF13" s="222"/>
      <c r="SGG13" s="222"/>
      <c r="SGH13" s="222"/>
      <c r="SGI13" s="222"/>
      <c r="SGJ13" s="222"/>
      <c r="SGK13" s="222"/>
      <c r="SGL13" s="222"/>
      <c r="SGM13" s="222"/>
      <c r="SGN13" s="222"/>
      <c r="SGO13" s="222"/>
      <c r="SGP13" s="222"/>
      <c r="SGQ13" s="222"/>
      <c r="SGR13" s="222"/>
      <c r="SGS13" s="222"/>
      <c r="SGT13" s="222"/>
      <c r="SGU13" s="222"/>
      <c r="SGV13" s="222"/>
      <c r="SGW13" s="222"/>
      <c r="SGX13" s="222"/>
      <c r="SGY13" s="222"/>
      <c r="SGZ13" s="222"/>
      <c r="SHA13" s="222"/>
      <c r="SHB13" s="222"/>
      <c r="SHC13" s="222"/>
      <c r="SHD13" s="222"/>
      <c r="SHE13" s="222"/>
      <c r="SHF13" s="222"/>
      <c r="SHG13" s="222"/>
      <c r="SHH13" s="222"/>
      <c r="SHI13" s="222"/>
      <c r="SHJ13" s="222"/>
      <c r="SHK13" s="222"/>
      <c r="SHL13" s="222"/>
      <c r="SHM13" s="222"/>
      <c r="SHN13" s="222"/>
      <c r="SHO13" s="222"/>
      <c r="SHP13" s="222"/>
      <c r="SHQ13" s="222"/>
      <c r="SHR13" s="222"/>
      <c r="SHS13" s="222"/>
      <c r="SHT13" s="222"/>
      <c r="SHU13" s="222"/>
      <c r="SHV13" s="222"/>
      <c r="SHW13" s="222"/>
      <c r="SHX13" s="222"/>
      <c r="SHY13" s="222"/>
      <c r="SHZ13" s="222"/>
      <c r="SIA13" s="222"/>
      <c r="SIB13" s="222"/>
      <c r="SIC13" s="222"/>
      <c r="SID13" s="222"/>
      <c r="SIE13" s="222"/>
      <c r="SIF13" s="222"/>
      <c r="SIG13" s="222"/>
      <c r="SIH13" s="222"/>
      <c r="SII13" s="222"/>
      <c r="SIJ13" s="222"/>
      <c r="SIK13" s="222"/>
      <c r="SIL13" s="222"/>
      <c r="SIM13" s="222"/>
      <c r="SIN13" s="222"/>
      <c r="SIO13" s="222"/>
      <c r="SIP13" s="222"/>
      <c r="SIQ13" s="222"/>
      <c r="SIR13" s="222"/>
      <c r="SIS13" s="222"/>
      <c r="SIT13" s="222"/>
      <c r="SIU13" s="222"/>
      <c r="SIV13" s="222"/>
      <c r="SIW13" s="222"/>
      <c r="SIX13" s="222"/>
      <c r="SIY13" s="222"/>
      <c r="SIZ13" s="222"/>
      <c r="SJA13" s="222"/>
      <c r="SJB13" s="222"/>
      <c r="SJC13" s="222"/>
      <c r="SJD13" s="222"/>
      <c r="SJE13" s="222"/>
      <c r="SJF13" s="222"/>
      <c r="SJG13" s="222"/>
      <c r="SJH13" s="222"/>
      <c r="SJI13" s="222"/>
      <c r="SJJ13" s="222"/>
      <c r="SJK13" s="222"/>
      <c r="SJL13" s="222"/>
      <c r="SJM13" s="222"/>
      <c r="SJN13" s="222"/>
      <c r="SJO13" s="222"/>
      <c r="SJP13" s="222"/>
      <c r="SJQ13" s="222"/>
      <c r="SJR13" s="222"/>
      <c r="SJS13" s="222"/>
      <c r="SJT13" s="222"/>
      <c r="SJU13" s="222"/>
      <c r="SJV13" s="222"/>
      <c r="SJW13" s="222"/>
      <c r="SJX13" s="222"/>
      <c r="SJY13" s="222"/>
      <c r="SJZ13" s="222"/>
      <c r="SKA13" s="222"/>
      <c r="SKB13" s="222"/>
      <c r="SKC13" s="222"/>
      <c r="SKD13" s="222"/>
      <c r="SKE13" s="222"/>
      <c r="SKF13" s="222"/>
      <c r="SKG13" s="222"/>
      <c r="SKH13" s="222"/>
      <c r="SKI13" s="222"/>
      <c r="SKJ13" s="222"/>
      <c r="SKK13" s="222"/>
      <c r="SKL13" s="222"/>
      <c r="SKM13" s="222"/>
      <c r="SKN13" s="222"/>
      <c r="SKO13" s="222"/>
      <c r="SKP13" s="222"/>
      <c r="SKQ13" s="222"/>
      <c r="SKR13" s="222"/>
      <c r="SKS13" s="222"/>
      <c r="SKT13" s="222"/>
      <c r="SKU13" s="222"/>
      <c r="SKV13" s="222"/>
      <c r="SKW13" s="222"/>
      <c r="SKX13" s="222"/>
      <c r="SKY13" s="222"/>
      <c r="SKZ13" s="222"/>
      <c r="SLA13" s="222"/>
      <c r="SLB13" s="222"/>
      <c r="SLC13" s="222"/>
      <c r="SLD13" s="222"/>
      <c r="SLE13" s="222"/>
      <c r="SLF13" s="222"/>
      <c r="SLG13" s="222"/>
      <c r="SLH13" s="222"/>
      <c r="SLI13" s="222"/>
      <c r="SLJ13" s="222"/>
      <c r="SLK13" s="222"/>
      <c r="SLL13" s="222"/>
      <c r="SLM13" s="222"/>
      <c r="SLN13" s="222"/>
      <c r="SLO13" s="222"/>
      <c r="SLP13" s="222"/>
      <c r="SLQ13" s="222"/>
      <c r="SLR13" s="222"/>
      <c r="SLS13" s="222"/>
      <c r="SLT13" s="222"/>
      <c r="SLU13" s="222"/>
      <c r="SLV13" s="222"/>
      <c r="SLW13" s="222"/>
      <c r="SLX13" s="222"/>
      <c r="SLY13" s="222"/>
      <c r="SLZ13" s="222"/>
      <c r="SMA13" s="222"/>
      <c r="SMB13" s="222"/>
      <c r="SMC13" s="222"/>
      <c r="SMD13" s="222"/>
      <c r="SME13" s="222"/>
      <c r="SMF13" s="222"/>
      <c r="SMG13" s="222"/>
      <c r="SMH13" s="222"/>
      <c r="SMI13" s="222"/>
      <c r="SMJ13" s="222"/>
      <c r="SMK13" s="222"/>
      <c r="SML13" s="222"/>
      <c r="SMM13" s="222"/>
      <c r="SMN13" s="222"/>
      <c r="SMO13" s="222"/>
      <c r="SMP13" s="222"/>
      <c r="SMQ13" s="222"/>
      <c r="SMR13" s="222"/>
      <c r="SMS13" s="222"/>
      <c r="SMT13" s="222"/>
      <c r="SMU13" s="222"/>
      <c r="SMV13" s="222"/>
      <c r="SMW13" s="222"/>
      <c r="SMX13" s="222"/>
      <c r="SMY13" s="222"/>
      <c r="SMZ13" s="222"/>
      <c r="SNA13" s="222"/>
      <c r="SNB13" s="222"/>
      <c r="SNC13" s="222"/>
      <c r="SND13" s="222"/>
      <c r="SNE13" s="222"/>
      <c r="SNF13" s="222"/>
      <c r="SNG13" s="222"/>
      <c r="SNH13" s="222"/>
      <c r="SNI13" s="222"/>
      <c r="SNJ13" s="222"/>
      <c r="SNK13" s="222"/>
      <c r="SNL13" s="222"/>
      <c r="SNM13" s="222"/>
      <c r="SNN13" s="222"/>
      <c r="SNO13" s="222"/>
      <c r="SNP13" s="222"/>
      <c r="SNQ13" s="222"/>
      <c r="SNR13" s="222"/>
      <c r="SNS13" s="222"/>
      <c r="SNT13" s="222"/>
      <c r="SNU13" s="222"/>
      <c r="SNV13" s="222"/>
      <c r="SNW13" s="222"/>
      <c r="SNX13" s="222"/>
      <c r="SNY13" s="222"/>
      <c r="SNZ13" s="222"/>
      <c r="SOA13" s="222"/>
      <c r="SOB13" s="222"/>
      <c r="SOC13" s="222"/>
      <c r="SOD13" s="222"/>
      <c r="SOE13" s="222"/>
      <c r="SOF13" s="222"/>
      <c r="SOG13" s="222"/>
      <c r="SOH13" s="222"/>
      <c r="SOI13" s="222"/>
      <c r="SOJ13" s="222"/>
      <c r="SOK13" s="222"/>
      <c r="SOL13" s="222"/>
      <c r="SOM13" s="222"/>
      <c r="SON13" s="222"/>
      <c r="SOO13" s="222"/>
      <c r="SOP13" s="222"/>
      <c r="SOQ13" s="222"/>
      <c r="SOR13" s="222"/>
      <c r="SOS13" s="222"/>
      <c r="SOT13" s="222"/>
      <c r="SOU13" s="222"/>
      <c r="SOV13" s="222"/>
      <c r="SOW13" s="222"/>
      <c r="SOX13" s="222"/>
      <c r="SOY13" s="222"/>
      <c r="SOZ13" s="222"/>
      <c r="SPA13" s="222"/>
      <c r="SPB13" s="222"/>
      <c r="SPC13" s="222"/>
      <c r="SPD13" s="222"/>
      <c r="SPE13" s="222"/>
      <c r="SPF13" s="222"/>
      <c r="SPG13" s="222"/>
      <c r="SPH13" s="222"/>
      <c r="SPI13" s="222"/>
      <c r="SPJ13" s="222"/>
      <c r="SPK13" s="222"/>
      <c r="SPL13" s="222"/>
      <c r="SPM13" s="222"/>
      <c r="SPN13" s="222"/>
      <c r="SPO13" s="222"/>
      <c r="SPP13" s="222"/>
      <c r="SPQ13" s="222"/>
      <c r="SPR13" s="222"/>
      <c r="SPS13" s="222"/>
      <c r="SPT13" s="222"/>
      <c r="SPU13" s="222"/>
      <c r="SPV13" s="222"/>
      <c r="SPW13" s="222"/>
      <c r="SPX13" s="222"/>
      <c r="SPY13" s="222"/>
      <c r="SPZ13" s="222"/>
      <c r="SQA13" s="222"/>
      <c r="SQB13" s="222"/>
      <c r="SQC13" s="222"/>
      <c r="SQD13" s="222"/>
      <c r="SQE13" s="222"/>
      <c r="SQF13" s="222"/>
      <c r="SQG13" s="222"/>
      <c r="SQH13" s="222"/>
      <c r="SQI13" s="222"/>
      <c r="SQJ13" s="222"/>
      <c r="SQK13" s="222"/>
      <c r="SQL13" s="222"/>
      <c r="SQM13" s="222"/>
      <c r="SQN13" s="222"/>
      <c r="SQO13" s="222"/>
      <c r="SQP13" s="222"/>
      <c r="SQQ13" s="222"/>
      <c r="SQR13" s="222"/>
      <c r="SQS13" s="222"/>
      <c r="SQT13" s="222"/>
      <c r="SQU13" s="222"/>
      <c r="SQV13" s="222"/>
      <c r="SQW13" s="222"/>
      <c r="SQX13" s="222"/>
      <c r="SQY13" s="222"/>
      <c r="SQZ13" s="222"/>
      <c r="SRA13" s="222"/>
      <c r="SRB13" s="222"/>
      <c r="SRC13" s="222"/>
      <c r="SRD13" s="222"/>
      <c r="SRE13" s="222"/>
      <c r="SRF13" s="222"/>
      <c r="SRG13" s="222"/>
      <c r="SRH13" s="222"/>
      <c r="SRI13" s="222"/>
      <c r="SRJ13" s="222"/>
      <c r="SRK13" s="222"/>
      <c r="SRL13" s="222"/>
      <c r="SRM13" s="222"/>
      <c r="SRN13" s="222"/>
      <c r="SRO13" s="222"/>
      <c r="SRP13" s="222"/>
      <c r="SRQ13" s="222"/>
      <c r="SRR13" s="222"/>
      <c r="SRS13" s="222"/>
      <c r="SRT13" s="222"/>
      <c r="SRU13" s="222"/>
      <c r="SRV13" s="222"/>
      <c r="SRW13" s="222"/>
      <c r="SRX13" s="222"/>
      <c r="SRY13" s="222"/>
      <c r="SRZ13" s="222"/>
      <c r="SSA13" s="222"/>
      <c r="SSB13" s="222"/>
      <c r="SSC13" s="222"/>
      <c r="SSD13" s="222"/>
      <c r="SSE13" s="222"/>
      <c r="SSF13" s="222"/>
      <c r="SSG13" s="222"/>
      <c r="SSH13" s="222"/>
      <c r="SSI13" s="222"/>
      <c r="SSJ13" s="222"/>
      <c r="SSK13" s="222"/>
      <c r="SSL13" s="222"/>
      <c r="SSM13" s="222"/>
      <c r="SSN13" s="222"/>
      <c r="SSO13" s="222"/>
      <c r="SSP13" s="222"/>
      <c r="SSQ13" s="222"/>
      <c r="SSR13" s="222"/>
      <c r="SSS13" s="222"/>
      <c r="SST13" s="222"/>
      <c r="SSU13" s="222"/>
      <c r="SSV13" s="222"/>
      <c r="SSW13" s="222"/>
      <c r="SSX13" s="222"/>
      <c r="SSY13" s="222"/>
      <c r="SSZ13" s="222"/>
      <c r="STA13" s="222"/>
      <c r="STB13" s="222"/>
      <c r="STC13" s="222"/>
      <c r="STD13" s="222"/>
      <c r="STE13" s="222"/>
      <c r="STF13" s="222"/>
      <c r="STG13" s="222"/>
      <c r="STH13" s="222"/>
      <c r="STI13" s="222"/>
      <c r="STJ13" s="222"/>
      <c r="STK13" s="222"/>
      <c r="STL13" s="222"/>
      <c r="STM13" s="222"/>
      <c r="STN13" s="222"/>
      <c r="STO13" s="222"/>
      <c r="STP13" s="222"/>
      <c r="STQ13" s="222"/>
      <c r="STR13" s="222"/>
      <c r="STS13" s="222"/>
      <c r="STT13" s="222"/>
      <c r="STU13" s="222"/>
      <c r="STV13" s="222"/>
      <c r="STW13" s="222"/>
      <c r="STX13" s="222"/>
      <c r="STY13" s="222"/>
      <c r="STZ13" s="222"/>
      <c r="SUA13" s="222"/>
      <c r="SUB13" s="222"/>
      <c r="SUC13" s="222"/>
      <c r="SUD13" s="222"/>
      <c r="SUE13" s="222"/>
      <c r="SUF13" s="222"/>
      <c r="SUG13" s="222"/>
      <c r="SUH13" s="222"/>
      <c r="SUI13" s="222"/>
      <c r="SUJ13" s="222"/>
      <c r="SUK13" s="222"/>
      <c r="SUL13" s="222"/>
      <c r="SUM13" s="222"/>
      <c r="SUN13" s="222"/>
      <c r="SUO13" s="222"/>
      <c r="SUP13" s="222"/>
      <c r="SUQ13" s="222"/>
      <c r="SUR13" s="222"/>
      <c r="SUS13" s="222"/>
      <c r="SUT13" s="222"/>
      <c r="SUU13" s="222"/>
      <c r="SUV13" s="222"/>
      <c r="SUW13" s="222"/>
      <c r="SUX13" s="222"/>
      <c r="SUY13" s="222"/>
      <c r="SUZ13" s="222"/>
      <c r="SVA13" s="222"/>
      <c r="SVB13" s="222"/>
      <c r="SVC13" s="222"/>
      <c r="SVD13" s="222"/>
      <c r="SVE13" s="222"/>
      <c r="SVF13" s="222"/>
      <c r="SVG13" s="222"/>
      <c r="SVH13" s="222"/>
      <c r="SVI13" s="222"/>
      <c r="SVJ13" s="222"/>
      <c r="SVK13" s="222"/>
      <c r="SVL13" s="222"/>
      <c r="SVM13" s="222"/>
      <c r="SVN13" s="222"/>
      <c r="SVO13" s="222"/>
      <c r="SVP13" s="222"/>
      <c r="SVQ13" s="222"/>
      <c r="SVR13" s="222"/>
      <c r="SVS13" s="222"/>
      <c r="SVT13" s="222"/>
      <c r="SVU13" s="222"/>
      <c r="SVV13" s="222"/>
      <c r="SVW13" s="222"/>
      <c r="SVX13" s="222"/>
      <c r="SVY13" s="222"/>
      <c r="SVZ13" s="222"/>
      <c r="SWA13" s="222"/>
      <c r="SWB13" s="222"/>
      <c r="SWC13" s="222"/>
      <c r="SWD13" s="222"/>
      <c r="SWE13" s="222"/>
      <c r="SWF13" s="222"/>
      <c r="SWG13" s="222"/>
      <c r="SWH13" s="222"/>
      <c r="SWI13" s="222"/>
      <c r="SWJ13" s="222"/>
      <c r="SWK13" s="222"/>
      <c r="SWL13" s="222"/>
      <c r="SWM13" s="222"/>
      <c r="SWN13" s="222"/>
      <c r="SWO13" s="222"/>
      <c r="SWP13" s="222"/>
      <c r="SWQ13" s="222"/>
      <c r="SWR13" s="222"/>
      <c r="SWS13" s="222"/>
      <c r="SWT13" s="222"/>
      <c r="SWU13" s="222"/>
      <c r="SWV13" s="222"/>
      <c r="SWW13" s="222"/>
      <c r="SWX13" s="222"/>
      <c r="SWY13" s="222"/>
      <c r="SWZ13" s="222"/>
      <c r="SXA13" s="222"/>
      <c r="SXB13" s="222"/>
      <c r="SXC13" s="222"/>
      <c r="SXD13" s="222"/>
      <c r="SXE13" s="222"/>
      <c r="SXF13" s="222"/>
      <c r="SXG13" s="222"/>
      <c r="SXH13" s="222"/>
      <c r="SXI13" s="222"/>
      <c r="SXJ13" s="222"/>
      <c r="SXK13" s="222"/>
      <c r="SXL13" s="222"/>
      <c r="SXM13" s="222"/>
      <c r="SXN13" s="222"/>
      <c r="SXO13" s="222"/>
      <c r="SXP13" s="222"/>
      <c r="SXQ13" s="222"/>
      <c r="SXR13" s="222"/>
      <c r="SXS13" s="222"/>
      <c r="SXT13" s="222"/>
      <c r="SXU13" s="222"/>
      <c r="SXV13" s="222"/>
      <c r="SXW13" s="222"/>
      <c r="SXX13" s="222"/>
      <c r="SXY13" s="222"/>
      <c r="SXZ13" s="222"/>
      <c r="SYA13" s="222"/>
      <c r="SYB13" s="222"/>
      <c r="SYC13" s="222"/>
      <c r="SYD13" s="222"/>
      <c r="SYE13" s="222"/>
      <c r="SYF13" s="222"/>
      <c r="SYG13" s="222"/>
      <c r="SYH13" s="222"/>
      <c r="SYI13" s="222"/>
      <c r="SYJ13" s="222"/>
      <c r="SYK13" s="222"/>
      <c r="SYL13" s="222"/>
      <c r="SYM13" s="222"/>
      <c r="SYN13" s="222"/>
      <c r="SYO13" s="222"/>
      <c r="SYP13" s="222"/>
      <c r="SYQ13" s="222"/>
      <c r="SYR13" s="222"/>
      <c r="SYS13" s="222"/>
      <c r="SYT13" s="222"/>
      <c r="SYU13" s="222"/>
      <c r="SYV13" s="222"/>
      <c r="SYW13" s="222"/>
      <c r="SYX13" s="222"/>
      <c r="SYY13" s="222"/>
      <c r="SYZ13" s="222"/>
      <c r="SZA13" s="222"/>
      <c r="SZB13" s="222"/>
      <c r="SZC13" s="222"/>
      <c r="SZD13" s="222"/>
      <c r="SZE13" s="222"/>
      <c r="SZF13" s="222"/>
      <c r="SZG13" s="222"/>
      <c r="SZH13" s="222"/>
      <c r="SZI13" s="222"/>
      <c r="SZJ13" s="222"/>
      <c r="SZK13" s="222"/>
      <c r="SZL13" s="222"/>
      <c r="SZM13" s="222"/>
      <c r="SZN13" s="222"/>
      <c r="SZO13" s="222"/>
      <c r="SZP13" s="222"/>
      <c r="SZQ13" s="222"/>
      <c r="SZR13" s="222"/>
      <c r="SZS13" s="222"/>
      <c r="SZT13" s="222"/>
      <c r="SZU13" s="222"/>
      <c r="SZV13" s="222"/>
      <c r="SZW13" s="222"/>
      <c r="SZX13" s="222"/>
      <c r="SZY13" s="222"/>
      <c r="SZZ13" s="222"/>
      <c r="TAA13" s="222"/>
      <c r="TAB13" s="222"/>
      <c r="TAC13" s="222"/>
      <c r="TAD13" s="222"/>
      <c r="TAE13" s="222"/>
      <c r="TAF13" s="222"/>
      <c r="TAG13" s="222"/>
      <c r="TAH13" s="222"/>
      <c r="TAI13" s="222"/>
      <c r="TAJ13" s="222"/>
      <c r="TAK13" s="222"/>
      <c r="TAL13" s="222"/>
      <c r="TAM13" s="222"/>
      <c r="TAN13" s="222"/>
      <c r="TAO13" s="222"/>
      <c r="TAP13" s="222"/>
      <c r="TAQ13" s="222"/>
      <c r="TAR13" s="222"/>
      <c r="TAS13" s="222"/>
      <c r="TAT13" s="222"/>
      <c r="TAU13" s="222"/>
      <c r="TAV13" s="222"/>
      <c r="TAW13" s="222"/>
      <c r="TAX13" s="222"/>
      <c r="TAY13" s="222"/>
      <c r="TAZ13" s="222"/>
      <c r="TBA13" s="222"/>
      <c r="TBB13" s="222"/>
      <c r="TBC13" s="222"/>
      <c r="TBD13" s="222"/>
      <c r="TBE13" s="222"/>
      <c r="TBF13" s="222"/>
      <c r="TBG13" s="222"/>
      <c r="TBH13" s="222"/>
      <c r="TBI13" s="222"/>
      <c r="TBJ13" s="222"/>
      <c r="TBK13" s="222"/>
      <c r="TBL13" s="222"/>
      <c r="TBM13" s="222"/>
      <c r="TBN13" s="222"/>
      <c r="TBO13" s="222"/>
      <c r="TBP13" s="222"/>
      <c r="TBQ13" s="222"/>
      <c r="TBR13" s="222"/>
      <c r="TBS13" s="222"/>
      <c r="TBT13" s="222"/>
      <c r="TBU13" s="222"/>
      <c r="TBV13" s="222"/>
      <c r="TBW13" s="222"/>
      <c r="TBX13" s="222"/>
      <c r="TBY13" s="222"/>
      <c r="TBZ13" s="222"/>
      <c r="TCA13" s="222"/>
      <c r="TCB13" s="222"/>
      <c r="TCC13" s="222"/>
      <c r="TCD13" s="222"/>
      <c r="TCE13" s="222"/>
      <c r="TCF13" s="222"/>
      <c r="TCG13" s="222"/>
      <c r="TCH13" s="222"/>
      <c r="TCI13" s="222"/>
      <c r="TCJ13" s="222"/>
      <c r="TCK13" s="222"/>
      <c r="TCL13" s="222"/>
      <c r="TCM13" s="222"/>
      <c r="TCN13" s="222"/>
      <c r="TCO13" s="222"/>
      <c r="TCP13" s="222"/>
      <c r="TCQ13" s="222"/>
      <c r="TCR13" s="222"/>
      <c r="TCS13" s="222"/>
      <c r="TCT13" s="222"/>
      <c r="TCU13" s="222"/>
      <c r="TCV13" s="222"/>
      <c r="TCW13" s="222"/>
      <c r="TCX13" s="222"/>
      <c r="TCY13" s="222"/>
      <c r="TCZ13" s="222"/>
      <c r="TDA13" s="222"/>
      <c r="TDB13" s="222"/>
      <c r="TDC13" s="222"/>
      <c r="TDD13" s="222"/>
      <c r="TDE13" s="222"/>
      <c r="TDF13" s="222"/>
      <c r="TDG13" s="222"/>
      <c r="TDH13" s="222"/>
      <c r="TDI13" s="222"/>
      <c r="TDJ13" s="222"/>
      <c r="TDK13" s="222"/>
      <c r="TDL13" s="222"/>
      <c r="TDM13" s="222"/>
      <c r="TDN13" s="222"/>
      <c r="TDO13" s="222"/>
      <c r="TDP13" s="222"/>
      <c r="TDQ13" s="222"/>
      <c r="TDR13" s="222"/>
      <c r="TDS13" s="222"/>
      <c r="TDT13" s="222"/>
      <c r="TDU13" s="222"/>
      <c r="TDV13" s="222"/>
      <c r="TDW13" s="222"/>
      <c r="TDX13" s="222"/>
      <c r="TDY13" s="222"/>
      <c r="TDZ13" s="222"/>
      <c r="TEA13" s="222"/>
      <c r="TEB13" s="222"/>
      <c r="TEC13" s="222"/>
      <c r="TED13" s="222"/>
      <c r="TEE13" s="222"/>
      <c r="TEF13" s="222"/>
      <c r="TEG13" s="222"/>
      <c r="TEH13" s="222"/>
      <c r="TEI13" s="222"/>
      <c r="TEJ13" s="222"/>
      <c r="TEK13" s="222"/>
      <c r="TEL13" s="222"/>
      <c r="TEM13" s="222"/>
      <c r="TEN13" s="222"/>
      <c r="TEO13" s="222"/>
      <c r="TEP13" s="222"/>
      <c r="TEQ13" s="222"/>
      <c r="TER13" s="222"/>
      <c r="TES13" s="222"/>
      <c r="TET13" s="222"/>
      <c r="TEU13" s="222"/>
      <c r="TEV13" s="222"/>
      <c r="TEW13" s="222"/>
      <c r="TEX13" s="222"/>
      <c r="TEY13" s="222"/>
      <c r="TEZ13" s="222"/>
      <c r="TFA13" s="222"/>
      <c r="TFB13" s="222"/>
      <c r="TFC13" s="222"/>
      <c r="TFD13" s="222"/>
      <c r="TFE13" s="222"/>
      <c r="TFF13" s="222"/>
      <c r="TFG13" s="222"/>
      <c r="TFH13" s="222"/>
      <c r="TFI13" s="222"/>
      <c r="TFJ13" s="222"/>
      <c r="TFK13" s="222"/>
      <c r="TFL13" s="222"/>
      <c r="TFM13" s="222"/>
      <c r="TFN13" s="222"/>
      <c r="TFO13" s="222"/>
      <c r="TFP13" s="222"/>
      <c r="TFQ13" s="222"/>
      <c r="TFR13" s="222"/>
      <c r="TFS13" s="222"/>
      <c r="TFT13" s="222"/>
      <c r="TFU13" s="222"/>
      <c r="TFV13" s="222"/>
      <c r="TFW13" s="222"/>
      <c r="TFX13" s="222"/>
      <c r="TFY13" s="222"/>
      <c r="TFZ13" s="222"/>
      <c r="TGA13" s="222"/>
      <c r="TGB13" s="222"/>
      <c r="TGC13" s="222"/>
      <c r="TGD13" s="222"/>
      <c r="TGE13" s="222"/>
      <c r="TGF13" s="222"/>
      <c r="TGG13" s="222"/>
      <c r="TGH13" s="222"/>
      <c r="TGI13" s="222"/>
      <c r="TGJ13" s="222"/>
      <c r="TGK13" s="222"/>
      <c r="TGL13" s="222"/>
      <c r="TGM13" s="222"/>
      <c r="TGN13" s="222"/>
      <c r="TGO13" s="222"/>
      <c r="TGP13" s="222"/>
      <c r="TGQ13" s="222"/>
      <c r="TGR13" s="222"/>
      <c r="TGS13" s="222"/>
      <c r="TGT13" s="222"/>
      <c r="TGU13" s="222"/>
      <c r="TGV13" s="222"/>
      <c r="TGW13" s="222"/>
      <c r="TGX13" s="222"/>
      <c r="TGY13" s="222"/>
      <c r="TGZ13" s="222"/>
      <c r="THA13" s="222"/>
      <c r="THB13" s="222"/>
      <c r="THC13" s="222"/>
      <c r="THD13" s="222"/>
      <c r="THE13" s="222"/>
      <c r="THF13" s="222"/>
      <c r="THG13" s="222"/>
      <c r="THH13" s="222"/>
      <c r="THI13" s="222"/>
      <c r="THJ13" s="222"/>
      <c r="THK13" s="222"/>
      <c r="THL13" s="222"/>
      <c r="THM13" s="222"/>
      <c r="THN13" s="222"/>
      <c r="THO13" s="222"/>
      <c r="THP13" s="222"/>
      <c r="THQ13" s="222"/>
      <c r="THR13" s="222"/>
      <c r="THS13" s="222"/>
      <c r="THT13" s="222"/>
      <c r="THU13" s="222"/>
      <c r="THV13" s="222"/>
      <c r="THW13" s="222"/>
      <c r="THX13" s="222"/>
      <c r="THY13" s="222"/>
      <c r="THZ13" s="222"/>
      <c r="TIA13" s="222"/>
      <c r="TIB13" s="222"/>
      <c r="TIC13" s="222"/>
      <c r="TID13" s="222"/>
      <c r="TIE13" s="222"/>
      <c r="TIF13" s="222"/>
      <c r="TIG13" s="222"/>
      <c r="TIH13" s="222"/>
      <c r="TII13" s="222"/>
      <c r="TIJ13" s="222"/>
      <c r="TIK13" s="222"/>
      <c r="TIL13" s="222"/>
      <c r="TIM13" s="222"/>
      <c r="TIN13" s="222"/>
      <c r="TIO13" s="222"/>
      <c r="TIP13" s="222"/>
      <c r="TIQ13" s="222"/>
      <c r="TIR13" s="222"/>
      <c r="TIS13" s="222"/>
      <c r="TIT13" s="222"/>
      <c r="TIU13" s="222"/>
      <c r="TIV13" s="222"/>
      <c r="TIW13" s="222"/>
      <c r="TIX13" s="222"/>
      <c r="TIY13" s="222"/>
      <c r="TIZ13" s="222"/>
      <c r="TJA13" s="222"/>
      <c r="TJB13" s="222"/>
      <c r="TJC13" s="222"/>
      <c r="TJD13" s="222"/>
      <c r="TJE13" s="222"/>
      <c r="TJF13" s="222"/>
      <c r="TJG13" s="222"/>
      <c r="TJH13" s="222"/>
      <c r="TJI13" s="222"/>
      <c r="TJJ13" s="222"/>
      <c r="TJK13" s="222"/>
      <c r="TJL13" s="222"/>
      <c r="TJM13" s="222"/>
      <c r="TJN13" s="222"/>
      <c r="TJO13" s="222"/>
      <c r="TJP13" s="222"/>
      <c r="TJQ13" s="222"/>
      <c r="TJR13" s="222"/>
      <c r="TJS13" s="222"/>
      <c r="TJT13" s="222"/>
      <c r="TJU13" s="222"/>
      <c r="TJV13" s="222"/>
      <c r="TJW13" s="222"/>
      <c r="TJX13" s="222"/>
      <c r="TJY13" s="222"/>
      <c r="TJZ13" s="222"/>
      <c r="TKA13" s="222"/>
      <c r="TKB13" s="222"/>
      <c r="TKC13" s="222"/>
      <c r="TKD13" s="222"/>
      <c r="TKE13" s="222"/>
      <c r="TKF13" s="222"/>
      <c r="TKG13" s="222"/>
      <c r="TKH13" s="222"/>
      <c r="TKI13" s="222"/>
      <c r="TKJ13" s="222"/>
      <c r="TKK13" s="222"/>
      <c r="TKL13" s="222"/>
      <c r="TKM13" s="222"/>
      <c r="TKN13" s="222"/>
      <c r="TKO13" s="222"/>
      <c r="TKP13" s="222"/>
      <c r="TKQ13" s="222"/>
      <c r="TKR13" s="222"/>
      <c r="TKS13" s="222"/>
      <c r="TKT13" s="222"/>
      <c r="TKU13" s="222"/>
      <c r="TKV13" s="222"/>
      <c r="TKW13" s="222"/>
      <c r="TKX13" s="222"/>
      <c r="TKY13" s="222"/>
      <c r="TKZ13" s="222"/>
      <c r="TLA13" s="222"/>
      <c r="TLB13" s="222"/>
      <c r="TLC13" s="222"/>
      <c r="TLD13" s="222"/>
      <c r="TLE13" s="222"/>
      <c r="TLF13" s="222"/>
      <c r="TLG13" s="222"/>
      <c r="TLH13" s="222"/>
      <c r="TLI13" s="222"/>
      <c r="TLJ13" s="222"/>
      <c r="TLK13" s="222"/>
      <c r="TLL13" s="222"/>
      <c r="TLM13" s="222"/>
      <c r="TLN13" s="222"/>
      <c r="TLO13" s="222"/>
      <c r="TLP13" s="222"/>
      <c r="TLQ13" s="222"/>
      <c r="TLR13" s="222"/>
      <c r="TLS13" s="222"/>
      <c r="TLT13" s="222"/>
      <c r="TLU13" s="222"/>
      <c r="TLV13" s="222"/>
      <c r="TLW13" s="222"/>
      <c r="TLX13" s="222"/>
      <c r="TLY13" s="222"/>
      <c r="TLZ13" s="222"/>
      <c r="TMA13" s="222"/>
      <c r="TMB13" s="222"/>
      <c r="TMC13" s="222"/>
      <c r="TMD13" s="222"/>
      <c r="TME13" s="222"/>
      <c r="TMF13" s="222"/>
      <c r="TMG13" s="222"/>
      <c r="TMH13" s="222"/>
      <c r="TMI13" s="222"/>
      <c r="TMJ13" s="222"/>
      <c r="TMK13" s="222"/>
      <c r="TML13" s="222"/>
      <c r="TMM13" s="222"/>
      <c r="TMN13" s="222"/>
      <c r="TMO13" s="222"/>
      <c r="TMP13" s="222"/>
      <c r="TMQ13" s="222"/>
      <c r="TMR13" s="222"/>
      <c r="TMS13" s="222"/>
      <c r="TMT13" s="222"/>
      <c r="TMU13" s="222"/>
      <c r="TMV13" s="222"/>
      <c r="TMW13" s="222"/>
      <c r="TMX13" s="222"/>
      <c r="TMY13" s="222"/>
      <c r="TMZ13" s="222"/>
      <c r="TNA13" s="222"/>
      <c r="TNB13" s="222"/>
      <c r="TNC13" s="222"/>
      <c r="TND13" s="222"/>
      <c r="TNE13" s="222"/>
      <c r="TNF13" s="222"/>
      <c r="TNG13" s="222"/>
      <c r="TNH13" s="222"/>
      <c r="TNI13" s="222"/>
      <c r="TNJ13" s="222"/>
      <c r="TNK13" s="222"/>
      <c r="TNL13" s="222"/>
      <c r="TNM13" s="222"/>
      <c r="TNN13" s="222"/>
      <c r="TNO13" s="222"/>
      <c r="TNP13" s="222"/>
      <c r="TNQ13" s="222"/>
      <c r="TNR13" s="222"/>
      <c r="TNS13" s="222"/>
      <c r="TNT13" s="222"/>
      <c r="TNU13" s="222"/>
      <c r="TNV13" s="222"/>
      <c r="TNW13" s="222"/>
      <c r="TNX13" s="222"/>
      <c r="TNY13" s="222"/>
      <c r="TNZ13" s="222"/>
      <c r="TOA13" s="222"/>
      <c r="TOB13" s="222"/>
      <c r="TOC13" s="222"/>
      <c r="TOD13" s="222"/>
      <c r="TOE13" s="222"/>
      <c r="TOF13" s="222"/>
      <c r="TOG13" s="222"/>
      <c r="TOH13" s="222"/>
      <c r="TOI13" s="222"/>
      <c r="TOJ13" s="222"/>
      <c r="TOK13" s="222"/>
      <c r="TOL13" s="222"/>
      <c r="TOM13" s="222"/>
      <c r="TON13" s="222"/>
      <c r="TOO13" s="222"/>
      <c r="TOP13" s="222"/>
      <c r="TOQ13" s="222"/>
      <c r="TOR13" s="222"/>
      <c r="TOS13" s="222"/>
      <c r="TOT13" s="222"/>
      <c r="TOU13" s="222"/>
      <c r="TOV13" s="222"/>
      <c r="TOW13" s="222"/>
      <c r="TOX13" s="222"/>
      <c r="TOY13" s="222"/>
      <c r="TOZ13" s="222"/>
      <c r="TPA13" s="222"/>
      <c r="TPB13" s="222"/>
      <c r="TPC13" s="222"/>
      <c r="TPD13" s="222"/>
      <c r="TPE13" s="222"/>
      <c r="TPF13" s="222"/>
      <c r="TPG13" s="222"/>
      <c r="TPH13" s="222"/>
      <c r="TPI13" s="222"/>
      <c r="TPJ13" s="222"/>
      <c r="TPK13" s="222"/>
      <c r="TPL13" s="222"/>
      <c r="TPM13" s="222"/>
      <c r="TPN13" s="222"/>
      <c r="TPO13" s="222"/>
      <c r="TPP13" s="222"/>
      <c r="TPQ13" s="222"/>
      <c r="TPR13" s="222"/>
      <c r="TPS13" s="222"/>
      <c r="TPT13" s="222"/>
      <c r="TPU13" s="222"/>
      <c r="TPV13" s="222"/>
      <c r="TPW13" s="222"/>
      <c r="TPX13" s="222"/>
      <c r="TPY13" s="222"/>
      <c r="TPZ13" s="222"/>
      <c r="TQA13" s="222"/>
      <c r="TQB13" s="222"/>
      <c r="TQC13" s="222"/>
      <c r="TQD13" s="222"/>
      <c r="TQE13" s="222"/>
      <c r="TQF13" s="222"/>
      <c r="TQG13" s="222"/>
      <c r="TQH13" s="222"/>
      <c r="TQI13" s="222"/>
      <c r="TQJ13" s="222"/>
      <c r="TQK13" s="222"/>
      <c r="TQL13" s="222"/>
      <c r="TQM13" s="222"/>
      <c r="TQN13" s="222"/>
      <c r="TQO13" s="222"/>
      <c r="TQP13" s="222"/>
      <c r="TQQ13" s="222"/>
      <c r="TQR13" s="222"/>
      <c r="TQS13" s="222"/>
      <c r="TQT13" s="222"/>
      <c r="TQU13" s="222"/>
      <c r="TQV13" s="222"/>
      <c r="TQW13" s="222"/>
      <c r="TQX13" s="222"/>
      <c r="TQY13" s="222"/>
      <c r="TQZ13" s="222"/>
      <c r="TRA13" s="222"/>
      <c r="TRB13" s="222"/>
      <c r="TRC13" s="222"/>
      <c r="TRD13" s="222"/>
      <c r="TRE13" s="222"/>
      <c r="TRF13" s="222"/>
      <c r="TRG13" s="222"/>
      <c r="TRH13" s="222"/>
      <c r="TRI13" s="222"/>
      <c r="TRJ13" s="222"/>
      <c r="TRK13" s="222"/>
      <c r="TRL13" s="222"/>
      <c r="TRM13" s="222"/>
      <c r="TRN13" s="222"/>
      <c r="TRO13" s="222"/>
      <c r="TRP13" s="222"/>
      <c r="TRQ13" s="222"/>
      <c r="TRR13" s="222"/>
      <c r="TRS13" s="222"/>
      <c r="TRT13" s="222"/>
      <c r="TRU13" s="222"/>
      <c r="TRV13" s="222"/>
      <c r="TRW13" s="222"/>
      <c r="TRX13" s="222"/>
      <c r="TRY13" s="222"/>
      <c r="TRZ13" s="222"/>
      <c r="TSA13" s="222"/>
      <c r="TSB13" s="222"/>
      <c r="TSC13" s="222"/>
      <c r="TSD13" s="222"/>
      <c r="TSE13" s="222"/>
      <c r="TSF13" s="222"/>
      <c r="TSG13" s="222"/>
      <c r="TSH13" s="222"/>
      <c r="TSI13" s="222"/>
      <c r="TSJ13" s="222"/>
      <c r="TSK13" s="222"/>
      <c r="TSL13" s="222"/>
      <c r="TSM13" s="222"/>
      <c r="TSN13" s="222"/>
      <c r="TSO13" s="222"/>
      <c r="TSP13" s="222"/>
      <c r="TSQ13" s="222"/>
      <c r="TSR13" s="222"/>
      <c r="TSS13" s="222"/>
      <c r="TST13" s="222"/>
      <c r="TSU13" s="222"/>
      <c r="TSV13" s="222"/>
      <c r="TSW13" s="222"/>
      <c r="TSX13" s="222"/>
      <c r="TSY13" s="222"/>
      <c r="TSZ13" s="222"/>
      <c r="TTA13" s="222"/>
      <c r="TTB13" s="222"/>
      <c r="TTC13" s="222"/>
      <c r="TTD13" s="222"/>
      <c r="TTE13" s="222"/>
      <c r="TTF13" s="222"/>
      <c r="TTG13" s="222"/>
      <c r="TTH13" s="222"/>
      <c r="TTI13" s="222"/>
      <c r="TTJ13" s="222"/>
      <c r="TTK13" s="222"/>
      <c r="TTL13" s="222"/>
      <c r="TTM13" s="222"/>
      <c r="TTN13" s="222"/>
      <c r="TTO13" s="222"/>
      <c r="TTP13" s="222"/>
      <c r="TTQ13" s="222"/>
      <c r="TTR13" s="222"/>
      <c r="TTS13" s="222"/>
      <c r="TTT13" s="222"/>
      <c r="TTU13" s="222"/>
      <c r="TTV13" s="222"/>
      <c r="TTW13" s="222"/>
      <c r="TTX13" s="222"/>
      <c r="TTY13" s="222"/>
      <c r="TTZ13" s="222"/>
      <c r="TUA13" s="222"/>
      <c r="TUB13" s="222"/>
      <c r="TUC13" s="222"/>
      <c r="TUD13" s="222"/>
      <c r="TUE13" s="222"/>
      <c r="TUF13" s="222"/>
      <c r="TUG13" s="222"/>
      <c r="TUH13" s="222"/>
      <c r="TUI13" s="222"/>
      <c r="TUJ13" s="222"/>
      <c r="TUK13" s="222"/>
      <c r="TUL13" s="222"/>
      <c r="TUM13" s="222"/>
      <c r="TUN13" s="222"/>
      <c r="TUO13" s="222"/>
      <c r="TUP13" s="222"/>
      <c r="TUQ13" s="222"/>
      <c r="TUR13" s="222"/>
      <c r="TUS13" s="222"/>
      <c r="TUT13" s="222"/>
      <c r="TUU13" s="222"/>
      <c r="TUV13" s="222"/>
      <c r="TUW13" s="222"/>
      <c r="TUX13" s="222"/>
      <c r="TUY13" s="222"/>
      <c r="TUZ13" s="222"/>
      <c r="TVA13" s="222"/>
      <c r="TVB13" s="222"/>
      <c r="TVC13" s="222"/>
      <c r="TVD13" s="222"/>
      <c r="TVE13" s="222"/>
      <c r="TVF13" s="222"/>
      <c r="TVG13" s="222"/>
      <c r="TVH13" s="222"/>
      <c r="TVI13" s="222"/>
      <c r="TVJ13" s="222"/>
      <c r="TVK13" s="222"/>
      <c r="TVL13" s="222"/>
      <c r="TVM13" s="222"/>
      <c r="TVN13" s="222"/>
      <c r="TVO13" s="222"/>
      <c r="TVP13" s="222"/>
      <c r="TVQ13" s="222"/>
      <c r="TVR13" s="222"/>
      <c r="TVS13" s="222"/>
      <c r="TVT13" s="222"/>
      <c r="TVU13" s="222"/>
      <c r="TVV13" s="222"/>
      <c r="TVW13" s="222"/>
      <c r="TVX13" s="222"/>
      <c r="TVY13" s="222"/>
      <c r="TVZ13" s="222"/>
      <c r="TWA13" s="222"/>
      <c r="TWB13" s="222"/>
      <c r="TWC13" s="222"/>
      <c r="TWD13" s="222"/>
      <c r="TWE13" s="222"/>
      <c r="TWF13" s="222"/>
      <c r="TWG13" s="222"/>
      <c r="TWH13" s="222"/>
      <c r="TWI13" s="222"/>
      <c r="TWJ13" s="222"/>
      <c r="TWK13" s="222"/>
      <c r="TWL13" s="222"/>
      <c r="TWM13" s="222"/>
      <c r="TWN13" s="222"/>
      <c r="TWO13" s="222"/>
      <c r="TWP13" s="222"/>
      <c r="TWQ13" s="222"/>
      <c r="TWR13" s="222"/>
      <c r="TWS13" s="222"/>
      <c r="TWT13" s="222"/>
      <c r="TWU13" s="222"/>
      <c r="TWV13" s="222"/>
      <c r="TWW13" s="222"/>
      <c r="TWX13" s="222"/>
      <c r="TWY13" s="222"/>
      <c r="TWZ13" s="222"/>
      <c r="TXA13" s="222"/>
      <c r="TXB13" s="222"/>
      <c r="TXC13" s="222"/>
      <c r="TXD13" s="222"/>
      <c r="TXE13" s="222"/>
      <c r="TXF13" s="222"/>
      <c r="TXG13" s="222"/>
      <c r="TXH13" s="222"/>
      <c r="TXI13" s="222"/>
      <c r="TXJ13" s="222"/>
      <c r="TXK13" s="222"/>
      <c r="TXL13" s="222"/>
      <c r="TXM13" s="222"/>
      <c r="TXN13" s="222"/>
      <c r="TXO13" s="222"/>
      <c r="TXP13" s="222"/>
      <c r="TXQ13" s="222"/>
      <c r="TXR13" s="222"/>
      <c r="TXS13" s="222"/>
      <c r="TXT13" s="222"/>
      <c r="TXU13" s="222"/>
      <c r="TXV13" s="222"/>
      <c r="TXW13" s="222"/>
      <c r="TXX13" s="222"/>
      <c r="TXY13" s="222"/>
      <c r="TXZ13" s="222"/>
      <c r="TYA13" s="222"/>
      <c r="TYB13" s="222"/>
      <c r="TYC13" s="222"/>
      <c r="TYD13" s="222"/>
      <c r="TYE13" s="222"/>
      <c r="TYF13" s="222"/>
      <c r="TYG13" s="222"/>
      <c r="TYH13" s="222"/>
      <c r="TYI13" s="222"/>
      <c r="TYJ13" s="222"/>
      <c r="TYK13" s="222"/>
      <c r="TYL13" s="222"/>
      <c r="TYM13" s="222"/>
      <c r="TYN13" s="222"/>
      <c r="TYO13" s="222"/>
      <c r="TYP13" s="222"/>
      <c r="TYQ13" s="222"/>
      <c r="TYR13" s="222"/>
      <c r="TYS13" s="222"/>
      <c r="TYT13" s="222"/>
      <c r="TYU13" s="222"/>
      <c r="TYV13" s="222"/>
      <c r="TYW13" s="222"/>
      <c r="TYX13" s="222"/>
      <c r="TYY13" s="222"/>
      <c r="TYZ13" s="222"/>
      <c r="TZA13" s="222"/>
      <c r="TZB13" s="222"/>
      <c r="TZC13" s="222"/>
      <c r="TZD13" s="222"/>
      <c r="TZE13" s="222"/>
      <c r="TZF13" s="222"/>
      <c r="TZG13" s="222"/>
      <c r="TZH13" s="222"/>
      <c r="TZI13" s="222"/>
      <c r="TZJ13" s="222"/>
      <c r="TZK13" s="222"/>
      <c r="TZL13" s="222"/>
      <c r="TZM13" s="222"/>
      <c r="TZN13" s="222"/>
      <c r="TZO13" s="222"/>
      <c r="TZP13" s="222"/>
      <c r="TZQ13" s="222"/>
      <c r="TZR13" s="222"/>
      <c r="TZS13" s="222"/>
      <c r="TZT13" s="222"/>
      <c r="TZU13" s="222"/>
      <c r="TZV13" s="222"/>
      <c r="TZW13" s="222"/>
      <c r="TZX13" s="222"/>
      <c r="TZY13" s="222"/>
      <c r="TZZ13" s="222"/>
      <c r="UAA13" s="222"/>
      <c r="UAB13" s="222"/>
      <c r="UAC13" s="222"/>
      <c r="UAD13" s="222"/>
      <c r="UAE13" s="222"/>
      <c r="UAF13" s="222"/>
      <c r="UAG13" s="222"/>
      <c r="UAH13" s="222"/>
      <c r="UAI13" s="222"/>
      <c r="UAJ13" s="222"/>
      <c r="UAK13" s="222"/>
      <c r="UAL13" s="222"/>
      <c r="UAM13" s="222"/>
      <c r="UAN13" s="222"/>
      <c r="UAO13" s="222"/>
      <c r="UAP13" s="222"/>
      <c r="UAQ13" s="222"/>
      <c r="UAR13" s="222"/>
      <c r="UAS13" s="222"/>
      <c r="UAT13" s="222"/>
      <c r="UAU13" s="222"/>
      <c r="UAV13" s="222"/>
      <c r="UAW13" s="222"/>
      <c r="UAX13" s="222"/>
      <c r="UAY13" s="222"/>
      <c r="UAZ13" s="222"/>
      <c r="UBA13" s="222"/>
      <c r="UBB13" s="222"/>
      <c r="UBC13" s="222"/>
      <c r="UBD13" s="222"/>
      <c r="UBE13" s="222"/>
      <c r="UBF13" s="222"/>
      <c r="UBG13" s="222"/>
      <c r="UBH13" s="222"/>
      <c r="UBI13" s="222"/>
      <c r="UBJ13" s="222"/>
      <c r="UBK13" s="222"/>
      <c r="UBL13" s="222"/>
      <c r="UBM13" s="222"/>
      <c r="UBN13" s="222"/>
      <c r="UBO13" s="222"/>
      <c r="UBP13" s="222"/>
      <c r="UBQ13" s="222"/>
      <c r="UBR13" s="222"/>
      <c r="UBS13" s="222"/>
      <c r="UBT13" s="222"/>
      <c r="UBU13" s="222"/>
      <c r="UBV13" s="222"/>
      <c r="UBW13" s="222"/>
      <c r="UBX13" s="222"/>
      <c r="UBY13" s="222"/>
      <c r="UBZ13" s="222"/>
      <c r="UCA13" s="222"/>
      <c r="UCB13" s="222"/>
      <c r="UCC13" s="222"/>
      <c r="UCD13" s="222"/>
      <c r="UCE13" s="222"/>
      <c r="UCF13" s="222"/>
      <c r="UCG13" s="222"/>
      <c r="UCH13" s="222"/>
      <c r="UCI13" s="222"/>
      <c r="UCJ13" s="222"/>
      <c r="UCK13" s="222"/>
      <c r="UCL13" s="222"/>
      <c r="UCM13" s="222"/>
      <c r="UCN13" s="222"/>
      <c r="UCO13" s="222"/>
      <c r="UCP13" s="222"/>
      <c r="UCQ13" s="222"/>
      <c r="UCR13" s="222"/>
      <c r="UCS13" s="222"/>
      <c r="UCT13" s="222"/>
      <c r="UCU13" s="222"/>
      <c r="UCV13" s="222"/>
      <c r="UCW13" s="222"/>
      <c r="UCX13" s="222"/>
      <c r="UCY13" s="222"/>
      <c r="UCZ13" s="222"/>
      <c r="UDA13" s="222"/>
      <c r="UDB13" s="222"/>
      <c r="UDC13" s="222"/>
      <c r="UDD13" s="222"/>
      <c r="UDE13" s="222"/>
      <c r="UDF13" s="222"/>
      <c r="UDG13" s="222"/>
      <c r="UDH13" s="222"/>
      <c r="UDI13" s="222"/>
      <c r="UDJ13" s="222"/>
      <c r="UDK13" s="222"/>
      <c r="UDL13" s="222"/>
      <c r="UDM13" s="222"/>
      <c r="UDN13" s="222"/>
      <c r="UDO13" s="222"/>
      <c r="UDP13" s="222"/>
      <c r="UDQ13" s="222"/>
      <c r="UDR13" s="222"/>
      <c r="UDS13" s="222"/>
      <c r="UDT13" s="222"/>
      <c r="UDU13" s="222"/>
      <c r="UDV13" s="222"/>
      <c r="UDW13" s="222"/>
      <c r="UDX13" s="222"/>
      <c r="UDY13" s="222"/>
      <c r="UDZ13" s="222"/>
      <c r="UEA13" s="222"/>
      <c r="UEB13" s="222"/>
      <c r="UEC13" s="222"/>
      <c r="UED13" s="222"/>
      <c r="UEE13" s="222"/>
      <c r="UEF13" s="222"/>
      <c r="UEG13" s="222"/>
      <c r="UEH13" s="222"/>
      <c r="UEI13" s="222"/>
      <c r="UEJ13" s="222"/>
      <c r="UEK13" s="222"/>
      <c r="UEL13" s="222"/>
      <c r="UEM13" s="222"/>
      <c r="UEN13" s="222"/>
      <c r="UEO13" s="222"/>
      <c r="UEP13" s="222"/>
      <c r="UEQ13" s="222"/>
      <c r="UER13" s="222"/>
      <c r="UES13" s="222"/>
      <c r="UET13" s="222"/>
      <c r="UEU13" s="222"/>
      <c r="UEV13" s="222"/>
      <c r="UEW13" s="222"/>
      <c r="UEX13" s="222"/>
      <c r="UEY13" s="222"/>
      <c r="UEZ13" s="222"/>
      <c r="UFA13" s="222"/>
      <c r="UFB13" s="222"/>
      <c r="UFC13" s="222"/>
      <c r="UFD13" s="222"/>
      <c r="UFE13" s="222"/>
      <c r="UFF13" s="222"/>
      <c r="UFG13" s="222"/>
      <c r="UFH13" s="222"/>
      <c r="UFI13" s="222"/>
      <c r="UFJ13" s="222"/>
      <c r="UFK13" s="222"/>
      <c r="UFL13" s="222"/>
      <c r="UFM13" s="222"/>
      <c r="UFN13" s="222"/>
      <c r="UFO13" s="222"/>
      <c r="UFP13" s="222"/>
      <c r="UFQ13" s="222"/>
      <c r="UFR13" s="222"/>
      <c r="UFS13" s="222"/>
      <c r="UFT13" s="222"/>
      <c r="UFU13" s="222"/>
      <c r="UFV13" s="222"/>
      <c r="UFW13" s="222"/>
      <c r="UFX13" s="222"/>
      <c r="UFY13" s="222"/>
      <c r="UFZ13" s="222"/>
      <c r="UGA13" s="222"/>
      <c r="UGB13" s="222"/>
      <c r="UGC13" s="222"/>
      <c r="UGD13" s="222"/>
      <c r="UGE13" s="222"/>
      <c r="UGF13" s="222"/>
      <c r="UGG13" s="222"/>
      <c r="UGH13" s="222"/>
      <c r="UGI13" s="222"/>
      <c r="UGJ13" s="222"/>
      <c r="UGK13" s="222"/>
      <c r="UGL13" s="222"/>
      <c r="UGM13" s="222"/>
      <c r="UGN13" s="222"/>
      <c r="UGO13" s="222"/>
      <c r="UGP13" s="222"/>
      <c r="UGQ13" s="222"/>
      <c r="UGR13" s="222"/>
      <c r="UGS13" s="222"/>
      <c r="UGT13" s="222"/>
      <c r="UGU13" s="222"/>
      <c r="UGV13" s="222"/>
      <c r="UGW13" s="222"/>
      <c r="UGX13" s="222"/>
      <c r="UGY13" s="222"/>
      <c r="UGZ13" s="222"/>
      <c r="UHA13" s="222"/>
      <c r="UHB13" s="222"/>
      <c r="UHC13" s="222"/>
      <c r="UHD13" s="222"/>
      <c r="UHE13" s="222"/>
      <c r="UHF13" s="222"/>
      <c r="UHG13" s="222"/>
      <c r="UHH13" s="222"/>
      <c r="UHI13" s="222"/>
      <c r="UHJ13" s="222"/>
      <c r="UHK13" s="222"/>
      <c r="UHL13" s="222"/>
      <c r="UHM13" s="222"/>
      <c r="UHN13" s="222"/>
      <c r="UHO13" s="222"/>
      <c r="UHP13" s="222"/>
      <c r="UHQ13" s="222"/>
      <c r="UHR13" s="222"/>
      <c r="UHS13" s="222"/>
      <c r="UHT13" s="222"/>
      <c r="UHU13" s="222"/>
      <c r="UHV13" s="222"/>
      <c r="UHW13" s="222"/>
      <c r="UHX13" s="222"/>
      <c r="UHY13" s="222"/>
      <c r="UHZ13" s="222"/>
      <c r="UIA13" s="222"/>
      <c r="UIB13" s="222"/>
      <c r="UIC13" s="222"/>
      <c r="UID13" s="222"/>
      <c r="UIE13" s="222"/>
      <c r="UIF13" s="222"/>
      <c r="UIG13" s="222"/>
      <c r="UIH13" s="222"/>
      <c r="UII13" s="222"/>
      <c r="UIJ13" s="222"/>
      <c r="UIK13" s="222"/>
      <c r="UIL13" s="222"/>
      <c r="UIM13" s="222"/>
      <c r="UIN13" s="222"/>
      <c r="UIO13" s="222"/>
      <c r="UIP13" s="222"/>
      <c r="UIQ13" s="222"/>
      <c r="UIR13" s="222"/>
      <c r="UIS13" s="222"/>
      <c r="UIT13" s="222"/>
      <c r="UIU13" s="222"/>
      <c r="UIV13" s="222"/>
      <c r="UIW13" s="222"/>
      <c r="UIX13" s="222"/>
      <c r="UIY13" s="222"/>
      <c r="UIZ13" s="222"/>
      <c r="UJA13" s="222"/>
      <c r="UJB13" s="222"/>
      <c r="UJC13" s="222"/>
      <c r="UJD13" s="222"/>
      <c r="UJE13" s="222"/>
      <c r="UJF13" s="222"/>
      <c r="UJG13" s="222"/>
      <c r="UJH13" s="222"/>
      <c r="UJI13" s="222"/>
      <c r="UJJ13" s="222"/>
      <c r="UJK13" s="222"/>
      <c r="UJL13" s="222"/>
      <c r="UJM13" s="222"/>
      <c r="UJN13" s="222"/>
      <c r="UJO13" s="222"/>
      <c r="UJP13" s="222"/>
      <c r="UJQ13" s="222"/>
      <c r="UJR13" s="222"/>
      <c r="UJS13" s="222"/>
      <c r="UJT13" s="222"/>
      <c r="UJU13" s="222"/>
      <c r="UJV13" s="222"/>
      <c r="UJW13" s="222"/>
      <c r="UJX13" s="222"/>
      <c r="UJY13" s="222"/>
      <c r="UJZ13" s="222"/>
      <c r="UKA13" s="222"/>
      <c r="UKB13" s="222"/>
      <c r="UKC13" s="222"/>
      <c r="UKD13" s="222"/>
      <c r="UKE13" s="222"/>
      <c r="UKF13" s="222"/>
      <c r="UKG13" s="222"/>
      <c r="UKH13" s="222"/>
      <c r="UKI13" s="222"/>
      <c r="UKJ13" s="222"/>
      <c r="UKK13" s="222"/>
      <c r="UKL13" s="222"/>
      <c r="UKM13" s="222"/>
      <c r="UKN13" s="222"/>
      <c r="UKO13" s="222"/>
      <c r="UKP13" s="222"/>
      <c r="UKQ13" s="222"/>
      <c r="UKR13" s="222"/>
      <c r="UKS13" s="222"/>
      <c r="UKT13" s="222"/>
      <c r="UKU13" s="222"/>
      <c r="UKV13" s="222"/>
      <c r="UKW13" s="222"/>
      <c r="UKX13" s="222"/>
      <c r="UKY13" s="222"/>
      <c r="UKZ13" s="222"/>
      <c r="ULA13" s="222"/>
      <c r="ULB13" s="222"/>
      <c r="ULC13" s="222"/>
      <c r="ULD13" s="222"/>
      <c r="ULE13" s="222"/>
      <c r="ULF13" s="222"/>
      <c r="ULG13" s="222"/>
      <c r="ULH13" s="222"/>
      <c r="ULI13" s="222"/>
      <c r="ULJ13" s="222"/>
      <c r="ULK13" s="222"/>
      <c r="ULL13" s="222"/>
      <c r="ULM13" s="222"/>
      <c r="ULN13" s="222"/>
      <c r="ULO13" s="222"/>
      <c r="ULP13" s="222"/>
      <c r="ULQ13" s="222"/>
      <c r="ULR13" s="222"/>
      <c r="ULS13" s="222"/>
      <c r="ULT13" s="222"/>
      <c r="ULU13" s="222"/>
      <c r="ULV13" s="222"/>
      <c r="ULW13" s="222"/>
      <c r="ULX13" s="222"/>
      <c r="ULY13" s="222"/>
      <c r="ULZ13" s="222"/>
      <c r="UMA13" s="222"/>
      <c r="UMB13" s="222"/>
      <c r="UMC13" s="222"/>
      <c r="UMD13" s="222"/>
      <c r="UME13" s="222"/>
      <c r="UMF13" s="222"/>
      <c r="UMG13" s="222"/>
      <c r="UMH13" s="222"/>
      <c r="UMI13" s="222"/>
      <c r="UMJ13" s="222"/>
      <c r="UMK13" s="222"/>
      <c r="UML13" s="222"/>
      <c r="UMM13" s="222"/>
      <c r="UMN13" s="222"/>
      <c r="UMO13" s="222"/>
      <c r="UMP13" s="222"/>
      <c r="UMQ13" s="222"/>
      <c r="UMR13" s="222"/>
      <c r="UMS13" s="222"/>
      <c r="UMT13" s="222"/>
      <c r="UMU13" s="222"/>
      <c r="UMV13" s="222"/>
      <c r="UMW13" s="222"/>
      <c r="UMX13" s="222"/>
      <c r="UMY13" s="222"/>
      <c r="UMZ13" s="222"/>
      <c r="UNA13" s="222"/>
      <c r="UNB13" s="222"/>
      <c r="UNC13" s="222"/>
      <c r="UND13" s="222"/>
      <c r="UNE13" s="222"/>
      <c r="UNF13" s="222"/>
      <c r="UNG13" s="222"/>
      <c r="UNH13" s="222"/>
      <c r="UNI13" s="222"/>
      <c r="UNJ13" s="222"/>
      <c r="UNK13" s="222"/>
      <c r="UNL13" s="222"/>
      <c r="UNM13" s="222"/>
      <c r="UNN13" s="222"/>
      <c r="UNO13" s="222"/>
      <c r="UNP13" s="222"/>
      <c r="UNQ13" s="222"/>
      <c r="UNR13" s="222"/>
      <c r="UNS13" s="222"/>
      <c r="UNT13" s="222"/>
      <c r="UNU13" s="222"/>
      <c r="UNV13" s="222"/>
      <c r="UNW13" s="222"/>
      <c r="UNX13" s="222"/>
      <c r="UNY13" s="222"/>
      <c r="UNZ13" s="222"/>
      <c r="UOA13" s="222"/>
      <c r="UOB13" s="222"/>
      <c r="UOC13" s="222"/>
      <c r="UOD13" s="222"/>
      <c r="UOE13" s="222"/>
      <c r="UOF13" s="222"/>
      <c r="UOG13" s="222"/>
      <c r="UOH13" s="222"/>
      <c r="UOI13" s="222"/>
      <c r="UOJ13" s="222"/>
      <c r="UOK13" s="222"/>
      <c r="UOL13" s="222"/>
      <c r="UOM13" s="222"/>
      <c r="UON13" s="222"/>
      <c r="UOO13" s="222"/>
      <c r="UOP13" s="222"/>
      <c r="UOQ13" s="222"/>
      <c r="UOR13" s="222"/>
      <c r="UOS13" s="222"/>
      <c r="UOT13" s="222"/>
      <c r="UOU13" s="222"/>
      <c r="UOV13" s="222"/>
      <c r="UOW13" s="222"/>
      <c r="UOX13" s="222"/>
      <c r="UOY13" s="222"/>
      <c r="UOZ13" s="222"/>
      <c r="UPA13" s="222"/>
      <c r="UPB13" s="222"/>
      <c r="UPC13" s="222"/>
      <c r="UPD13" s="222"/>
      <c r="UPE13" s="222"/>
      <c r="UPF13" s="222"/>
      <c r="UPG13" s="222"/>
      <c r="UPH13" s="222"/>
      <c r="UPI13" s="222"/>
      <c r="UPJ13" s="222"/>
      <c r="UPK13" s="222"/>
      <c r="UPL13" s="222"/>
      <c r="UPM13" s="222"/>
      <c r="UPN13" s="222"/>
      <c r="UPO13" s="222"/>
      <c r="UPP13" s="222"/>
      <c r="UPQ13" s="222"/>
      <c r="UPR13" s="222"/>
      <c r="UPS13" s="222"/>
      <c r="UPT13" s="222"/>
      <c r="UPU13" s="222"/>
      <c r="UPV13" s="222"/>
      <c r="UPW13" s="222"/>
      <c r="UPX13" s="222"/>
      <c r="UPY13" s="222"/>
      <c r="UPZ13" s="222"/>
      <c r="UQA13" s="222"/>
      <c r="UQB13" s="222"/>
      <c r="UQC13" s="222"/>
      <c r="UQD13" s="222"/>
      <c r="UQE13" s="222"/>
      <c r="UQF13" s="222"/>
      <c r="UQG13" s="222"/>
      <c r="UQH13" s="222"/>
      <c r="UQI13" s="222"/>
      <c r="UQJ13" s="222"/>
      <c r="UQK13" s="222"/>
      <c r="UQL13" s="222"/>
      <c r="UQM13" s="222"/>
      <c r="UQN13" s="222"/>
      <c r="UQO13" s="222"/>
      <c r="UQP13" s="222"/>
      <c r="UQQ13" s="222"/>
      <c r="UQR13" s="222"/>
      <c r="UQS13" s="222"/>
      <c r="UQT13" s="222"/>
      <c r="UQU13" s="222"/>
      <c r="UQV13" s="222"/>
      <c r="UQW13" s="222"/>
      <c r="UQX13" s="222"/>
      <c r="UQY13" s="222"/>
      <c r="UQZ13" s="222"/>
      <c r="URA13" s="222"/>
      <c r="URB13" s="222"/>
      <c r="URC13" s="222"/>
      <c r="URD13" s="222"/>
      <c r="URE13" s="222"/>
      <c r="URF13" s="222"/>
      <c r="URG13" s="222"/>
      <c r="URH13" s="222"/>
      <c r="URI13" s="222"/>
      <c r="URJ13" s="222"/>
      <c r="URK13" s="222"/>
      <c r="URL13" s="222"/>
      <c r="URM13" s="222"/>
      <c r="URN13" s="222"/>
      <c r="URO13" s="222"/>
      <c r="URP13" s="222"/>
      <c r="URQ13" s="222"/>
      <c r="URR13" s="222"/>
      <c r="URS13" s="222"/>
      <c r="URT13" s="222"/>
      <c r="URU13" s="222"/>
      <c r="URV13" s="222"/>
      <c r="URW13" s="222"/>
      <c r="URX13" s="222"/>
      <c r="URY13" s="222"/>
      <c r="URZ13" s="222"/>
      <c r="USA13" s="222"/>
      <c r="USB13" s="222"/>
      <c r="USC13" s="222"/>
      <c r="USD13" s="222"/>
      <c r="USE13" s="222"/>
      <c r="USF13" s="222"/>
      <c r="USG13" s="222"/>
      <c r="USH13" s="222"/>
      <c r="USI13" s="222"/>
      <c r="USJ13" s="222"/>
      <c r="USK13" s="222"/>
      <c r="USL13" s="222"/>
      <c r="USM13" s="222"/>
      <c r="USN13" s="222"/>
      <c r="USO13" s="222"/>
      <c r="USP13" s="222"/>
      <c r="USQ13" s="222"/>
      <c r="USR13" s="222"/>
      <c r="USS13" s="222"/>
      <c r="UST13" s="222"/>
      <c r="USU13" s="222"/>
      <c r="USV13" s="222"/>
      <c r="USW13" s="222"/>
      <c r="USX13" s="222"/>
      <c r="USY13" s="222"/>
      <c r="USZ13" s="222"/>
      <c r="UTA13" s="222"/>
      <c r="UTB13" s="222"/>
      <c r="UTC13" s="222"/>
      <c r="UTD13" s="222"/>
      <c r="UTE13" s="222"/>
      <c r="UTF13" s="222"/>
      <c r="UTG13" s="222"/>
      <c r="UTH13" s="222"/>
      <c r="UTI13" s="222"/>
      <c r="UTJ13" s="222"/>
      <c r="UTK13" s="222"/>
      <c r="UTL13" s="222"/>
      <c r="UTM13" s="222"/>
      <c r="UTN13" s="222"/>
      <c r="UTO13" s="222"/>
      <c r="UTP13" s="222"/>
      <c r="UTQ13" s="222"/>
      <c r="UTR13" s="222"/>
      <c r="UTS13" s="222"/>
      <c r="UTT13" s="222"/>
      <c r="UTU13" s="222"/>
      <c r="UTV13" s="222"/>
      <c r="UTW13" s="222"/>
      <c r="UTX13" s="222"/>
      <c r="UTY13" s="222"/>
      <c r="UTZ13" s="222"/>
      <c r="UUA13" s="222"/>
      <c r="UUB13" s="222"/>
      <c r="UUC13" s="222"/>
      <c r="UUD13" s="222"/>
      <c r="UUE13" s="222"/>
      <c r="UUF13" s="222"/>
      <c r="UUG13" s="222"/>
      <c r="UUH13" s="222"/>
      <c r="UUI13" s="222"/>
      <c r="UUJ13" s="222"/>
      <c r="UUK13" s="222"/>
      <c r="UUL13" s="222"/>
      <c r="UUM13" s="222"/>
      <c r="UUN13" s="222"/>
      <c r="UUO13" s="222"/>
      <c r="UUP13" s="222"/>
      <c r="UUQ13" s="222"/>
      <c r="UUR13" s="222"/>
      <c r="UUS13" s="222"/>
      <c r="UUT13" s="222"/>
      <c r="UUU13" s="222"/>
      <c r="UUV13" s="222"/>
      <c r="UUW13" s="222"/>
      <c r="UUX13" s="222"/>
      <c r="UUY13" s="222"/>
      <c r="UUZ13" s="222"/>
      <c r="UVA13" s="222"/>
      <c r="UVB13" s="222"/>
      <c r="UVC13" s="222"/>
      <c r="UVD13" s="222"/>
      <c r="UVE13" s="222"/>
      <c r="UVF13" s="222"/>
      <c r="UVG13" s="222"/>
      <c r="UVH13" s="222"/>
      <c r="UVI13" s="222"/>
      <c r="UVJ13" s="222"/>
      <c r="UVK13" s="222"/>
      <c r="UVL13" s="222"/>
      <c r="UVM13" s="222"/>
      <c r="UVN13" s="222"/>
      <c r="UVO13" s="222"/>
      <c r="UVP13" s="222"/>
      <c r="UVQ13" s="222"/>
      <c r="UVR13" s="222"/>
      <c r="UVS13" s="222"/>
      <c r="UVT13" s="222"/>
      <c r="UVU13" s="222"/>
      <c r="UVV13" s="222"/>
      <c r="UVW13" s="222"/>
      <c r="UVX13" s="222"/>
      <c r="UVY13" s="222"/>
      <c r="UVZ13" s="222"/>
      <c r="UWA13" s="222"/>
      <c r="UWB13" s="222"/>
      <c r="UWC13" s="222"/>
      <c r="UWD13" s="222"/>
      <c r="UWE13" s="222"/>
      <c r="UWF13" s="222"/>
      <c r="UWG13" s="222"/>
      <c r="UWH13" s="222"/>
      <c r="UWI13" s="222"/>
      <c r="UWJ13" s="222"/>
      <c r="UWK13" s="222"/>
      <c r="UWL13" s="222"/>
      <c r="UWM13" s="222"/>
      <c r="UWN13" s="222"/>
      <c r="UWO13" s="222"/>
      <c r="UWP13" s="222"/>
      <c r="UWQ13" s="222"/>
      <c r="UWR13" s="222"/>
      <c r="UWS13" s="222"/>
      <c r="UWT13" s="222"/>
      <c r="UWU13" s="222"/>
      <c r="UWV13" s="222"/>
      <c r="UWW13" s="222"/>
      <c r="UWX13" s="222"/>
      <c r="UWY13" s="222"/>
      <c r="UWZ13" s="222"/>
      <c r="UXA13" s="222"/>
      <c r="UXB13" s="222"/>
      <c r="UXC13" s="222"/>
      <c r="UXD13" s="222"/>
      <c r="UXE13" s="222"/>
      <c r="UXF13" s="222"/>
      <c r="UXG13" s="222"/>
      <c r="UXH13" s="222"/>
      <c r="UXI13" s="222"/>
      <c r="UXJ13" s="222"/>
      <c r="UXK13" s="222"/>
      <c r="UXL13" s="222"/>
      <c r="UXM13" s="222"/>
      <c r="UXN13" s="222"/>
      <c r="UXO13" s="222"/>
      <c r="UXP13" s="222"/>
      <c r="UXQ13" s="222"/>
      <c r="UXR13" s="222"/>
      <c r="UXS13" s="222"/>
      <c r="UXT13" s="222"/>
      <c r="UXU13" s="222"/>
      <c r="UXV13" s="222"/>
      <c r="UXW13" s="222"/>
      <c r="UXX13" s="222"/>
      <c r="UXY13" s="222"/>
      <c r="UXZ13" s="222"/>
      <c r="UYA13" s="222"/>
      <c r="UYB13" s="222"/>
      <c r="UYC13" s="222"/>
      <c r="UYD13" s="222"/>
      <c r="UYE13" s="222"/>
      <c r="UYF13" s="222"/>
      <c r="UYG13" s="222"/>
      <c r="UYH13" s="222"/>
      <c r="UYI13" s="222"/>
      <c r="UYJ13" s="222"/>
      <c r="UYK13" s="222"/>
      <c r="UYL13" s="222"/>
      <c r="UYM13" s="222"/>
      <c r="UYN13" s="222"/>
      <c r="UYO13" s="222"/>
      <c r="UYP13" s="222"/>
      <c r="UYQ13" s="222"/>
      <c r="UYR13" s="222"/>
      <c r="UYS13" s="222"/>
      <c r="UYT13" s="222"/>
      <c r="UYU13" s="222"/>
      <c r="UYV13" s="222"/>
      <c r="UYW13" s="222"/>
      <c r="UYX13" s="222"/>
      <c r="UYY13" s="222"/>
      <c r="UYZ13" s="222"/>
      <c r="UZA13" s="222"/>
      <c r="UZB13" s="222"/>
      <c r="UZC13" s="222"/>
      <c r="UZD13" s="222"/>
      <c r="UZE13" s="222"/>
      <c r="UZF13" s="222"/>
      <c r="UZG13" s="222"/>
      <c r="UZH13" s="222"/>
      <c r="UZI13" s="222"/>
      <c r="UZJ13" s="222"/>
      <c r="UZK13" s="222"/>
      <c r="UZL13" s="222"/>
      <c r="UZM13" s="222"/>
      <c r="UZN13" s="222"/>
      <c r="UZO13" s="222"/>
      <c r="UZP13" s="222"/>
      <c r="UZQ13" s="222"/>
      <c r="UZR13" s="222"/>
      <c r="UZS13" s="222"/>
      <c r="UZT13" s="222"/>
      <c r="UZU13" s="222"/>
      <c r="UZV13" s="222"/>
      <c r="UZW13" s="222"/>
      <c r="UZX13" s="222"/>
      <c r="UZY13" s="222"/>
      <c r="UZZ13" s="222"/>
      <c r="VAA13" s="222"/>
      <c r="VAB13" s="222"/>
      <c r="VAC13" s="222"/>
      <c r="VAD13" s="222"/>
      <c r="VAE13" s="222"/>
      <c r="VAF13" s="222"/>
      <c r="VAG13" s="222"/>
      <c r="VAH13" s="222"/>
      <c r="VAI13" s="222"/>
      <c r="VAJ13" s="222"/>
      <c r="VAK13" s="222"/>
      <c r="VAL13" s="222"/>
      <c r="VAM13" s="222"/>
      <c r="VAN13" s="222"/>
      <c r="VAO13" s="222"/>
      <c r="VAP13" s="222"/>
      <c r="VAQ13" s="222"/>
      <c r="VAR13" s="222"/>
      <c r="VAS13" s="222"/>
      <c r="VAT13" s="222"/>
      <c r="VAU13" s="222"/>
      <c r="VAV13" s="222"/>
      <c r="VAW13" s="222"/>
      <c r="VAX13" s="222"/>
      <c r="VAY13" s="222"/>
      <c r="VAZ13" s="222"/>
      <c r="VBA13" s="222"/>
      <c r="VBB13" s="222"/>
      <c r="VBC13" s="222"/>
      <c r="VBD13" s="222"/>
      <c r="VBE13" s="222"/>
      <c r="VBF13" s="222"/>
      <c r="VBG13" s="222"/>
      <c r="VBH13" s="222"/>
      <c r="VBI13" s="222"/>
      <c r="VBJ13" s="222"/>
      <c r="VBK13" s="222"/>
      <c r="VBL13" s="222"/>
      <c r="VBM13" s="222"/>
      <c r="VBN13" s="222"/>
      <c r="VBO13" s="222"/>
      <c r="VBP13" s="222"/>
      <c r="VBQ13" s="222"/>
      <c r="VBR13" s="222"/>
      <c r="VBS13" s="222"/>
      <c r="VBT13" s="222"/>
      <c r="VBU13" s="222"/>
      <c r="VBV13" s="222"/>
      <c r="VBW13" s="222"/>
      <c r="VBX13" s="222"/>
      <c r="VBY13" s="222"/>
      <c r="VBZ13" s="222"/>
      <c r="VCA13" s="222"/>
      <c r="VCB13" s="222"/>
      <c r="VCC13" s="222"/>
      <c r="VCD13" s="222"/>
      <c r="VCE13" s="222"/>
      <c r="VCF13" s="222"/>
      <c r="VCG13" s="222"/>
      <c r="VCH13" s="222"/>
      <c r="VCI13" s="222"/>
      <c r="VCJ13" s="222"/>
      <c r="VCK13" s="222"/>
      <c r="VCL13" s="222"/>
      <c r="VCM13" s="222"/>
      <c r="VCN13" s="222"/>
      <c r="VCO13" s="222"/>
      <c r="VCP13" s="222"/>
      <c r="VCQ13" s="222"/>
      <c r="VCR13" s="222"/>
      <c r="VCS13" s="222"/>
      <c r="VCT13" s="222"/>
      <c r="VCU13" s="222"/>
      <c r="VCV13" s="222"/>
      <c r="VCW13" s="222"/>
      <c r="VCX13" s="222"/>
      <c r="VCY13" s="222"/>
      <c r="VCZ13" s="222"/>
      <c r="VDA13" s="222"/>
      <c r="VDB13" s="222"/>
      <c r="VDC13" s="222"/>
      <c r="VDD13" s="222"/>
      <c r="VDE13" s="222"/>
      <c r="VDF13" s="222"/>
      <c r="VDG13" s="222"/>
      <c r="VDH13" s="222"/>
      <c r="VDI13" s="222"/>
      <c r="VDJ13" s="222"/>
      <c r="VDK13" s="222"/>
      <c r="VDL13" s="222"/>
      <c r="VDM13" s="222"/>
      <c r="VDN13" s="222"/>
      <c r="VDO13" s="222"/>
      <c r="VDP13" s="222"/>
      <c r="VDQ13" s="222"/>
      <c r="VDR13" s="222"/>
      <c r="VDS13" s="222"/>
      <c r="VDT13" s="222"/>
      <c r="VDU13" s="222"/>
      <c r="VDV13" s="222"/>
      <c r="VDW13" s="222"/>
      <c r="VDX13" s="222"/>
      <c r="VDY13" s="222"/>
      <c r="VDZ13" s="222"/>
      <c r="VEA13" s="222"/>
      <c r="VEB13" s="222"/>
      <c r="VEC13" s="222"/>
      <c r="VED13" s="222"/>
      <c r="VEE13" s="222"/>
      <c r="VEF13" s="222"/>
      <c r="VEG13" s="222"/>
      <c r="VEH13" s="222"/>
      <c r="VEI13" s="222"/>
      <c r="VEJ13" s="222"/>
      <c r="VEK13" s="222"/>
      <c r="VEL13" s="222"/>
      <c r="VEM13" s="222"/>
      <c r="VEN13" s="222"/>
      <c r="VEO13" s="222"/>
      <c r="VEP13" s="222"/>
      <c r="VEQ13" s="222"/>
      <c r="VER13" s="222"/>
      <c r="VES13" s="222"/>
      <c r="VET13" s="222"/>
      <c r="VEU13" s="222"/>
      <c r="VEV13" s="222"/>
      <c r="VEW13" s="222"/>
      <c r="VEX13" s="222"/>
      <c r="VEY13" s="222"/>
      <c r="VEZ13" s="222"/>
      <c r="VFA13" s="222"/>
      <c r="VFB13" s="222"/>
      <c r="VFC13" s="222"/>
      <c r="VFD13" s="222"/>
      <c r="VFE13" s="222"/>
      <c r="VFF13" s="222"/>
      <c r="VFG13" s="222"/>
      <c r="VFH13" s="222"/>
      <c r="VFI13" s="222"/>
      <c r="VFJ13" s="222"/>
      <c r="VFK13" s="222"/>
      <c r="VFL13" s="222"/>
      <c r="VFM13" s="222"/>
      <c r="VFN13" s="222"/>
      <c r="VFO13" s="222"/>
      <c r="VFP13" s="222"/>
      <c r="VFQ13" s="222"/>
      <c r="VFR13" s="222"/>
      <c r="VFS13" s="222"/>
      <c r="VFT13" s="222"/>
      <c r="VFU13" s="222"/>
      <c r="VFV13" s="222"/>
      <c r="VFW13" s="222"/>
      <c r="VFX13" s="222"/>
      <c r="VFY13" s="222"/>
      <c r="VFZ13" s="222"/>
      <c r="VGA13" s="222"/>
      <c r="VGB13" s="222"/>
      <c r="VGC13" s="222"/>
      <c r="VGD13" s="222"/>
      <c r="VGE13" s="222"/>
      <c r="VGF13" s="222"/>
      <c r="VGG13" s="222"/>
      <c r="VGH13" s="222"/>
      <c r="VGI13" s="222"/>
      <c r="VGJ13" s="222"/>
      <c r="VGK13" s="222"/>
      <c r="VGL13" s="222"/>
      <c r="VGM13" s="222"/>
      <c r="VGN13" s="222"/>
      <c r="VGO13" s="222"/>
      <c r="VGP13" s="222"/>
      <c r="VGQ13" s="222"/>
      <c r="VGR13" s="222"/>
      <c r="VGS13" s="222"/>
      <c r="VGT13" s="222"/>
      <c r="VGU13" s="222"/>
      <c r="VGV13" s="222"/>
      <c r="VGW13" s="222"/>
      <c r="VGX13" s="222"/>
      <c r="VGY13" s="222"/>
      <c r="VGZ13" s="222"/>
      <c r="VHA13" s="222"/>
      <c r="VHB13" s="222"/>
      <c r="VHC13" s="222"/>
      <c r="VHD13" s="222"/>
      <c r="VHE13" s="222"/>
      <c r="VHF13" s="222"/>
      <c r="VHG13" s="222"/>
      <c r="VHH13" s="222"/>
      <c r="VHI13" s="222"/>
      <c r="VHJ13" s="222"/>
      <c r="VHK13" s="222"/>
      <c r="VHL13" s="222"/>
      <c r="VHM13" s="222"/>
      <c r="VHN13" s="222"/>
      <c r="VHO13" s="222"/>
      <c r="VHP13" s="222"/>
      <c r="VHQ13" s="222"/>
      <c r="VHR13" s="222"/>
      <c r="VHS13" s="222"/>
      <c r="VHT13" s="222"/>
      <c r="VHU13" s="222"/>
      <c r="VHV13" s="222"/>
      <c r="VHW13" s="222"/>
      <c r="VHX13" s="222"/>
      <c r="VHY13" s="222"/>
      <c r="VHZ13" s="222"/>
      <c r="VIA13" s="222"/>
      <c r="VIB13" s="222"/>
      <c r="VIC13" s="222"/>
      <c r="VID13" s="222"/>
      <c r="VIE13" s="222"/>
      <c r="VIF13" s="222"/>
      <c r="VIG13" s="222"/>
      <c r="VIH13" s="222"/>
      <c r="VII13" s="222"/>
      <c r="VIJ13" s="222"/>
      <c r="VIK13" s="222"/>
      <c r="VIL13" s="222"/>
      <c r="VIM13" s="222"/>
      <c r="VIN13" s="222"/>
      <c r="VIO13" s="222"/>
      <c r="VIP13" s="222"/>
      <c r="VIQ13" s="222"/>
      <c r="VIR13" s="222"/>
      <c r="VIS13" s="222"/>
      <c r="VIT13" s="222"/>
      <c r="VIU13" s="222"/>
      <c r="VIV13" s="222"/>
      <c r="VIW13" s="222"/>
      <c r="VIX13" s="222"/>
      <c r="VIY13" s="222"/>
      <c r="VIZ13" s="222"/>
      <c r="VJA13" s="222"/>
      <c r="VJB13" s="222"/>
      <c r="VJC13" s="222"/>
      <c r="VJD13" s="222"/>
      <c r="VJE13" s="222"/>
      <c r="VJF13" s="222"/>
      <c r="VJG13" s="222"/>
      <c r="VJH13" s="222"/>
      <c r="VJI13" s="222"/>
      <c r="VJJ13" s="222"/>
      <c r="VJK13" s="222"/>
      <c r="VJL13" s="222"/>
      <c r="VJM13" s="222"/>
      <c r="VJN13" s="222"/>
      <c r="VJO13" s="222"/>
      <c r="VJP13" s="222"/>
      <c r="VJQ13" s="222"/>
      <c r="VJR13" s="222"/>
      <c r="VJS13" s="222"/>
      <c r="VJT13" s="222"/>
      <c r="VJU13" s="222"/>
      <c r="VJV13" s="222"/>
      <c r="VJW13" s="222"/>
      <c r="VJX13" s="222"/>
      <c r="VJY13" s="222"/>
      <c r="VJZ13" s="222"/>
      <c r="VKA13" s="222"/>
      <c r="VKB13" s="222"/>
      <c r="VKC13" s="222"/>
      <c r="VKD13" s="222"/>
      <c r="VKE13" s="222"/>
      <c r="VKF13" s="222"/>
      <c r="VKG13" s="222"/>
      <c r="VKH13" s="222"/>
      <c r="VKI13" s="222"/>
      <c r="VKJ13" s="222"/>
      <c r="VKK13" s="222"/>
      <c r="VKL13" s="222"/>
      <c r="VKM13" s="222"/>
      <c r="VKN13" s="222"/>
      <c r="VKO13" s="222"/>
      <c r="VKP13" s="222"/>
      <c r="VKQ13" s="222"/>
      <c r="VKR13" s="222"/>
      <c r="VKS13" s="222"/>
      <c r="VKT13" s="222"/>
      <c r="VKU13" s="222"/>
      <c r="VKV13" s="222"/>
      <c r="VKW13" s="222"/>
      <c r="VKX13" s="222"/>
      <c r="VKY13" s="222"/>
      <c r="VKZ13" s="222"/>
      <c r="VLA13" s="222"/>
      <c r="VLB13" s="222"/>
      <c r="VLC13" s="222"/>
      <c r="VLD13" s="222"/>
      <c r="VLE13" s="222"/>
      <c r="VLF13" s="222"/>
      <c r="VLG13" s="222"/>
      <c r="VLH13" s="222"/>
      <c r="VLI13" s="222"/>
      <c r="VLJ13" s="222"/>
      <c r="VLK13" s="222"/>
      <c r="VLL13" s="222"/>
      <c r="VLM13" s="222"/>
      <c r="VLN13" s="222"/>
      <c r="VLO13" s="222"/>
      <c r="VLP13" s="222"/>
      <c r="VLQ13" s="222"/>
      <c r="VLR13" s="222"/>
      <c r="VLS13" s="222"/>
      <c r="VLT13" s="222"/>
      <c r="VLU13" s="222"/>
      <c r="VLV13" s="222"/>
      <c r="VLW13" s="222"/>
      <c r="VLX13" s="222"/>
      <c r="VLY13" s="222"/>
      <c r="VLZ13" s="222"/>
      <c r="VMA13" s="222"/>
      <c r="VMB13" s="222"/>
      <c r="VMC13" s="222"/>
      <c r="VMD13" s="222"/>
      <c r="VME13" s="222"/>
      <c r="VMF13" s="222"/>
      <c r="VMG13" s="222"/>
      <c r="VMH13" s="222"/>
      <c r="VMI13" s="222"/>
      <c r="VMJ13" s="222"/>
      <c r="VMK13" s="222"/>
      <c r="VML13" s="222"/>
      <c r="VMM13" s="222"/>
      <c r="VMN13" s="222"/>
      <c r="VMO13" s="222"/>
      <c r="VMP13" s="222"/>
      <c r="VMQ13" s="222"/>
      <c r="VMR13" s="222"/>
      <c r="VMS13" s="222"/>
      <c r="VMT13" s="222"/>
      <c r="VMU13" s="222"/>
      <c r="VMV13" s="222"/>
      <c r="VMW13" s="222"/>
      <c r="VMX13" s="222"/>
      <c r="VMY13" s="222"/>
      <c r="VMZ13" s="222"/>
      <c r="VNA13" s="222"/>
      <c r="VNB13" s="222"/>
      <c r="VNC13" s="222"/>
      <c r="VND13" s="222"/>
      <c r="VNE13" s="222"/>
      <c r="VNF13" s="222"/>
      <c r="VNG13" s="222"/>
      <c r="VNH13" s="222"/>
      <c r="VNI13" s="222"/>
      <c r="VNJ13" s="222"/>
      <c r="VNK13" s="222"/>
      <c r="VNL13" s="222"/>
      <c r="VNM13" s="222"/>
      <c r="VNN13" s="222"/>
      <c r="VNO13" s="222"/>
      <c r="VNP13" s="222"/>
      <c r="VNQ13" s="222"/>
      <c r="VNR13" s="222"/>
      <c r="VNS13" s="222"/>
      <c r="VNT13" s="222"/>
      <c r="VNU13" s="222"/>
      <c r="VNV13" s="222"/>
      <c r="VNW13" s="222"/>
      <c r="VNX13" s="222"/>
      <c r="VNY13" s="222"/>
      <c r="VNZ13" s="222"/>
      <c r="VOA13" s="222"/>
      <c r="VOB13" s="222"/>
      <c r="VOC13" s="222"/>
      <c r="VOD13" s="222"/>
      <c r="VOE13" s="222"/>
      <c r="VOF13" s="222"/>
      <c r="VOG13" s="222"/>
      <c r="VOH13" s="222"/>
      <c r="VOI13" s="222"/>
      <c r="VOJ13" s="222"/>
      <c r="VOK13" s="222"/>
      <c r="VOL13" s="222"/>
      <c r="VOM13" s="222"/>
      <c r="VON13" s="222"/>
      <c r="VOO13" s="222"/>
      <c r="VOP13" s="222"/>
      <c r="VOQ13" s="222"/>
      <c r="VOR13" s="222"/>
      <c r="VOS13" s="222"/>
      <c r="VOT13" s="222"/>
      <c r="VOU13" s="222"/>
      <c r="VOV13" s="222"/>
      <c r="VOW13" s="222"/>
      <c r="VOX13" s="222"/>
      <c r="VOY13" s="222"/>
      <c r="VOZ13" s="222"/>
      <c r="VPA13" s="222"/>
      <c r="VPB13" s="222"/>
      <c r="VPC13" s="222"/>
      <c r="VPD13" s="222"/>
      <c r="VPE13" s="222"/>
      <c r="VPF13" s="222"/>
      <c r="VPG13" s="222"/>
      <c r="VPH13" s="222"/>
      <c r="VPI13" s="222"/>
      <c r="VPJ13" s="222"/>
      <c r="VPK13" s="222"/>
      <c r="VPL13" s="222"/>
      <c r="VPM13" s="222"/>
      <c r="VPN13" s="222"/>
      <c r="VPO13" s="222"/>
      <c r="VPP13" s="222"/>
      <c r="VPQ13" s="222"/>
      <c r="VPR13" s="222"/>
      <c r="VPS13" s="222"/>
      <c r="VPT13" s="222"/>
      <c r="VPU13" s="222"/>
      <c r="VPV13" s="222"/>
      <c r="VPW13" s="222"/>
      <c r="VPX13" s="222"/>
      <c r="VPY13" s="222"/>
      <c r="VPZ13" s="222"/>
      <c r="VQA13" s="222"/>
      <c r="VQB13" s="222"/>
      <c r="VQC13" s="222"/>
      <c r="VQD13" s="222"/>
      <c r="VQE13" s="222"/>
      <c r="VQF13" s="222"/>
      <c r="VQG13" s="222"/>
      <c r="VQH13" s="222"/>
      <c r="VQI13" s="222"/>
      <c r="VQJ13" s="222"/>
      <c r="VQK13" s="222"/>
      <c r="VQL13" s="222"/>
      <c r="VQM13" s="222"/>
      <c r="VQN13" s="222"/>
      <c r="VQO13" s="222"/>
      <c r="VQP13" s="222"/>
      <c r="VQQ13" s="222"/>
      <c r="VQR13" s="222"/>
      <c r="VQS13" s="222"/>
      <c r="VQT13" s="222"/>
      <c r="VQU13" s="222"/>
      <c r="VQV13" s="222"/>
      <c r="VQW13" s="222"/>
      <c r="VQX13" s="222"/>
      <c r="VQY13" s="222"/>
      <c r="VQZ13" s="222"/>
      <c r="VRA13" s="222"/>
      <c r="VRB13" s="222"/>
      <c r="VRC13" s="222"/>
      <c r="VRD13" s="222"/>
      <c r="VRE13" s="222"/>
      <c r="VRF13" s="222"/>
      <c r="VRG13" s="222"/>
      <c r="VRH13" s="222"/>
      <c r="VRI13" s="222"/>
      <c r="VRJ13" s="222"/>
      <c r="VRK13" s="222"/>
      <c r="VRL13" s="222"/>
      <c r="VRM13" s="222"/>
      <c r="VRN13" s="222"/>
      <c r="VRO13" s="222"/>
      <c r="VRP13" s="222"/>
      <c r="VRQ13" s="222"/>
      <c r="VRR13" s="222"/>
      <c r="VRS13" s="222"/>
      <c r="VRT13" s="222"/>
      <c r="VRU13" s="222"/>
      <c r="VRV13" s="222"/>
      <c r="VRW13" s="222"/>
      <c r="VRX13" s="222"/>
      <c r="VRY13" s="222"/>
      <c r="VRZ13" s="222"/>
      <c r="VSA13" s="222"/>
      <c r="VSB13" s="222"/>
      <c r="VSC13" s="222"/>
      <c r="VSD13" s="222"/>
      <c r="VSE13" s="222"/>
      <c r="VSF13" s="222"/>
      <c r="VSG13" s="222"/>
      <c r="VSH13" s="222"/>
      <c r="VSI13" s="222"/>
      <c r="VSJ13" s="222"/>
      <c r="VSK13" s="222"/>
      <c r="VSL13" s="222"/>
      <c r="VSM13" s="222"/>
      <c r="VSN13" s="222"/>
      <c r="VSO13" s="222"/>
      <c r="VSP13" s="222"/>
      <c r="VSQ13" s="222"/>
      <c r="VSR13" s="222"/>
      <c r="VSS13" s="222"/>
      <c r="VST13" s="222"/>
      <c r="VSU13" s="222"/>
      <c r="VSV13" s="222"/>
      <c r="VSW13" s="222"/>
      <c r="VSX13" s="222"/>
      <c r="VSY13" s="222"/>
      <c r="VSZ13" s="222"/>
      <c r="VTA13" s="222"/>
      <c r="VTB13" s="222"/>
      <c r="VTC13" s="222"/>
      <c r="VTD13" s="222"/>
      <c r="VTE13" s="222"/>
      <c r="VTF13" s="222"/>
      <c r="VTG13" s="222"/>
      <c r="VTH13" s="222"/>
      <c r="VTI13" s="222"/>
      <c r="VTJ13" s="222"/>
      <c r="VTK13" s="222"/>
      <c r="VTL13" s="222"/>
      <c r="VTM13" s="222"/>
      <c r="VTN13" s="222"/>
      <c r="VTO13" s="222"/>
      <c r="VTP13" s="222"/>
      <c r="VTQ13" s="222"/>
      <c r="VTR13" s="222"/>
      <c r="VTS13" s="222"/>
      <c r="VTT13" s="222"/>
      <c r="VTU13" s="222"/>
      <c r="VTV13" s="222"/>
      <c r="VTW13" s="222"/>
      <c r="VTX13" s="222"/>
      <c r="VTY13" s="222"/>
      <c r="VTZ13" s="222"/>
      <c r="VUA13" s="222"/>
      <c r="VUB13" s="222"/>
      <c r="VUC13" s="222"/>
      <c r="VUD13" s="222"/>
      <c r="VUE13" s="222"/>
      <c r="VUF13" s="222"/>
      <c r="VUG13" s="222"/>
      <c r="VUH13" s="222"/>
      <c r="VUI13" s="222"/>
      <c r="VUJ13" s="222"/>
      <c r="VUK13" s="222"/>
      <c r="VUL13" s="222"/>
      <c r="VUM13" s="222"/>
      <c r="VUN13" s="222"/>
      <c r="VUO13" s="222"/>
      <c r="VUP13" s="222"/>
      <c r="VUQ13" s="222"/>
      <c r="VUR13" s="222"/>
      <c r="VUS13" s="222"/>
      <c r="VUT13" s="222"/>
      <c r="VUU13" s="222"/>
      <c r="VUV13" s="222"/>
      <c r="VUW13" s="222"/>
      <c r="VUX13" s="222"/>
      <c r="VUY13" s="222"/>
      <c r="VUZ13" s="222"/>
      <c r="VVA13" s="222"/>
      <c r="VVB13" s="222"/>
      <c r="VVC13" s="222"/>
      <c r="VVD13" s="222"/>
      <c r="VVE13" s="222"/>
      <c r="VVF13" s="222"/>
      <c r="VVG13" s="222"/>
      <c r="VVH13" s="222"/>
      <c r="VVI13" s="222"/>
      <c r="VVJ13" s="222"/>
      <c r="VVK13" s="222"/>
      <c r="VVL13" s="222"/>
      <c r="VVM13" s="222"/>
      <c r="VVN13" s="222"/>
      <c r="VVO13" s="222"/>
      <c r="VVP13" s="222"/>
      <c r="VVQ13" s="222"/>
      <c r="VVR13" s="222"/>
      <c r="VVS13" s="222"/>
      <c r="VVT13" s="222"/>
      <c r="VVU13" s="222"/>
      <c r="VVV13" s="222"/>
      <c r="VVW13" s="222"/>
      <c r="VVX13" s="222"/>
      <c r="VVY13" s="222"/>
      <c r="VVZ13" s="222"/>
      <c r="VWA13" s="222"/>
      <c r="VWB13" s="222"/>
      <c r="VWC13" s="222"/>
      <c r="VWD13" s="222"/>
      <c r="VWE13" s="222"/>
      <c r="VWF13" s="222"/>
      <c r="VWG13" s="222"/>
      <c r="VWH13" s="222"/>
      <c r="VWI13" s="222"/>
      <c r="VWJ13" s="222"/>
      <c r="VWK13" s="222"/>
      <c r="VWL13" s="222"/>
      <c r="VWM13" s="222"/>
      <c r="VWN13" s="222"/>
      <c r="VWO13" s="222"/>
      <c r="VWP13" s="222"/>
      <c r="VWQ13" s="222"/>
      <c r="VWR13" s="222"/>
      <c r="VWS13" s="222"/>
      <c r="VWT13" s="222"/>
      <c r="VWU13" s="222"/>
      <c r="VWV13" s="222"/>
      <c r="VWW13" s="222"/>
      <c r="VWX13" s="222"/>
      <c r="VWY13" s="222"/>
      <c r="VWZ13" s="222"/>
      <c r="VXA13" s="222"/>
      <c r="VXB13" s="222"/>
      <c r="VXC13" s="222"/>
      <c r="VXD13" s="222"/>
      <c r="VXE13" s="222"/>
      <c r="VXF13" s="222"/>
      <c r="VXG13" s="222"/>
      <c r="VXH13" s="222"/>
      <c r="VXI13" s="222"/>
      <c r="VXJ13" s="222"/>
      <c r="VXK13" s="222"/>
      <c r="VXL13" s="222"/>
      <c r="VXM13" s="222"/>
      <c r="VXN13" s="222"/>
      <c r="VXO13" s="222"/>
      <c r="VXP13" s="222"/>
      <c r="VXQ13" s="222"/>
      <c r="VXR13" s="222"/>
      <c r="VXS13" s="222"/>
      <c r="VXT13" s="222"/>
      <c r="VXU13" s="222"/>
      <c r="VXV13" s="222"/>
      <c r="VXW13" s="222"/>
      <c r="VXX13" s="222"/>
      <c r="VXY13" s="222"/>
      <c r="VXZ13" s="222"/>
      <c r="VYA13" s="222"/>
      <c r="VYB13" s="222"/>
      <c r="VYC13" s="222"/>
      <c r="VYD13" s="222"/>
      <c r="VYE13" s="222"/>
      <c r="VYF13" s="222"/>
      <c r="VYG13" s="222"/>
      <c r="VYH13" s="222"/>
      <c r="VYI13" s="222"/>
      <c r="VYJ13" s="222"/>
      <c r="VYK13" s="222"/>
      <c r="VYL13" s="222"/>
      <c r="VYM13" s="222"/>
      <c r="VYN13" s="222"/>
      <c r="VYO13" s="222"/>
      <c r="VYP13" s="222"/>
      <c r="VYQ13" s="222"/>
      <c r="VYR13" s="222"/>
      <c r="VYS13" s="222"/>
      <c r="VYT13" s="222"/>
      <c r="VYU13" s="222"/>
      <c r="VYV13" s="222"/>
      <c r="VYW13" s="222"/>
      <c r="VYX13" s="222"/>
      <c r="VYY13" s="222"/>
      <c r="VYZ13" s="222"/>
      <c r="VZA13" s="222"/>
      <c r="VZB13" s="222"/>
      <c r="VZC13" s="222"/>
      <c r="VZD13" s="222"/>
      <c r="VZE13" s="222"/>
      <c r="VZF13" s="222"/>
      <c r="VZG13" s="222"/>
      <c r="VZH13" s="222"/>
      <c r="VZI13" s="222"/>
      <c r="VZJ13" s="222"/>
      <c r="VZK13" s="222"/>
      <c r="VZL13" s="222"/>
      <c r="VZM13" s="222"/>
      <c r="VZN13" s="222"/>
      <c r="VZO13" s="222"/>
      <c r="VZP13" s="222"/>
      <c r="VZQ13" s="222"/>
      <c r="VZR13" s="222"/>
      <c r="VZS13" s="222"/>
      <c r="VZT13" s="222"/>
      <c r="VZU13" s="222"/>
      <c r="VZV13" s="222"/>
      <c r="VZW13" s="222"/>
      <c r="VZX13" s="222"/>
      <c r="VZY13" s="222"/>
      <c r="VZZ13" s="222"/>
      <c r="WAA13" s="222"/>
      <c r="WAB13" s="222"/>
      <c r="WAC13" s="222"/>
      <c r="WAD13" s="222"/>
      <c r="WAE13" s="222"/>
      <c r="WAF13" s="222"/>
      <c r="WAG13" s="222"/>
      <c r="WAH13" s="222"/>
      <c r="WAI13" s="222"/>
      <c r="WAJ13" s="222"/>
      <c r="WAK13" s="222"/>
      <c r="WAL13" s="222"/>
      <c r="WAM13" s="222"/>
      <c r="WAN13" s="222"/>
      <c r="WAO13" s="222"/>
      <c r="WAP13" s="222"/>
      <c r="WAQ13" s="222"/>
      <c r="WAR13" s="222"/>
      <c r="WAS13" s="222"/>
      <c r="WAT13" s="222"/>
      <c r="WAU13" s="222"/>
      <c r="WAV13" s="222"/>
      <c r="WAW13" s="222"/>
      <c r="WAX13" s="222"/>
      <c r="WAY13" s="222"/>
      <c r="WAZ13" s="222"/>
      <c r="WBA13" s="222"/>
      <c r="WBB13" s="222"/>
      <c r="WBC13" s="222"/>
      <c r="WBD13" s="222"/>
      <c r="WBE13" s="222"/>
      <c r="WBF13" s="222"/>
      <c r="WBG13" s="222"/>
      <c r="WBH13" s="222"/>
      <c r="WBI13" s="222"/>
      <c r="WBJ13" s="222"/>
      <c r="WBK13" s="222"/>
      <c r="WBL13" s="222"/>
      <c r="WBM13" s="222"/>
      <c r="WBN13" s="222"/>
      <c r="WBO13" s="222"/>
      <c r="WBP13" s="222"/>
      <c r="WBQ13" s="222"/>
      <c r="WBR13" s="222"/>
      <c r="WBS13" s="222"/>
      <c r="WBT13" s="222"/>
      <c r="WBU13" s="222"/>
      <c r="WBV13" s="222"/>
      <c r="WBW13" s="222"/>
      <c r="WBX13" s="222"/>
      <c r="WBY13" s="222"/>
      <c r="WBZ13" s="222"/>
      <c r="WCA13" s="222"/>
      <c r="WCB13" s="222"/>
      <c r="WCC13" s="222"/>
      <c r="WCD13" s="222"/>
      <c r="WCE13" s="222"/>
      <c r="WCF13" s="222"/>
      <c r="WCG13" s="222"/>
      <c r="WCH13" s="222"/>
      <c r="WCI13" s="222"/>
      <c r="WCJ13" s="222"/>
      <c r="WCK13" s="222"/>
      <c r="WCL13" s="222"/>
      <c r="WCM13" s="222"/>
      <c r="WCN13" s="222"/>
      <c r="WCO13" s="222"/>
      <c r="WCP13" s="222"/>
      <c r="WCQ13" s="222"/>
      <c r="WCR13" s="222"/>
      <c r="WCS13" s="222"/>
      <c r="WCT13" s="222"/>
      <c r="WCU13" s="222"/>
      <c r="WCV13" s="222"/>
      <c r="WCW13" s="222"/>
      <c r="WCX13" s="222"/>
      <c r="WCY13" s="222"/>
      <c r="WCZ13" s="222"/>
      <c r="WDA13" s="222"/>
      <c r="WDB13" s="222"/>
      <c r="WDC13" s="222"/>
      <c r="WDD13" s="222"/>
      <c r="WDE13" s="222"/>
      <c r="WDF13" s="222"/>
      <c r="WDG13" s="222"/>
      <c r="WDH13" s="222"/>
      <c r="WDI13" s="222"/>
      <c r="WDJ13" s="222"/>
      <c r="WDK13" s="222"/>
      <c r="WDL13" s="222"/>
      <c r="WDM13" s="222"/>
      <c r="WDN13" s="222"/>
      <c r="WDO13" s="222"/>
      <c r="WDP13" s="222"/>
      <c r="WDQ13" s="222"/>
      <c r="WDR13" s="222"/>
      <c r="WDS13" s="222"/>
      <c r="WDT13" s="222"/>
      <c r="WDU13" s="222"/>
      <c r="WDV13" s="222"/>
      <c r="WDW13" s="222"/>
      <c r="WDX13" s="222"/>
      <c r="WDY13" s="222"/>
      <c r="WDZ13" s="222"/>
      <c r="WEA13" s="222"/>
      <c r="WEB13" s="222"/>
      <c r="WEC13" s="222"/>
      <c r="WED13" s="222"/>
      <c r="WEE13" s="222"/>
      <c r="WEF13" s="222"/>
      <c r="WEG13" s="222"/>
      <c r="WEH13" s="222"/>
      <c r="WEI13" s="222"/>
      <c r="WEJ13" s="222"/>
      <c r="WEK13" s="222"/>
      <c r="WEL13" s="222"/>
      <c r="WEM13" s="222"/>
      <c r="WEN13" s="222"/>
      <c r="WEO13" s="222"/>
      <c r="WEP13" s="222"/>
      <c r="WEQ13" s="222"/>
      <c r="WER13" s="222"/>
      <c r="WES13" s="222"/>
      <c r="WET13" s="222"/>
      <c r="WEU13" s="222"/>
      <c r="WEV13" s="222"/>
      <c r="WEW13" s="222"/>
      <c r="WEX13" s="222"/>
      <c r="WEY13" s="222"/>
      <c r="WEZ13" s="222"/>
      <c r="WFA13" s="222"/>
      <c r="WFB13" s="222"/>
      <c r="WFC13" s="222"/>
      <c r="WFD13" s="222"/>
      <c r="WFE13" s="222"/>
      <c r="WFF13" s="222"/>
      <c r="WFG13" s="222"/>
      <c r="WFH13" s="222"/>
      <c r="WFI13" s="222"/>
      <c r="WFJ13" s="222"/>
      <c r="WFK13" s="222"/>
      <c r="WFL13" s="222"/>
      <c r="WFM13" s="222"/>
      <c r="WFN13" s="222"/>
      <c r="WFO13" s="222"/>
      <c r="WFP13" s="222"/>
      <c r="WFQ13" s="222"/>
      <c r="WFR13" s="222"/>
      <c r="WFS13" s="222"/>
      <c r="WFT13" s="222"/>
      <c r="WFU13" s="222"/>
      <c r="WFV13" s="222"/>
      <c r="WFW13" s="222"/>
      <c r="WFX13" s="222"/>
      <c r="WFY13" s="222"/>
      <c r="WFZ13" s="222"/>
      <c r="WGA13" s="222"/>
      <c r="WGB13" s="222"/>
      <c r="WGC13" s="222"/>
      <c r="WGD13" s="222"/>
      <c r="WGE13" s="222"/>
      <c r="WGF13" s="222"/>
      <c r="WGG13" s="222"/>
      <c r="WGH13" s="222"/>
      <c r="WGI13" s="222"/>
      <c r="WGJ13" s="222"/>
      <c r="WGK13" s="222"/>
      <c r="WGL13" s="222"/>
      <c r="WGM13" s="222"/>
      <c r="WGN13" s="222"/>
      <c r="WGO13" s="222"/>
      <c r="WGP13" s="222"/>
      <c r="WGQ13" s="222"/>
      <c r="WGR13" s="222"/>
      <c r="WGS13" s="222"/>
      <c r="WGT13" s="222"/>
      <c r="WGU13" s="222"/>
      <c r="WGV13" s="222"/>
      <c r="WGW13" s="222"/>
      <c r="WGX13" s="222"/>
      <c r="WGY13" s="222"/>
      <c r="WGZ13" s="222"/>
      <c r="WHA13" s="222"/>
      <c r="WHB13" s="222"/>
      <c r="WHC13" s="222"/>
      <c r="WHD13" s="222"/>
      <c r="WHE13" s="222"/>
      <c r="WHF13" s="222"/>
      <c r="WHG13" s="222"/>
      <c r="WHH13" s="222"/>
      <c r="WHI13" s="222"/>
      <c r="WHJ13" s="222"/>
      <c r="WHK13" s="222"/>
      <c r="WHL13" s="222"/>
      <c r="WHM13" s="222"/>
      <c r="WHN13" s="222"/>
      <c r="WHO13" s="222"/>
      <c r="WHP13" s="222"/>
      <c r="WHQ13" s="222"/>
      <c r="WHR13" s="222"/>
      <c r="WHS13" s="222"/>
      <c r="WHT13" s="222"/>
      <c r="WHU13" s="222"/>
      <c r="WHV13" s="222"/>
      <c r="WHW13" s="222"/>
      <c r="WHX13" s="222"/>
      <c r="WHY13" s="222"/>
      <c r="WHZ13" s="222"/>
      <c r="WIA13" s="222"/>
      <c r="WIB13" s="222"/>
      <c r="WIC13" s="222"/>
      <c r="WID13" s="222"/>
      <c r="WIE13" s="222"/>
      <c r="WIF13" s="222"/>
      <c r="WIG13" s="222"/>
      <c r="WIH13" s="222"/>
      <c r="WII13" s="222"/>
      <c r="WIJ13" s="222"/>
      <c r="WIK13" s="222"/>
      <c r="WIL13" s="222"/>
      <c r="WIM13" s="222"/>
      <c r="WIN13" s="222"/>
      <c r="WIO13" s="222"/>
      <c r="WIP13" s="222"/>
      <c r="WIQ13" s="222"/>
      <c r="WIR13" s="222"/>
      <c r="WIS13" s="222"/>
      <c r="WIT13" s="222"/>
      <c r="WIU13" s="222"/>
      <c r="WIV13" s="222"/>
      <c r="WIW13" s="222"/>
      <c r="WIX13" s="222"/>
      <c r="WIY13" s="222"/>
      <c r="WIZ13" s="222"/>
      <c r="WJA13" s="222"/>
      <c r="WJB13" s="222"/>
      <c r="WJC13" s="222"/>
      <c r="WJD13" s="222"/>
      <c r="WJE13" s="222"/>
      <c r="WJF13" s="222"/>
      <c r="WJG13" s="222"/>
      <c r="WJH13" s="222"/>
      <c r="WJI13" s="222"/>
      <c r="WJJ13" s="222"/>
      <c r="WJK13" s="222"/>
      <c r="WJL13" s="222"/>
      <c r="WJM13" s="222"/>
      <c r="WJN13" s="222"/>
      <c r="WJO13" s="222"/>
      <c r="WJP13" s="222"/>
      <c r="WJQ13" s="222"/>
      <c r="WJR13" s="222"/>
      <c r="WJS13" s="222"/>
      <c r="WJT13" s="222"/>
      <c r="WJU13" s="222"/>
      <c r="WJV13" s="222"/>
      <c r="WJW13" s="222"/>
      <c r="WJX13" s="222"/>
      <c r="WJY13" s="222"/>
      <c r="WJZ13" s="222"/>
      <c r="WKA13" s="222"/>
      <c r="WKB13" s="222"/>
      <c r="WKC13" s="222"/>
      <c r="WKD13" s="222"/>
      <c r="WKE13" s="222"/>
      <c r="WKF13" s="222"/>
      <c r="WKG13" s="222"/>
      <c r="WKH13" s="222"/>
      <c r="WKI13" s="222"/>
      <c r="WKJ13" s="222"/>
      <c r="WKK13" s="222"/>
      <c r="WKL13" s="222"/>
      <c r="WKM13" s="222"/>
      <c r="WKN13" s="222"/>
      <c r="WKO13" s="222"/>
      <c r="WKP13" s="222"/>
      <c r="WKQ13" s="222"/>
      <c r="WKR13" s="222"/>
      <c r="WKS13" s="222"/>
      <c r="WKT13" s="222"/>
      <c r="WKU13" s="222"/>
      <c r="WKV13" s="222"/>
      <c r="WKW13" s="222"/>
      <c r="WKX13" s="222"/>
      <c r="WKY13" s="222"/>
      <c r="WKZ13" s="222"/>
      <c r="WLA13" s="222"/>
      <c r="WLB13" s="222"/>
      <c r="WLC13" s="222"/>
      <c r="WLD13" s="222"/>
      <c r="WLE13" s="222"/>
      <c r="WLF13" s="222"/>
      <c r="WLG13" s="222"/>
      <c r="WLH13" s="222"/>
      <c r="WLI13" s="222"/>
      <c r="WLJ13" s="222"/>
      <c r="WLK13" s="222"/>
      <c r="WLL13" s="222"/>
      <c r="WLM13" s="222"/>
      <c r="WLN13" s="222"/>
      <c r="WLO13" s="222"/>
      <c r="WLP13" s="222"/>
      <c r="WLQ13" s="222"/>
      <c r="WLR13" s="222"/>
      <c r="WLS13" s="222"/>
      <c r="WLT13" s="222"/>
      <c r="WLU13" s="222"/>
      <c r="WLV13" s="222"/>
      <c r="WLW13" s="222"/>
      <c r="WLX13" s="222"/>
      <c r="WLY13" s="222"/>
      <c r="WLZ13" s="222"/>
      <c r="WMA13" s="222"/>
      <c r="WMB13" s="222"/>
      <c r="WMC13" s="222"/>
      <c r="WMD13" s="222"/>
      <c r="WME13" s="222"/>
      <c r="WMF13" s="222"/>
      <c r="WMG13" s="222"/>
      <c r="WMH13" s="222"/>
      <c r="WMI13" s="222"/>
      <c r="WMJ13" s="222"/>
      <c r="WMK13" s="222"/>
      <c r="WML13" s="222"/>
      <c r="WMM13" s="222"/>
      <c r="WMN13" s="222"/>
      <c r="WMO13" s="222"/>
      <c r="WMP13" s="222"/>
      <c r="WMQ13" s="222"/>
      <c r="WMR13" s="222"/>
      <c r="WMS13" s="222"/>
      <c r="WMT13" s="222"/>
      <c r="WMU13" s="222"/>
      <c r="WMV13" s="222"/>
      <c r="WMW13" s="222"/>
      <c r="WMX13" s="222"/>
      <c r="WMY13" s="222"/>
      <c r="WMZ13" s="222"/>
      <c r="WNA13" s="222"/>
      <c r="WNB13" s="222"/>
      <c r="WNC13" s="222"/>
      <c r="WND13" s="222"/>
      <c r="WNE13" s="222"/>
      <c r="WNF13" s="222"/>
      <c r="WNG13" s="222"/>
      <c r="WNH13" s="222"/>
      <c r="WNI13" s="222"/>
      <c r="WNJ13" s="222"/>
      <c r="WNK13" s="222"/>
      <c r="WNL13" s="222"/>
      <c r="WNM13" s="222"/>
      <c r="WNN13" s="222"/>
      <c r="WNO13" s="222"/>
      <c r="WNP13" s="222"/>
      <c r="WNQ13" s="222"/>
      <c r="WNR13" s="222"/>
      <c r="WNS13" s="222"/>
      <c r="WNT13" s="222"/>
      <c r="WNU13" s="222"/>
      <c r="WNV13" s="222"/>
      <c r="WNW13" s="222"/>
      <c r="WNX13" s="222"/>
      <c r="WNY13" s="222"/>
      <c r="WNZ13" s="222"/>
      <c r="WOA13" s="222"/>
      <c r="WOB13" s="222"/>
      <c r="WOC13" s="222"/>
      <c r="WOD13" s="222"/>
      <c r="WOE13" s="222"/>
      <c r="WOF13" s="222"/>
      <c r="WOG13" s="222"/>
      <c r="WOH13" s="222"/>
      <c r="WOI13" s="222"/>
      <c r="WOJ13" s="222"/>
      <c r="WOK13" s="222"/>
      <c r="WOL13" s="222"/>
      <c r="WOM13" s="222"/>
      <c r="WON13" s="222"/>
      <c r="WOO13" s="222"/>
      <c r="WOP13" s="222"/>
      <c r="WOQ13" s="222"/>
      <c r="WOR13" s="222"/>
      <c r="WOS13" s="222"/>
      <c r="WOT13" s="222"/>
      <c r="WOU13" s="222"/>
      <c r="WOV13" s="222"/>
      <c r="WOW13" s="222"/>
      <c r="WOX13" s="222"/>
      <c r="WOY13" s="222"/>
      <c r="WOZ13" s="222"/>
      <c r="WPA13" s="222"/>
      <c r="WPB13" s="222"/>
      <c r="WPC13" s="222"/>
      <c r="WPD13" s="222"/>
      <c r="WPE13" s="222"/>
      <c r="WPF13" s="222"/>
      <c r="WPG13" s="222"/>
      <c r="WPH13" s="222"/>
      <c r="WPI13" s="222"/>
      <c r="WPJ13" s="222"/>
      <c r="WPK13" s="222"/>
      <c r="WPL13" s="222"/>
      <c r="WPM13" s="222"/>
      <c r="WPN13" s="222"/>
      <c r="WPO13" s="222"/>
      <c r="WPP13" s="222"/>
      <c r="WPQ13" s="222"/>
      <c r="WPR13" s="222"/>
      <c r="WPS13" s="222"/>
      <c r="WPT13" s="222"/>
      <c r="WPU13" s="222"/>
      <c r="WPV13" s="222"/>
      <c r="WPW13" s="222"/>
      <c r="WPX13" s="222"/>
      <c r="WPY13" s="222"/>
      <c r="WPZ13" s="222"/>
      <c r="WQA13" s="222"/>
      <c r="WQB13" s="222"/>
      <c r="WQC13" s="222"/>
      <c r="WQD13" s="222"/>
      <c r="WQE13" s="222"/>
      <c r="WQF13" s="222"/>
      <c r="WQG13" s="222"/>
      <c r="WQH13" s="222"/>
      <c r="WQI13" s="222"/>
      <c r="WQJ13" s="222"/>
      <c r="WQK13" s="222"/>
      <c r="WQL13" s="222"/>
      <c r="WQM13" s="222"/>
      <c r="WQN13" s="222"/>
      <c r="WQO13" s="222"/>
      <c r="WQP13" s="222"/>
      <c r="WQQ13" s="222"/>
      <c r="WQR13" s="222"/>
      <c r="WQS13" s="222"/>
      <c r="WQT13" s="222"/>
      <c r="WQU13" s="222"/>
      <c r="WQV13" s="222"/>
      <c r="WQW13" s="222"/>
      <c r="WQX13" s="222"/>
      <c r="WQY13" s="222"/>
      <c r="WQZ13" s="222"/>
      <c r="WRA13" s="222"/>
      <c r="WRB13" s="222"/>
      <c r="WRC13" s="222"/>
      <c r="WRD13" s="222"/>
      <c r="WRE13" s="222"/>
      <c r="WRF13" s="222"/>
      <c r="WRG13" s="222"/>
      <c r="WRH13" s="222"/>
      <c r="WRI13" s="222"/>
      <c r="WRJ13" s="222"/>
      <c r="WRK13" s="222"/>
      <c r="WRL13" s="222"/>
      <c r="WRM13" s="222"/>
      <c r="WRN13" s="222"/>
      <c r="WRO13" s="222"/>
      <c r="WRP13" s="222"/>
      <c r="WRQ13" s="222"/>
      <c r="WRR13" s="222"/>
      <c r="WRS13" s="222"/>
      <c r="WRT13" s="222"/>
      <c r="WRU13" s="222"/>
      <c r="WRV13" s="222"/>
      <c r="WRW13" s="222"/>
      <c r="WRX13" s="222"/>
      <c r="WRY13" s="222"/>
      <c r="WRZ13" s="222"/>
      <c r="WSA13" s="222"/>
      <c r="WSB13" s="222"/>
      <c r="WSC13" s="222"/>
      <c r="WSD13" s="222"/>
      <c r="WSE13" s="222"/>
      <c r="WSF13" s="222"/>
      <c r="WSG13" s="222"/>
      <c r="WSH13" s="222"/>
      <c r="WSI13" s="222"/>
      <c r="WSJ13" s="222"/>
      <c r="WSK13" s="222"/>
      <c r="WSL13" s="222"/>
      <c r="WSM13" s="222"/>
      <c r="WSN13" s="222"/>
      <c r="WSO13" s="222"/>
      <c r="WSP13" s="222"/>
      <c r="WSQ13" s="222"/>
      <c r="WSR13" s="222"/>
      <c r="WSS13" s="222"/>
      <c r="WST13" s="222"/>
      <c r="WSU13" s="222"/>
      <c r="WSV13" s="222"/>
      <c r="WSW13" s="222"/>
      <c r="WSX13" s="222"/>
      <c r="WSY13" s="222"/>
      <c r="WSZ13" s="222"/>
      <c r="WTA13" s="222"/>
      <c r="WTB13" s="222"/>
      <c r="WTC13" s="222"/>
      <c r="WTD13" s="222"/>
      <c r="WTE13" s="222"/>
      <c r="WTF13" s="222"/>
      <c r="WTG13" s="222"/>
      <c r="WTH13" s="222"/>
      <c r="WTI13" s="222"/>
      <c r="WTJ13" s="222"/>
      <c r="WTK13" s="222"/>
      <c r="WTL13" s="222"/>
      <c r="WTM13" s="222"/>
      <c r="WTN13" s="222"/>
      <c r="WTO13" s="222"/>
      <c r="WTP13" s="222"/>
      <c r="WTQ13" s="222"/>
      <c r="WTR13" s="222"/>
      <c r="WTS13" s="222"/>
      <c r="WTT13" s="222"/>
      <c r="WTU13" s="222"/>
      <c r="WTV13" s="222"/>
      <c r="WTW13" s="222"/>
      <c r="WTX13" s="222"/>
      <c r="WTY13" s="222"/>
      <c r="WTZ13" s="222"/>
      <c r="WUA13" s="222"/>
      <c r="WUB13" s="222"/>
      <c r="WUC13" s="222"/>
      <c r="WUD13" s="222"/>
      <c r="WUE13" s="222"/>
      <c r="WUF13" s="222"/>
      <c r="WUG13" s="222"/>
      <c r="WUH13" s="222"/>
      <c r="WUI13" s="222"/>
      <c r="WUJ13" s="222"/>
      <c r="WUK13" s="222"/>
      <c r="WUL13" s="222"/>
      <c r="WUM13" s="222"/>
      <c r="WUN13" s="222"/>
      <c r="WUO13" s="222"/>
      <c r="WUP13" s="222"/>
      <c r="WUQ13" s="222"/>
      <c r="WUR13" s="222"/>
      <c r="WUS13" s="222"/>
      <c r="WUT13" s="222"/>
      <c r="WUU13" s="222"/>
      <c r="WUV13" s="222"/>
      <c r="WUW13" s="222"/>
      <c r="WUX13" s="222"/>
      <c r="WUY13" s="222"/>
      <c r="WUZ13" s="222"/>
      <c r="WVA13" s="222"/>
      <c r="WVB13" s="222"/>
      <c r="WVC13" s="222"/>
      <c r="WVD13" s="222"/>
      <c r="WVE13" s="222"/>
      <c r="WVF13" s="222"/>
      <c r="WVG13" s="222"/>
      <c r="WVH13" s="222"/>
      <c r="WVI13" s="222"/>
      <c r="WVJ13" s="222"/>
      <c r="WVK13" s="222"/>
      <c r="WVL13" s="222"/>
      <c r="WVM13" s="222"/>
      <c r="WVN13" s="222"/>
      <c r="WVO13" s="222"/>
      <c r="WVP13" s="222"/>
      <c r="WVQ13" s="222"/>
      <c r="WVR13" s="222"/>
      <c r="WVS13" s="222"/>
      <c r="WVT13" s="222"/>
      <c r="WVU13" s="222"/>
      <c r="WVV13" s="222"/>
      <c r="WVW13" s="222"/>
      <c r="WVX13" s="222"/>
      <c r="WVY13" s="222"/>
      <c r="WVZ13" s="222"/>
      <c r="WWA13" s="222"/>
      <c r="WWB13" s="222"/>
      <c r="WWC13" s="222"/>
      <c r="WWD13" s="222"/>
      <c r="WWE13" s="222"/>
      <c r="WWF13" s="222"/>
      <c r="WWG13" s="222"/>
      <c r="WWH13" s="222"/>
      <c r="WWI13" s="222"/>
      <c r="WWJ13" s="222"/>
      <c r="WWK13" s="222"/>
      <c r="WWL13" s="222"/>
      <c r="WWM13" s="222"/>
      <c r="WWN13" s="222"/>
      <c r="WWO13" s="222"/>
      <c r="WWP13" s="222"/>
      <c r="WWQ13" s="222"/>
      <c r="WWR13" s="222"/>
      <c r="WWS13" s="222"/>
      <c r="WWT13" s="222"/>
      <c r="WWU13" s="222"/>
      <c r="WWV13" s="222"/>
      <c r="WWW13" s="222"/>
      <c r="WWX13" s="222"/>
      <c r="WWY13" s="222"/>
      <c r="WWZ13" s="222"/>
      <c r="WXA13" s="222"/>
      <c r="WXB13" s="222"/>
      <c r="WXC13" s="222"/>
      <c r="WXD13" s="222"/>
      <c r="WXE13" s="222"/>
      <c r="WXF13" s="222"/>
      <c r="WXG13" s="222"/>
      <c r="WXH13" s="222"/>
      <c r="WXI13" s="222"/>
      <c r="WXJ13" s="222"/>
      <c r="WXK13" s="222"/>
      <c r="WXL13" s="222"/>
      <c r="WXM13" s="222"/>
      <c r="WXN13" s="222"/>
      <c r="WXO13" s="222"/>
      <c r="WXP13" s="222"/>
      <c r="WXQ13" s="222"/>
      <c r="WXR13" s="222"/>
      <c r="WXS13" s="222"/>
      <c r="WXT13" s="222"/>
      <c r="WXU13" s="222"/>
      <c r="WXV13" s="222"/>
      <c r="WXW13" s="222"/>
      <c r="WXX13" s="222"/>
      <c r="WXY13" s="222"/>
      <c r="WXZ13" s="222"/>
      <c r="WYA13" s="222"/>
      <c r="WYB13" s="222"/>
      <c r="WYC13" s="222"/>
      <c r="WYD13" s="222"/>
      <c r="WYE13" s="222"/>
      <c r="WYF13" s="222"/>
      <c r="WYG13" s="222"/>
      <c r="WYH13" s="222"/>
      <c r="WYI13" s="222"/>
      <c r="WYJ13" s="222"/>
      <c r="WYK13" s="222"/>
      <c r="WYL13" s="222"/>
      <c r="WYM13" s="222"/>
      <c r="WYN13" s="222"/>
      <c r="WYO13" s="222"/>
      <c r="WYP13" s="222"/>
      <c r="WYQ13" s="222"/>
      <c r="WYR13" s="222"/>
      <c r="WYS13" s="222"/>
      <c r="WYT13" s="222"/>
      <c r="WYU13" s="222"/>
      <c r="WYV13" s="222"/>
      <c r="WYW13" s="222"/>
      <c r="WYX13" s="222"/>
      <c r="WYY13" s="222"/>
      <c r="WYZ13" s="222"/>
      <c r="WZA13" s="222"/>
      <c r="WZB13" s="222"/>
      <c r="WZC13" s="222"/>
      <c r="WZD13" s="222"/>
      <c r="WZE13" s="222"/>
      <c r="WZF13" s="222"/>
      <c r="WZG13" s="222"/>
      <c r="WZH13" s="222"/>
      <c r="WZI13" s="222"/>
      <c r="WZJ13" s="222"/>
      <c r="WZK13" s="222"/>
      <c r="WZL13" s="222"/>
      <c r="WZM13" s="222"/>
      <c r="WZN13" s="222"/>
      <c r="WZO13" s="222"/>
      <c r="WZP13" s="222"/>
      <c r="WZQ13" s="222"/>
      <c r="WZR13" s="222"/>
      <c r="WZS13" s="222"/>
      <c r="WZT13" s="222"/>
      <c r="WZU13" s="222"/>
      <c r="WZV13" s="222"/>
      <c r="WZW13" s="222"/>
      <c r="WZX13" s="222"/>
      <c r="WZY13" s="222"/>
      <c r="WZZ13" s="222"/>
      <c r="XAA13" s="222"/>
      <c r="XAB13" s="222"/>
      <c r="XAC13" s="222"/>
      <c r="XAD13" s="222"/>
      <c r="XAE13" s="222"/>
      <c r="XAF13" s="222"/>
      <c r="XAG13" s="222"/>
      <c r="XAH13" s="222"/>
      <c r="XAI13" s="222"/>
      <c r="XAJ13" s="222"/>
      <c r="XAK13" s="222"/>
      <c r="XAL13" s="222"/>
      <c r="XAM13" s="222"/>
      <c r="XAN13" s="222"/>
      <c r="XAO13" s="222"/>
      <c r="XAP13" s="222"/>
      <c r="XAQ13" s="222"/>
      <c r="XAR13" s="222"/>
      <c r="XAS13" s="222"/>
      <c r="XAT13" s="222"/>
      <c r="XAU13" s="222"/>
      <c r="XAV13" s="222"/>
      <c r="XAW13" s="222"/>
      <c r="XAX13" s="222"/>
      <c r="XAY13" s="222"/>
      <c r="XAZ13" s="222"/>
      <c r="XBA13" s="222"/>
      <c r="XBB13" s="222"/>
      <c r="XBC13" s="222"/>
      <c r="XBD13" s="222"/>
      <c r="XBE13" s="222"/>
      <c r="XBF13" s="222"/>
      <c r="XBG13" s="222"/>
      <c r="XBH13" s="222"/>
      <c r="XBI13" s="222"/>
      <c r="XBJ13" s="222"/>
      <c r="XBK13" s="222"/>
      <c r="XBL13" s="222"/>
      <c r="XBM13" s="222"/>
      <c r="XBN13" s="222"/>
      <c r="XBO13" s="222"/>
      <c r="XBP13" s="222"/>
      <c r="XBQ13" s="222"/>
      <c r="XBR13" s="222"/>
      <c r="XBS13" s="222"/>
      <c r="XBT13" s="222"/>
      <c r="XBU13" s="222"/>
      <c r="XBV13" s="222"/>
      <c r="XBW13" s="222"/>
      <c r="XBX13" s="222"/>
      <c r="XBY13" s="222"/>
      <c r="XBZ13" s="222"/>
      <c r="XCA13" s="222"/>
      <c r="XCB13" s="222"/>
      <c r="XCC13" s="222"/>
      <c r="XCD13" s="222"/>
      <c r="XCE13" s="222"/>
      <c r="XCF13" s="222"/>
      <c r="XCG13" s="222"/>
      <c r="XCH13" s="222"/>
      <c r="XCI13" s="222"/>
      <c r="XCJ13" s="222"/>
      <c r="XCK13" s="222"/>
      <c r="XCL13" s="222"/>
      <c r="XCM13" s="222"/>
      <c r="XCN13" s="222"/>
      <c r="XCO13" s="222"/>
      <c r="XCP13" s="222"/>
      <c r="XCQ13" s="222"/>
      <c r="XCR13" s="222"/>
      <c r="XCS13" s="222"/>
      <c r="XCT13" s="222"/>
      <c r="XCU13" s="222"/>
      <c r="XCV13" s="222"/>
      <c r="XCW13" s="222"/>
      <c r="XCX13" s="222"/>
      <c r="XCY13" s="222"/>
      <c r="XCZ13" s="222"/>
      <c r="XDA13" s="222"/>
      <c r="XDB13" s="222"/>
      <c r="XDC13" s="222"/>
      <c r="XDD13" s="222"/>
      <c r="XDE13" s="222"/>
      <c r="XDF13" s="222"/>
      <c r="XDG13" s="222"/>
      <c r="XDH13" s="222"/>
      <c r="XDI13" s="222"/>
      <c r="XDJ13" s="222"/>
      <c r="XDK13" s="222"/>
      <c r="XDL13" s="222"/>
      <c r="XDM13" s="222"/>
      <c r="XDN13" s="222"/>
      <c r="XDO13" s="222"/>
      <c r="XDP13" s="222"/>
      <c r="XDQ13" s="222"/>
      <c r="XDR13" s="222"/>
      <c r="XDS13" s="222"/>
      <c r="XDT13" s="222"/>
      <c r="XDU13" s="222"/>
      <c r="XDV13" s="222"/>
      <c r="XDW13" s="222"/>
      <c r="XDX13" s="222"/>
      <c r="XDY13" s="222"/>
      <c r="XDZ13" s="222"/>
      <c r="XEA13" s="222"/>
      <c r="XEB13" s="222"/>
      <c r="XEC13" s="222"/>
      <c r="XED13" s="222"/>
      <c r="XEE13" s="222"/>
      <c r="XEF13" s="222"/>
      <c r="XEG13" s="222"/>
      <c r="XEH13" s="222"/>
      <c r="XEI13" s="222"/>
      <c r="XEJ13" s="222"/>
      <c r="XEK13" s="222"/>
      <c r="XEL13" s="222"/>
      <c r="XEM13" s="222"/>
      <c r="XEN13" s="222"/>
      <c r="XEO13" s="222"/>
      <c r="XEP13" s="222"/>
      <c r="XEQ13" s="222"/>
      <c r="XER13" s="222"/>
      <c r="XES13" s="222"/>
      <c r="XET13" s="222"/>
      <c r="XEU13" s="222"/>
      <c r="XEV13" s="222"/>
      <c r="XEW13" s="222"/>
      <c r="XEX13" s="222"/>
      <c r="XEY13" s="222"/>
    </row>
    <row r="14" s="197" customFormat="1" ht="36" customHeight="1" spans="1:3">
      <c r="A14" s="208" t="s">
        <v>1928</v>
      </c>
      <c r="B14" s="209"/>
      <c r="C14" s="212">
        <f>C9+C10+C13</f>
        <v>3105</v>
      </c>
    </row>
    <row r="15" spans="3:3">
      <c r="C15" s="223"/>
    </row>
    <row r="16" spans="3:3">
      <c r="C16" s="223"/>
    </row>
    <row r="17" spans="3:3">
      <c r="C17" s="223"/>
    </row>
    <row r="18" spans="3:3">
      <c r="C18" s="223"/>
    </row>
  </sheetData>
  <mergeCells count="7">
    <mergeCell ref="A1:C1"/>
    <mergeCell ref="A4:B4"/>
    <mergeCell ref="A7:B7"/>
    <mergeCell ref="A9:B9"/>
    <mergeCell ref="A10:B10"/>
    <mergeCell ref="A13:B13"/>
    <mergeCell ref="A14:B14"/>
  </mergeCells>
  <printOptions horizontalCentered="1"/>
  <pageMargins left="0.471527777777778" right="0.393055555555556" top="0.747916666666667" bottom="0.747916666666667" header="0.313888888888889" footer="0.313888888888889"/>
  <pageSetup paperSize="9" scale="75" orientation="portrait"/>
  <headerFooter>
    <oddFooter>&amp;C&amp;16- &amp;P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4">
    <tabColor rgb="FFFF0000"/>
  </sheetPr>
  <dimension ref="A1:E40"/>
  <sheetViews>
    <sheetView showGridLines="0" showZeros="0" view="pageBreakPreview" zoomScale="90" zoomScaleNormal="115" workbookViewId="0">
      <pane ySplit="3" topLeftCell="A22" activePane="bottomLeft" state="frozen"/>
      <selection/>
      <selection pane="bottomLeft" activeCell="D32" sqref="D32"/>
    </sheetView>
  </sheetViews>
  <sheetFormatPr defaultColWidth="9" defaultRowHeight="14.25" outlineLevelCol="4"/>
  <cols>
    <col min="1" max="1" width="46.5" style="165" customWidth="1"/>
    <col min="2" max="4" width="20.6333333333333" style="165" customWidth="1"/>
    <col min="5" max="5" width="5.38333333333333" style="165" customWidth="1"/>
    <col min="6" max="16384" width="9" style="165"/>
  </cols>
  <sheetData>
    <row r="1" ht="35.25" spans="1:4">
      <c r="A1" s="166" t="s">
        <v>82</v>
      </c>
      <c r="B1" s="166"/>
      <c r="C1" s="166"/>
      <c r="D1" s="166"/>
    </row>
    <row r="2" s="189" customFormat="1" ht="20.1" customHeight="1" spans="1:4">
      <c r="A2" s="190" t="s">
        <v>81</v>
      </c>
      <c r="B2" s="191"/>
      <c r="C2" s="192"/>
      <c r="D2" s="193" t="s">
        <v>103</v>
      </c>
    </row>
    <row r="3" ht="37.5" spans="1:5">
      <c r="A3" s="194" t="s">
        <v>1701</v>
      </c>
      <c r="B3" s="104" t="s">
        <v>1753</v>
      </c>
      <c r="C3" s="104" t="s">
        <v>1754</v>
      </c>
      <c r="D3" s="104" t="s">
        <v>1755</v>
      </c>
      <c r="E3" s="189" t="s">
        <v>113</v>
      </c>
    </row>
    <row r="4" ht="24" customHeight="1" spans="1:5">
      <c r="A4" s="177" t="s">
        <v>1702</v>
      </c>
      <c r="B4" s="178"/>
      <c r="C4" s="157"/>
      <c r="D4" s="108" t="str">
        <f t="shared" ref="D4:D36" si="0">IFERROR((C4-B4)/B4,"")</f>
        <v/>
      </c>
      <c r="E4" s="196" t="str">
        <f t="shared" ref="E4:E36" si="1">IF(A4&lt;&gt;"",IF(SUM(B4:C4)&lt;&gt;0,"是","否"),"是")</f>
        <v>否</v>
      </c>
    </row>
    <row r="5" ht="24" customHeight="1" spans="1:5">
      <c r="A5" s="179" t="s">
        <v>1703</v>
      </c>
      <c r="B5" s="178"/>
      <c r="C5" s="182"/>
      <c r="D5" s="108" t="str">
        <f t="shared" si="0"/>
        <v/>
      </c>
      <c r="E5" s="196" t="str">
        <f t="shared" si="1"/>
        <v>否</v>
      </c>
    </row>
    <row r="6" ht="24" customHeight="1" spans="1:5">
      <c r="A6" s="179" t="s">
        <v>1704</v>
      </c>
      <c r="B6" s="178"/>
      <c r="C6" s="156"/>
      <c r="D6" s="108" t="str">
        <f t="shared" si="0"/>
        <v/>
      </c>
      <c r="E6" s="196" t="str">
        <f t="shared" si="1"/>
        <v>否</v>
      </c>
    </row>
    <row r="7" s="164" customFormat="1" ht="24" customHeight="1" spans="1:5">
      <c r="A7" s="179" t="s">
        <v>1705</v>
      </c>
      <c r="B7" s="178"/>
      <c r="C7" s="156"/>
      <c r="D7" s="108" t="str">
        <f t="shared" si="0"/>
        <v/>
      </c>
      <c r="E7" s="196" t="str">
        <f t="shared" si="1"/>
        <v>否</v>
      </c>
    </row>
    <row r="8" ht="24" customHeight="1" spans="1:5">
      <c r="A8" s="177" t="s">
        <v>1706</v>
      </c>
      <c r="B8" s="195">
        <v>122397</v>
      </c>
      <c r="C8" s="181">
        <v>123963</v>
      </c>
      <c r="D8" s="108">
        <f t="shared" si="0"/>
        <v>0.0127944312360597</v>
      </c>
      <c r="E8" s="196" t="str">
        <f t="shared" si="1"/>
        <v>是</v>
      </c>
    </row>
    <row r="9" ht="24" customHeight="1" spans="1:5">
      <c r="A9" s="179" t="s">
        <v>1703</v>
      </c>
      <c r="B9" s="155">
        <v>101419</v>
      </c>
      <c r="C9" s="156">
        <v>101033</v>
      </c>
      <c r="D9" s="114">
        <f t="shared" si="0"/>
        <v>-0.00380599295989903</v>
      </c>
      <c r="E9" s="196" t="str">
        <f t="shared" si="1"/>
        <v>是</v>
      </c>
    </row>
    <row r="10" ht="24" customHeight="1" spans="1:5">
      <c r="A10" s="179" t="s">
        <v>1704</v>
      </c>
      <c r="B10" s="155">
        <v>2941</v>
      </c>
      <c r="C10" s="156">
        <v>2280</v>
      </c>
      <c r="D10" s="114">
        <f t="shared" si="0"/>
        <v>-0.224753485209113</v>
      </c>
      <c r="E10" s="196" t="str">
        <f t="shared" si="1"/>
        <v>是</v>
      </c>
    </row>
    <row r="11" ht="24" customHeight="1" spans="1:5">
      <c r="A11" s="179" t="s">
        <v>1705</v>
      </c>
      <c r="B11" s="155">
        <v>16141</v>
      </c>
      <c r="C11" s="156">
        <v>19206</v>
      </c>
      <c r="D11" s="114">
        <f t="shared" si="0"/>
        <v>0.189889102286104</v>
      </c>
      <c r="E11" s="196" t="str">
        <f t="shared" si="1"/>
        <v>是</v>
      </c>
    </row>
    <row r="12" ht="24" customHeight="1" spans="1:5">
      <c r="A12" s="177" t="s">
        <v>1707</v>
      </c>
      <c r="B12" s="157"/>
      <c r="C12" s="157"/>
      <c r="D12" s="108" t="str">
        <f t="shared" si="0"/>
        <v/>
      </c>
      <c r="E12" s="196" t="str">
        <f t="shared" si="1"/>
        <v>否</v>
      </c>
    </row>
    <row r="13" ht="24" customHeight="1" spans="1:5">
      <c r="A13" s="179" t="s">
        <v>1703</v>
      </c>
      <c r="B13" s="156"/>
      <c r="C13" s="156"/>
      <c r="D13" s="108" t="str">
        <f t="shared" si="0"/>
        <v/>
      </c>
      <c r="E13" s="196" t="str">
        <f t="shared" si="1"/>
        <v>否</v>
      </c>
    </row>
    <row r="14" ht="24" customHeight="1" spans="1:5">
      <c r="A14" s="179" t="s">
        <v>1704</v>
      </c>
      <c r="B14" s="156"/>
      <c r="C14" s="156"/>
      <c r="D14" s="108" t="str">
        <f t="shared" si="0"/>
        <v/>
      </c>
      <c r="E14" s="196" t="str">
        <f t="shared" si="1"/>
        <v>否</v>
      </c>
    </row>
    <row r="15" ht="24" customHeight="1" spans="1:5">
      <c r="A15" s="179" t="s">
        <v>1705</v>
      </c>
      <c r="B15" s="156"/>
      <c r="C15" s="156"/>
      <c r="D15" s="108" t="str">
        <f t="shared" si="0"/>
        <v/>
      </c>
      <c r="E15" s="196" t="str">
        <f t="shared" si="1"/>
        <v>否</v>
      </c>
    </row>
    <row r="16" ht="24" customHeight="1" spans="1:5">
      <c r="A16" s="177" t="s">
        <v>1708</v>
      </c>
      <c r="B16" s="159">
        <v>106622</v>
      </c>
      <c r="C16" s="157">
        <v>86970</v>
      </c>
      <c r="D16" s="108">
        <f t="shared" si="0"/>
        <v>-0.184314681772992</v>
      </c>
      <c r="E16" s="196" t="str">
        <f t="shared" si="1"/>
        <v>是</v>
      </c>
    </row>
    <row r="17" ht="24" customHeight="1" spans="1:5">
      <c r="A17" s="179" t="s">
        <v>1703</v>
      </c>
      <c r="B17" s="155">
        <v>96947</v>
      </c>
      <c r="C17" s="156">
        <v>81392</v>
      </c>
      <c r="D17" s="114">
        <f t="shared" si="0"/>
        <v>-0.16044849247527</v>
      </c>
      <c r="E17" s="196" t="str">
        <f t="shared" si="1"/>
        <v>是</v>
      </c>
    </row>
    <row r="18" ht="24" customHeight="1" spans="1:5">
      <c r="A18" s="179" t="s">
        <v>1704</v>
      </c>
      <c r="B18" s="155">
        <v>6634</v>
      </c>
      <c r="C18" s="156">
        <v>4412</v>
      </c>
      <c r="D18" s="114">
        <f t="shared" si="0"/>
        <v>-0.334941211938499</v>
      </c>
      <c r="E18" s="196" t="str">
        <f t="shared" si="1"/>
        <v>是</v>
      </c>
    </row>
    <row r="19" ht="24" customHeight="1" spans="1:5">
      <c r="A19" s="179" t="s">
        <v>1705</v>
      </c>
      <c r="B19" s="155">
        <v>23</v>
      </c>
      <c r="C19" s="156"/>
      <c r="D19" s="114">
        <f t="shared" si="0"/>
        <v>-1</v>
      </c>
      <c r="E19" s="196" t="str">
        <f t="shared" si="1"/>
        <v>是</v>
      </c>
    </row>
    <row r="20" ht="24" customHeight="1" spans="1:5">
      <c r="A20" s="177" t="s">
        <v>1709</v>
      </c>
      <c r="B20" s="159"/>
      <c r="C20" s="157"/>
      <c r="D20" s="108" t="str">
        <f t="shared" si="0"/>
        <v/>
      </c>
      <c r="E20" s="196" t="str">
        <f t="shared" si="1"/>
        <v>否</v>
      </c>
    </row>
    <row r="21" ht="24" customHeight="1" spans="1:5">
      <c r="A21" s="179" t="s">
        <v>1703</v>
      </c>
      <c r="B21" s="155"/>
      <c r="C21" s="156"/>
      <c r="D21" s="108" t="str">
        <f t="shared" si="0"/>
        <v/>
      </c>
      <c r="E21" s="196" t="str">
        <f t="shared" si="1"/>
        <v>否</v>
      </c>
    </row>
    <row r="22" ht="24" customHeight="1" spans="1:5">
      <c r="A22" s="179" t="s">
        <v>1704</v>
      </c>
      <c r="B22" s="160"/>
      <c r="C22" s="182"/>
      <c r="D22" s="108" t="str">
        <f t="shared" si="0"/>
        <v/>
      </c>
      <c r="E22" s="196" t="str">
        <f t="shared" si="1"/>
        <v>否</v>
      </c>
    </row>
    <row r="23" ht="24" customHeight="1" spans="1:5">
      <c r="A23" s="179" t="s">
        <v>1705</v>
      </c>
      <c r="B23" s="155"/>
      <c r="C23" s="156"/>
      <c r="D23" s="108" t="str">
        <f t="shared" si="0"/>
        <v/>
      </c>
      <c r="E23" s="196" t="str">
        <f t="shared" si="1"/>
        <v>否</v>
      </c>
    </row>
    <row r="24" ht="24" customHeight="1" spans="1:5">
      <c r="A24" s="177" t="s">
        <v>1710</v>
      </c>
      <c r="B24" s="159">
        <v>60463</v>
      </c>
      <c r="C24" s="157">
        <v>68189</v>
      </c>
      <c r="D24" s="108">
        <f t="shared" si="0"/>
        <v>0.12778062616807</v>
      </c>
      <c r="E24" s="196" t="str">
        <f t="shared" si="1"/>
        <v>是</v>
      </c>
    </row>
    <row r="25" ht="24" customHeight="1" spans="1:5">
      <c r="A25" s="179" t="s">
        <v>1703</v>
      </c>
      <c r="B25" s="160">
        <v>16885</v>
      </c>
      <c r="C25" s="182">
        <v>17493</v>
      </c>
      <c r="D25" s="114">
        <f t="shared" si="0"/>
        <v>0.0360082913828842</v>
      </c>
      <c r="E25" s="196" t="str">
        <f t="shared" si="1"/>
        <v>是</v>
      </c>
    </row>
    <row r="26" ht="24" customHeight="1" spans="1:5">
      <c r="A26" s="179" t="s">
        <v>1704</v>
      </c>
      <c r="B26" s="160">
        <v>1458</v>
      </c>
      <c r="C26" s="182">
        <v>2585</v>
      </c>
      <c r="D26" s="114">
        <f t="shared" si="0"/>
        <v>0.772976680384088</v>
      </c>
      <c r="E26" s="196" t="str">
        <f t="shared" si="1"/>
        <v>是</v>
      </c>
    </row>
    <row r="27" ht="24" customHeight="1" spans="1:5">
      <c r="A27" s="179" t="s">
        <v>1705</v>
      </c>
      <c r="B27" s="160">
        <v>36669</v>
      </c>
      <c r="C27" s="182">
        <v>45239</v>
      </c>
      <c r="D27" s="114">
        <f t="shared" si="0"/>
        <v>0.233712400119992</v>
      </c>
      <c r="E27" s="196" t="str">
        <f t="shared" si="1"/>
        <v>是</v>
      </c>
    </row>
    <row r="28" ht="24" customHeight="1" spans="1:5">
      <c r="A28" s="177" t="s">
        <v>1711</v>
      </c>
      <c r="B28" s="159">
        <v>114124</v>
      </c>
      <c r="C28" s="157">
        <v>121723</v>
      </c>
      <c r="D28" s="108">
        <f t="shared" si="0"/>
        <v>0.0665854684378395</v>
      </c>
      <c r="E28" s="196" t="str">
        <f t="shared" si="1"/>
        <v>是</v>
      </c>
    </row>
    <row r="29" ht="24" customHeight="1" spans="1:5">
      <c r="A29" s="179" t="s">
        <v>1703</v>
      </c>
      <c r="B29" s="161">
        <v>41323</v>
      </c>
      <c r="C29" s="162">
        <v>40697</v>
      </c>
      <c r="D29" s="114">
        <f t="shared" si="0"/>
        <v>-0.0151489485274544</v>
      </c>
      <c r="E29" s="196" t="str">
        <f t="shared" si="1"/>
        <v>是</v>
      </c>
    </row>
    <row r="30" ht="24" customHeight="1" spans="1:5">
      <c r="A30" s="179" t="s">
        <v>1704</v>
      </c>
      <c r="B30" s="160">
        <v>868</v>
      </c>
      <c r="C30" s="182">
        <v>1020</v>
      </c>
      <c r="D30" s="114">
        <f t="shared" si="0"/>
        <v>0.175115207373272</v>
      </c>
      <c r="E30" s="196" t="str">
        <f t="shared" si="1"/>
        <v>是</v>
      </c>
    </row>
    <row r="31" ht="24" customHeight="1" spans="1:5">
      <c r="A31" s="179" t="s">
        <v>1705</v>
      </c>
      <c r="B31" s="160">
        <v>70386</v>
      </c>
      <c r="C31" s="182">
        <v>74272</v>
      </c>
      <c r="D31" s="114">
        <f t="shared" si="0"/>
        <v>0.0552098428664791</v>
      </c>
      <c r="E31" s="196" t="str">
        <f t="shared" si="1"/>
        <v>是</v>
      </c>
    </row>
    <row r="32" ht="24" customHeight="1" spans="1:5">
      <c r="A32" s="138" t="s">
        <v>1712</v>
      </c>
      <c r="B32" s="181">
        <f t="shared" ref="B32:B35" si="2">B4+B8+B12+B16+B20+B24+B28</f>
        <v>403606</v>
      </c>
      <c r="C32" s="181">
        <f t="shared" ref="C32:C35" si="3">C4+C8+C12+C16+C20+C24+C28</f>
        <v>400845</v>
      </c>
      <c r="D32" s="108">
        <f t="shared" si="0"/>
        <v>-0.00684082991828665</v>
      </c>
      <c r="E32" s="196" t="str">
        <f t="shared" si="1"/>
        <v>是</v>
      </c>
    </row>
    <row r="33" ht="24" customHeight="1" spans="1:5">
      <c r="A33" s="179" t="s">
        <v>1713</v>
      </c>
      <c r="B33" s="182">
        <f t="shared" si="2"/>
        <v>256574</v>
      </c>
      <c r="C33" s="182">
        <f t="shared" si="3"/>
        <v>240615</v>
      </c>
      <c r="D33" s="114">
        <f t="shared" si="0"/>
        <v>-0.062200378838074</v>
      </c>
      <c r="E33" s="196" t="str">
        <f t="shared" si="1"/>
        <v>是</v>
      </c>
    </row>
    <row r="34" ht="24" customHeight="1" spans="1:5">
      <c r="A34" s="179" t="s">
        <v>1714</v>
      </c>
      <c r="B34" s="182">
        <f t="shared" si="2"/>
        <v>11901</v>
      </c>
      <c r="C34" s="182">
        <f t="shared" si="3"/>
        <v>10297</v>
      </c>
      <c r="D34" s="114">
        <f t="shared" si="0"/>
        <v>-0.134778590034451</v>
      </c>
      <c r="E34" s="196" t="str">
        <f t="shared" si="1"/>
        <v>是</v>
      </c>
    </row>
    <row r="35" ht="24" customHeight="1" spans="1:5">
      <c r="A35" s="179" t="s">
        <v>1715</v>
      </c>
      <c r="B35" s="182">
        <f t="shared" si="2"/>
        <v>123219</v>
      </c>
      <c r="C35" s="182">
        <f t="shared" si="3"/>
        <v>138717</v>
      </c>
      <c r="D35" s="114">
        <f t="shared" si="0"/>
        <v>0.125776057263896</v>
      </c>
      <c r="E35" s="196" t="str">
        <f t="shared" si="1"/>
        <v>是</v>
      </c>
    </row>
    <row r="36" ht="24" customHeight="1" spans="1:5">
      <c r="A36" s="138" t="s">
        <v>1716</v>
      </c>
      <c r="B36" s="181">
        <f>B32</f>
        <v>403606</v>
      </c>
      <c r="C36" s="181">
        <f>C32</f>
        <v>400845</v>
      </c>
      <c r="D36" s="108">
        <f t="shared" si="0"/>
        <v>-0.00684082991828665</v>
      </c>
      <c r="E36" s="196" t="str">
        <f t="shared" si="1"/>
        <v>是</v>
      </c>
    </row>
    <row r="37" spans="2:3">
      <c r="B37" s="174"/>
      <c r="C37" s="174"/>
    </row>
    <row r="38" spans="2:3">
      <c r="B38" s="174"/>
      <c r="C38" s="174"/>
    </row>
    <row r="39" spans="2:3">
      <c r="B39" s="174"/>
      <c r="C39" s="174"/>
    </row>
    <row r="40" spans="2:3">
      <c r="B40" s="174"/>
      <c r="C40" s="174"/>
    </row>
  </sheetData>
  <autoFilter ref="A3:E36">
    <extLst/>
  </autoFilter>
  <mergeCells count="1">
    <mergeCell ref="A1:D1"/>
  </mergeCells>
  <conditionalFormatting sqref="B29">
    <cfRule type="cellIs" dxfId="3" priority="1" stopIfTrue="1" operator="lessThanOrEqual">
      <formula>-1</formula>
    </cfRule>
  </conditionalFormatting>
  <conditionalFormatting sqref="C29">
    <cfRule type="cellIs" dxfId="3" priority="5" stopIfTrue="1" operator="lessThanOrEqual">
      <formula>-1</formula>
    </cfRule>
  </conditionalFormatting>
  <conditionalFormatting sqref="B9:B11">
    <cfRule type="cellIs" dxfId="3" priority="3" stopIfTrue="1" operator="lessThanOrEqual">
      <formula>-1</formula>
    </cfRule>
  </conditionalFormatting>
  <conditionalFormatting sqref="B17:B19">
    <cfRule type="cellIs" dxfId="3" priority="2" stopIfTrue="1" operator="lessThanOrEqual">
      <formula>-1</formula>
    </cfRule>
  </conditionalFormatting>
  <conditionalFormatting sqref="C9:C11">
    <cfRule type="cellIs" dxfId="3" priority="7" stopIfTrue="1" operator="lessThanOrEqual">
      <formula>-1</formula>
    </cfRule>
  </conditionalFormatting>
  <conditionalFormatting sqref="C17:C19">
    <cfRule type="cellIs" dxfId="3" priority="6" stopIfTrue="1" operator="lessThanOrEqual">
      <formula>-1</formula>
    </cfRule>
  </conditionalFormatting>
  <conditionalFormatting sqref="E4:E36">
    <cfRule type="cellIs" dxfId="3" priority="10" stopIfTrue="1" operator="lessThanOrEqual">
      <formula>-1</formula>
    </cfRule>
  </conditionalFormatting>
  <conditionalFormatting sqref="E5:E36">
    <cfRule type="cellIs" dxfId="3" priority="9" stopIfTrue="1" operator="lessThanOrEqual">
      <formula>-1</formula>
    </cfRule>
  </conditionalFormatting>
  <conditionalFormatting sqref="C23 C6:C7 C13:C15">
    <cfRule type="cellIs" dxfId="3" priority="8" stopIfTrue="1" operator="lessThanOrEqual">
      <formula>-1</formula>
    </cfRule>
  </conditionalFormatting>
  <conditionalFormatting sqref="B23 B13:B15">
    <cfRule type="cellIs" dxfId="3" priority="4"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tabColor rgb="FFFF0000"/>
  </sheetPr>
  <dimension ref="A1:E24"/>
  <sheetViews>
    <sheetView showGridLines="0" showZeros="0" view="pageBreakPreview" zoomScaleNormal="100" workbookViewId="0">
      <pane ySplit="3" topLeftCell="A11" activePane="bottomLeft" state="frozen"/>
      <selection/>
      <selection pane="bottomLeft" activeCell="D19" sqref="D19"/>
    </sheetView>
  </sheetViews>
  <sheetFormatPr defaultColWidth="9" defaultRowHeight="14.25" outlineLevelCol="4"/>
  <cols>
    <col min="1" max="1" width="50.75" style="165" customWidth="1"/>
    <col min="2" max="4" width="20.6333333333333" style="165" customWidth="1"/>
    <col min="5" max="5" width="12.75" style="165" customWidth="1"/>
    <col min="6" max="16384" width="9" style="165"/>
  </cols>
  <sheetData>
    <row r="1" ht="35.25" spans="1:4">
      <c r="A1" s="166" t="s">
        <v>84</v>
      </c>
      <c r="B1" s="166"/>
      <c r="C1" s="166"/>
      <c r="D1" s="166"/>
    </row>
    <row r="2" ht="20.1" customHeight="1" spans="1:4">
      <c r="A2" s="185" t="s">
        <v>83</v>
      </c>
      <c r="B2" s="186"/>
      <c r="C2" s="187"/>
      <c r="D2" s="188" t="s">
        <v>1717</v>
      </c>
    </row>
    <row r="3" ht="40" customHeight="1" spans="1:5">
      <c r="A3" s="129" t="s">
        <v>1718</v>
      </c>
      <c r="B3" s="104" t="s">
        <v>1753</v>
      </c>
      <c r="C3" s="104" t="s">
        <v>1754</v>
      </c>
      <c r="D3" s="104" t="s">
        <v>1755</v>
      </c>
      <c r="E3" s="175" t="s">
        <v>113</v>
      </c>
    </row>
    <row r="4" ht="40" customHeight="1" spans="1:5">
      <c r="A4" s="130" t="s">
        <v>1719</v>
      </c>
      <c r="B4" s="183"/>
      <c r="C4" s="112"/>
      <c r="D4" s="108" t="str">
        <f t="shared" ref="D4:D20" si="0">IFERROR((C4-B4)/B4,"")</f>
        <v/>
      </c>
      <c r="E4" s="176" t="str">
        <f t="shared" ref="E4:E20" si="1">IF(A4&lt;&gt;"",IF(SUM(B4:C4)&lt;&gt;0,"是","否"),"是")</f>
        <v>否</v>
      </c>
    </row>
    <row r="5" ht="40" customHeight="1" spans="1:5">
      <c r="A5" s="132" t="s">
        <v>1720</v>
      </c>
      <c r="B5" s="183"/>
      <c r="C5" s="158"/>
      <c r="D5" s="108" t="str">
        <f t="shared" si="0"/>
        <v/>
      </c>
      <c r="E5" s="176" t="str">
        <f t="shared" si="1"/>
        <v>否</v>
      </c>
    </row>
    <row r="6" ht="40" customHeight="1" spans="1:5">
      <c r="A6" s="130" t="s">
        <v>1721</v>
      </c>
      <c r="B6" s="111">
        <v>124617</v>
      </c>
      <c r="C6" s="112">
        <v>131935</v>
      </c>
      <c r="D6" s="108">
        <f t="shared" si="0"/>
        <v>0.0587239301218935</v>
      </c>
      <c r="E6" s="176" t="str">
        <f t="shared" si="1"/>
        <v>是</v>
      </c>
    </row>
    <row r="7" ht="40" customHeight="1" spans="1:5">
      <c r="A7" s="132" t="s">
        <v>1720</v>
      </c>
      <c r="B7" s="135">
        <v>124050</v>
      </c>
      <c r="C7" s="134">
        <v>131722</v>
      </c>
      <c r="D7" s="114">
        <f t="shared" si="0"/>
        <v>0.0618460298266828</v>
      </c>
      <c r="E7" s="176" t="str">
        <f t="shared" si="1"/>
        <v>是</v>
      </c>
    </row>
    <row r="8" s="164" customFormat="1" ht="40" customHeight="1" spans="1:5">
      <c r="A8" s="130" t="s">
        <v>1722</v>
      </c>
      <c r="B8" s="111"/>
      <c r="C8" s="112"/>
      <c r="D8" s="108" t="str">
        <f t="shared" si="0"/>
        <v/>
      </c>
      <c r="E8" s="176" t="str">
        <f t="shared" si="1"/>
        <v>否</v>
      </c>
    </row>
    <row r="9" s="164" customFormat="1" ht="40" customHeight="1" spans="1:5">
      <c r="A9" s="132" t="s">
        <v>1720</v>
      </c>
      <c r="B9" s="135"/>
      <c r="C9" s="134"/>
      <c r="D9" s="108" t="str">
        <f t="shared" si="0"/>
        <v/>
      </c>
      <c r="E9" s="176" t="str">
        <f t="shared" si="1"/>
        <v>否</v>
      </c>
    </row>
    <row r="10" s="164" customFormat="1" ht="40" customHeight="1" spans="1:5">
      <c r="A10" s="130" t="s">
        <v>1723</v>
      </c>
      <c r="B10" s="111">
        <v>79951</v>
      </c>
      <c r="C10" s="112">
        <v>70038</v>
      </c>
      <c r="D10" s="108">
        <f t="shared" si="0"/>
        <v>-0.123988442921289</v>
      </c>
      <c r="E10" s="176" t="str">
        <f t="shared" si="1"/>
        <v>是</v>
      </c>
    </row>
    <row r="11" s="164" customFormat="1" ht="40" customHeight="1" spans="1:5">
      <c r="A11" s="132" t="s">
        <v>1720</v>
      </c>
      <c r="B11" s="113">
        <v>78080</v>
      </c>
      <c r="C11" s="110">
        <v>68137</v>
      </c>
      <c r="D11" s="114">
        <f t="shared" si="0"/>
        <v>-0.12734375</v>
      </c>
      <c r="E11" s="176" t="str">
        <f t="shared" si="1"/>
        <v>是</v>
      </c>
    </row>
    <row r="12" s="164" customFormat="1" ht="40" customHeight="1" spans="1:5">
      <c r="A12" s="130" t="s">
        <v>1724</v>
      </c>
      <c r="B12" s="111"/>
      <c r="C12" s="112"/>
      <c r="D12" s="108" t="str">
        <f t="shared" si="0"/>
        <v/>
      </c>
      <c r="E12" s="176" t="str">
        <f t="shared" si="1"/>
        <v>否</v>
      </c>
    </row>
    <row r="13" s="164" customFormat="1" ht="40" customHeight="1" spans="1:5">
      <c r="A13" s="132" t="s">
        <v>1720</v>
      </c>
      <c r="B13" s="113"/>
      <c r="C13" s="110"/>
      <c r="D13" s="108" t="str">
        <f t="shared" si="0"/>
        <v/>
      </c>
      <c r="E13" s="176" t="str">
        <f t="shared" si="1"/>
        <v>否</v>
      </c>
    </row>
    <row r="14" s="164" customFormat="1" ht="40" customHeight="1" spans="1:5">
      <c r="A14" s="130" t="s">
        <v>1725</v>
      </c>
      <c r="B14" s="111">
        <v>42486</v>
      </c>
      <c r="C14" s="112">
        <v>51164</v>
      </c>
      <c r="D14" s="108">
        <f t="shared" si="0"/>
        <v>0.204255519465236</v>
      </c>
      <c r="E14" s="176" t="str">
        <f t="shared" si="1"/>
        <v>是</v>
      </c>
    </row>
    <row r="15" ht="40" customHeight="1" spans="1:5">
      <c r="A15" s="132" t="s">
        <v>1720</v>
      </c>
      <c r="B15" s="135">
        <v>42398</v>
      </c>
      <c r="C15" s="134">
        <v>51081</v>
      </c>
      <c r="D15" s="114">
        <f t="shared" si="0"/>
        <v>0.20479739610359</v>
      </c>
      <c r="E15" s="176" t="str">
        <f t="shared" si="1"/>
        <v>是</v>
      </c>
    </row>
    <row r="16" ht="40" customHeight="1" spans="1:5">
      <c r="A16" s="130" t="s">
        <v>1726</v>
      </c>
      <c r="B16" s="111">
        <v>101954</v>
      </c>
      <c r="C16" s="112">
        <v>115953</v>
      </c>
      <c r="D16" s="108">
        <f t="shared" si="0"/>
        <v>0.137307020813308</v>
      </c>
      <c r="E16" s="176" t="str">
        <f t="shared" si="1"/>
        <v>是</v>
      </c>
    </row>
    <row r="17" ht="40" customHeight="1" spans="1:5">
      <c r="A17" s="132" t="s">
        <v>1720</v>
      </c>
      <c r="B17" s="136">
        <v>84341</v>
      </c>
      <c r="C17" s="137">
        <v>103006</v>
      </c>
      <c r="D17" s="114">
        <f t="shared" si="0"/>
        <v>0.221303992127198</v>
      </c>
      <c r="E17" s="176" t="str">
        <f t="shared" si="1"/>
        <v>是</v>
      </c>
    </row>
    <row r="18" ht="40" customHeight="1" spans="1:5">
      <c r="A18" s="138" t="s">
        <v>1727</v>
      </c>
      <c r="B18" s="112">
        <f>B4+B6+B8+B10+B12+B14+B16</f>
        <v>349008</v>
      </c>
      <c r="C18" s="112">
        <f>C4+C6+C8+C10+C12+C14+C16</f>
        <v>369090</v>
      </c>
      <c r="D18" s="108">
        <f t="shared" si="0"/>
        <v>0.0575402283042223</v>
      </c>
      <c r="E18" s="176" t="str">
        <f t="shared" si="1"/>
        <v>是</v>
      </c>
    </row>
    <row r="19" ht="40" customHeight="1" spans="1:5">
      <c r="A19" s="132" t="s">
        <v>1728</v>
      </c>
      <c r="B19" s="158">
        <f>B5+B7+B9+B11+B13+B15+B17</f>
        <v>328869</v>
      </c>
      <c r="C19" s="158">
        <f>C5+C7+C9+C11+C13+C15+C17</f>
        <v>353946</v>
      </c>
      <c r="D19" s="114">
        <f t="shared" si="0"/>
        <v>0.0762522463351669</v>
      </c>
      <c r="E19" s="176" t="str">
        <f t="shared" si="1"/>
        <v>是</v>
      </c>
    </row>
    <row r="20" ht="40" customHeight="1" spans="1:5">
      <c r="A20" s="138" t="s">
        <v>1195</v>
      </c>
      <c r="B20" s="112">
        <f>B18</f>
        <v>349008</v>
      </c>
      <c r="C20" s="112">
        <f>C18</f>
        <v>369090</v>
      </c>
      <c r="D20" s="108">
        <f t="shared" si="0"/>
        <v>0.0575402283042223</v>
      </c>
      <c r="E20" s="176" t="str">
        <f t="shared" si="1"/>
        <v>是</v>
      </c>
    </row>
    <row r="21" spans="2:3">
      <c r="B21" s="174"/>
      <c r="C21" s="174"/>
    </row>
    <row r="22" spans="2:3">
      <c r="B22" s="174"/>
      <c r="C22" s="174"/>
    </row>
    <row r="23" spans="2:3">
      <c r="B23" s="174"/>
      <c r="C23" s="174"/>
    </row>
    <row r="24" spans="2:3">
      <c r="B24" s="174"/>
      <c r="C24" s="174"/>
    </row>
  </sheetData>
  <autoFilter ref="A3:E20">
    <extLst/>
  </autoFilter>
  <mergeCells count="1">
    <mergeCell ref="A1:D1"/>
  </mergeCells>
  <conditionalFormatting sqref="E4:E20">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6">
    <tabColor rgb="FFFF0000"/>
  </sheetPr>
  <dimension ref="A1:N23"/>
  <sheetViews>
    <sheetView showGridLines="0" showZeros="0" view="pageBreakPreview" zoomScaleNormal="100" workbookViewId="0">
      <pane ySplit="3" topLeftCell="A4" activePane="bottomLeft" state="frozen"/>
      <selection/>
      <selection pane="bottomLeft" activeCell="D36" sqref="D36"/>
    </sheetView>
  </sheetViews>
  <sheetFormatPr defaultColWidth="9" defaultRowHeight="14.25"/>
  <cols>
    <col min="1" max="1" width="45.6333333333333" style="165" customWidth="1"/>
    <col min="2" max="4" width="20.6333333333333" style="165" customWidth="1"/>
    <col min="5" max="5" width="9" style="165"/>
    <col min="6" max="6" width="9" style="165" hidden="1" customWidth="1"/>
    <col min="7" max="7" width="50.75" style="165" hidden="1" customWidth="1"/>
    <col min="8" max="9" width="12.875" style="165" hidden="1" customWidth="1"/>
    <col min="10" max="10" width="50.75" style="165" hidden="1" customWidth="1"/>
    <col min="11" max="12" width="12.875" style="165" hidden="1" customWidth="1"/>
    <col min="13" max="14" width="9" style="165" hidden="1" customWidth="1"/>
    <col min="15" max="16384" width="9" style="165"/>
  </cols>
  <sheetData>
    <row r="1" ht="35.25" spans="1:4">
      <c r="A1" s="166" t="s">
        <v>86</v>
      </c>
      <c r="B1" s="166"/>
      <c r="C1" s="166"/>
      <c r="D1" s="166"/>
    </row>
    <row r="2" ht="20.1" customHeight="1" spans="1:4">
      <c r="A2" s="125" t="s">
        <v>85</v>
      </c>
      <c r="B2" s="167"/>
      <c r="C2" s="168"/>
      <c r="D2" s="128" t="s">
        <v>1612</v>
      </c>
    </row>
    <row r="3" ht="40" customHeight="1" spans="1:14">
      <c r="A3" s="169" t="s">
        <v>1718</v>
      </c>
      <c r="B3" s="104" t="s">
        <v>1753</v>
      </c>
      <c r="C3" s="104" t="s">
        <v>1754</v>
      </c>
      <c r="D3" s="104" t="s">
        <v>1755</v>
      </c>
      <c r="E3" s="175" t="s">
        <v>113</v>
      </c>
      <c r="M3" s="165">
        <v>2021</v>
      </c>
      <c r="N3" s="165">
        <v>2022</v>
      </c>
    </row>
    <row r="4" ht="40" customHeight="1" spans="1:14">
      <c r="A4" s="170" t="s">
        <v>1729</v>
      </c>
      <c r="B4" s="171"/>
      <c r="C4" s="107"/>
      <c r="D4" s="108" t="str">
        <f t="shared" ref="D4:D19" si="0">IFERROR((C4-B4)/B4,"")</f>
        <v/>
      </c>
      <c r="E4" s="176" t="str">
        <f t="shared" ref="E4:E19" si="1">IF(A4&lt;&gt;"",IF(SUM(B4:C4)&lt;&gt;0,"是","否"),"是")</f>
        <v>否</v>
      </c>
      <c r="G4" s="177" t="s">
        <v>1702</v>
      </c>
      <c r="H4" s="178">
        <v>96400</v>
      </c>
      <c r="I4" s="157">
        <v>90547</v>
      </c>
      <c r="J4" s="130" t="s">
        <v>1719</v>
      </c>
      <c r="K4" s="183">
        <v>87662</v>
      </c>
      <c r="L4" s="112">
        <v>94894</v>
      </c>
      <c r="M4" s="165">
        <f t="shared" ref="M4:M18" si="2">H4-K4</f>
        <v>8738</v>
      </c>
      <c r="N4" s="165">
        <f t="shared" ref="N4:N18" si="3">I4-L4</f>
        <v>-4347</v>
      </c>
    </row>
    <row r="5" ht="40" customHeight="1" spans="1:14">
      <c r="A5" s="172" t="s">
        <v>1730</v>
      </c>
      <c r="B5" s="171"/>
      <c r="C5" s="110"/>
      <c r="D5" s="108" t="str">
        <f t="shared" si="0"/>
        <v/>
      </c>
      <c r="E5" s="176" t="str">
        <f t="shared" si="1"/>
        <v>否</v>
      </c>
      <c r="G5" s="179" t="s">
        <v>1703</v>
      </c>
      <c r="H5" s="180">
        <v>86754</v>
      </c>
      <c r="I5" s="182">
        <v>83358</v>
      </c>
      <c r="J5" s="132" t="s">
        <v>1720</v>
      </c>
      <c r="K5" s="184">
        <v>84291</v>
      </c>
      <c r="L5" s="158">
        <v>89950</v>
      </c>
      <c r="M5" s="165">
        <f t="shared" si="2"/>
        <v>2463</v>
      </c>
      <c r="N5" s="165">
        <f t="shared" si="3"/>
        <v>-6592</v>
      </c>
    </row>
    <row r="6" ht="40" customHeight="1" spans="1:14">
      <c r="A6" s="170" t="s">
        <v>1731</v>
      </c>
      <c r="B6" s="115">
        <v>-2220</v>
      </c>
      <c r="C6" s="107">
        <v>-7972</v>
      </c>
      <c r="D6" s="108">
        <f t="shared" si="0"/>
        <v>2.59099099099099</v>
      </c>
      <c r="E6" s="176" t="str">
        <f t="shared" si="1"/>
        <v>是</v>
      </c>
      <c r="G6" s="177" t="s">
        <v>1706</v>
      </c>
      <c r="H6" s="178">
        <v>92675</v>
      </c>
      <c r="I6" s="181">
        <v>94622</v>
      </c>
      <c r="J6" s="130" t="s">
        <v>1721</v>
      </c>
      <c r="K6" s="183">
        <v>84114</v>
      </c>
      <c r="L6" s="112">
        <v>88146</v>
      </c>
      <c r="M6" s="165">
        <f t="shared" si="2"/>
        <v>8561</v>
      </c>
      <c r="N6" s="165">
        <f t="shared" si="3"/>
        <v>6476</v>
      </c>
    </row>
    <row r="7" ht="40" customHeight="1" spans="1:14">
      <c r="A7" s="172" t="s">
        <v>1732</v>
      </c>
      <c r="B7" s="113">
        <v>120766</v>
      </c>
      <c r="C7" s="110">
        <v>113218</v>
      </c>
      <c r="D7" s="114">
        <f t="shared" si="0"/>
        <v>-0.0625010350595366</v>
      </c>
      <c r="E7" s="176" t="str">
        <f t="shared" si="1"/>
        <v>是</v>
      </c>
      <c r="G7" s="179" t="s">
        <v>1703</v>
      </c>
      <c r="H7" s="180">
        <v>91949</v>
      </c>
      <c r="I7" s="156">
        <v>83634</v>
      </c>
      <c r="J7" s="132" t="s">
        <v>1720</v>
      </c>
      <c r="K7" s="184">
        <v>82865</v>
      </c>
      <c r="L7" s="134">
        <v>88079</v>
      </c>
      <c r="M7" s="165">
        <f t="shared" si="2"/>
        <v>9084</v>
      </c>
      <c r="N7" s="165">
        <f t="shared" si="3"/>
        <v>-4445</v>
      </c>
    </row>
    <row r="8" s="164" customFormat="1" ht="40" customHeight="1" spans="1:14">
      <c r="A8" s="170" t="s">
        <v>1733</v>
      </c>
      <c r="B8" s="115"/>
      <c r="C8" s="107"/>
      <c r="D8" s="108" t="str">
        <f t="shared" si="0"/>
        <v/>
      </c>
      <c r="E8" s="176" t="str">
        <f t="shared" si="1"/>
        <v>否</v>
      </c>
      <c r="G8" s="177" t="s">
        <v>1707</v>
      </c>
      <c r="H8" s="178">
        <v>4113</v>
      </c>
      <c r="I8" s="157">
        <v>4523</v>
      </c>
      <c r="J8" s="130" t="s">
        <v>1722</v>
      </c>
      <c r="K8" s="183">
        <v>5501</v>
      </c>
      <c r="L8" s="112">
        <v>4414</v>
      </c>
      <c r="M8" s="165">
        <f t="shared" si="2"/>
        <v>-1388</v>
      </c>
      <c r="N8" s="165">
        <f t="shared" si="3"/>
        <v>109</v>
      </c>
    </row>
    <row r="9" s="164" customFormat="1" ht="40" customHeight="1" spans="1:14">
      <c r="A9" s="172" t="s">
        <v>1734</v>
      </c>
      <c r="B9" s="113"/>
      <c r="C9" s="110"/>
      <c r="D9" s="108" t="str">
        <f t="shared" si="0"/>
        <v/>
      </c>
      <c r="E9" s="176" t="str">
        <f t="shared" si="1"/>
        <v>否</v>
      </c>
      <c r="G9" s="179" t="s">
        <v>1703</v>
      </c>
      <c r="H9" s="180">
        <v>3890</v>
      </c>
      <c r="I9" s="156">
        <v>4479</v>
      </c>
      <c r="J9" s="132" t="s">
        <v>1720</v>
      </c>
      <c r="K9" s="184">
        <v>3352</v>
      </c>
      <c r="L9" s="134">
        <v>3005</v>
      </c>
      <c r="M9" s="165">
        <f t="shared" si="2"/>
        <v>538</v>
      </c>
      <c r="N9" s="165">
        <f t="shared" si="3"/>
        <v>1474</v>
      </c>
    </row>
    <row r="10" s="164" customFormat="1" ht="40" customHeight="1" spans="1:14">
      <c r="A10" s="170" t="s">
        <v>1735</v>
      </c>
      <c r="B10" s="115">
        <v>26671</v>
      </c>
      <c r="C10" s="107">
        <v>16932</v>
      </c>
      <c r="D10" s="108">
        <f t="shared" si="0"/>
        <v>-0.365153162611076</v>
      </c>
      <c r="E10" s="176" t="str">
        <f t="shared" si="1"/>
        <v>是</v>
      </c>
      <c r="G10" s="177" t="s">
        <v>1708</v>
      </c>
      <c r="H10" s="181">
        <v>97783</v>
      </c>
      <c r="I10" s="157">
        <v>101650</v>
      </c>
      <c r="J10" s="130" t="s">
        <v>1723</v>
      </c>
      <c r="K10" s="183">
        <v>77350</v>
      </c>
      <c r="L10" s="112">
        <v>68847</v>
      </c>
      <c r="M10" s="165">
        <f t="shared" si="2"/>
        <v>20433</v>
      </c>
      <c r="N10" s="165">
        <f t="shared" si="3"/>
        <v>32803</v>
      </c>
    </row>
    <row r="11" s="164" customFormat="1" ht="40" customHeight="1" spans="1:14">
      <c r="A11" s="172" t="s">
        <v>1736</v>
      </c>
      <c r="B11" s="113">
        <v>283822</v>
      </c>
      <c r="C11" s="110">
        <v>299442</v>
      </c>
      <c r="D11" s="114">
        <f t="shared" si="0"/>
        <v>0.0550344934501201</v>
      </c>
      <c r="E11" s="176" t="str">
        <f t="shared" si="1"/>
        <v>是</v>
      </c>
      <c r="G11" s="179" t="s">
        <v>1703</v>
      </c>
      <c r="H11" s="182">
        <v>87615</v>
      </c>
      <c r="I11" s="156">
        <v>94062</v>
      </c>
      <c r="J11" s="132" t="s">
        <v>1720</v>
      </c>
      <c r="K11" s="184">
        <v>63915</v>
      </c>
      <c r="L11" s="110">
        <v>66652</v>
      </c>
      <c r="M11" s="165">
        <f t="shared" si="2"/>
        <v>23700</v>
      </c>
      <c r="N11" s="165">
        <f t="shared" si="3"/>
        <v>27410</v>
      </c>
    </row>
    <row r="12" s="164" customFormat="1" ht="40" customHeight="1" spans="1:14">
      <c r="A12" s="170" t="s">
        <v>1737</v>
      </c>
      <c r="B12" s="111"/>
      <c r="C12" s="112"/>
      <c r="D12" s="108" t="str">
        <f t="shared" si="0"/>
        <v/>
      </c>
      <c r="E12" s="176" t="str">
        <f t="shared" si="1"/>
        <v>否</v>
      </c>
      <c r="G12" s="177" t="s">
        <v>1709</v>
      </c>
      <c r="H12" s="178">
        <v>2673</v>
      </c>
      <c r="I12" s="157">
        <v>2056</v>
      </c>
      <c r="J12" s="130" t="s">
        <v>1724</v>
      </c>
      <c r="K12" s="183">
        <v>4134</v>
      </c>
      <c r="L12" s="112">
        <v>4028</v>
      </c>
      <c r="M12" s="165">
        <f t="shared" si="2"/>
        <v>-1461</v>
      </c>
      <c r="N12" s="165">
        <f t="shared" si="3"/>
        <v>-1972</v>
      </c>
    </row>
    <row r="13" s="164" customFormat="1" ht="40" customHeight="1" spans="1:14">
      <c r="A13" s="172" t="s">
        <v>1738</v>
      </c>
      <c r="B13" s="113"/>
      <c r="C13" s="110"/>
      <c r="D13" s="114" t="str">
        <f t="shared" si="0"/>
        <v/>
      </c>
      <c r="E13" s="176" t="str">
        <f t="shared" si="1"/>
        <v>否</v>
      </c>
      <c r="G13" s="179" t="s">
        <v>1703</v>
      </c>
      <c r="H13" s="180">
        <v>2638</v>
      </c>
      <c r="I13" s="156">
        <v>1441</v>
      </c>
      <c r="J13" s="132" t="s">
        <v>1720</v>
      </c>
      <c r="K13" s="184">
        <v>4099</v>
      </c>
      <c r="L13" s="110">
        <v>4028</v>
      </c>
      <c r="M13" s="165">
        <f t="shared" si="2"/>
        <v>-1461</v>
      </c>
      <c r="N13" s="165">
        <f t="shared" si="3"/>
        <v>-2587</v>
      </c>
    </row>
    <row r="14" s="164" customFormat="1" ht="40" customHeight="1" spans="1:14">
      <c r="A14" s="170" t="s">
        <v>1739</v>
      </c>
      <c r="B14" s="115">
        <v>17977</v>
      </c>
      <c r="C14" s="107">
        <v>17025</v>
      </c>
      <c r="D14" s="108">
        <f t="shared" si="0"/>
        <v>-0.0529565555988207</v>
      </c>
      <c r="E14" s="176" t="str">
        <f t="shared" si="1"/>
        <v>是</v>
      </c>
      <c r="G14" s="177" t="s">
        <v>1710</v>
      </c>
      <c r="H14" s="178">
        <v>53952</v>
      </c>
      <c r="I14" s="157">
        <v>47788</v>
      </c>
      <c r="J14" s="130" t="s">
        <v>1725</v>
      </c>
      <c r="K14" s="183">
        <v>24677</v>
      </c>
      <c r="L14" s="112">
        <v>26335</v>
      </c>
      <c r="M14" s="165">
        <f t="shared" si="2"/>
        <v>29275</v>
      </c>
      <c r="N14" s="165">
        <f t="shared" si="3"/>
        <v>21453</v>
      </c>
    </row>
    <row r="15" s="164" customFormat="1" ht="40" customHeight="1" spans="1:14">
      <c r="A15" s="172" t="s">
        <v>1740</v>
      </c>
      <c r="B15" s="113">
        <v>194724</v>
      </c>
      <c r="C15" s="110">
        <v>208401</v>
      </c>
      <c r="D15" s="114">
        <f t="shared" si="0"/>
        <v>0.070237875146361</v>
      </c>
      <c r="E15" s="176" t="str">
        <f t="shared" si="1"/>
        <v>是</v>
      </c>
      <c r="G15" s="179" t="s">
        <v>1703</v>
      </c>
      <c r="H15" s="180">
        <v>8712</v>
      </c>
      <c r="I15" s="162">
        <v>16630</v>
      </c>
      <c r="J15" s="132" t="s">
        <v>1720</v>
      </c>
      <c r="K15" s="184">
        <v>24611</v>
      </c>
      <c r="L15" s="134">
        <v>21974</v>
      </c>
      <c r="M15" s="165">
        <f t="shared" si="2"/>
        <v>-15899</v>
      </c>
      <c r="N15" s="165">
        <f t="shared" si="3"/>
        <v>-5344</v>
      </c>
    </row>
    <row r="16" s="164" customFormat="1" ht="40" customHeight="1" spans="1:14">
      <c r="A16" s="170" t="s">
        <v>1741</v>
      </c>
      <c r="B16" s="115">
        <v>12170</v>
      </c>
      <c r="C16" s="107">
        <v>5769</v>
      </c>
      <c r="D16" s="108">
        <f t="shared" si="0"/>
        <v>-0.525965488907149</v>
      </c>
      <c r="E16" s="176" t="str">
        <f t="shared" si="1"/>
        <v>是</v>
      </c>
      <c r="G16" s="177" t="s">
        <v>1711</v>
      </c>
      <c r="H16" s="178">
        <v>95639</v>
      </c>
      <c r="I16" s="157">
        <v>102293</v>
      </c>
      <c r="J16" s="130" t="s">
        <v>1726</v>
      </c>
      <c r="K16" s="183">
        <v>81056</v>
      </c>
      <c r="L16" s="112">
        <v>91890</v>
      </c>
      <c r="M16" s="165">
        <f t="shared" si="2"/>
        <v>14583</v>
      </c>
      <c r="N16" s="165">
        <f t="shared" si="3"/>
        <v>10403</v>
      </c>
    </row>
    <row r="17" s="164" customFormat="1" ht="40" customHeight="1" spans="1:14">
      <c r="A17" s="172" t="s">
        <v>1742</v>
      </c>
      <c r="B17" s="113">
        <v>103576</v>
      </c>
      <c r="C17" s="110">
        <v>106195</v>
      </c>
      <c r="D17" s="114">
        <f t="shared" si="0"/>
        <v>0.0252857804896887</v>
      </c>
      <c r="E17" s="176" t="str">
        <f t="shared" si="1"/>
        <v>是</v>
      </c>
      <c r="G17" s="179" t="s">
        <v>1703</v>
      </c>
      <c r="H17" s="180">
        <v>32745</v>
      </c>
      <c r="I17" s="162">
        <v>37272</v>
      </c>
      <c r="J17" s="132" t="s">
        <v>1720</v>
      </c>
      <c r="K17" s="184">
        <v>70903</v>
      </c>
      <c r="L17" s="137">
        <v>83208</v>
      </c>
      <c r="M17" s="165">
        <f t="shared" si="2"/>
        <v>-38158</v>
      </c>
      <c r="N17" s="165">
        <f t="shared" si="3"/>
        <v>-45936</v>
      </c>
    </row>
    <row r="18" s="164" customFormat="1" ht="40" customHeight="1" spans="1:14">
      <c r="A18" s="173" t="s">
        <v>1743</v>
      </c>
      <c r="B18" s="171">
        <f>B4+B6+B8+B10+B12+B14+B16</f>
        <v>54598</v>
      </c>
      <c r="C18" s="171">
        <f>C4+C6+C8+C10+C12+C14+C16</f>
        <v>31754</v>
      </c>
      <c r="D18" s="108">
        <f t="shared" si="0"/>
        <v>-0.418403604527638</v>
      </c>
      <c r="E18" s="176" t="str">
        <f t="shared" si="1"/>
        <v>是</v>
      </c>
      <c r="G18" s="138" t="s">
        <v>1712</v>
      </c>
      <c r="H18" s="181">
        <f t="shared" ref="H18:L18" si="4">H4+H6+H8+H10+H12+H14+H16</f>
        <v>443235</v>
      </c>
      <c r="I18" s="181">
        <f t="shared" si="4"/>
        <v>443479</v>
      </c>
      <c r="J18" s="138" t="s">
        <v>1727</v>
      </c>
      <c r="K18" s="112">
        <f t="shared" si="4"/>
        <v>364494</v>
      </c>
      <c r="L18" s="112">
        <f t="shared" si="4"/>
        <v>378554</v>
      </c>
      <c r="M18" s="165">
        <f t="shared" si="2"/>
        <v>78741</v>
      </c>
      <c r="N18" s="165">
        <f t="shared" si="3"/>
        <v>64925</v>
      </c>
    </row>
    <row r="19" s="164" customFormat="1" ht="40" customHeight="1" spans="1:9">
      <c r="A19" s="173" t="s">
        <v>1744</v>
      </c>
      <c r="B19" s="171">
        <f>B5+B7+B9+B11+B13+B15+B17</f>
        <v>702888</v>
      </c>
      <c r="C19" s="171">
        <f>C5+C7+C9+C11+C13+C15+C17</f>
        <v>727256</v>
      </c>
      <c r="D19" s="108">
        <f t="shared" si="0"/>
        <v>0.034668396672016</v>
      </c>
      <c r="E19" s="176" t="str">
        <f t="shared" si="1"/>
        <v>是</v>
      </c>
      <c r="G19" s="165"/>
      <c r="H19" s="165"/>
      <c r="I19" s="165"/>
    </row>
    <row r="20" spans="2:3">
      <c r="B20" s="174"/>
      <c r="C20" s="174"/>
    </row>
    <row r="21" spans="2:3">
      <c r="B21" s="174"/>
      <c r="C21" s="174"/>
    </row>
    <row r="22" spans="2:3">
      <c r="B22" s="174"/>
      <c r="C22" s="174"/>
    </row>
    <row r="23" spans="2:3">
      <c r="B23" s="174"/>
      <c r="C23" s="174"/>
    </row>
  </sheetData>
  <autoFilter ref="A3:E19">
    <extLst/>
  </autoFilter>
  <mergeCells count="1">
    <mergeCell ref="A1:D1"/>
  </mergeCells>
  <conditionalFormatting sqref="E4:E19">
    <cfRule type="cellIs" dxfId="3" priority="2" stopIfTrue="1" operator="lessThanOrEqual">
      <formula>-1</formula>
    </cfRule>
  </conditionalFormatting>
  <conditionalFormatting sqref="I7 I9 I11 I15 I17">
    <cfRule type="cellIs" dxfId="3" priority="1" stopIfTrue="1" operator="lessThanOrEqual">
      <formula>-1</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7">
    <tabColor rgb="FFFF0000"/>
  </sheetPr>
  <dimension ref="A1:E40"/>
  <sheetViews>
    <sheetView showGridLines="0" showZeros="0" view="pageBreakPreview" zoomScale="80" zoomScaleNormal="100" workbookViewId="0">
      <pane ySplit="3" topLeftCell="A16" activePane="bottomLeft" state="frozen"/>
      <selection/>
      <selection pane="bottomLeft" activeCell="D35" sqref="D35"/>
    </sheetView>
  </sheetViews>
  <sheetFormatPr defaultColWidth="9" defaultRowHeight="14.25" outlineLevelCol="4"/>
  <cols>
    <col min="1" max="1" width="50.75" style="143" customWidth="1"/>
    <col min="2" max="3" width="20.6333333333333" style="143" customWidth="1"/>
    <col min="4" max="4" width="18.75" style="143" customWidth="1"/>
    <col min="5" max="5" width="5" style="143" customWidth="1"/>
    <col min="6" max="16384" width="9" style="143"/>
  </cols>
  <sheetData>
    <row r="1" ht="45" customHeight="1" spans="1:4">
      <c r="A1" s="144" t="s">
        <v>88</v>
      </c>
      <c r="B1" s="144"/>
      <c r="C1" s="144"/>
      <c r="D1" s="144"/>
    </row>
    <row r="2" ht="20.1" customHeight="1" spans="1:4">
      <c r="A2" s="145" t="s">
        <v>87</v>
      </c>
      <c r="B2" s="146"/>
      <c r="C2" s="147"/>
      <c r="D2" s="148" t="s">
        <v>103</v>
      </c>
    </row>
    <row r="3" ht="37.5" spans="1:5">
      <c r="A3" s="149" t="s">
        <v>1701</v>
      </c>
      <c r="B3" s="104" t="s">
        <v>1753</v>
      </c>
      <c r="C3" s="104" t="s">
        <v>1754</v>
      </c>
      <c r="D3" s="104" t="s">
        <v>1755</v>
      </c>
      <c r="E3" s="122" t="s">
        <v>113</v>
      </c>
    </row>
    <row r="4" ht="24" customHeight="1" spans="1:5">
      <c r="A4" s="150" t="s">
        <v>1702</v>
      </c>
      <c r="B4" s="151"/>
      <c r="C4" s="152"/>
      <c r="D4" s="108" t="str">
        <f t="shared" ref="D4:D36" si="0">IFERROR((C4-B4)/B4,"")</f>
        <v/>
      </c>
      <c r="E4" s="122" t="str">
        <f t="shared" ref="E4:E36" si="1">IF(A4&lt;&gt;"",IF(SUM(B4:C4)&lt;&gt;0,"是","否"),"是")</f>
        <v>否</v>
      </c>
    </row>
    <row r="5" ht="24" customHeight="1" spans="1:5">
      <c r="A5" s="153" t="s">
        <v>1703</v>
      </c>
      <c r="B5" s="151"/>
      <c r="C5" s="152"/>
      <c r="D5" s="108" t="str">
        <f t="shared" si="0"/>
        <v/>
      </c>
      <c r="E5" s="122" t="str">
        <f t="shared" si="1"/>
        <v>否</v>
      </c>
    </row>
    <row r="6" ht="24" customHeight="1" spans="1:5">
      <c r="A6" s="153" t="s">
        <v>1704</v>
      </c>
      <c r="B6" s="151"/>
      <c r="C6" s="152"/>
      <c r="D6" s="108" t="str">
        <f t="shared" si="0"/>
        <v/>
      </c>
      <c r="E6" s="122" t="str">
        <f t="shared" si="1"/>
        <v>否</v>
      </c>
    </row>
    <row r="7" s="142" customFormat="1" ht="24" customHeight="1" spans="1:5">
      <c r="A7" s="153" t="s">
        <v>1705</v>
      </c>
      <c r="B7" s="151"/>
      <c r="C7" s="154"/>
      <c r="D7" s="108" t="str">
        <f t="shared" si="0"/>
        <v/>
      </c>
      <c r="E7" s="122" t="str">
        <f t="shared" si="1"/>
        <v>否</v>
      </c>
    </row>
    <row r="8" s="142" customFormat="1" ht="24" customHeight="1" spans="1:5">
      <c r="A8" s="150" t="s">
        <v>1706</v>
      </c>
      <c r="B8" s="115">
        <v>21523</v>
      </c>
      <c r="C8" s="107">
        <v>20347</v>
      </c>
      <c r="D8" s="108">
        <f t="shared" si="0"/>
        <v>-0.0546392231566231</v>
      </c>
      <c r="E8" s="122" t="str">
        <f t="shared" si="1"/>
        <v>是</v>
      </c>
    </row>
    <row r="9" s="142" customFormat="1" ht="24" customHeight="1" spans="1:5">
      <c r="A9" s="153" t="s">
        <v>1703</v>
      </c>
      <c r="B9" s="155">
        <v>17910</v>
      </c>
      <c r="C9" s="156">
        <v>17712</v>
      </c>
      <c r="D9" s="114">
        <f t="shared" si="0"/>
        <v>-0.0110552763819095</v>
      </c>
      <c r="E9" s="122" t="str">
        <f t="shared" si="1"/>
        <v>是</v>
      </c>
    </row>
    <row r="10" s="142" customFormat="1" ht="24" customHeight="1" spans="1:5">
      <c r="A10" s="153" t="s">
        <v>1704</v>
      </c>
      <c r="B10" s="155">
        <v>1261</v>
      </c>
      <c r="C10" s="156">
        <v>412</v>
      </c>
      <c r="D10" s="114">
        <f t="shared" si="0"/>
        <v>-0.673275178429818</v>
      </c>
      <c r="E10" s="122" t="str">
        <f t="shared" si="1"/>
        <v>是</v>
      </c>
    </row>
    <row r="11" s="142" customFormat="1" ht="24" customHeight="1" spans="1:5">
      <c r="A11" s="153" t="s">
        <v>1705</v>
      </c>
      <c r="B11" s="155">
        <v>1801</v>
      </c>
      <c r="C11" s="156">
        <v>1801</v>
      </c>
      <c r="D11" s="114">
        <f t="shared" si="0"/>
        <v>0</v>
      </c>
      <c r="E11" s="122" t="str">
        <f t="shared" si="1"/>
        <v>是</v>
      </c>
    </row>
    <row r="12" s="142" customFormat="1" ht="24" customHeight="1" spans="1:5">
      <c r="A12" s="150" t="s">
        <v>1707</v>
      </c>
      <c r="B12" s="157"/>
      <c r="C12" s="157"/>
      <c r="D12" s="108" t="str">
        <f t="shared" si="0"/>
        <v/>
      </c>
      <c r="E12" s="122" t="str">
        <f t="shared" si="1"/>
        <v>否</v>
      </c>
    </row>
    <row r="13" ht="24" customHeight="1" spans="1:5">
      <c r="A13" s="153" t="s">
        <v>1703</v>
      </c>
      <c r="B13" s="156"/>
      <c r="C13" s="156"/>
      <c r="D13" s="108" t="str">
        <f t="shared" si="0"/>
        <v/>
      </c>
      <c r="E13" s="122" t="str">
        <f t="shared" si="1"/>
        <v>否</v>
      </c>
    </row>
    <row r="14" ht="24" customHeight="1" spans="1:5">
      <c r="A14" s="153" t="s">
        <v>1704</v>
      </c>
      <c r="B14" s="156"/>
      <c r="C14" s="156"/>
      <c r="D14" s="108" t="str">
        <f t="shared" si="0"/>
        <v/>
      </c>
      <c r="E14" s="122" t="str">
        <f t="shared" si="1"/>
        <v>否</v>
      </c>
    </row>
    <row r="15" ht="24" customHeight="1" spans="1:5">
      <c r="A15" s="153" t="s">
        <v>1705</v>
      </c>
      <c r="B15" s="158"/>
      <c r="C15" s="158"/>
      <c r="D15" s="108" t="str">
        <f t="shared" si="0"/>
        <v/>
      </c>
      <c r="E15" s="122" t="str">
        <f t="shared" si="1"/>
        <v>否</v>
      </c>
    </row>
    <row r="16" ht="24" customHeight="1" spans="1:5">
      <c r="A16" s="150" t="s">
        <v>1708</v>
      </c>
      <c r="B16" s="159">
        <v>106622</v>
      </c>
      <c r="C16" s="157">
        <v>86970</v>
      </c>
      <c r="D16" s="108">
        <f t="shared" si="0"/>
        <v>-0.184314681772992</v>
      </c>
      <c r="E16" s="122" t="str">
        <f t="shared" si="1"/>
        <v>是</v>
      </c>
    </row>
    <row r="17" ht="24" customHeight="1" spans="1:5">
      <c r="A17" s="153" t="s">
        <v>1703</v>
      </c>
      <c r="B17" s="155">
        <v>96947</v>
      </c>
      <c r="C17" s="156">
        <v>81392</v>
      </c>
      <c r="D17" s="114">
        <f t="shared" si="0"/>
        <v>-0.16044849247527</v>
      </c>
      <c r="E17" s="122" t="str">
        <f t="shared" si="1"/>
        <v>是</v>
      </c>
    </row>
    <row r="18" ht="24" customHeight="1" spans="1:5">
      <c r="A18" s="153" t="s">
        <v>1704</v>
      </c>
      <c r="B18" s="155">
        <v>6634</v>
      </c>
      <c r="C18" s="156">
        <v>4412</v>
      </c>
      <c r="D18" s="114">
        <f t="shared" si="0"/>
        <v>-0.334941211938499</v>
      </c>
      <c r="E18" s="122" t="str">
        <f t="shared" si="1"/>
        <v>是</v>
      </c>
    </row>
    <row r="19" ht="24" customHeight="1" spans="1:5">
      <c r="A19" s="153" t="s">
        <v>1705</v>
      </c>
      <c r="B19" s="155">
        <v>23</v>
      </c>
      <c r="C19" s="156"/>
      <c r="D19" s="114">
        <f t="shared" si="0"/>
        <v>-1</v>
      </c>
      <c r="E19" s="122" t="str">
        <f t="shared" si="1"/>
        <v>是</v>
      </c>
    </row>
    <row r="20" ht="24" customHeight="1" spans="1:5">
      <c r="A20" s="150" t="s">
        <v>1709</v>
      </c>
      <c r="B20" s="159"/>
      <c r="C20" s="157"/>
      <c r="D20" s="108" t="str">
        <f t="shared" si="0"/>
        <v/>
      </c>
      <c r="E20" s="122" t="str">
        <f t="shared" si="1"/>
        <v>否</v>
      </c>
    </row>
    <row r="21" ht="24" customHeight="1" spans="1:5">
      <c r="A21" s="153" t="s">
        <v>1703</v>
      </c>
      <c r="B21" s="155"/>
      <c r="C21" s="110"/>
      <c r="D21" s="108" t="str">
        <f t="shared" si="0"/>
        <v/>
      </c>
      <c r="E21" s="122" t="str">
        <f t="shared" si="1"/>
        <v>否</v>
      </c>
    </row>
    <row r="22" ht="24" customHeight="1" spans="1:5">
      <c r="A22" s="153" t="s">
        <v>1704</v>
      </c>
      <c r="B22" s="160"/>
      <c r="C22" s="156"/>
      <c r="D22" s="108" t="str">
        <f t="shared" si="0"/>
        <v/>
      </c>
      <c r="E22" s="122" t="str">
        <f t="shared" si="1"/>
        <v>否</v>
      </c>
    </row>
    <row r="23" ht="24" customHeight="1" spans="1:5">
      <c r="A23" s="153" t="s">
        <v>1705</v>
      </c>
      <c r="B23" s="155"/>
      <c r="C23" s="110"/>
      <c r="D23" s="108" t="str">
        <f t="shared" si="0"/>
        <v/>
      </c>
      <c r="E23" s="122" t="str">
        <f t="shared" si="1"/>
        <v>否</v>
      </c>
    </row>
    <row r="24" ht="24" customHeight="1" spans="1:5">
      <c r="A24" s="150" t="s">
        <v>1710</v>
      </c>
      <c r="B24" s="159">
        <v>60463</v>
      </c>
      <c r="C24" s="107">
        <v>68189</v>
      </c>
      <c r="D24" s="108">
        <f t="shared" si="0"/>
        <v>0.12778062616807</v>
      </c>
      <c r="E24" s="122" t="str">
        <f t="shared" si="1"/>
        <v>是</v>
      </c>
    </row>
    <row r="25" ht="24" customHeight="1" spans="1:5">
      <c r="A25" s="153" t="s">
        <v>1703</v>
      </c>
      <c r="B25" s="160">
        <v>16885</v>
      </c>
      <c r="C25" s="110">
        <v>17493</v>
      </c>
      <c r="D25" s="114">
        <f t="shared" si="0"/>
        <v>0.0360082913828842</v>
      </c>
      <c r="E25" s="122" t="str">
        <f t="shared" si="1"/>
        <v>是</v>
      </c>
    </row>
    <row r="26" ht="24" customHeight="1" spans="1:5">
      <c r="A26" s="153" t="s">
        <v>1704</v>
      </c>
      <c r="B26" s="160">
        <v>1458</v>
      </c>
      <c r="C26" s="110">
        <v>2585</v>
      </c>
      <c r="D26" s="114">
        <f t="shared" si="0"/>
        <v>0.772976680384088</v>
      </c>
      <c r="E26" s="122" t="str">
        <f t="shared" si="1"/>
        <v>是</v>
      </c>
    </row>
    <row r="27" ht="24" customHeight="1" spans="1:5">
      <c r="A27" s="153" t="s">
        <v>1705</v>
      </c>
      <c r="B27" s="160">
        <v>36669</v>
      </c>
      <c r="C27" s="110">
        <v>45239</v>
      </c>
      <c r="D27" s="114">
        <f t="shared" si="0"/>
        <v>0.233712400119992</v>
      </c>
      <c r="E27" s="122" t="str">
        <f t="shared" si="1"/>
        <v>是</v>
      </c>
    </row>
    <row r="28" ht="24" customHeight="1" spans="1:5">
      <c r="A28" s="150" t="s">
        <v>1711</v>
      </c>
      <c r="B28" s="159">
        <v>114124</v>
      </c>
      <c r="C28" s="157">
        <v>121723</v>
      </c>
      <c r="D28" s="108">
        <f t="shared" si="0"/>
        <v>0.0665854684378395</v>
      </c>
      <c r="E28" s="122" t="str">
        <f t="shared" si="1"/>
        <v>是</v>
      </c>
    </row>
    <row r="29" ht="24" customHeight="1" spans="1:5">
      <c r="A29" s="153" t="s">
        <v>1703</v>
      </c>
      <c r="B29" s="161">
        <v>41323</v>
      </c>
      <c r="C29" s="162">
        <v>40697</v>
      </c>
      <c r="D29" s="114">
        <f t="shared" si="0"/>
        <v>-0.0151489485274544</v>
      </c>
      <c r="E29" s="122" t="str">
        <f t="shared" si="1"/>
        <v>是</v>
      </c>
    </row>
    <row r="30" ht="24" customHeight="1" spans="1:5">
      <c r="A30" s="153" t="s">
        <v>1704</v>
      </c>
      <c r="B30" s="160">
        <v>868</v>
      </c>
      <c r="C30" s="162">
        <v>1020</v>
      </c>
      <c r="D30" s="114">
        <f t="shared" si="0"/>
        <v>0.175115207373272</v>
      </c>
      <c r="E30" s="122" t="str">
        <f t="shared" si="1"/>
        <v>是</v>
      </c>
    </row>
    <row r="31" ht="24" customHeight="1" spans="1:5">
      <c r="A31" s="153" t="s">
        <v>1705</v>
      </c>
      <c r="B31" s="160">
        <v>70386</v>
      </c>
      <c r="C31" s="162">
        <v>74272</v>
      </c>
      <c r="D31" s="114">
        <f t="shared" si="0"/>
        <v>0.0552098428664791</v>
      </c>
      <c r="E31" s="122" t="str">
        <f t="shared" si="1"/>
        <v>是</v>
      </c>
    </row>
    <row r="32" ht="24" customHeight="1" spans="1:5">
      <c r="A32" s="138" t="s">
        <v>1712</v>
      </c>
      <c r="B32" s="157">
        <f t="shared" ref="B32:B35" si="2">B4+B8+B12+B16+B20+B24+B28</f>
        <v>302732</v>
      </c>
      <c r="C32" s="157">
        <f t="shared" ref="C32:C35" si="3">C4+C8+C12+C16+C20+C24+C28</f>
        <v>297229</v>
      </c>
      <c r="D32" s="108">
        <f t="shared" si="0"/>
        <v>-0.0181777942206308</v>
      </c>
      <c r="E32" s="122" t="str">
        <f t="shared" si="1"/>
        <v>是</v>
      </c>
    </row>
    <row r="33" ht="24" customHeight="1" spans="1:5">
      <c r="A33" s="153" t="s">
        <v>1713</v>
      </c>
      <c r="B33" s="156">
        <f t="shared" si="2"/>
        <v>173065</v>
      </c>
      <c r="C33" s="156">
        <f t="shared" si="3"/>
        <v>157294</v>
      </c>
      <c r="D33" s="114">
        <f t="shared" si="0"/>
        <v>-0.0911276110132031</v>
      </c>
      <c r="E33" s="122" t="str">
        <f t="shared" si="1"/>
        <v>是</v>
      </c>
    </row>
    <row r="34" ht="24" customHeight="1" spans="1:5">
      <c r="A34" s="153" t="s">
        <v>1714</v>
      </c>
      <c r="B34" s="156">
        <f t="shared" si="2"/>
        <v>10221</v>
      </c>
      <c r="C34" s="156">
        <f t="shared" si="3"/>
        <v>8429</v>
      </c>
      <c r="D34" s="114">
        <f t="shared" si="0"/>
        <v>-0.175325310634967</v>
      </c>
      <c r="E34" s="122" t="str">
        <f t="shared" si="1"/>
        <v>是</v>
      </c>
    </row>
    <row r="35" ht="24" customHeight="1" spans="1:5">
      <c r="A35" s="153" t="s">
        <v>1715</v>
      </c>
      <c r="B35" s="156">
        <f t="shared" si="2"/>
        <v>108879</v>
      </c>
      <c r="C35" s="156">
        <f t="shared" si="3"/>
        <v>121312</v>
      </c>
      <c r="D35" s="114">
        <f t="shared" si="0"/>
        <v>0.114190982650465</v>
      </c>
      <c r="E35" s="122" t="str">
        <f t="shared" si="1"/>
        <v>是</v>
      </c>
    </row>
    <row r="36" ht="24" customHeight="1" spans="1:5">
      <c r="A36" s="138" t="s">
        <v>1716</v>
      </c>
      <c r="B36" s="157">
        <f>B32</f>
        <v>302732</v>
      </c>
      <c r="C36" s="157">
        <f>C32</f>
        <v>297229</v>
      </c>
      <c r="D36" s="108">
        <f t="shared" si="0"/>
        <v>-0.0181777942206308</v>
      </c>
      <c r="E36" s="122" t="str">
        <f t="shared" si="1"/>
        <v>是</v>
      </c>
    </row>
    <row r="37" spans="2:3">
      <c r="B37" s="163"/>
      <c r="C37" s="163"/>
    </row>
    <row r="38" spans="2:3">
      <c r="B38" s="163"/>
      <c r="C38" s="163"/>
    </row>
    <row r="39" spans="2:3">
      <c r="B39" s="163"/>
      <c r="C39" s="163"/>
    </row>
    <row r="40" spans="2:3">
      <c r="B40" s="163"/>
      <c r="C40" s="163"/>
    </row>
  </sheetData>
  <autoFilter ref="A3:E36">
    <extLst/>
  </autoFilter>
  <mergeCells count="1">
    <mergeCell ref="A1:D1"/>
  </mergeCells>
  <conditionalFormatting sqref="B23">
    <cfRule type="cellIs" dxfId="3" priority="3" stopIfTrue="1" operator="lessThanOrEqual">
      <formula>-1</formula>
    </cfRule>
  </conditionalFormatting>
  <conditionalFormatting sqref="B29">
    <cfRule type="cellIs" dxfId="3" priority="1" stopIfTrue="1" operator="lessThanOrEqual">
      <formula>-1</formula>
    </cfRule>
  </conditionalFormatting>
  <conditionalFormatting sqref="B17:B19">
    <cfRule type="cellIs" dxfId="3" priority="2" stopIfTrue="1" operator="lessThanOrEqual">
      <formula>-1</formula>
    </cfRule>
  </conditionalFormatting>
  <conditionalFormatting sqref="E28:E32">
    <cfRule type="cellIs" dxfId="4" priority="4" stopIfTrue="1" operator="lessThan">
      <formula>0</formula>
    </cfRule>
  </conditionalFormatting>
  <printOptions horizontalCentered="1"/>
  <pageMargins left="0.472222222222222" right="0.393055555555556" top="0.747916666666667" bottom="0.747916666666667" header="0.314583333333333" footer="0.314583333333333"/>
  <pageSetup paperSize="9" scale="75" orientation="portrait"/>
  <headerFooter alignWithMargins="0">
    <oddFooter>&amp;C&amp;16- &amp;P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8">
    <tabColor rgb="FFFF0000"/>
  </sheetPr>
  <dimension ref="A1:E24"/>
  <sheetViews>
    <sheetView showGridLines="0" showZeros="0" view="pageBreakPreview" zoomScale="80" zoomScaleNormal="100" workbookViewId="0">
      <selection activeCell="D36" sqref="D36"/>
    </sheetView>
  </sheetViews>
  <sheetFormatPr defaultColWidth="9" defaultRowHeight="14.25" outlineLevelCol="4"/>
  <cols>
    <col min="1" max="1" width="50.75" style="97" customWidth="1"/>
    <col min="2" max="3" width="20.6333333333333" style="123" customWidth="1"/>
    <col min="4" max="4" width="20.6333333333333" style="97" customWidth="1"/>
    <col min="5" max="5" width="5.13333333333333" style="97" customWidth="1"/>
    <col min="6" max="7" width="12.6333333333333" style="97"/>
    <col min="8" max="246" width="9" style="97"/>
    <col min="247" max="247" width="41.6333333333333" style="97" customWidth="1"/>
    <col min="248" max="249" width="14.5" style="97" customWidth="1"/>
    <col min="250" max="250" width="13.8833333333333" style="97" customWidth="1"/>
    <col min="251" max="253" width="9" style="97"/>
    <col min="254" max="255" width="10.5" style="97" customWidth="1"/>
    <col min="256" max="502" width="9" style="97"/>
    <col min="503" max="503" width="41.6333333333333" style="97" customWidth="1"/>
    <col min="504" max="505" width="14.5" style="97" customWidth="1"/>
    <col min="506" max="506" width="13.8833333333333" style="97" customWidth="1"/>
    <col min="507" max="509" width="9" style="97"/>
    <col min="510" max="511" width="10.5" style="97" customWidth="1"/>
    <col min="512" max="758" width="9" style="97"/>
    <col min="759" max="759" width="41.6333333333333" style="97" customWidth="1"/>
    <col min="760" max="761" width="14.5" style="97" customWidth="1"/>
    <col min="762" max="762" width="13.8833333333333" style="97" customWidth="1"/>
    <col min="763" max="765" width="9" style="97"/>
    <col min="766" max="767" width="10.5" style="97" customWidth="1"/>
    <col min="768" max="1014" width="9" style="97"/>
    <col min="1015" max="1015" width="41.6333333333333" style="97" customWidth="1"/>
    <col min="1016" max="1017" width="14.5" style="97" customWidth="1"/>
    <col min="1018" max="1018" width="13.8833333333333" style="97" customWidth="1"/>
    <col min="1019" max="1021" width="9" style="97"/>
    <col min="1022" max="1023" width="10.5" style="97" customWidth="1"/>
    <col min="1024" max="1270" width="9" style="97"/>
    <col min="1271" max="1271" width="41.6333333333333" style="97" customWidth="1"/>
    <col min="1272" max="1273" width="14.5" style="97" customWidth="1"/>
    <col min="1274" max="1274" width="13.8833333333333" style="97" customWidth="1"/>
    <col min="1275" max="1277" width="9" style="97"/>
    <col min="1278" max="1279" width="10.5" style="97" customWidth="1"/>
    <col min="1280" max="1526" width="9" style="97"/>
    <col min="1527" max="1527" width="41.6333333333333" style="97" customWidth="1"/>
    <col min="1528" max="1529" width="14.5" style="97" customWidth="1"/>
    <col min="1530" max="1530" width="13.8833333333333" style="97" customWidth="1"/>
    <col min="1531" max="1533" width="9" style="97"/>
    <col min="1534" max="1535" width="10.5" style="97" customWidth="1"/>
    <col min="1536" max="1782" width="9" style="97"/>
    <col min="1783" max="1783" width="41.6333333333333" style="97" customWidth="1"/>
    <col min="1784" max="1785" width="14.5" style="97" customWidth="1"/>
    <col min="1786" max="1786" width="13.8833333333333" style="97" customWidth="1"/>
    <col min="1787" max="1789" width="9" style="97"/>
    <col min="1790" max="1791" width="10.5" style="97" customWidth="1"/>
    <col min="1792" max="2038" width="9" style="97"/>
    <col min="2039" max="2039" width="41.6333333333333" style="97" customWidth="1"/>
    <col min="2040" max="2041" width="14.5" style="97" customWidth="1"/>
    <col min="2042" max="2042" width="13.8833333333333" style="97" customWidth="1"/>
    <col min="2043" max="2045" width="9" style="97"/>
    <col min="2046" max="2047" width="10.5" style="97" customWidth="1"/>
    <col min="2048" max="2294" width="9" style="97"/>
    <col min="2295" max="2295" width="41.6333333333333" style="97" customWidth="1"/>
    <col min="2296" max="2297" width="14.5" style="97" customWidth="1"/>
    <col min="2298" max="2298" width="13.8833333333333" style="97" customWidth="1"/>
    <col min="2299" max="2301" width="9" style="97"/>
    <col min="2302" max="2303" width="10.5" style="97" customWidth="1"/>
    <col min="2304" max="2550" width="9" style="97"/>
    <col min="2551" max="2551" width="41.6333333333333" style="97" customWidth="1"/>
    <col min="2552" max="2553" width="14.5" style="97" customWidth="1"/>
    <col min="2554" max="2554" width="13.8833333333333" style="97" customWidth="1"/>
    <col min="2555" max="2557" width="9" style="97"/>
    <col min="2558" max="2559" width="10.5" style="97" customWidth="1"/>
    <col min="2560" max="2806" width="9" style="97"/>
    <col min="2807" max="2807" width="41.6333333333333" style="97" customWidth="1"/>
    <col min="2808" max="2809" width="14.5" style="97" customWidth="1"/>
    <col min="2810" max="2810" width="13.8833333333333" style="97" customWidth="1"/>
    <col min="2811" max="2813" width="9" style="97"/>
    <col min="2814" max="2815" width="10.5" style="97" customWidth="1"/>
    <col min="2816" max="3062" width="9" style="97"/>
    <col min="3063" max="3063" width="41.6333333333333" style="97" customWidth="1"/>
    <col min="3064" max="3065" width="14.5" style="97" customWidth="1"/>
    <col min="3066" max="3066" width="13.8833333333333" style="97" customWidth="1"/>
    <col min="3067" max="3069" width="9" style="97"/>
    <col min="3070" max="3071" width="10.5" style="97" customWidth="1"/>
    <col min="3072" max="3318" width="9" style="97"/>
    <col min="3319" max="3319" width="41.6333333333333" style="97" customWidth="1"/>
    <col min="3320" max="3321" width="14.5" style="97" customWidth="1"/>
    <col min="3322" max="3322" width="13.8833333333333" style="97" customWidth="1"/>
    <col min="3323" max="3325" width="9" style="97"/>
    <col min="3326" max="3327" width="10.5" style="97" customWidth="1"/>
    <col min="3328" max="3574" width="9" style="97"/>
    <col min="3575" max="3575" width="41.6333333333333" style="97" customWidth="1"/>
    <col min="3576" max="3577" width="14.5" style="97" customWidth="1"/>
    <col min="3578" max="3578" width="13.8833333333333" style="97" customWidth="1"/>
    <col min="3579" max="3581" width="9" style="97"/>
    <col min="3582" max="3583" width="10.5" style="97" customWidth="1"/>
    <col min="3584" max="3830" width="9" style="97"/>
    <col min="3831" max="3831" width="41.6333333333333" style="97" customWidth="1"/>
    <col min="3832" max="3833" width="14.5" style="97" customWidth="1"/>
    <col min="3834" max="3834" width="13.8833333333333" style="97" customWidth="1"/>
    <col min="3835" max="3837" width="9" style="97"/>
    <col min="3838" max="3839" width="10.5" style="97" customWidth="1"/>
    <col min="3840" max="4086" width="9" style="97"/>
    <col min="4087" max="4087" width="41.6333333333333" style="97" customWidth="1"/>
    <col min="4088" max="4089" width="14.5" style="97" customWidth="1"/>
    <col min="4090" max="4090" width="13.8833333333333" style="97" customWidth="1"/>
    <col min="4091" max="4093" width="9" style="97"/>
    <col min="4094" max="4095" width="10.5" style="97" customWidth="1"/>
    <col min="4096" max="4342" width="9" style="97"/>
    <col min="4343" max="4343" width="41.6333333333333" style="97" customWidth="1"/>
    <col min="4344" max="4345" width="14.5" style="97" customWidth="1"/>
    <col min="4346" max="4346" width="13.8833333333333" style="97" customWidth="1"/>
    <col min="4347" max="4349" width="9" style="97"/>
    <col min="4350" max="4351" width="10.5" style="97" customWidth="1"/>
    <col min="4352" max="4598" width="9" style="97"/>
    <col min="4599" max="4599" width="41.6333333333333" style="97" customWidth="1"/>
    <col min="4600" max="4601" width="14.5" style="97" customWidth="1"/>
    <col min="4602" max="4602" width="13.8833333333333" style="97" customWidth="1"/>
    <col min="4603" max="4605" width="9" style="97"/>
    <col min="4606" max="4607" width="10.5" style="97" customWidth="1"/>
    <col min="4608" max="4854" width="9" style="97"/>
    <col min="4855" max="4855" width="41.6333333333333" style="97" customWidth="1"/>
    <col min="4856" max="4857" width="14.5" style="97" customWidth="1"/>
    <col min="4858" max="4858" width="13.8833333333333" style="97" customWidth="1"/>
    <col min="4859" max="4861" width="9" style="97"/>
    <col min="4862" max="4863" width="10.5" style="97" customWidth="1"/>
    <col min="4864" max="5110" width="9" style="97"/>
    <col min="5111" max="5111" width="41.6333333333333" style="97" customWidth="1"/>
    <col min="5112" max="5113" width="14.5" style="97" customWidth="1"/>
    <col min="5114" max="5114" width="13.8833333333333" style="97" customWidth="1"/>
    <col min="5115" max="5117" width="9" style="97"/>
    <col min="5118" max="5119" width="10.5" style="97" customWidth="1"/>
    <col min="5120" max="5366" width="9" style="97"/>
    <col min="5367" max="5367" width="41.6333333333333" style="97" customWidth="1"/>
    <col min="5368" max="5369" width="14.5" style="97" customWidth="1"/>
    <col min="5370" max="5370" width="13.8833333333333" style="97" customWidth="1"/>
    <col min="5371" max="5373" width="9" style="97"/>
    <col min="5374" max="5375" width="10.5" style="97" customWidth="1"/>
    <col min="5376" max="5622" width="9" style="97"/>
    <col min="5623" max="5623" width="41.6333333333333" style="97" customWidth="1"/>
    <col min="5624" max="5625" width="14.5" style="97" customWidth="1"/>
    <col min="5626" max="5626" width="13.8833333333333" style="97" customWidth="1"/>
    <col min="5627" max="5629" width="9" style="97"/>
    <col min="5630" max="5631" width="10.5" style="97" customWidth="1"/>
    <col min="5632" max="5878" width="9" style="97"/>
    <col min="5879" max="5879" width="41.6333333333333" style="97" customWidth="1"/>
    <col min="5880" max="5881" width="14.5" style="97" customWidth="1"/>
    <col min="5882" max="5882" width="13.8833333333333" style="97" customWidth="1"/>
    <col min="5883" max="5885" width="9" style="97"/>
    <col min="5886" max="5887" width="10.5" style="97" customWidth="1"/>
    <col min="5888" max="6134" width="9" style="97"/>
    <col min="6135" max="6135" width="41.6333333333333" style="97" customWidth="1"/>
    <col min="6136" max="6137" width="14.5" style="97" customWidth="1"/>
    <col min="6138" max="6138" width="13.8833333333333" style="97" customWidth="1"/>
    <col min="6139" max="6141" width="9" style="97"/>
    <col min="6142" max="6143" width="10.5" style="97" customWidth="1"/>
    <col min="6144" max="6390" width="9" style="97"/>
    <col min="6391" max="6391" width="41.6333333333333" style="97" customWidth="1"/>
    <col min="6392" max="6393" width="14.5" style="97" customWidth="1"/>
    <col min="6394" max="6394" width="13.8833333333333" style="97" customWidth="1"/>
    <col min="6395" max="6397" width="9" style="97"/>
    <col min="6398" max="6399" width="10.5" style="97" customWidth="1"/>
    <col min="6400" max="6646" width="9" style="97"/>
    <col min="6647" max="6647" width="41.6333333333333" style="97" customWidth="1"/>
    <col min="6648" max="6649" width="14.5" style="97" customWidth="1"/>
    <col min="6650" max="6650" width="13.8833333333333" style="97" customWidth="1"/>
    <col min="6651" max="6653" width="9" style="97"/>
    <col min="6654" max="6655" width="10.5" style="97" customWidth="1"/>
    <col min="6656" max="6902" width="9" style="97"/>
    <col min="6903" max="6903" width="41.6333333333333" style="97" customWidth="1"/>
    <col min="6904" max="6905" width="14.5" style="97" customWidth="1"/>
    <col min="6906" max="6906" width="13.8833333333333" style="97" customWidth="1"/>
    <col min="6907" max="6909" width="9" style="97"/>
    <col min="6910" max="6911" width="10.5" style="97" customWidth="1"/>
    <col min="6912" max="7158" width="9" style="97"/>
    <col min="7159" max="7159" width="41.6333333333333" style="97" customWidth="1"/>
    <col min="7160" max="7161" width="14.5" style="97" customWidth="1"/>
    <col min="7162" max="7162" width="13.8833333333333" style="97" customWidth="1"/>
    <col min="7163" max="7165" width="9" style="97"/>
    <col min="7166" max="7167" width="10.5" style="97" customWidth="1"/>
    <col min="7168" max="7414" width="9" style="97"/>
    <col min="7415" max="7415" width="41.6333333333333" style="97" customWidth="1"/>
    <col min="7416" max="7417" width="14.5" style="97" customWidth="1"/>
    <col min="7418" max="7418" width="13.8833333333333" style="97" customWidth="1"/>
    <col min="7419" max="7421" width="9" style="97"/>
    <col min="7422" max="7423" width="10.5" style="97" customWidth="1"/>
    <col min="7424" max="7670" width="9" style="97"/>
    <col min="7671" max="7671" width="41.6333333333333" style="97" customWidth="1"/>
    <col min="7672" max="7673" width="14.5" style="97" customWidth="1"/>
    <col min="7674" max="7674" width="13.8833333333333" style="97" customWidth="1"/>
    <col min="7675" max="7677" width="9" style="97"/>
    <col min="7678" max="7679" width="10.5" style="97" customWidth="1"/>
    <col min="7680" max="7926" width="9" style="97"/>
    <col min="7927" max="7927" width="41.6333333333333" style="97" customWidth="1"/>
    <col min="7928" max="7929" width="14.5" style="97" customWidth="1"/>
    <col min="7930" max="7930" width="13.8833333333333" style="97" customWidth="1"/>
    <col min="7931" max="7933" width="9" style="97"/>
    <col min="7934" max="7935" width="10.5" style="97" customWidth="1"/>
    <col min="7936" max="8182" width="9" style="97"/>
    <col min="8183" max="8183" width="41.6333333333333" style="97" customWidth="1"/>
    <col min="8184" max="8185" width="14.5" style="97" customWidth="1"/>
    <col min="8186" max="8186" width="13.8833333333333" style="97" customWidth="1"/>
    <col min="8187" max="8189" width="9" style="97"/>
    <col min="8190" max="8191" width="10.5" style="97" customWidth="1"/>
    <col min="8192" max="8438" width="9" style="97"/>
    <col min="8439" max="8439" width="41.6333333333333" style="97" customWidth="1"/>
    <col min="8440" max="8441" width="14.5" style="97" customWidth="1"/>
    <col min="8442" max="8442" width="13.8833333333333" style="97" customWidth="1"/>
    <col min="8443" max="8445" width="9" style="97"/>
    <col min="8446" max="8447" width="10.5" style="97" customWidth="1"/>
    <col min="8448" max="8694" width="9" style="97"/>
    <col min="8695" max="8695" width="41.6333333333333" style="97" customWidth="1"/>
    <col min="8696" max="8697" width="14.5" style="97" customWidth="1"/>
    <col min="8698" max="8698" width="13.8833333333333" style="97" customWidth="1"/>
    <col min="8699" max="8701" width="9" style="97"/>
    <col min="8702" max="8703" width="10.5" style="97" customWidth="1"/>
    <col min="8704" max="8950" width="9" style="97"/>
    <col min="8951" max="8951" width="41.6333333333333" style="97" customWidth="1"/>
    <col min="8952" max="8953" width="14.5" style="97" customWidth="1"/>
    <col min="8954" max="8954" width="13.8833333333333" style="97" customWidth="1"/>
    <col min="8955" max="8957" width="9" style="97"/>
    <col min="8958" max="8959" width="10.5" style="97" customWidth="1"/>
    <col min="8960" max="9206" width="9" style="97"/>
    <col min="9207" max="9207" width="41.6333333333333" style="97" customWidth="1"/>
    <col min="9208" max="9209" width="14.5" style="97" customWidth="1"/>
    <col min="9210" max="9210" width="13.8833333333333" style="97" customWidth="1"/>
    <col min="9211" max="9213" width="9" style="97"/>
    <col min="9214" max="9215" width="10.5" style="97" customWidth="1"/>
    <col min="9216" max="9462" width="9" style="97"/>
    <col min="9463" max="9463" width="41.6333333333333" style="97" customWidth="1"/>
    <col min="9464" max="9465" width="14.5" style="97" customWidth="1"/>
    <col min="9466" max="9466" width="13.8833333333333" style="97" customWidth="1"/>
    <col min="9467" max="9469" width="9" style="97"/>
    <col min="9470" max="9471" width="10.5" style="97" customWidth="1"/>
    <col min="9472" max="9718" width="9" style="97"/>
    <col min="9719" max="9719" width="41.6333333333333" style="97" customWidth="1"/>
    <col min="9720" max="9721" width="14.5" style="97" customWidth="1"/>
    <col min="9722" max="9722" width="13.8833333333333" style="97" customWidth="1"/>
    <col min="9723" max="9725" width="9" style="97"/>
    <col min="9726" max="9727" width="10.5" style="97" customWidth="1"/>
    <col min="9728" max="9974" width="9" style="97"/>
    <col min="9975" max="9975" width="41.6333333333333" style="97" customWidth="1"/>
    <col min="9976" max="9977" width="14.5" style="97" customWidth="1"/>
    <col min="9978" max="9978" width="13.8833333333333" style="97" customWidth="1"/>
    <col min="9979" max="9981" width="9" style="97"/>
    <col min="9982" max="9983" width="10.5" style="97" customWidth="1"/>
    <col min="9984" max="10230" width="9" style="97"/>
    <col min="10231" max="10231" width="41.6333333333333" style="97" customWidth="1"/>
    <col min="10232" max="10233" width="14.5" style="97" customWidth="1"/>
    <col min="10234" max="10234" width="13.8833333333333" style="97" customWidth="1"/>
    <col min="10235" max="10237" width="9" style="97"/>
    <col min="10238" max="10239" width="10.5" style="97" customWidth="1"/>
    <col min="10240" max="10486" width="9" style="97"/>
    <col min="10487" max="10487" width="41.6333333333333" style="97" customWidth="1"/>
    <col min="10488" max="10489" width="14.5" style="97" customWidth="1"/>
    <col min="10490" max="10490" width="13.8833333333333" style="97" customWidth="1"/>
    <col min="10491" max="10493" width="9" style="97"/>
    <col min="10494" max="10495" width="10.5" style="97" customWidth="1"/>
    <col min="10496" max="10742" width="9" style="97"/>
    <col min="10743" max="10743" width="41.6333333333333" style="97" customWidth="1"/>
    <col min="10744" max="10745" width="14.5" style="97" customWidth="1"/>
    <col min="10746" max="10746" width="13.8833333333333" style="97" customWidth="1"/>
    <col min="10747" max="10749" width="9" style="97"/>
    <col min="10750" max="10751" width="10.5" style="97" customWidth="1"/>
    <col min="10752" max="10998" width="9" style="97"/>
    <col min="10999" max="10999" width="41.6333333333333" style="97" customWidth="1"/>
    <col min="11000" max="11001" width="14.5" style="97" customWidth="1"/>
    <col min="11002" max="11002" width="13.8833333333333" style="97" customWidth="1"/>
    <col min="11003" max="11005" width="9" style="97"/>
    <col min="11006" max="11007" width="10.5" style="97" customWidth="1"/>
    <col min="11008" max="11254" width="9" style="97"/>
    <col min="11255" max="11255" width="41.6333333333333" style="97" customWidth="1"/>
    <col min="11256" max="11257" width="14.5" style="97" customWidth="1"/>
    <col min="11258" max="11258" width="13.8833333333333" style="97" customWidth="1"/>
    <col min="11259" max="11261" width="9" style="97"/>
    <col min="11262" max="11263" width="10.5" style="97" customWidth="1"/>
    <col min="11264" max="11510" width="9" style="97"/>
    <col min="11511" max="11511" width="41.6333333333333" style="97" customWidth="1"/>
    <col min="11512" max="11513" width="14.5" style="97" customWidth="1"/>
    <col min="11514" max="11514" width="13.8833333333333" style="97" customWidth="1"/>
    <col min="11515" max="11517" width="9" style="97"/>
    <col min="11518" max="11519" width="10.5" style="97" customWidth="1"/>
    <col min="11520" max="11766" width="9" style="97"/>
    <col min="11767" max="11767" width="41.6333333333333" style="97" customWidth="1"/>
    <col min="11768" max="11769" width="14.5" style="97" customWidth="1"/>
    <col min="11770" max="11770" width="13.8833333333333" style="97" customWidth="1"/>
    <col min="11771" max="11773" width="9" style="97"/>
    <col min="11774" max="11775" width="10.5" style="97" customWidth="1"/>
    <col min="11776" max="12022" width="9" style="97"/>
    <col min="12023" max="12023" width="41.6333333333333" style="97" customWidth="1"/>
    <col min="12024" max="12025" width="14.5" style="97" customWidth="1"/>
    <col min="12026" max="12026" width="13.8833333333333" style="97" customWidth="1"/>
    <col min="12027" max="12029" width="9" style="97"/>
    <col min="12030" max="12031" width="10.5" style="97" customWidth="1"/>
    <col min="12032" max="12278" width="9" style="97"/>
    <col min="12279" max="12279" width="41.6333333333333" style="97" customWidth="1"/>
    <col min="12280" max="12281" width="14.5" style="97" customWidth="1"/>
    <col min="12282" max="12282" width="13.8833333333333" style="97" customWidth="1"/>
    <col min="12283" max="12285" width="9" style="97"/>
    <col min="12286" max="12287" width="10.5" style="97" customWidth="1"/>
    <col min="12288" max="12534" width="9" style="97"/>
    <col min="12535" max="12535" width="41.6333333333333" style="97" customWidth="1"/>
    <col min="12536" max="12537" width="14.5" style="97" customWidth="1"/>
    <col min="12538" max="12538" width="13.8833333333333" style="97" customWidth="1"/>
    <col min="12539" max="12541" width="9" style="97"/>
    <col min="12542" max="12543" width="10.5" style="97" customWidth="1"/>
    <col min="12544" max="12790" width="9" style="97"/>
    <col min="12791" max="12791" width="41.6333333333333" style="97" customWidth="1"/>
    <col min="12792" max="12793" width="14.5" style="97" customWidth="1"/>
    <col min="12794" max="12794" width="13.8833333333333" style="97" customWidth="1"/>
    <col min="12795" max="12797" width="9" style="97"/>
    <col min="12798" max="12799" width="10.5" style="97" customWidth="1"/>
    <col min="12800" max="13046" width="9" style="97"/>
    <col min="13047" max="13047" width="41.6333333333333" style="97" customWidth="1"/>
    <col min="13048" max="13049" width="14.5" style="97" customWidth="1"/>
    <col min="13050" max="13050" width="13.8833333333333" style="97" customWidth="1"/>
    <col min="13051" max="13053" width="9" style="97"/>
    <col min="13054" max="13055" width="10.5" style="97" customWidth="1"/>
    <col min="13056" max="13302" width="9" style="97"/>
    <col min="13303" max="13303" width="41.6333333333333" style="97" customWidth="1"/>
    <col min="13304" max="13305" width="14.5" style="97" customWidth="1"/>
    <col min="13306" max="13306" width="13.8833333333333" style="97" customWidth="1"/>
    <col min="13307" max="13309" width="9" style="97"/>
    <col min="13310" max="13311" width="10.5" style="97" customWidth="1"/>
    <col min="13312" max="13558" width="9" style="97"/>
    <col min="13559" max="13559" width="41.6333333333333" style="97" customWidth="1"/>
    <col min="13560" max="13561" width="14.5" style="97" customWidth="1"/>
    <col min="13562" max="13562" width="13.8833333333333" style="97" customWidth="1"/>
    <col min="13563" max="13565" width="9" style="97"/>
    <col min="13566" max="13567" width="10.5" style="97" customWidth="1"/>
    <col min="13568" max="13814" width="9" style="97"/>
    <col min="13815" max="13815" width="41.6333333333333" style="97" customWidth="1"/>
    <col min="13816" max="13817" width="14.5" style="97" customWidth="1"/>
    <col min="13818" max="13818" width="13.8833333333333" style="97" customWidth="1"/>
    <col min="13819" max="13821" width="9" style="97"/>
    <col min="13822" max="13823" width="10.5" style="97" customWidth="1"/>
    <col min="13824" max="14070" width="9" style="97"/>
    <col min="14071" max="14071" width="41.6333333333333" style="97" customWidth="1"/>
    <col min="14072" max="14073" width="14.5" style="97" customWidth="1"/>
    <col min="14074" max="14074" width="13.8833333333333" style="97" customWidth="1"/>
    <col min="14075" max="14077" width="9" style="97"/>
    <col min="14078" max="14079" width="10.5" style="97" customWidth="1"/>
    <col min="14080" max="14326" width="9" style="97"/>
    <col min="14327" max="14327" width="41.6333333333333" style="97" customWidth="1"/>
    <col min="14328" max="14329" width="14.5" style="97" customWidth="1"/>
    <col min="14330" max="14330" width="13.8833333333333" style="97" customWidth="1"/>
    <col min="14331" max="14333" width="9" style="97"/>
    <col min="14334" max="14335" width="10.5" style="97" customWidth="1"/>
    <col min="14336" max="14582" width="9" style="97"/>
    <col min="14583" max="14583" width="41.6333333333333" style="97" customWidth="1"/>
    <col min="14584" max="14585" width="14.5" style="97" customWidth="1"/>
    <col min="14586" max="14586" width="13.8833333333333" style="97" customWidth="1"/>
    <col min="14587" max="14589" width="9" style="97"/>
    <col min="14590" max="14591" width="10.5" style="97" customWidth="1"/>
    <col min="14592" max="14838" width="9" style="97"/>
    <col min="14839" max="14839" width="41.6333333333333" style="97" customWidth="1"/>
    <col min="14840" max="14841" width="14.5" style="97" customWidth="1"/>
    <col min="14842" max="14842" width="13.8833333333333" style="97" customWidth="1"/>
    <col min="14843" max="14845" width="9" style="97"/>
    <col min="14846" max="14847" width="10.5" style="97" customWidth="1"/>
    <col min="14848" max="15094" width="9" style="97"/>
    <col min="15095" max="15095" width="41.6333333333333" style="97" customWidth="1"/>
    <col min="15096" max="15097" width="14.5" style="97" customWidth="1"/>
    <col min="15098" max="15098" width="13.8833333333333" style="97" customWidth="1"/>
    <col min="15099" max="15101" width="9" style="97"/>
    <col min="15102" max="15103" width="10.5" style="97" customWidth="1"/>
    <col min="15104" max="15350" width="9" style="97"/>
    <col min="15351" max="15351" width="41.6333333333333" style="97" customWidth="1"/>
    <col min="15352" max="15353" width="14.5" style="97" customWidth="1"/>
    <col min="15354" max="15354" width="13.8833333333333" style="97" customWidth="1"/>
    <col min="15355" max="15357" width="9" style="97"/>
    <col min="15358" max="15359" width="10.5" style="97" customWidth="1"/>
    <col min="15360" max="15606" width="9" style="97"/>
    <col min="15607" max="15607" width="41.6333333333333" style="97" customWidth="1"/>
    <col min="15608" max="15609" width="14.5" style="97" customWidth="1"/>
    <col min="15610" max="15610" width="13.8833333333333" style="97" customWidth="1"/>
    <col min="15611" max="15613" width="9" style="97"/>
    <col min="15614" max="15615" width="10.5" style="97" customWidth="1"/>
    <col min="15616" max="15862" width="9" style="97"/>
    <col min="15863" max="15863" width="41.6333333333333" style="97" customWidth="1"/>
    <col min="15864" max="15865" width="14.5" style="97" customWidth="1"/>
    <col min="15866" max="15866" width="13.8833333333333" style="97" customWidth="1"/>
    <col min="15867" max="15869" width="9" style="97"/>
    <col min="15870" max="15871" width="10.5" style="97" customWidth="1"/>
    <col min="15872" max="16118" width="9" style="97"/>
    <col min="16119" max="16119" width="41.6333333333333" style="97" customWidth="1"/>
    <col min="16120" max="16121" width="14.5" style="97" customWidth="1"/>
    <col min="16122" max="16122" width="13.8833333333333" style="97" customWidth="1"/>
    <col min="16123" max="16125" width="9" style="97"/>
    <col min="16126" max="16127" width="10.5" style="97" customWidth="1"/>
    <col min="16128" max="16384" width="9" style="97"/>
  </cols>
  <sheetData>
    <row r="1" ht="45" customHeight="1" spans="1:4">
      <c r="A1" s="98" t="s">
        <v>90</v>
      </c>
      <c r="B1" s="124"/>
      <c r="C1" s="124"/>
      <c r="D1" s="98"/>
    </row>
    <row r="2" ht="20.1" customHeight="1" spans="1:4">
      <c r="A2" s="125" t="s">
        <v>89</v>
      </c>
      <c r="B2" s="126"/>
      <c r="C2" s="127"/>
      <c r="D2" s="128" t="s">
        <v>1612</v>
      </c>
    </row>
    <row r="3" ht="45" customHeight="1" spans="1:5">
      <c r="A3" s="129" t="s">
        <v>1718</v>
      </c>
      <c r="B3" s="104" t="s">
        <v>1753</v>
      </c>
      <c r="C3" s="104" t="s">
        <v>1754</v>
      </c>
      <c r="D3" s="104" t="s">
        <v>1755</v>
      </c>
      <c r="E3" s="122" t="s">
        <v>113</v>
      </c>
    </row>
    <row r="4" ht="36" customHeight="1" spans="1:5">
      <c r="A4" s="130" t="s">
        <v>1719</v>
      </c>
      <c r="B4" s="131"/>
      <c r="C4" s="107"/>
      <c r="D4" s="108" t="str">
        <f t="shared" ref="D4:D20" si="0">IFERROR((C4-B4)/B4,"")</f>
        <v/>
      </c>
      <c r="E4" s="122" t="str">
        <f t="shared" ref="E4:E20" si="1">IF(A4&lt;&gt;"",IF(SUM(B4:C4)&lt;&gt;0,"是","否"),"是")</f>
        <v>否</v>
      </c>
    </row>
    <row r="5" ht="36" customHeight="1" spans="1:5">
      <c r="A5" s="132" t="s">
        <v>1720</v>
      </c>
      <c r="B5" s="131"/>
      <c r="C5" s="133"/>
      <c r="D5" s="108" t="str">
        <f t="shared" si="0"/>
        <v/>
      </c>
      <c r="E5" s="122" t="str">
        <f t="shared" si="1"/>
        <v>否</v>
      </c>
    </row>
    <row r="6" ht="36" customHeight="1" spans="1:5">
      <c r="A6" s="130" t="s">
        <v>1721</v>
      </c>
      <c r="B6" s="115">
        <v>20832</v>
      </c>
      <c r="C6" s="107">
        <v>22090</v>
      </c>
      <c r="D6" s="108">
        <f t="shared" si="0"/>
        <v>0.0603878648233487</v>
      </c>
      <c r="E6" s="122" t="str">
        <f t="shared" si="1"/>
        <v>是</v>
      </c>
    </row>
    <row r="7" ht="36" customHeight="1" spans="1:5">
      <c r="A7" s="132" t="s">
        <v>1720</v>
      </c>
      <c r="B7" s="113">
        <v>20323</v>
      </c>
      <c r="C7" s="110">
        <v>21922</v>
      </c>
      <c r="D7" s="114">
        <f t="shared" si="0"/>
        <v>0.0786793288392462</v>
      </c>
      <c r="E7" s="122" t="str">
        <f t="shared" si="1"/>
        <v>是</v>
      </c>
    </row>
    <row r="8" ht="36" customHeight="1" spans="1:5">
      <c r="A8" s="130" t="s">
        <v>1722</v>
      </c>
      <c r="B8" s="112"/>
      <c r="C8" s="112"/>
      <c r="D8" s="108" t="str">
        <f t="shared" si="0"/>
        <v/>
      </c>
      <c r="E8" s="122" t="str">
        <f t="shared" si="1"/>
        <v>否</v>
      </c>
    </row>
    <row r="9" ht="36" customHeight="1" spans="1:5">
      <c r="A9" s="132" t="s">
        <v>1720</v>
      </c>
      <c r="B9" s="134"/>
      <c r="C9" s="134"/>
      <c r="D9" s="108" t="str">
        <f t="shared" si="0"/>
        <v/>
      </c>
      <c r="E9" s="122" t="str">
        <f t="shared" si="1"/>
        <v>否</v>
      </c>
    </row>
    <row r="10" ht="36" customHeight="1" spans="1:5">
      <c r="A10" s="130" t="s">
        <v>1723</v>
      </c>
      <c r="B10" s="111">
        <v>79951</v>
      </c>
      <c r="C10" s="112">
        <v>70038</v>
      </c>
      <c r="D10" s="108">
        <f t="shared" si="0"/>
        <v>-0.123988442921289</v>
      </c>
      <c r="E10" s="122" t="str">
        <f t="shared" si="1"/>
        <v>是</v>
      </c>
    </row>
    <row r="11" ht="36" customHeight="1" spans="1:5">
      <c r="A11" s="132" t="s">
        <v>1720</v>
      </c>
      <c r="B11" s="113">
        <v>78080</v>
      </c>
      <c r="C11" s="110">
        <v>68137</v>
      </c>
      <c r="D11" s="114">
        <f t="shared" si="0"/>
        <v>-0.12734375</v>
      </c>
      <c r="E11" s="122" t="str">
        <f t="shared" si="1"/>
        <v>是</v>
      </c>
    </row>
    <row r="12" ht="36" customHeight="1" spans="1:5">
      <c r="A12" s="130" t="s">
        <v>1724</v>
      </c>
      <c r="B12" s="111"/>
      <c r="C12" s="107"/>
      <c r="D12" s="108" t="str">
        <f t="shared" si="0"/>
        <v/>
      </c>
      <c r="E12" s="122" t="str">
        <f t="shared" si="1"/>
        <v>否</v>
      </c>
    </row>
    <row r="13" ht="36" customHeight="1" spans="1:5">
      <c r="A13" s="132" t="s">
        <v>1720</v>
      </c>
      <c r="B13" s="113"/>
      <c r="C13" s="110"/>
      <c r="D13" s="108" t="str">
        <f t="shared" si="0"/>
        <v/>
      </c>
      <c r="E13" s="122" t="str">
        <f t="shared" si="1"/>
        <v>否</v>
      </c>
    </row>
    <row r="14" s="96" customFormat="1" ht="36" customHeight="1" spans="1:5">
      <c r="A14" s="130" t="s">
        <v>1725</v>
      </c>
      <c r="B14" s="111">
        <v>42486</v>
      </c>
      <c r="C14" s="107">
        <v>51164</v>
      </c>
      <c r="D14" s="108">
        <f t="shared" si="0"/>
        <v>0.204255519465236</v>
      </c>
      <c r="E14" s="122" t="str">
        <f t="shared" si="1"/>
        <v>是</v>
      </c>
    </row>
    <row r="15" ht="36" customHeight="1" spans="1:5">
      <c r="A15" s="132" t="s">
        <v>1720</v>
      </c>
      <c r="B15" s="135">
        <v>42398</v>
      </c>
      <c r="C15" s="110">
        <v>51080</v>
      </c>
      <c r="D15" s="114">
        <f t="shared" si="0"/>
        <v>0.204773810085381</v>
      </c>
      <c r="E15" s="122" t="str">
        <f t="shared" si="1"/>
        <v>是</v>
      </c>
    </row>
    <row r="16" ht="36" customHeight="1" spans="1:5">
      <c r="A16" s="130" t="s">
        <v>1726</v>
      </c>
      <c r="B16" s="111">
        <v>101954</v>
      </c>
      <c r="C16" s="112">
        <v>115953</v>
      </c>
      <c r="D16" s="108">
        <f t="shared" si="0"/>
        <v>0.137307020813308</v>
      </c>
      <c r="E16" s="122" t="str">
        <f t="shared" si="1"/>
        <v>是</v>
      </c>
    </row>
    <row r="17" ht="36" customHeight="1" spans="1:5">
      <c r="A17" s="132" t="s">
        <v>1720</v>
      </c>
      <c r="B17" s="136">
        <v>84341</v>
      </c>
      <c r="C17" s="137">
        <v>103006</v>
      </c>
      <c r="D17" s="114">
        <f t="shared" si="0"/>
        <v>0.221303992127198</v>
      </c>
      <c r="E17" s="122" t="str">
        <f t="shared" si="1"/>
        <v>是</v>
      </c>
    </row>
    <row r="18" ht="36" customHeight="1" spans="1:5">
      <c r="A18" s="138" t="s">
        <v>1727</v>
      </c>
      <c r="B18" s="139">
        <f>B4+B6+B8+B10+B12+B14+B16</f>
        <v>245223</v>
      </c>
      <c r="C18" s="139">
        <f>C4+C6+C8+C10+C12+C14+C16</f>
        <v>259245</v>
      </c>
      <c r="D18" s="108">
        <f t="shared" si="0"/>
        <v>0.0571806070393071</v>
      </c>
      <c r="E18" s="122" t="str">
        <f t="shared" si="1"/>
        <v>是</v>
      </c>
    </row>
    <row r="19" ht="36" customHeight="1" spans="1:5">
      <c r="A19" s="132" t="s">
        <v>1728</v>
      </c>
      <c r="B19" s="140">
        <f>B5+B7+B9+B11+B13+B15+B17</f>
        <v>225142</v>
      </c>
      <c r="C19" s="140">
        <f>C5+C7+C9+C11+C13+C15+C17</f>
        <v>244145</v>
      </c>
      <c r="D19" s="114">
        <f t="shared" si="0"/>
        <v>0.0844045091542227</v>
      </c>
      <c r="E19" s="122" t="str">
        <f t="shared" si="1"/>
        <v>是</v>
      </c>
    </row>
    <row r="20" ht="36" customHeight="1" spans="1:5">
      <c r="A20" s="138" t="s">
        <v>1195</v>
      </c>
      <c r="B20" s="139">
        <f>B18</f>
        <v>245223</v>
      </c>
      <c r="C20" s="139">
        <f>C18</f>
        <v>259245</v>
      </c>
      <c r="D20" s="108">
        <f t="shared" si="0"/>
        <v>0.0571806070393071</v>
      </c>
      <c r="E20" s="122" t="str">
        <f t="shared" si="1"/>
        <v>是</v>
      </c>
    </row>
    <row r="21" spans="2:3">
      <c r="B21" s="141"/>
      <c r="C21" s="141"/>
    </row>
    <row r="22" spans="2:3">
      <c r="B22" s="141"/>
      <c r="C22" s="141"/>
    </row>
    <row r="23" spans="2:3">
      <c r="B23" s="141"/>
      <c r="C23" s="141"/>
    </row>
    <row r="24" spans="2:3">
      <c r="B24" s="141"/>
      <c r="C24" s="141"/>
    </row>
  </sheetData>
  <autoFilter ref="A3:F20">
    <extLst/>
  </autoFilter>
  <mergeCells count="1">
    <mergeCell ref="A1:D1"/>
  </mergeCells>
  <conditionalFormatting sqref="E16:F16">
    <cfRule type="cellIs" dxfId="4" priority="2" stopIfTrue="1" operator="lessThan">
      <formula>0</formula>
    </cfRule>
  </conditionalFormatting>
  <conditionalFormatting sqref="B18:C20">
    <cfRule type="cellIs" dxfId="4" priority="1" stopIfTrue="1" operator="lessThan">
      <formula>0</formula>
    </cfRule>
  </conditionalFormatting>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9">
    <tabColor rgb="FFFF0000"/>
  </sheetPr>
  <dimension ref="A1:E23"/>
  <sheetViews>
    <sheetView showGridLines="0" showZeros="0" view="pageBreakPreview" zoomScale="80" zoomScaleNormal="100" workbookViewId="0">
      <selection activeCell="D15" sqref="D15"/>
    </sheetView>
  </sheetViews>
  <sheetFormatPr defaultColWidth="9" defaultRowHeight="14.25" outlineLevelCol="4"/>
  <cols>
    <col min="1" max="1" width="50.75" style="97" customWidth="1"/>
    <col min="2" max="4" width="20.6333333333333" style="97" customWidth="1"/>
    <col min="5" max="5" width="5.25" style="97" customWidth="1"/>
    <col min="6" max="246" width="9" style="97"/>
    <col min="247" max="247" width="46.25" style="97" customWidth="1"/>
    <col min="248" max="249" width="17" style="97" customWidth="1"/>
    <col min="250" max="250" width="15" style="97" customWidth="1"/>
    <col min="251" max="502" width="9" style="97"/>
    <col min="503" max="503" width="46.25" style="97" customWidth="1"/>
    <col min="504" max="505" width="17" style="97" customWidth="1"/>
    <col min="506" max="506" width="15" style="97" customWidth="1"/>
    <col min="507" max="758" width="9" style="97"/>
    <col min="759" max="759" width="46.25" style="97" customWidth="1"/>
    <col min="760" max="761" width="17" style="97" customWidth="1"/>
    <col min="762" max="762" width="15" style="97" customWidth="1"/>
    <col min="763" max="1014" width="9" style="97"/>
    <col min="1015" max="1015" width="46.25" style="97" customWidth="1"/>
    <col min="1016" max="1017" width="17" style="97" customWidth="1"/>
    <col min="1018" max="1018" width="15" style="97" customWidth="1"/>
    <col min="1019" max="1270" width="9" style="97"/>
    <col min="1271" max="1271" width="46.25" style="97" customWidth="1"/>
    <col min="1272" max="1273" width="17" style="97" customWidth="1"/>
    <col min="1274" max="1274" width="15" style="97" customWidth="1"/>
    <col min="1275" max="1526" width="9" style="97"/>
    <col min="1527" max="1527" width="46.25" style="97" customWidth="1"/>
    <col min="1528" max="1529" width="17" style="97" customWidth="1"/>
    <col min="1530" max="1530" width="15" style="97" customWidth="1"/>
    <col min="1531" max="1782" width="9" style="97"/>
    <col min="1783" max="1783" width="46.25" style="97" customWidth="1"/>
    <col min="1784" max="1785" width="17" style="97" customWidth="1"/>
    <col min="1786" max="1786" width="15" style="97" customWidth="1"/>
    <col min="1787" max="2038" width="9" style="97"/>
    <col min="2039" max="2039" width="46.25" style="97" customWidth="1"/>
    <col min="2040" max="2041" width="17" style="97" customWidth="1"/>
    <col min="2042" max="2042" width="15" style="97" customWidth="1"/>
    <col min="2043" max="2294" width="9" style="97"/>
    <col min="2295" max="2295" width="46.25" style="97" customWidth="1"/>
    <col min="2296" max="2297" width="17" style="97" customWidth="1"/>
    <col min="2298" max="2298" width="15" style="97" customWidth="1"/>
    <col min="2299" max="2550" width="9" style="97"/>
    <col min="2551" max="2551" width="46.25" style="97" customWidth="1"/>
    <col min="2552" max="2553" width="17" style="97" customWidth="1"/>
    <col min="2554" max="2554" width="15" style="97" customWidth="1"/>
    <col min="2555" max="2806" width="9" style="97"/>
    <col min="2807" max="2807" width="46.25" style="97" customWidth="1"/>
    <col min="2808" max="2809" width="17" style="97" customWidth="1"/>
    <col min="2810" max="2810" width="15" style="97" customWidth="1"/>
    <col min="2811" max="3062" width="9" style="97"/>
    <col min="3063" max="3063" width="46.25" style="97" customWidth="1"/>
    <col min="3064" max="3065" width="17" style="97" customWidth="1"/>
    <col min="3066" max="3066" width="15" style="97" customWidth="1"/>
    <col min="3067" max="3318" width="9" style="97"/>
    <col min="3319" max="3319" width="46.25" style="97" customWidth="1"/>
    <col min="3320" max="3321" width="17" style="97" customWidth="1"/>
    <col min="3322" max="3322" width="15" style="97" customWidth="1"/>
    <col min="3323" max="3574" width="9" style="97"/>
    <col min="3575" max="3575" width="46.25" style="97" customWidth="1"/>
    <col min="3576" max="3577" width="17" style="97" customWidth="1"/>
    <col min="3578" max="3578" width="15" style="97" customWidth="1"/>
    <col min="3579" max="3830" width="9" style="97"/>
    <col min="3831" max="3831" width="46.25" style="97" customWidth="1"/>
    <col min="3832" max="3833" width="17" style="97" customWidth="1"/>
    <col min="3834" max="3834" width="15" style="97" customWidth="1"/>
    <col min="3835" max="4086" width="9" style="97"/>
    <col min="4087" max="4087" width="46.25" style="97" customWidth="1"/>
    <col min="4088" max="4089" width="17" style="97" customWidth="1"/>
    <col min="4090" max="4090" width="15" style="97" customWidth="1"/>
    <col min="4091" max="4342" width="9" style="97"/>
    <col min="4343" max="4343" width="46.25" style="97" customWidth="1"/>
    <col min="4344" max="4345" width="17" style="97" customWidth="1"/>
    <col min="4346" max="4346" width="15" style="97" customWidth="1"/>
    <col min="4347" max="4598" width="9" style="97"/>
    <col min="4599" max="4599" width="46.25" style="97" customWidth="1"/>
    <col min="4600" max="4601" width="17" style="97" customWidth="1"/>
    <col min="4602" max="4602" width="15" style="97" customWidth="1"/>
    <col min="4603" max="4854" width="9" style="97"/>
    <col min="4855" max="4855" width="46.25" style="97" customWidth="1"/>
    <col min="4856" max="4857" width="17" style="97" customWidth="1"/>
    <col min="4858" max="4858" width="15" style="97" customWidth="1"/>
    <col min="4859" max="5110" width="9" style="97"/>
    <col min="5111" max="5111" width="46.25" style="97" customWidth="1"/>
    <col min="5112" max="5113" width="17" style="97" customWidth="1"/>
    <col min="5114" max="5114" width="15" style="97" customWidth="1"/>
    <col min="5115" max="5366" width="9" style="97"/>
    <col min="5367" max="5367" width="46.25" style="97" customWidth="1"/>
    <col min="5368" max="5369" width="17" style="97" customWidth="1"/>
    <col min="5370" max="5370" width="15" style="97" customWidth="1"/>
    <col min="5371" max="5622" width="9" style="97"/>
    <col min="5623" max="5623" width="46.25" style="97" customWidth="1"/>
    <col min="5624" max="5625" width="17" style="97" customWidth="1"/>
    <col min="5626" max="5626" width="15" style="97" customWidth="1"/>
    <col min="5627" max="5878" width="9" style="97"/>
    <col min="5879" max="5879" width="46.25" style="97" customWidth="1"/>
    <col min="5880" max="5881" width="17" style="97" customWidth="1"/>
    <col min="5882" max="5882" width="15" style="97" customWidth="1"/>
    <col min="5883" max="6134" width="9" style="97"/>
    <col min="6135" max="6135" width="46.25" style="97" customWidth="1"/>
    <col min="6136" max="6137" width="17" style="97" customWidth="1"/>
    <col min="6138" max="6138" width="15" style="97" customWidth="1"/>
    <col min="6139" max="6390" width="9" style="97"/>
    <col min="6391" max="6391" width="46.25" style="97" customWidth="1"/>
    <col min="6392" max="6393" width="17" style="97" customWidth="1"/>
    <col min="6394" max="6394" width="15" style="97" customWidth="1"/>
    <col min="6395" max="6646" width="9" style="97"/>
    <col min="6647" max="6647" width="46.25" style="97" customWidth="1"/>
    <col min="6648" max="6649" width="17" style="97" customWidth="1"/>
    <col min="6650" max="6650" width="15" style="97" customWidth="1"/>
    <col min="6651" max="6902" width="9" style="97"/>
    <col min="6903" max="6903" width="46.25" style="97" customWidth="1"/>
    <col min="6904" max="6905" width="17" style="97" customWidth="1"/>
    <col min="6906" max="6906" width="15" style="97" customWidth="1"/>
    <col min="6907" max="7158" width="9" style="97"/>
    <col min="7159" max="7159" width="46.25" style="97" customWidth="1"/>
    <col min="7160" max="7161" width="17" style="97" customWidth="1"/>
    <col min="7162" max="7162" width="15" style="97" customWidth="1"/>
    <col min="7163" max="7414" width="9" style="97"/>
    <col min="7415" max="7415" width="46.25" style="97" customWidth="1"/>
    <col min="7416" max="7417" width="17" style="97" customWidth="1"/>
    <col min="7418" max="7418" width="15" style="97" customWidth="1"/>
    <col min="7419" max="7670" width="9" style="97"/>
    <col min="7671" max="7671" width="46.25" style="97" customWidth="1"/>
    <col min="7672" max="7673" width="17" style="97" customWidth="1"/>
    <col min="7674" max="7674" width="15" style="97" customWidth="1"/>
    <col min="7675" max="7926" width="9" style="97"/>
    <col min="7927" max="7927" width="46.25" style="97" customWidth="1"/>
    <col min="7928" max="7929" width="17" style="97" customWidth="1"/>
    <col min="7930" max="7930" width="15" style="97" customWidth="1"/>
    <col min="7931" max="8182" width="9" style="97"/>
    <col min="8183" max="8183" width="46.25" style="97" customWidth="1"/>
    <col min="8184" max="8185" width="17" style="97" customWidth="1"/>
    <col min="8186" max="8186" width="15" style="97" customWidth="1"/>
    <col min="8187" max="8438" width="9" style="97"/>
    <col min="8439" max="8439" width="46.25" style="97" customWidth="1"/>
    <col min="8440" max="8441" width="17" style="97" customWidth="1"/>
    <col min="8442" max="8442" width="15" style="97" customWidth="1"/>
    <col min="8443" max="8694" width="9" style="97"/>
    <col min="8695" max="8695" width="46.25" style="97" customWidth="1"/>
    <col min="8696" max="8697" width="17" style="97" customWidth="1"/>
    <col min="8698" max="8698" width="15" style="97" customWidth="1"/>
    <col min="8699" max="8950" width="9" style="97"/>
    <col min="8951" max="8951" width="46.25" style="97" customWidth="1"/>
    <col min="8952" max="8953" width="17" style="97" customWidth="1"/>
    <col min="8954" max="8954" width="15" style="97" customWidth="1"/>
    <col min="8955" max="9206" width="9" style="97"/>
    <col min="9207" max="9207" width="46.25" style="97" customWidth="1"/>
    <col min="9208" max="9209" width="17" style="97" customWidth="1"/>
    <col min="9210" max="9210" width="15" style="97" customWidth="1"/>
    <col min="9211" max="9462" width="9" style="97"/>
    <col min="9463" max="9463" width="46.25" style="97" customWidth="1"/>
    <col min="9464" max="9465" width="17" style="97" customWidth="1"/>
    <col min="9466" max="9466" width="15" style="97" customWidth="1"/>
    <col min="9467" max="9718" width="9" style="97"/>
    <col min="9719" max="9719" width="46.25" style="97" customWidth="1"/>
    <col min="9720" max="9721" width="17" style="97" customWidth="1"/>
    <col min="9722" max="9722" width="15" style="97" customWidth="1"/>
    <col min="9723" max="9974" width="9" style="97"/>
    <col min="9975" max="9975" width="46.25" style="97" customWidth="1"/>
    <col min="9976" max="9977" width="17" style="97" customWidth="1"/>
    <col min="9978" max="9978" width="15" style="97" customWidth="1"/>
    <col min="9979" max="10230" width="9" style="97"/>
    <col min="10231" max="10231" width="46.25" style="97" customWidth="1"/>
    <col min="10232" max="10233" width="17" style="97" customWidth="1"/>
    <col min="10234" max="10234" width="15" style="97" customWidth="1"/>
    <col min="10235" max="10486" width="9" style="97"/>
    <col min="10487" max="10487" width="46.25" style="97" customWidth="1"/>
    <col min="10488" max="10489" width="17" style="97" customWidth="1"/>
    <col min="10490" max="10490" width="15" style="97" customWidth="1"/>
    <col min="10491" max="10742" width="9" style="97"/>
    <col min="10743" max="10743" width="46.25" style="97" customWidth="1"/>
    <col min="10744" max="10745" width="17" style="97" customWidth="1"/>
    <col min="10746" max="10746" width="15" style="97" customWidth="1"/>
    <col min="10747" max="10998" width="9" style="97"/>
    <col min="10999" max="10999" width="46.25" style="97" customWidth="1"/>
    <col min="11000" max="11001" width="17" style="97" customWidth="1"/>
    <col min="11002" max="11002" width="15" style="97" customWidth="1"/>
    <col min="11003" max="11254" width="9" style="97"/>
    <col min="11255" max="11255" width="46.25" style="97" customWidth="1"/>
    <col min="11256" max="11257" width="17" style="97" customWidth="1"/>
    <col min="11258" max="11258" width="15" style="97" customWidth="1"/>
    <col min="11259" max="11510" width="9" style="97"/>
    <col min="11511" max="11511" width="46.25" style="97" customWidth="1"/>
    <col min="11512" max="11513" width="17" style="97" customWidth="1"/>
    <col min="11514" max="11514" width="15" style="97" customWidth="1"/>
    <col min="11515" max="11766" width="9" style="97"/>
    <col min="11767" max="11767" width="46.25" style="97" customWidth="1"/>
    <col min="11768" max="11769" width="17" style="97" customWidth="1"/>
    <col min="11770" max="11770" width="15" style="97" customWidth="1"/>
    <col min="11771" max="12022" width="9" style="97"/>
    <col min="12023" max="12023" width="46.25" style="97" customWidth="1"/>
    <col min="12024" max="12025" width="17" style="97" customWidth="1"/>
    <col min="12026" max="12026" width="15" style="97" customWidth="1"/>
    <col min="12027" max="12278" width="9" style="97"/>
    <col min="12279" max="12279" width="46.25" style="97" customWidth="1"/>
    <col min="12280" max="12281" width="17" style="97" customWidth="1"/>
    <col min="12282" max="12282" width="15" style="97" customWidth="1"/>
    <col min="12283" max="12534" width="9" style="97"/>
    <col min="12535" max="12535" width="46.25" style="97" customWidth="1"/>
    <col min="12536" max="12537" width="17" style="97" customWidth="1"/>
    <col min="12538" max="12538" width="15" style="97" customWidth="1"/>
    <col min="12539" max="12790" width="9" style="97"/>
    <col min="12791" max="12791" width="46.25" style="97" customWidth="1"/>
    <col min="12792" max="12793" width="17" style="97" customWidth="1"/>
    <col min="12794" max="12794" width="15" style="97" customWidth="1"/>
    <col min="12795" max="13046" width="9" style="97"/>
    <col min="13047" max="13047" width="46.25" style="97" customWidth="1"/>
    <col min="13048" max="13049" width="17" style="97" customWidth="1"/>
    <col min="13050" max="13050" width="15" style="97" customWidth="1"/>
    <col min="13051" max="13302" width="9" style="97"/>
    <col min="13303" max="13303" width="46.25" style="97" customWidth="1"/>
    <col min="13304" max="13305" width="17" style="97" customWidth="1"/>
    <col min="13306" max="13306" width="15" style="97" customWidth="1"/>
    <col min="13307" max="13558" width="9" style="97"/>
    <col min="13559" max="13559" width="46.25" style="97" customWidth="1"/>
    <col min="13560" max="13561" width="17" style="97" customWidth="1"/>
    <col min="13562" max="13562" width="15" style="97" customWidth="1"/>
    <col min="13563" max="13814" width="9" style="97"/>
    <col min="13815" max="13815" width="46.25" style="97" customWidth="1"/>
    <col min="13816" max="13817" width="17" style="97" customWidth="1"/>
    <col min="13818" max="13818" width="15" style="97" customWidth="1"/>
    <col min="13819" max="14070" width="9" style="97"/>
    <col min="14071" max="14071" width="46.25" style="97" customWidth="1"/>
    <col min="14072" max="14073" width="17" style="97" customWidth="1"/>
    <col min="14074" max="14074" width="15" style="97" customWidth="1"/>
    <col min="14075" max="14326" width="9" style="97"/>
    <col min="14327" max="14327" width="46.25" style="97" customWidth="1"/>
    <col min="14328" max="14329" width="17" style="97" customWidth="1"/>
    <col min="14330" max="14330" width="15" style="97" customWidth="1"/>
    <col min="14331" max="14582" width="9" style="97"/>
    <col min="14583" max="14583" width="46.25" style="97" customWidth="1"/>
    <col min="14584" max="14585" width="17" style="97" customWidth="1"/>
    <col min="14586" max="14586" width="15" style="97" customWidth="1"/>
    <col min="14587" max="14838" width="9" style="97"/>
    <col min="14839" max="14839" width="46.25" style="97" customWidth="1"/>
    <col min="14840" max="14841" width="17" style="97" customWidth="1"/>
    <col min="14842" max="14842" width="15" style="97" customWidth="1"/>
    <col min="14843" max="15094" width="9" style="97"/>
    <col min="15095" max="15095" width="46.25" style="97" customWidth="1"/>
    <col min="15096" max="15097" width="17" style="97" customWidth="1"/>
    <col min="15098" max="15098" width="15" style="97" customWidth="1"/>
    <col min="15099" max="15350" width="9" style="97"/>
    <col min="15351" max="15351" width="46.25" style="97" customWidth="1"/>
    <col min="15352" max="15353" width="17" style="97" customWidth="1"/>
    <col min="15354" max="15354" width="15" style="97" customWidth="1"/>
    <col min="15355" max="15606" width="9" style="97"/>
    <col min="15607" max="15607" width="46.25" style="97" customWidth="1"/>
    <col min="15608" max="15609" width="17" style="97" customWidth="1"/>
    <col min="15610" max="15610" width="15" style="97" customWidth="1"/>
    <col min="15611" max="15862" width="9" style="97"/>
    <col min="15863" max="15863" width="46.25" style="97" customWidth="1"/>
    <col min="15864" max="15865" width="17" style="97" customWidth="1"/>
    <col min="15866" max="15866" width="15" style="97" customWidth="1"/>
    <col min="15867" max="16118" width="9" style="97"/>
    <col min="16119" max="16119" width="46.25" style="97" customWidth="1"/>
    <col min="16120" max="16121" width="17" style="97" customWidth="1"/>
    <col min="16122" max="16122" width="15" style="97" customWidth="1"/>
    <col min="16123" max="16384" width="9" style="97"/>
  </cols>
  <sheetData>
    <row r="1" ht="45" customHeight="1" spans="1:4">
      <c r="A1" s="98" t="s">
        <v>92</v>
      </c>
      <c r="B1" s="98"/>
      <c r="C1" s="98"/>
      <c r="D1" s="98"/>
    </row>
    <row r="2" ht="20.1" customHeight="1" spans="1:4">
      <c r="A2" s="99" t="s">
        <v>91</v>
      </c>
      <c r="B2" s="100"/>
      <c r="C2" s="101"/>
      <c r="D2" s="102" t="s">
        <v>1612</v>
      </c>
    </row>
    <row r="3" ht="45" customHeight="1" spans="1:5">
      <c r="A3" s="103" t="s">
        <v>1718</v>
      </c>
      <c r="B3" s="104" t="s">
        <v>1753</v>
      </c>
      <c r="C3" s="104" t="s">
        <v>1754</v>
      </c>
      <c r="D3" s="104" t="s">
        <v>1755</v>
      </c>
      <c r="E3" s="122" t="s">
        <v>113</v>
      </c>
    </row>
    <row r="4" ht="36" customHeight="1" spans="1:5">
      <c r="A4" s="105" t="s">
        <v>1729</v>
      </c>
      <c r="B4" s="106"/>
      <c r="C4" s="107"/>
      <c r="D4" s="108" t="str">
        <f t="shared" ref="D4:D19" si="0">IFERROR((C4-B4)/B4,"")</f>
        <v/>
      </c>
      <c r="E4" s="122" t="str">
        <f t="shared" ref="E4:E19" si="1">IF(A4&lt;&gt;"",IF(SUM(B4:C4)&lt;&gt;0,"是","否"),"是")</f>
        <v>否</v>
      </c>
    </row>
    <row r="5" ht="36" customHeight="1" spans="1:5">
      <c r="A5" s="109" t="s">
        <v>1730</v>
      </c>
      <c r="B5" s="106"/>
      <c r="C5" s="110"/>
      <c r="D5" s="108" t="str">
        <f t="shared" si="0"/>
        <v/>
      </c>
      <c r="E5" s="122" t="str">
        <f t="shared" si="1"/>
        <v>否</v>
      </c>
    </row>
    <row r="6" ht="36" customHeight="1" spans="1:5">
      <c r="A6" s="105" t="s">
        <v>1747</v>
      </c>
      <c r="B6" s="111">
        <v>691</v>
      </c>
      <c r="C6" s="112">
        <v>-1742</v>
      </c>
      <c r="D6" s="108">
        <f t="shared" si="0"/>
        <v>-3.52098408104197</v>
      </c>
      <c r="E6" s="122" t="str">
        <f t="shared" si="1"/>
        <v>是</v>
      </c>
    </row>
    <row r="7" ht="36" customHeight="1" spans="1:5">
      <c r="A7" s="109" t="s">
        <v>1732</v>
      </c>
      <c r="B7" s="113">
        <v>23161</v>
      </c>
      <c r="C7" s="110">
        <v>21173</v>
      </c>
      <c r="D7" s="114">
        <f t="shared" si="0"/>
        <v>-0.0858339449937395</v>
      </c>
      <c r="E7" s="122" t="str">
        <f t="shared" si="1"/>
        <v>是</v>
      </c>
    </row>
    <row r="8" ht="36" customHeight="1" spans="1:5">
      <c r="A8" s="105" t="s">
        <v>1733</v>
      </c>
      <c r="B8" s="107"/>
      <c r="C8" s="107"/>
      <c r="D8" s="108" t="str">
        <f t="shared" si="0"/>
        <v/>
      </c>
      <c r="E8" s="122" t="str">
        <f t="shared" si="1"/>
        <v>否</v>
      </c>
    </row>
    <row r="9" ht="36" customHeight="1" spans="1:5">
      <c r="A9" s="109" t="s">
        <v>1734</v>
      </c>
      <c r="B9" s="110"/>
      <c r="C9" s="110"/>
      <c r="D9" s="108" t="str">
        <f t="shared" si="0"/>
        <v/>
      </c>
      <c r="E9" s="122" t="str">
        <f t="shared" si="1"/>
        <v>否</v>
      </c>
    </row>
    <row r="10" ht="36" customHeight="1" spans="1:5">
      <c r="A10" s="105" t="s">
        <v>1735</v>
      </c>
      <c r="B10" s="115">
        <v>26671</v>
      </c>
      <c r="C10" s="107">
        <v>16932</v>
      </c>
      <c r="D10" s="108">
        <f t="shared" si="0"/>
        <v>-0.365153162611076</v>
      </c>
      <c r="E10" s="122" t="str">
        <f t="shared" si="1"/>
        <v>是</v>
      </c>
    </row>
    <row r="11" ht="36" customHeight="1" spans="1:5">
      <c r="A11" s="109" t="s">
        <v>1736</v>
      </c>
      <c r="B11" s="113">
        <v>283822</v>
      </c>
      <c r="C11" s="110">
        <v>299442</v>
      </c>
      <c r="D11" s="114">
        <f t="shared" si="0"/>
        <v>0.0550344934501201</v>
      </c>
      <c r="E11" s="122" t="str">
        <f t="shared" si="1"/>
        <v>是</v>
      </c>
    </row>
    <row r="12" s="96" customFormat="1" ht="36" customHeight="1" spans="1:5">
      <c r="A12" s="105" t="s">
        <v>1748</v>
      </c>
      <c r="B12" s="111"/>
      <c r="C12" s="112"/>
      <c r="D12" s="108" t="str">
        <f t="shared" si="0"/>
        <v/>
      </c>
      <c r="E12" s="122" t="str">
        <f t="shared" si="1"/>
        <v>否</v>
      </c>
    </row>
    <row r="13" s="96" customFormat="1" ht="36" customHeight="1" spans="1:5">
      <c r="A13" s="109" t="s">
        <v>1738</v>
      </c>
      <c r="B13" s="113"/>
      <c r="C13" s="110"/>
      <c r="D13" s="114" t="str">
        <f t="shared" si="0"/>
        <v/>
      </c>
      <c r="E13" s="122" t="str">
        <f t="shared" si="1"/>
        <v>否</v>
      </c>
    </row>
    <row r="14" s="96" customFormat="1" ht="36" customHeight="1" spans="1:5">
      <c r="A14" s="116" t="s">
        <v>1749</v>
      </c>
      <c r="B14" s="115">
        <v>17977</v>
      </c>
      <c r="C14" s="107">
        <v>17025</v>
      </c>
      <c r="D14" s="108">
        <f t="shared" si="0"/>
        <v>-0.0529565555988207</v>
      </c>
      <c r="E14" s="122" t="str">
        <f t="shared" si="1"/>
        <v>是</v>
      </c>
    </row>
    <row r="15" ht="36" customHeight="1" spans="1:5">
      <c r="A15" s="117" t="s">
        <v>1750</v>
      </c>
      <c r="B15" s="113">
        <v>194724</v>
      </c>
      <c r="C15" s="110">
        <v>208401</v>
      </c>
      <c r="D15" s="114">
        <f t="shared" si="0"/>
        <v>0.070237875146361</v>
      </c>
      <c r="E15" s="122" t="str">
        <f t="shared" si="1"/>
        <v>是</v>
      </c>
    </row>
    <row r="16" ht="36" customHeight="1" spans="1:5">
      <c r="A16" s="116" t="s">
        <v>1751</v>
      </c>
      <c r="B16" s="115">
        <v>12170</v>
      </c>
      <c r="C16" s="107">
        <v>5769</v>
      </c>
      <c r="D16" s="108">
        <f t="shared" si="0"/>
        <v>-0.525965488907149</v>
      </c>
      <c r="E16" s="122" t="str">
        <f t="shared" si="1"/>
        <v>是</v>
      </c>
    </row>
    <row r="17" ht="36" customHeight="1" spans="1:5">
      <c r="A17" s="118" t="s">
        <v>1752</v>
      </c>
      <c r="B17" s="113">
        <v>103576</v>
      </c>
      <c r="C17" s="110">
        <v>106195</v>
      </c>
      <c r="D17" s="114">
        <f t="shared" si="0"/>
        <v>0.0252857804896887</v>
      </c>
      <c r="E17" s="122" t="str">
        <f t="shared" si="1"/>
        <v>是</v>
      </c>
    </row>
    <row r="18" ht="36" customHeight="1" spans="1:5">
      <c r="A18" s="119" t="s">
        <v>1743</v>
      </c>
      <c r="B18" s="112">
        <f>B4+B6+B8+B10+B12+B14+B16</f>
        <v>57509</v>
      </c>
      <c r="C18" s="112">
        <f>C4+C6+C8+C10+C12+C14+C16</f>
        <v>37984</v>
      </c>
      <c r="D18" s="108">
        <f t="shared" si="0"/>
        <v>-0.339512076370655</v>
      </c>
      <c r="E18" s="122" t="str">
        <f t="shared" si="1"/>
        <v>是</v>
      </c>
    </row>
    <row r="19" ht="36" customHeight="1" spans="1:5">
      <c r="A19" s="120" t="s">
        <v>1744</v>
      </c>
      <c r="B19" s="112">
        <f>B5+B7+B9+B11+B13+B15+B17</f>
        <v>605283</v>
      </c>
      <c r="C19" s="112">
        <f>C5+C7+C9+C11+C13+C15+C17</f>
        <v>635211</v>
      </c>
      <c r="D19" s="108">
        <f t="shared" si="0"/>
        <v>0.0494446399452818</v>
      </c>
      <c r="E19" s="122" t="str">
        <f t="shared" si="1"/>
        <v>是</v>
      </c>
    </row>
    <row r="20" spans="2:3">
      <c r="B20" s="121"/>
      <c r="C20" s="121"/>
    </row>
    <row r="21" spans="2:3">
      <c r="B21" s="121"/>
      <c r="C21" s="121"/>
    </row>
    <row r="22" spans="2:3">
      <c r="B22" s="121"/>
      <c r="C22" s="121"/>
    </row>
    <row r="23" spans="2:3">
      <c r="B23" s="121"/>
      <c r="C23" s="121"/>
    </row>
  </sheetData>
  <autoFilter ref="A3:E19">
    <extLst/>
  </autoFilter>
  <mergeCells count="1">
    <mergeCell ref="A1:D1"/>
  </mergeCells>
  <printOptions horizontalCentered="1"/>
  <pageMargins left="0.471527777777778" right="0.393055555555556" top="0.747916666666667" bottom="0.747916666666667" header="0.313888888888889" footer="0.313888888888889"/>
  <pageSetup paperSize="9" scale="75" orientation="portrait"/>
  <headerFooter alignWithMargins="0">
    <oddFooter>&amp;C&amp;16- &amp;P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0"/>
  <dimension ref="A1:H42"/>
  <sheetViews>
    <sheetView view="pageBreakPreview" zoomScaleNormal="80" topLeftCell="B1" workbookViewId="0">
      <selection activeCell="K18" sqref="K18"/>
    </sheetView>
  </sheetViews>
  <sheetFormatPr defaultColWidth="9" defaultRowHeight="13.5" outlineLevelCol="7"/>
  <cols>
    <col min="1" max="1" width="50.6333333333333" style="32" customWidth="1"/>
    <col min="2" max="4" width="18.6333333333333" style="32" customWidth="1"/>
    <col min="5" max="5" width="51.3833333333333" style="32" customWidth="1"/>
    <col min="6" max="8" width="18.6333333333333" style="32" customWidth="1"/>
    <col min="9" max="9" width="11.5" style="32"/>
    <col min="10" max="10" width="10.375" style="32"/>
    <col min="11" max="16384" width="9" style="32"/>
  </cols>
  <sheetData>
    <row r="1" s="32" customFormat="1" ht="45" customHeight="1" spans="1:8">
      <c r="A1" s="33" t="s">
        <v>94</v>
      </c>
      <c r="B1" s="33"/>
      <c r="C1" s="33"/>
      <c r="D1" s="33"/>
      <c r="E1" s="33" t="s">
        <v>94</v>
      </c>
      <c r="F1" s="33"/>
      <c r="G1" s="33"/>
      <c r="H1" s="33"/>
    </row>
    <row r="2" s="31" customFormat="1" ht="20.1" customHeight="1" spans="1:8">
      <c r="A2" s="95" t="s">
        <v>93</v>
      </c>
      <c r="B2" s="34"/>
      <c r="C2" s="34"/>
      <c r="D2" s="35" t="s">
        <v>1929</v>
      </c>
      <c r="E2" s="95" t="s">
        <v>93</v>
      </c>
      <c r="F2" s="35"/>
      <c r="G2" s="35"/>
      <c r="H2" s="35" t="s">
        <v>103</v>
      </c>
    </row>
    <row r="3" s="31" customFormat="1" ht="25" customHeight="1" spans="1:8">
      <c r="A3" s="36" t="s">
        <v>1930</v>
      </c>
      <c r="B3" s="37" t="s">
        <v>1931</v>
      </c>
      <c r="C3" s="37"/>
      <c r="D3" s="37"/>
      <c r="E3" s="36" t="s">
        <v>1930</v>
      </c>
      <c r="F3" s="37" t="s">
        <v>1932</v>
      </c>
      <c r="G3" s="37"/>
      <c r="H3" s="37"/>
    </row>
    <row r="4" s="32" customFormat="1" ht="37.5" spans="1:8">
      <c r="A4" s="36"/>
      <c r="B4" s="36" t="s">
        <v>106</v>
      </c>
      <c r="C4" s="36" t="s">
        <v>1753</v>
      </c>
      <c r="D4" s="38" t="s">
        <v>1933</v>
      </c>
      <c r="E4" s="36"/>
      <c r="F4" s="36" t="s">
        <v>106</v>
      </c>
      <c r="G4" s="36" t="s">
        <v>1753</v>
      </c>
      <c r="H4" s="38" t="s">
        <v>1933</v>
      </c>
    </row>
    <row r="5" s="32" customFormat="1" ht="25" customHeight="1" spans="1:8">
      <c r="A5" s="36" t="s">
        <v>1934</v>
      </c>
      <c r="B5" s="36"/>
      <c r="C5" s="36"/>
      <c r="D5" s="36"/>
      <c r="E5" s="36" t="s">
        <v>1934</v>
      </c>
      <c r="F5" s="36"/>
      <c r="G5" s="36"/>
      <c r="H5" s="36"/>
    </row>
    <row r="6" s="32" customFormat="1" ht="25" customHeight="1" spans="1:8">
      <c r="A6" s="44" t="s">
        <v>1935</v>
      </c>
      <c r="B6" s="40">
        <v>1525133.21</v>
      </c>
      <c r="C6" s="40">
        <v>1539216.34</v>
      </c>
      <c r="D6" s="41">
        <f t="shared" ref="D6:D14" si="0">IF(B6&lt;&gt;0,C6/B6-1,"")</f>
        <v>0.00923403274393331</v>
      </c>
      <c r="E6" s="44" t="s">
        <v>1935</v>
      </c>
      <c r="F6" s="42">
        <v>620517.54</v>
      </c>
      <c r="G6" s="40">
        <v>634917.2</v>
      </c>
      <c r="H6" s="41">
        <f t="shared" ref="H6:H10" si="1">IF(F6&lt;&gt;0,G6/F6-1,"")</f>
        <v>0.0232058871373724</v>
      </c>
    </row>
    <row r="7" s="32" customFormat="1" ht="25" customHeight="1" spans="1:8">
      <c r="A7" s="44" t="s">
        <v>1936</v>
      </c>
      <c r="B7" s="40">
        <v>1583594</v>
      </c>
      <c r="C7" s="40">
        <v>1615791</v>
      </c>
      <c r="D7" s="45">
        <f t="shared" si="0"/>
        <v>0.0203316001449867</v>
      </c>
      <c r="E7" s="44" t="s">
        <v>1936</v>
      </c>
      <c r="F7" s="42">
        <v>643464</v>
      </c>
      <c r="G7" s="42">
        <v>663364</v>
      </c>
      <c r="H7" s="41">
        <f t="shared" si="1"/>
        <v>0.0309263610707049</v>
      </c>
    </row>
    <row r="8" s="32" customFormat="1" ht="25" customHeight="1" spans="1:8">
      <c r="A8" s="44" t="s">
        <v>1937</v>
      </c>
      <c r="B8" s="42">
        <f t="shared" ref="B8:G8" si="2">SUM(B9:B12)</f>
        <v>180780</v>
      </c>
      <c r="C8" s="42">
        <f t="shared" si="2"/>
        <v>237944.86</v>
      </c>
      <c r="D8" s="45">
        <f t="shared" si="0"/>
        <v>0.316212302245824</v>
      </c>
      <c r="E8" s="44" t="s">
        <v>1937</v>
      </c>
      <c r="F8" s="42">
        <f t="shared" si="2"/>
        <v>85710</v>
      </c>
      <c r="G8" s="42">
        <f t="shared" si="2"/>
        <v>135650</v>
      </c>
      <c r="H8" s="41">
        <f t="shared" si="1"/>
        <v>0.582662466456656</v>
      </c>
    </row>
    <row r="9" s="32" customFormat="1" ht="25" customHeight="1" spans="1:8">
      <c r="A9" s="43" t="s">
        <v>1938</v>
      </c>
      <c r="B9" s="42">
        <v>19000</v>
      </c>
      <c r="C9" s="42">
        <v>21000</v>
      </c>
      <c r="D9" s="45">
        <f t="shared" si="0"/>
        <v>0.105263157894737</v>
      </c>
      <c r="E9" s="43" t="s">
        <v>1938</v>
      </c>
      <c r="F9" s="42">
        <v>16700</v>
      </c>
      <c r="G9" s="42">
        <v>21000</v>
      </c>
      <c r="H9" s="41">
        <f t="shared" si="1"/>
        <v>0.25748502994012</v>
      </c>
    </row>
    <row r="10" s="32" customFormat="1" ht="25" customHeight="1" spans="1:8">
      <c r="A10" s="43" t="s">
        <v>1939</v>
      </c>
      <c r="B10" s="42">
        <v>158830</v>
      </c>
      <c r="C10" s="42">
        <v>212645</v>
      </c>
      <c r="D10" s="45">
        <f t="shared" si="0"/>
        <v>0.33882138135113</v>
      </c>
      <c r="E10" s="43" t="s">
        <v>1939</v>
      </c>
      <c r="F10" s="42">
        <v>69010</v>
      </c>
      <c r="G10" s="42">
        <v>114650</v>
      </c>
      <c r="H10" s="41">
        <f t="shared" si="1"/>
        <v>0.66135342703956</v>
      </c>
    </row>
    <row r="11" s="32" customFormat="1" ht="25" customHeight="1" spans="1:8">
      <c r="A11" s="43" t="s">
        <v>1940</v>
      </c>
      <c r="B11" s="42">
        <v>0</v>
      </c>
      <c r="C11" s="42">
        <v>0</v>
      </c>
      <c r="D11" s="45" t="str">
        <f t="shared" si="0"/>
        <v/>
      </c>
      <c r="E11" s="43" t="s">
        <v>1940</v>
      </c>
      <c r="F11" s="42"/>
      <c r="G11" s="42"/>
      <c r="H11" s="41"/>
    </row>
    <row r="12" s="32" customFormat="1" ht="25" customHeight="1" spans="1:8">
      <c r="A12" s="44" t="s">
        <v>1941</v>
      </c>
      <c r="B12" s="42">
        <v>2950</v>
      </c>
      <c r="C12" s="42">
        <v>4299.86</v>
      </c>
      <c r="D12" s="45">
        <f t="shared" si="0"/>
        <v>0.457579661016949</v>
      </c>
      <c r="E12" s="44" t="s">
        <v>1941</v>
      </c>
      <c r="F12" s="42"/>
      <c r="G12" s="42"/>
      <c r="H12" s="41"/>
    </row>
    <row r="13" s="32" customFormat="1" ht="25" customHeight="1" spans="1:8">
      <c r="A13" s="44" t="s">
        <v>1942</v>
      </c>
      <c r="B13" s="42">
        <f>160205.55+15000</f>
        <v>175205.55</v>
      </c>
      <c r="C13" s="42">
        <f>214265.69+19755</f>
        <v>234020.69</v>
      </c>
      <c r="D13" s="45">
        <f t="shared" si="0"/>
        <v>0.335692219795549</v>
      </c>
      <c r="E13" s="44" t="s">
        <v>1942</v>
      </c>
      <c r="F13" s="42">
        <f>71305.55+4900</f>
        <v>76205.55</v>
      </c>
      <c r="G13" s="42">
        <f>121855.69+5000</f>
        <v>126855.69</v>
      </c>
      <c r="H13" s="41">
        <f t="shared" ref="H13:H24" si="3">IF(F13&lt;&gt;0,G13/F13-1,"")</f>
        <v>0.664651590336924</v>
      </c>
    </row>
    <row r="14" s="32" customFormat="1" ht="25" customHeight="1" spans="1:8">
      <c r="A14" s="44" t="s">
        <v>1943</v>
      </c>
      <c r="B14" s="40">
        <f t="shared" ref="B14:G14" si="4">B15-(B6+B8-B13)</f>
        <v>8508.68000000017</v>
      </c>
      <c r="C14" s="40">
        <f t="shared" si="4"/>
        <v>19583.7399999998</v>
      </c>
      <c r="D14" s="45">
        <f t="shared" si="0"/>
        <v>1.30161905254392</v>
      </c>
      <c r="E14" s="44" t="s">
        <v>1943</v>
      </c>
      <c r="F14" s="40">
        <f t="shared" si="4"/>
        <v>4895.20999999996</v>
      </c>
      <c r="G14" s="40">
        <f t="shared" si="4"/>
        <v>5009.84999999998</v>
      </c>
      <c r="H14" s="41">
        <f t="shared" si="3"/>
        <v>0.0234188114503799</v>
      </c>
    </row>
    <row r="15" s="32" customFormat="1" ht="25" customHeight="1" spans="1:8">
      <c r="A15" s="44" t="s">
        <v>1944</v>
      </c>
      <c r="B15" s="40">
        <v>1539216.34</v>
      </c>
      <c r="C15" s="40">
        <v>1562724.25</v>
      </c>
      <c r="D15" s="45">
        <f t="shared" ref="D15:D24" si="5">IF(B15&lt;&gt;0,C15/B15-1,"")</f>
        <v>0.0152726484179604</v>
      </c>
      <c r="E15" s="44" t="s">
        <v>1944</v>
      </c>
      <c r="F15" s="40">
        <v>634917.2</v>
      </c>
      <c r="G15" s="40">
        <v>648721.36</v>
      </c>
      <c r="H15" s="41">
        <f t="shared" si="3"/>
        <v>0.0217416696224326</v>
      </c>
    </row>
    <row r="16" s="32" customFormat="1" ht="25" customHeight="1" spans="1:8">
      <c r="A16" s="65" t="s">
        <v>1945</v>
      </c>
      <c r="B16" s="65"/>
      <c r="C16" s="65"/>
      <c r="D16" s="65"/>
      <c r="E16" s="65" t="s">
        <v>1945</v>
      </c>
      <c r="F16" s="65"/>
      <c r="G16" s="65"/>
      <c r="H16" s="65"/>
    </row>
    <row r="17" s="32" customFormat="1" ht="25" customHeight="1" spans="1:8">
      <c r="A17" s="44" t="s">
        <v>1946</v>
      </c>
      <c r="B17" s="42">
        <v>2668289.31</v>
      </c>
      <c r="C17" s="42">
        <v>2991120</v>
      </c>
      <c r="D17" s="45">
        <f t="shared" si="5"/>
        <v>0.120987888678383</v>
      </c>
      <c r="E17" s="44" t="s">
        <v>1946</v>
      </c>
      <c r="F17" s="42">
        <v>557850</v>
      </c>
      <c r="G17" s="42">
        <v>634540</v>
      </c>
      <c r="H17" s="41">
        <f t="shared" si="3"/>
        <v>0.137474231424218</v>
      </c>
    </row>
    <row r="18" s="32" customFormat="1" ht="25" customHeight="1" spans="1:8">
      <c r="A18" s="44" t="s">
        <v>1947</v>
      </c>
      <c r="B18" s="42">
        <v>3002500</v>
      </c>
      <c r="C18" s="42">
        <v>3250800</v>
      </c>
      <c r="D18" s="45">
        <f t="shared" si="5"/>
        <v>0.0826977518734389</v>
      </c>
      <c r="E18" s="44" t="s">
        <v>1947</v>
      </c>
      <c r="F18" s="42">
        <v>634850</v>
      </c>
      <c r="G18" s="42">
        <v>666952</v>
      </c>
      <c r="H18" s="41">
        <f t="shared" si="3"/>
        <v>0.0505662754981491</v>
      </c>
    </row>
    <row r="19" s="32" customFormat="1" ht="25" customHeight="1" spans="1:8">
      <c r="A19" s="44" t="s">
        <v>1948</v>
      </c>
      <c r="B19" s="42">
        <f t="shared" ref="B19:G19" si="6">SUM(B20:B22)</f>
        <v>419670</v>
      </c>
      <c r="C19" s="42">
        <f t="shared" si="6"/>
        <v>487330</v>
      </c>
      <c r="D19" s="45">
        <f t="shared" si="5"/>
        <v>0.161221912455024</v>
      </c>
      <c r="E19" s="44" t="s">
        <v>1948</v>
      </c>
      <c r="F19" s="42">
        <f t="shared" si="6"/>
        <v>77790</v>
      </c>
      <c r="G19" s="42">
        <f t="shared" si="6"/>
        <v>81742</v>
      </c>
      <c r="H19" s="41">
        <f t="shared" si="3"/>
        <v>0.0508034451729014</v>
      </c>
    </row>
    <row r="20" s="32" customFormat="1" ht="25" customHeight="1" spans="1:8">
      <c r="A20" s="43" t="s">
        <v>1949</v>
      </c>
      <c r="B20" s="42">
        <v>141000</v>
      </c>
      <c r="C20" s="42">
        <v>152300</v>
      </c>
      <c r="D20" s="45">
        <f t="shared" si="5"/>
        <v>0.0801418439716313</v>
      </c>
      <c r="E20" s="43" t="s">
        <v>1949</v>
      </c>
      <c r="F20" s="42">
        <v>34000</v>
      </c>
      <c r="G20" s="42">
        <v>6931</v>
      </c>
      <c r="H20" s="41">
        <f t="shared" si="3"/>
        <v>-0.796147058823529</v>
      </c>
    </row>
    <row r="21" s="32" customFormat="1" ht="25" customHeight="1" spans="1:8">
      <c r="A21" s="43" t="s">
        <v>1950</v>
      </c>
      <c r="B21" s="42">
        <v>278670</v>
      </c>
      <c r="C21" s="42">
        <v>335030</v>
      </c>
      <c r="D21" s="45">
        <f t="shared" si="5"/>
        <v>0.202246384612624</v>
      </c>
      <c r="E21" s="43" t="s">
        <v>1950</v>
      </c>
      <c r="F21" s="42">
        <v>43790</v>
      </c>
      <c r="G21" s="42">
        <v>74811</v>
      </c>
      <c r="H21" s="41">
        <f t="shared" si="3"/>
        <v>0.708403745147294</v>
      </c>
    </row>
    <row r="22" s="32" customFormat="1" ht="25" customHeight="1" spans="1:8">
      <c r="A22" s="43" t="s">
        <v>1951</v>
      </c>
      <c r="B22" s="42"/>
      <c r="C22" s="42"/>
      <c r="D22" s="45" t="str">
        <f t="shared" si="5"/>
        <v/>
      </c>
      <c r="E22" s="43" t="s">
        <v>1951</v>
      </c>
      <c r="F22" s="42"/>
      <c r="G22" s="42"/>
      <c r="H22" s="41" t="str">
        <f t="shared" si="3"/>
        <v/>
      </c>
    </row>
    <row r="23" s="32" customFormat="1" ht="25" customHeight="1" spans="1:8">
      <c r="A23" s="44" t="s">
        <v>1952</v>
      </c>
      <c r="B23" s="42">
        <f>96400+16000+176000</f>
        <v>288400</v>
      </c>
      <c r="C23" s="42">
        <v>361400</v>
      </c>
      <c r="D23" s="45">
        <f t="shared" si="5"/>
        <v>0.253120665742025</v>
      </c>
      <c r="E23" s="44" t="s">
        <v>1952</v>
      </c>
      <c r="F23" s="42">
        <f>1100+42800</f>
        <v>43900</v>
      </c>
      <c r="G23" s="42">
        <v>80421</v>
      </c>
      <c r="H23" s="41">
        <f t="shared" si="3"/>
        <v>0.831913439635535</v>
      </c>
    </row>
    <row r="24" s="32" customFormat="1" ht="25" customHeight="1" spans="1:8">
      <c r="A24" s="39" t="s">
        <v>1953</v>
      </c>
      <c r="B24" s="40">
        <f t="shared" ref="B24:G24" si="7">B25-(B17+B19-B23)</f>
        <v>191560.69</v>
      </c>
      <c r="C24" s="40">
        <f t="shared" si="7"/>
        <v>101000</v>
      </c>
      <c r="D24" s="45">
        <f t="shared" si="5"/>
        <v>-0.472751951352858</v>
      </c>
      <c r="E24" s="39" t="s">
        <v>1953</v>
      </c>
      <c r="F24" s="40">
        <f t="shared" si="7"/>
        <v>42800</v>
      </c>
      <c r="G24" s="40">
        <f t="shared" si="7"/>
        <v>25971</v>
      </c>
      <c r="H24" s="41">
        <f t="shared" si="3"/>
        <v>-0.393200934579439</v>
      </c>
    </row>
    <row r="25" s="32" customFormat="1" ht="25" customHeight="1" spans="1:8">
      <c r="A25" s="39" t="s">
        <v>1954</v>
      </c>
      <c r="B25" s="42">
        <v>2991120</v>
      </c>
      <c r="C25" s="42">
        <v>3218050</v>
      </c>
      <c r="D25" s="45">
        <f t="shared" ref="D25:D36" si="8">IF(B25&lt;&gt;0,C25/B25-1,"")</f>
        <v>0.075867902324213</v>
      </c>
      <c r="E25" s="39" t="s">
        <v>1954</v>
      </c>
      <c r="F25" s="42">
        <v>634540</v>
      </c>
      <c r="G25" s="42">
        <v>661832</v>
      </c>
      <c r="H25" s="41">
        <f t="shared" ref="H25:H31" si="9">IF(F25&lt;&gt;0,G25/F25-1,"")</f>
        <v>0.0430106849056009</v>
      </c>
    </row>
    <row r="26" s="32" customFormat="1" ht="25" customHeight="1" spans="1:8">
      <c r="A26" s="65" t="s">
        <v>1827</v>
      </c>
      <c r="B26" s="65"/>
      <c r="C26" s="65"/>
      <c r="D26" s="65"/>
      <c r="E26" s="65" t="s">
        <v>1827</v>
      </c>
      <c r="F26" s="65"/>
      <c r="G26" s="65"/>
      <c r="H26" s="65"/>
    </row>
    <row r="27" s="32" customFormat="1" ht="25" customHeight="1" spans="1:8">
      <c r="A27" s="44" t="s">
        <v>1955</v>
      </c>
      <c r="B27" s="46">
        <f t="shared" ref="B27:G27" si="10">B6+B17</f>
        <v>4193422.52</v>
      </c>
      <c r="C27" s="46">
        <f t="shared" si="10"/>
        <v>4530336.34</v>
      </c>
      <c r="D27" s="45">
        <f t="shared" si="8"/>
        <v>0.0803433993100222</v>
      </c>
      <c r="E27" s="44" t="s">
        <v>1955</v>
      </c>
      <c r="F27" s="46">
        <f t="shared" si="10"/>
        <v>1178367.54</v>
      </c>
      <c r="G27" s="46">
        <f t="shared" si="10"/>
        <v>1269457.2</v>
      </c>
      <c r="H27" s="41">
        <f t="shared" si="9"/>
        <v>0.0773015692540207</v>
      </c>
    </row>
    <row r="28" s="32" customFormat="1" ht="25" customHeight="1" spans="1:8">
      <c r="A28" s="44" t="s">
        <v>1956</v>
      </c>
      <c r="B28" s="46">
        <f t="shared" ref="B28:G28" si="11">B7+B18</f>
        <v>4586094</v>
      </c>
      <c r="C28" s="46">
        <f t="shared" si="11"/>
        <v>4866591</v>
      </c>
      <c r="D28" s="45">
        <f t="shared" si="8"/>
        <v>0.0611625056093485</v>
      </c>
      <c r="E28" s="44" t="s">
        <v>1956</v>
      </c>
      <c r="F28" s="46">
        <f t="shared" si="11"/>
        <v>1278314</v>
      </c>
      <c r="G28" s="46">
        <f t="shared" si="11"/>
        <v>1330316</v>
      </c>
      <c r="H28" s="41">
        <f t="shared" si="9"/>
        <v>0.0406801458796509</v>
      </c>
    </row>
    <row r="29" s="32" customFormat="1" ht="25" customHeight="1" spans="1:8">
      <c r="A29" s="44" t="s">
        <v>1957</v>
      </c>
      <c r="B29" s="46">
        <f t="shared" ref="B29:G29" si="12">B8+B19</f>
        <v>600450</v>
      </c>
      <c r="C29" s="46">
        <f t="shared" si="12"/>
        <v>725274.86</v>
      </c>
      <c r="D29" s="45">
        <f t="shared" si="8"/>
        <v>0.207885519193938</v>
      </c>
      <c r="E29" s="44" t="s">
        <v>1957</v>
      </c>
      <c r="F29" s="46">
        <f t="shared" si="12"/>
        <v>163500</v>
      </c>
      <c r="G29" s="46">
        <f t="shared" si="12"/>
        <v>217392</v>
      </c>
      <c r="H29" s="41">
        <f t="shared" si="9"/>
        <v>0.329614678899083</v>
      </c>
    </row>
    <row r="30" s="32" customFormat="1" ht="25" customHeight="1" spans="1:8">
      <c r="A30" s="43" t="s">
        <v>1958</v>
      </c>
      <c r="B30" s="46">
        <f t="shared" ref="B30:G30" si="13">B9+B20</f>
        <v>160000</v>
      </c>
      <c r="C30" s="46">
        <f t="shared" si="13"/>
        <v>173300</v>
      </c>
      <c r="D30" s="45">
        <f t="shared" si="8"/>
        <v>0.0831249999999999</v>
      </c>
      <c r="E30" s="43" t="s">
        <v>1958</v>
      </c>
      <c r="F30" s="46">
        <f t="shared" si="13"/>
        <v>50700</v>
      </c>
      <c r="G30" s="46">
        <f t="shared" si="13"/>
        <v>27931</v>
      </c>
      <c r="H30" s="41">
        <f t="shared" si="9"/>
        <v>-0.449092702169625</v>
      </c>
    </row>
    <row r="31" s="32" customFormat="1" ht="25" customHeight="1" spans="1:8">
      <c r="A31" s="43" t="s">
        <v>1959</v>
      </c>
      <c r="B31" s="46">
        <f t="shared" ref="B31:G31" si="14">B10+B21</f>
        <v>437500</v>
      </c>
      <c r="C31" s="46">
        <f t="shared" si="14"/>
        <v>547675</v>
      </c>
      <c r="D31" s="45">
        <f t="shared" si="8"/>
        <v>0.251828571428572</v>
      </c>
      <c r="E31" s="43" t="s">
        <v>1959</v>
      </c>
      <c r="F31" s="46">
        <f t="shared" si="14"/>
        <v>112800</v>
      </c>
      <c r="G31" s="46">
        <f t="shared" si="14"/>
        <v>189461</v>
      </c>
      <c r="H31" s="41">
        <f t="shared" si="9"/>
        <v>0.679618794326241</v>
      </c>
    </row>
    <row r="32" s="32" customFormat="1" ht="25" customHeight="1" spans="1:8">
      <c r="A32" s="43" t="s">
        <v>1960</v>
      </c>
      <c r="B32" s="46">
        <f t="shared" ref="B32:G32" si="15">B11+B22</f>
        <v>0</v>
      </c>
      <c r="C32" s="46">
        <f t="shared" si="15"/>
        <v>0</v>
      </c>
      <c r="D32" s="45" t="str">
        <f t="shared" si="8"/>
        <v/>
      </c>
      <c r="E32" s="43" t="s">
        <v>1960</v>
      </c>
      <c r="F32" s="46">
        <f t="shared" si="15"/>
        <v>0</v>
      </c>
      <c r="G32" s="46">
        <f t="shared" si="15"/>
        <v>0</v>
      </c>
      <c r="H32" s="41"/>
    </row>
    <row r="33" s="32" customFormat="1" ht="25" customHeight="1" spans="1:8">
      <c r="A33" s="44" t="s">
        <v>1941</v>
      </c>
      <c r="B33" s="46">
        <f t="shared" ref="B33:G33" si="16">B12</f>
        <v>2950</v>
      </c>
      <c r="C33" s="46">
        <f t="shared" si="16"/>
        <v>4299.86</v>
      </c>
      <c r="D33" s="45">
        <f t="shared" si="8"/>
        <v>0.457579661016949</v>
      </c>
      <c r="E33" s="44" t="s">
        <v>1941</v>
      </c>
      <c r="F33" s="46">
        <f t="shared" si="16"/>
        <v>0</v>
      </c>
      <c r="G33" s="46">
        <f t="shared" si="16"/>
        <v>0</v>
      </c>
      <c r="H33" s="41"/>
    </row>
    <row r="34" s="32" customFormat="1" ht="25" customHeight="1" spans="1:8">
      <c r="A34" s="44" t="s">
        <v>1961</v>
      </c>
      <c r="B34" s="46">
        <f t="shared" ref="B34:G34" si="17">B13+B23</f>
        <v>463605.55</v>
      </c>
      <c r="C34" s="46">
        <f t="shared" si="17"/>
        <v>595420.69</v>
      </c>
      <c r="D34" s="45">
        <f t="shared" si="8"/>
        <v>0.284326061238913</v>
      </c>
      <c r="E34" s="44" t="s">
        <v>1961</v>
      </c>
      <c r="F34" s="46">
        <f t="shared" si="17"/>
        <v>120105.55</v>
      </c>
      <c r="G34" s="46">
        <f t="shared" si="17"/>
        <v>207276.69</v>
      </c>
      <c r="H34" s="41">
        <f>IF(F34&lt;&gt;0,G34/F34-1,"")</f>
        <v>0.725787775835505</v>
      </c>
    </row>
    <row r="35" s="32" customFormat="1" ht="25" customHeight="1" spans="1:8">
      <c r="A35" s="44" t="s">
        <v>1962</v>
      </c>
      <c r="B35" s="46">
        <f t="shared" ref="B35:G35" si="18">B24+B14</f>
        <v>200069.37</v>
      </c>
      <c r="C35" s="46">
        <f t="shared" si="18"/>
        <v>120583.74</v>
      </c>
      <c r="D35" s="45">
        <f t="shared" si="8"/>
        <v>-0.397290349842159</v>
      </c>
      <c r="E35" s="44" t="s">
        <v>1962</v>
      </c>
      <c r="F35" s="46">
        <f t="shared" si="18"/>
        <v>47695.21</v>
      </c>
      <c r="G35" s="46">
        <f t="shared" si="18"/>
        <v>30980.85</v>
      </c>
      <c r="H35" s="41">
        <f>IF(F35&lt;&gt;0,G35/F35-1,"")</f>
        <v>-0.350441061062526</v>
      </c>
    </row>
    <row r="36" s="32" customFormat="1" ht="25" customHeight="1" spans="1:8">
      <c r="A36" s="44" t="s">
        <v>1963</v>
      </c>
      <c r="B36" s="46">
        <f t="shared" ref="B36:G36" si="19">B15+B25</f>
        <v>4530336.34</v>
      </c>
      <c r="C36" s="46">
        <f t="shared" si="19"/>
        <v>4780774.25</v>
      </c>
      <c r="D36" s="45">
        <f t="shared" si="8"/>
        <v>0.055280202440775</v>
      </c>
      <c r="E36" s="44" t="s">
        <v>1963</v>
      </c>
      <c r="F36" s="46">
        <f t="shared" si="19"/>
        <v>1269457.2</v>
      </c>
      <c r="G36" s="46">
        <f t="shared" si="19"/>
        <v>1310553.36</v>
      </c>
      <c r="H36" s="45">
        <f>IF(F36&lt;&gt;0,G36/F36-1,"")</f>
        <v>0.032373017380972</v>
      </c>
    </row>
    <row r="37" s="32" customFormat="1" ht="25" customHeight="1" spans="1:8">
      <c r="A37" s="47"/>
      <c r="B37" s="47"/>
      <c r="C37" s="47"/>
      <c r="D37" s="47"/>
      <c r="E37" s="47"/>
      <c r="F37" s="47"/>
      <c r="G37" s="47"/>
      <c r="H37" s="47"/>
    </row>
    <row r="38" s="32" customFormat="1" spans="2:7">
      <c r="B38" s="49"/>
      <c r="C38" s="49"/>
      <c r="F38" s="49"/>
      <c r="G38" s="49"/>
    </row>
    <row r="39" s="32" customFormat="1" spans="2:7">
      <c r="B39" s="49"/>
      <c r="C39" s="49"/>
      <c r="F39" s="49"/>
      <c r="G39" s="49"/>
    </row>
    <row r="40" s="32" customFormat="1" spans="2:7">
      <c r="B40" s="49"/>
      <c r="C40" s="49"/>
      <c r="F40" s="49"/>
      <c r="G40" s="49"/>
    </row>
    <row r="41" s="32" customFormat="1" spans="2:7">
      <c r="B41" s="49"/>
      <c r="C41" s="49"/>
      <c r="F41" s="49"/>
      <c r="G41" s="49"/>
    </row>
    <row r="42" s="32" customFormat="1" spans="2:7">
      <c r="B42" s="49"/>
      <c r="C42" s="49"/>
      <c r="F42" s="49"/>
      <c r="G42" s="49"/>
    </row>
  </sheetData>
  <mergeCells count="14">
    <mergeCell ref="A1:D1"/>
    <mergeCell ref="E1:H1"/>
    <mergeCell ref="B3:D3"/>
    <mergeCell ref="F3:H3"/>
    <mergeCell ref="A5:D5"/>
    <mergeCell ref="E5:H5"/>
    <mergeCell ref="A16:D16"/>
    <mergeCell ref="E16:H16"/>
    <mergeCell ref="A26:D26"/>
    <mergeCell ref="E26:H26"/>
    <mergeCell ref="A37:D37"/>
    <mergeCell ref="E37:H37"/>
    <mergeCell ref="A3:A4"/>
    <mergeCell ref="E3:E4"/>
  </mergeCells>
  <pageMargins left="0.751388888888889" right="0.751388888888889" top="1" bottom="1" header="0.5" footer="0.5"/>
  <pageSetup paperSize="9" scale="71" orientation="portrait" horizontalDpi="600"/>
  <headerFooter>
    <oddFooter>&amp;C- &amp;P -</oddFooter>
  </headerFooter>
  <ignoredErrors>
    <ignoredError sqref="F35:G35 B35:C35" formula="1"/>
    <ignoredError sqref="G19 C19" formulaRange="1"/>
  </ignoredError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1"/>
  <dimension ref="A1:P30"/>
  <sheetViews>
    <sheetView view="pageBreakPreview" zoomScale="70" zoomScaleNormal="70" topLeftCell="E6" workbookViewId="0">
      <selection activeCell="B15" sqref="B15:D17"/>
    </sheetView>
  </sheetViews>
  <sheetFormatPr defaultColWidth="9" defaultRowHeight="13.5"/>
  <cols>
    <col min="1" max="1" width="43.6333333333333" style="77" customWidth="1"/>
    <col min="2" max="4" width="20.6333333333333" style="77" customWidth="1"/>
    <col min="5" max="5" width="43.6333333333333" style="77" customWidth="1"/>
    <col min="6" max="8" width="20.6333333333333" style="77" customWidth="1"/>
    <col min="9" max="9" width="43.6333333333333" style="77" customWidth="1"/>
    <col min="10" max="12" width="20.6333333333333" style="77" customWidth="1"/>
    <col min="13" max="16384" width="9" style="77"/>
  </cols>
  <sheetData>
    <row r="1" s="77" customFormat="1" ht="45" customHeight="1" spans="1:12">
      <c r="A1" s="79" t="s">
        <v>96</v>
      </c>
      <c r="B1" s="79"/>
      <c r="C1" s="79"/>
      <c r="D1" s="79"/>
      <c r="E1" s="79" t="s">
        <v>96</v>
      </c>
      <c r="F1" s="79"/>
      <c r="G1" s="79"/>
      <c r="H1" s="79"/>
      <c r="I1" s="79" t="s">
        <v>96</v>
      </c>
      <c r="J1" s="79"/>
      <c r="K1" s="79"/>
      <c r="L1" s="79"/>
    </row>
    <row r="2" s="77" customFormat="1" ht="20.1" customHeight="1" spans="1:12">
      <c r="A2" s="80" t="s">
        <v>95</v>
      </c>
      <c r="B2" s="81"/>
      <c r="C2" s="82"/>
      <c r="D2" s="83" t="s">
        <v>103</v>
      </c>
      <c r="E2" s="80" t="s">
        <v>95</v>
      </c>
      <c r="F2" s="82"/>
      <c r="G2" s="82"/>
      <c r="H2" s="83" t="s">
        <v>103</v>
      </c>
      <c r="I2" s="80" t="s">
        <v>95</v>
      </c>
      <c r="J2" s="82"/>
      <c r="K2" s="82"/>
      <c r="L2" s="83" t="s">
        <v>103</v>
      </c>
    </row>
    <row r="3" s="78" customFormat="1" ht="36" customHeight="1" spans="1:12">
      <c r="A3" s="84" t="s">
        <v>1964</v>
      </c>
      <c r="B3" s="84" t="s">
        <v>1965</v>
      </c>
      <c r="C3" s="84"/>
      <c r="D3" s="84"/>
      <c r="E3" s="84" t="s">
        <v>1964</v>
      </c>
      <c r="F3" s="84" t="s">
        <v>1966</v>
      </c>
      <c r="G3" s="84"/>
      <c r="H3" s="84"/>
      <c r="I3" s="84" t="s">
        <v>1964</v>
      </c>
      <c r="J3" s="84" t="s">
        <v>1967</v>
      </c>
      <c r="K3" s="84"/>
      <c r="L3" s="84"/>
    </row>
    <row r="4" s="78" customFormat="1" ht="36" customHeight="1" spans="1:12">
      <c r="A4" s="84"/>
      <c r="B4" s="85" t="s">
        <v>106</v>
      </c>
      <c r="C4" s="85" t="s">
        <v>1753</v>
      </c>
      <c r="D4" s="85" t="s">
        <v>1968</v>
      </c>
      <c r="E4" s="84"/>
      <c r="F4" s="85" t="s">
        <v>106</v>
      </c>
      <c r="G4" s="85" t="s">
        <v>1753</v>
      </c>
      <c r="H4" s="85" t="s">
        <v>1968</v>
      </c>
      <c r="I4" s="84"/>
      <c r="J4" s="85" t="s">
        <v>106</v>
      </c>
      <c r="K4" s="85" t="s">
        <v>1753</v>
      </c>
      <c r="L4" s="85" t="s">
        <v>1968</v>
      </c>
    </row>
    <row r="5" s="77" customFormat="1" ht="36" customHeight="1" spans="1:12">
      <c r="A5" s="86" t="s">
        <v>1969</v>
      </c>
      <c r="B5" s="87">
        <f t="shared" ref="B5:B24" si="0">F5+J5</f>
        <v>1903197.989274</v>
      </c>
      <c r="C5" s="87">
        <f t="shared" ref="C5:C24" si="1">G5+K5</f>
        <v>1891775.489274</v>
      </c>
      <c r="D5" s="87">
        <f t="shared" ref="D5:D24" si="2">SUM(H5,L5)</f>
        <v>-11422.5000000001</v>
      </c>
      <c r="E5" s="92" t="s">
        <v>1969</v>
      </c>
      <c r="F5" s="87">
        <f t="shared" ref="F5:K5" si="3">F6+F7+F8+F9</f>
        <v>463897.989274</v>
      </c>
      <c r="G5" s="87">
        <f t="shared" si="3"/>
        <v>465975.489274</v>
      </c>
      <c r="H5" s="87">
        <f t="shared" ref="H5:H24" si="4">G5-F5</f>
        <v>2077.49999999994</v>
      </c>
      <c r="I5" s="92" t="s">
        <v>1969</v>
      </c>
      <c r="J5" s="87">
        <f t="shared" si="3"/>
        <v>1439300</v>
      </c>
      <c r="K5" s="87">
        <f t="shared" si="3"/>
        <v>1425800</v>
      </c>
      <c r="L5" s="87">
        <f t="shared" ref="L5:L24" si="5">K5-J5</f>
        <v>-13500</v>
      </c>
    </row>
    <row r="6" s="77" customFormat="1" ht="36" customHeight="1" spans="1:16">
      <c r="A6" s="88" t="s">
        <v>1970</v>
      </c>
      <c r="B6" s="89">
        <f t="shared" si="0"/>
        <v>4043</v>
      </c>
      <c r="C6" s="89">
        <f t="shared" si="1"/>
        <v>4043</v>
      </c>
      <c r="D6" s="89">
        <f t="shared" si="2"/>
        <v>0</v>
      </c>
      <c r="E6" s="93" t="s">
        <v>1970</v>
      </c>
      <c r="F6" s="89">
        <v>4043</v>
      </c>
      <c r="G6" s="89">
        <v>4043</v>
      </c>
      <c r="H6" s="89">
        <f t="shared" si="4"/>
        <v>0</v>
      </c>
      <c r="I6" s="93" t="s">
        <v>1970</v>
      </c>
      <c r="J6" s="89"/>
      <c r="K6" s="89"/>
      <c r="L6" s="89">
        <f t="shared" si="5"/>
        <v>0</v>
      </c>
      <c r="P6" s="77" t="s">
        <v>3</v>
      </c>
    </row>
    <row r="7" s="77" customFormat="1" ht="36" customHeight="1" spans="1:12">
      <c r="A7" s="88" t="s">
        <v>1971</v>
      </c>
      <c r="B7" s="89">
        <f t="shared" si="0"/>
        <v>1125575.844627</v>
      </c>
      <c r="C7" s="89">
        <f t="shared" si="1"/>
        <v>1129493.344627</v>
      </c>
      <c r="D7" s="89">
        <f t="shared" si="2"/>
        <v>3917.49999999997</v>
      </c>
      <c r="E7" s="93" t="s">
        <v>1971</v>
      </c>
      <c r="F7" s="89">
        <v>261575.844627</v>
      </c>
      <c r="G7" s="89">
        <v>265493.344627</v>
      </c>
      <c r="H7" s="89">
        <f t="shared" si="4"/>
        <v>3917.49999999997</v>
      </c>
      <c r="I7" s="93" t="s">
        <v>1971</v>
      </c>
      <c r="J7" s="89">
        <v>864000</v>
      </c>
      <c r="K7" s="89">
        <v>864000</v>
      </c>
      <c r="L7" s="89">
        <f t="shared" si="5"/>
        <v>0</v>
      </c>
    </row>
    <row r="8" s="77" customFormat="1" ht="36" customHeight="1" spans="1:12">
      <c r="A8" s="88" t="s">
        <v>1972</v>
      </c>
      <c r="B8" s="89">
        <f t="shared" si="0"/>
        <v>206750</v>
      </c>
      <c r="C8" s="89">
        <f t="shared" si="1"/>
        <v>206750</v>
      </c>
      <c r="D8" s="89">
        <f t="shared" si="2"/>
        <v>0</v>
      </c>
      <c r="E8" s="93" t="s">
        <v>1972</v>
      </c>
      <c r="F8" s="89">
        <v>12750</v>
      </c>
      <c r="G8" s="89">
        <v>12750</v>
      </c>
      <c r="H8" s="89">
        <f t="shared" si="4"/>
        <v>0</v>
      </c>
      <c r="I8" s="93" t="s">
        <v>1972</v>
      </c>
      <c r="J8" s="89">
        <v>194000</v>
      </c>
      <c r="K8" s="89">
        <v>194000</v>
      </c>
      <c r="L8" s="89">
        <f t="shared" si="5"/>
        <v>0</v>
      </c>
    </row>
    <row r="9" s="77" customFormat="1" ht="36" customHeight="1" spans="1:12">
      <c r="A9" s="88" t="s">
        <v>1973</v>
      </c>
      <c r="B9" s="89">
        <f t="shared" si="0"/>
        <v>566829.144647</v>
      </c>
      <c r="C9" s="89">
        <f t="shared" si="1"/>
        <v>551489.144647</v>
      </c>
      <c r="D9" s="89">
        <f t="shared" si="2"/>
        <v>-15340</v>
      </c>
      <c r="E9" s="93" t="s">
        <v>1973</v>
      </c>
      <c r="F9" s="89">
        <v>185529.144647</v>
      </c>
      <c r="G9" s="89">
        <v>183689.144647</v>
      </c>
      <c r="H9" s="89">
        <f t="shared" si="4"/>
        <v>-1840</v>
      </c>
      <c r="I9" s="93" t="s">
        <v>1973</v>
      </c>
      <c r="J9" s="89">
        <v>381300</v>
      </c>
      <c r="K9" s="89">
        <v>367800</v>
      </c>
      <c r="L9" s="89">
        <f t="shared" si="5"/>
        <v>-13500</v>
      </c>
    </row>
    <row r="10" s="77" customFormat="1" ht="36" customHeight="1" spans="1:12">
      <c r="A10" s="88" t="s">
        <v>1974</v>
      </c>
      <c r="B10" s="89">
        <f t="shared" si="0"/>
        <v>0</v>
      </c>
      <c r="C10" s="89">
        <f t="shared" si="1"/>
        <v>0</v>
      </c>
      <c r="D10" s="89">
        <f t="shared" si="2"/>
        <v>0</v>
      </c>
      <c r="E10" s="93" t="s">
        <v>1974</v>
      </c>
      <c r="F10" s="89"/>
      <c r="G10" s="89"/>
      <c r="H10" s="89">
        <f t="shared" si="4"/>
        <v>0</v>
      </c>
      <c r="I10" s="93" t="s">
        <v>1974</v>
      </c>
      <c r="J10" s="89"/>
      <c r="K10" s="89"/>
      <c r="L10" s="89">
        <f t="shared" si="5"/>
        <v>0</v>
      </c>
    </row>
    <row r="11" s="77" customFormat="1" ht="36" customHeight="1" spans="1:12">
      <c r="A11" s="88" t="s">
        <v>1975</v>
      </c>
      <c r="B11" s="89">
        <f t="shared" si="0"/>
        <v>63960.5</v>
      </c>
      <c r="C11" s="89">
        <f t="shared" si="1"/>
        <v>62890.5</v>
      </c>
      <c r="D11" s="89">
        <f t="shared" si="2"/>
        <v>-1070</v>
      </c>
      <c r="E11" s="93" t="s">
        <v>1975</v>
      </c>
      <c r="F11" s="89">
        <v>63960.5</v>
      </c>
      <c r="G11" s="89">
        <v>62890.5</v>
      </c>
      <c r="H11" s="89">
        <f t="shared" si="4"/>
        <v>-1070</v>
      </c>
      <c r="I11" s="93" t="s">
        <v>1975</v>
      </c>
      <c r="J11" s="89"/>
      <c r="K11" s="89"/>
      <c r="L11" s="89">
        <f t="shared" si="5"/>
        <v>0</v>
      </c>
    </row>
    <row r="12" s="77" customFormat="1" ht="36" customHeight="1" spans="1:12">
      <c r="A12" s="88" t="s">
        <v>1976</v>
      </c>
      <c r="B12" s="89">
        <f t="shared" si="0"/>
        <v>1586</v>
      </c>
      <c r="C12" s="89">
        <f t="shared" si="1"/>
        <v>1316</v>
      </c>
      <c r="D12" s="89">
        <f t="shared" si="2"/>
        <v>-270</v>
      </c>
      <c r="E12" s="93" t="s">
        <v>1976</v>
      </c>
      <c r="F12" s="89">
        <v>1586</v>
      </c>
      <c r="G12" s="89">
        <v>1316</v>
      </c>
      <c r="H12" s="89">
        <f t="shared" si="4"/>
        <v>-270</v>
      </c>
      <c r="I12" s="93" t="s">
        <v>1976</v>
      </c>
      <c r="J12" s="89"/>
      <c r="K12" s="89"/>
      <c r="L12" s="89">
        <f t="shared" si="5"/>
        <v>0</v>
      </c>
    </row>
    <row r="13" s="77" customFormat="1" ht="36" customHeight="1" spans="1:12">
      <c r="A13" s="86" t="s">
        <v>1977</v>
      </c>
      <c r="B13" s="87">
        <f t="shared" si="0"/>
        <v>99000</v>
      </c>
      <c r="C13" s="87">
        <f t="shared" si="1"/>
        <v>116600</v>
      </c>
      <c r="D13" s="87">
        <f t="shared" si="2"/>
        <v>17600</v>
      </c>
      <c r="E13" s="92" t="s">
        <v>1977</v>
      </c>
      <c r="F13" s="87">
        <v>1900</v>
      </c>
      <c r="G13" s="87">
        <v>1900</v>
      </c>
      <c r="H13" s="87">
        <f t="shared" si="4"/>
        <v>0</v>
      </c>
      <c r="I13" s="92" t="s">
        <v>1977</v>
      </c>
      <c r="J13" s="87">
        <v>97100</v>
      </c>
      <c r="K13" s="87">
        <v>114700</v>
      </c>
      <c r="L13" s="87">
        <f t="shared" si="5"/>
        <v>17600</v>
      </c>
    </row>
    <row r="14" s="77" customFormat="1" ht="36" customHeight="1" spans="1:12">
      <c r="A14" s="86" t="s">
        <v>1978</v>
      </c>
      <c r="B14" s="87">
        <f t="shared" si="0"/>
        <v>219806.942</v>
      </c>
      <c r="C14" s="87">
        <f t="shared" si="1"/>
        <v>227606.942</v>
      </c>
      <c r="D14" s="87">
        <f t="shared" si="2"/>
        <v>7800</v>
      </c>
      <c r="E14" s="92" t="s">
        <v>1978</v>
      </c>
      <c r="F14" s="87">
        <v>57516.942</v>
      </c>
      <c r="G14" s="87">
        <v>57516.942</v>
      </c>
      <c r="H14" s="87">
        <f t="shared" si="4"/>
        <v>0</v>
      </c>
      <c r="I14" s="92" t="s">
        <v>1978</v>
      </c>
      <c r="J14" s="87">
        <v>162290</v>
      </c>
      <c r="K14" s="87">
        <v>170090</v>
      </c>
      <c r="L14" s="87">
        <f t="shared" si="5"/>
        <v>7800</v>
      </c>
    </row>
    <row r="15" s="77" customFormat="1" ht="36" customHeight="1" spans="1:12">
      <c r="A15" s="88" t="s">
        <v>1979</v>
      </c>
      <c r="B15" s="89">
        <f t="shared" si="0"/>
        <v>0</v>
      </c>
      <c r="C15" s="89">
        <f t="shared" si="1"/>
        <v>0</v>
      </c>
      <c r="D15" s="89">
        <f t="shared" si="2"/>
        <v>0</v>
      </c>
      <c r="E15" s="93" t="s">
        <v>1979</v>
      </c>
      <c r="F15" s="89"/>
      <c r="G15" s="89"/>
      <c r="H15" s="89">
        <f t="shared" si="4"/>
        <v>0</v>
      </c>
      <c r="I15" s="93" t="s">
        <v>1979</v>
      </c>
      <c r="J15" s="89"/>
      <c r="K15" s="89"/>
      <c r="L15" s="89">
        <f t="shared" si="5"/>
        <v>0</v>
      </c>
    </row>
    <row r="16" s="77" customFormat="1" ht="36" customHeight="1" spans="1:12">
      <c r="A16" s="88" t="s">
        <v>1980</v>
      </c>
      <c r="B16" s="89">
        <f t="shared" si="0"/>
        <v>0</v>
      </c>
      <c r="C16" s="89">
        <f t="shared" si="1"/>
        <v>0</v>
      </c>
      <c r="D16" s="89">
        <f t="shared" si="2"/>
        <v>0</v>
      </c>
      <c r="E16" s="93" t="s">
        <v>1980</v>
      </c>
      <c r="F16" s="89"/>
      <c r="G16" s="89"/>
      <c r="H16" s="89">
        <f t="shared" si="4"/>
        <v>0</v>
      </c>
      <c r="I16" s="93" t="s">
        <v>1980</v>
      </c>
      <c r="J16" s="89"/>
      <c r="K16" s="89"/>
      <c r="L16" s="89">
        <f t="shared" si="5"/>
        <v>0</v>
      </c>
    </row>
    <row r="17" s="77" customFormat="1" ht="36" customHeight="1" spans="1:12">
      <c r="A17" s="88" t="s">
        <v>1981</v>
      </c>
      <c r="B17" s="89">
        <f t="shared" si="0"/>
        <v>80275</v>
      </c>
      <c r="C17" s="89">
        <f t="shared" si="1"/>
        <v>80275</v>
      </c>
      <c r="D17" s="89">
        <f t="shared" si="2"/>
        <v>0</v>
      </c>
      <c r="E17" s="93" t="s">
        <v>1981</v>
      </c>
      <c r="F17" s="89">
        <v>14275</v>
      </c>
      <c r="G17" s="89">
        <v>14275</v>
      </c>
      <c r="H17" s="89">
        <f t="shared" si="4"/>
        <v>0</v>
      </c>
      <c r="I17" s="93" t="s">
        <v>1981</v>
      </c>
      <c r="J17" s="89">
        <v>66000</v>
      </c>
      <c r="K17" s="89">
        <v>66000</v>
      </c>
      <c r="L17" s="89">
        <f t="shared" si="5"/>
        <v>0</v>
      </c>
    </row>
    <row r="18" s="77" customFormat="1" ht="36" customHeight="1" spans="1:12">
      <c r="A18" s="86" t="s">
        <v>1982</v>
      </c>
      <c r="B18" s="87">
        <f t="shared" si="0"/>
        <v>295935.6</v>
      </c>
      <c r="C18" s="87">
        <f t="shared" si="1"/>
        <v>289695.6</v>
      </c>
      <c r="D18" s="87">
        <f t="shared" si="2"/>
        <v>-6240</v>
      </c>
      <c r="E18" s="92" t="s">
        <v>1982</v>
      </c>
      <c r="F18" s="87">
        <v>59335.6</v>
      </c>
      <c r="G18" s="87">
        <v>59095.6</v>
      </c>
      <c r="H18" s="87">
        <f t="shared" si="4"/>
        <v>-240</v>
      </c>
      <c r="I18" s="92" t="s">
        <v>1982</v>
      </c>
      <c r="J18" s="87">
        <v>236600</v>
      </c>
      <c r="K18" s="87">
        <v>230600</v>
      </c>
      <c r="L18" s="87">
        <f t="shared" si="5"/>
        <v>-6000</v>
      </c>
    </row>
    <row r="19" s="77" customFormat="1" ht="36" customHeight="1" spans="1:12">
      <c r="A19" s="86" t="s">
        <v>1983</v>
      </c>
      <c r="B19" s="87">
        <f t="shared" si="0"/>
        <v>555060.66303</v>
      </c>
      <c r="C19" s="87">
        <f t="shared" si="1"/>
        <v>562075.66303</v>
      </c>
      <c r="D19" s="87">
        <f t="shared" si="2"/>
        <v>7015</v>
      </c>
      <c r="E19" s="92" t="s">
        <v>1983</v>
      </c>
      <c r="F19" s="87">
        <v>110930.66303</v>
      </c>
      <c r="G19" s="87">
        <v>121055.66303</v>
      </c>
      <c r="H19" s="87">
        <f t="shared" si="4"/>
        <v>10125</v>
      </c>
      <c r="I19" s="92" t="s">
        <v>1983</v>
      </c>
      <c r="J19" s="87">
        <v>444130</v>
      </c>
      <c r="K19" s="87">
        <v>441020</v>
      </c>
      <c r="L19" s="87">
        <f t="shared" si="5"/>
        <v>-3110</v>
      </c>
    </row>
    <row r="20" s="77" customFormat="1" ht="36" customHeight="1" spans="1:12">
      <c r="A20" s="86" t="s">
        <v>1984</v>
      </c>
      <c r="B20" s="87">
        <f t="shared" si="0"/>
        <v>544550.01965</v>
      </c>
      <c r="C20" s="87">
        <f t="shared" si="1"/>
        <v>550982.51965</v>
      </c>
      <c r="D20" s="87">
        <f t="shared" si="2"/>
        <v>6432.5</v>
      </c>
      <c r="E20" s="92" t="s">
        <v>1984</v>
      </c>
      <c r="F20" s="87">
        <v>195650.01965</v>
      </c>
      <c r="G20" s="87">
        <v>202082.51965</v>
      </c>
      <c r="H20" s="87">
        <f t="shared" si="4"/>
        <v>6432.5</v>
      </c>
      <c r="I20" s="92" t="s">
        <v>1984</v>
      </c>
      <c r="J20" s="87">
        <v>348900</v>
      </c>
      <c r="K20" s="87">
        <v>348900</v>
      </c>
      <c r="L20" s="87">
        <f t="shared" si="5"/>
        <v>0</v>
      </c>
    </row>
    <row r="21" s="77" customFormat="1" ht="36" customHeight="1" spans="1:12">
      <c r="A21" s="88" t="s">
        <v>1985</v>
      </c>
      <c r="B21" s="89">
        <f t="shared" si="0"/>
        <v>106912.9</v>
      </c>
      <c r="C21" s="89">
        <f t="shared" si="1"/>
        <v>112518.8</v>
      </c>
      <c r="D21" s="89">
        <f t="shared" si="2"/>
        <v>5605.90000000001</v>
      </c>
      <c r="E21" s="93" t="s">
        <v>1985</v>
      </c>
      <c r="F21" s="89">
        <v>89312.9</v>
      </c>
      <c r="G21" s="89">
        <v>94918.8</v>
      </c>
      <c r="H21" s="89">
        <f t="shared" si="4"/>
        <v>5605.90000000001</v>
      </c>
      <c r="I21" s="93" t="s">
        <v>1985</v>
      </c>
      <c r="J21" s="89">
        <v>17600</v>
      </c>
      <c r="K21" s="89">
        <v>17600</v>
      </c>
      <c r="L21" s="89">
        <f t="shared" si="5"/>
        <v>0</v>
      </c>
    </row>
    <row r="22" s="77" customFormat="1" ht="36" customHeight="1" spans="1:12">
      <c r="A22" s="88" t="s">
        <v>1986</v>
      </c>
      <c r="B22" s="89">
        <f t="shared" si="0"/>
        <v>156239.23</v>
      </c>
      <c r="C22" s="89">
        <f t="shared" si="1"/>
        <v>157065.83</v>
      </c>
      <c r="D22" s="89">
        <f t="shared" si="2"/>
        <v>826.600000000006</v>
      </c>
      <c r="E22" s="93" t="s">
        <v>1986</v>
      </c>
      <c r="F22" s="89">
        <v>78539.23</v>
      </c>
      <c r="G22" s="89">
        <v>79365.83</v>
      </c>
      <c r="H22" s="89">
        <f t="shared" si="4"/>
        <v>826.600000000006</v>
      </c>
      <c r="I22" s="93" t="s">
        <v>1986</v>
      </c>
      <c r="J22" s="89">
        <v>77700</v>
      </c>
      <c r="K22" s="89">
        <v>77700</v>
      </c>
      <c r="L22" s="89">
        <f t="shared" si="5"/>
        <v>0</v>
      </c>
    </row>
    <row r="23" s="77" customFormat="1" ht="36" customHeight="1" spans="1:12">
      <c r="A23" s="86" t="s">
        <v>1987</v>
      </c>
      <c r="B23" s="87">
        <f t="shared" si="0"/>
        <v>912785.124392</v>
      </c>
      <c r="C23" s="87">
        <f t="shared" si="1"/>
        <v>1142038.036046</v>
      </c>
      <c r="D23" s="87">
        <f t="shared" si="2"/>
        <v>229252.911654</v>
      </c>
      <c r="E23" s="92" t="s">
        <v>1987</v>
      </c>
      <c r="F23" s="87">
        <v>649985.124392</v>
      </c>
      <c r="G23" s="87">
        <v>655098.036046</v>
      </c>
      <c r="H23" s="87">
        <f t="shared" si="4"/>
        <v>5112.91165399994</v>
      </c>
      <c r="I23" s="92" t="s">
        <v>1987</v>
      </c>
      <c r="J23" s="87">
        <v>262800</v>
      </c>
      <c r="K23" s="87">
        <v>486940</v>
      </c>
      <c r="L23" s="87">
        <f t="shared" si="5"/>
        <v>224140</v>
      </c>
    </row>
    <row r="24" s="78" customFormat="1" ht="36" customHeight="1" spans="1:12">
      <c r="A24" s="90" t="s">
        <v>1827</v>
      </c>
      <c r="B24" s="87">
        <f t="shared" si="0"/>
        <v>4530336.338346</v>
      </c>
      <c r="C24" s="87">
        <f t="shared" si="1"/>
        <v>4780774.25</v>
      </c>
      <c r="D24" s="87">
        <f t="shared" si="2"/>
        <v>250437.911654</v>
      </c>
      <c r="E24" s="94" t="s">
        <v>1827</v>
      </c>
      <c r="F24" s="87">
        <f t="shared" ref="F24:K24" si="6">F5+F13+F14+F18+F19+F20+F23</f>
        <v>1539216.338346</v>
      </c>
      <c r="G24" s="87">
        <f t="shared" si="6"/>
        <v>1562724.25</v>
      </c>
      <c r="H24" s="87">
        <f t="shared" si="4"/>
        <v>23507.9116539997</v>
      </c>
      <c r="I24" s="94" t="s">
        <v>1827</v>
      </c>
      <c r="J24" s="87">
        <f t="shared" si="6"/>
        <v>2991120</v>
      </c>
      <c r="K24" s="87">
        <f t="shared" si="6"/>
        <v>3218050</v>
      </c>
      <c r="L24" s="87">
        <f t="shared" si="5"/>
        <v>226930</v>
      </c>
    </row>
    <row r="25" s="77" customFormat="1" spans="2:10">
      <c r="B25" s="91"/>
      <c r="F25" s="91"/>
      <c r="J25" s="91"/>
    </row>
    <row r="26" s="77" customFormat="1" spans="2:10">
      <c r="B26" s="91"/>
      <c r="F26" s="91"/>
      <c r="J26" s="91"/>
    </row>
    <row r="27" s="77" customFormat="1" spans="2:10">
      <c r="B27" s="91"/>
      <c r="F27" s="91"/>
      <c r="J27" s="91"/>
    </row>
    <row r="28" s="77" customFormat="1" spans="2:10">
      <c r="B28" s="91"/>
      <c r="F28" s="91"/>
      <c r="J28" s="91"/>
    </row>
    <row r="29" s="77" customFormat="1" spans="2:10">
      <c r="B29" s="91"/>
      <c r="F29" s="91"/>
      <c r="J29" s="91"/>
    </row>
    <row r="30" s="77" customFormat="1" spans="2:10">
      <c r="B30" s="91"/>
      <c r="F30" s="91"/>
      <c r="J30" s="91"/>
    </row>
  </sheetData>
  <mergeCells count="9">
    <mergeCell ref="A1:D1"/>
    <mergeCell ref="E1:H1"/>
    <mergeCell ref="I1:L1"/>
    <mergeCell ref="B3:D3"/>
    <mergeCell ref="F3:H3"/>
    <mergeCell ref="J3:L3"/>
    <mergeCell ref="A3:A4"/>
    <mergeCell ref="E3:E4"/>
    <mergeCell ref="I3:I4"/>
  </mergeCells>
  <pageMargins left="0.751388888888889" right="0.751388888888889" top="1" bottom="1" header="0.5" footer="0.5"/>
  <pageSetup paperSize="9" scale="75" fitToWidth="0" orientation="portrait" horizontalDpi="600"/>
  <headerFooter>
    <oddFooter>&amp;C- &amp;P -</oddFooter>
  </headerFooter>
  <drawing r:id="rId1"/>
  <legacyDrawing r:id="rId2"/>
  <oleObjects>
    <mc:AlternateContent xmlns:mc="http://schemas.openxmlformats.org/markup-compatibility/2006">
      <mc:Choice Requires="x14">
        <oleObject shapeId="5121" progId="RTX.FileAttach" r:id="rId3">
          <objectPr defaultSize="0">
            <anchor moveWithCells="1" sizeWithCells="1">
              <from>
                <xdr:col>3</xdr:col>
                <xdr:colOff>7620</xdr:colOff>
                <xdr:row>13</xdr:row>
                <xdr:rowOff>49530</xdr:rowOff>
              </from>
              <to>
                <xdr:col>4</xdr:col>
                <xdr:colOff>2134235</xdr:colOff>
                <xdr:row>14</xdr:row>
                <xdr:rowOff>97155</xdr:rowOff>
              </to>
            </anchor>
          </objectPr>
        </oleObject>
      </mc:Choice>
      <mc:Fallback>
        <oleObject shapeId="5121" progId="RTX.FileAttach" r:id="rId3"/>
      </mc:Fallback>
    </mc:AlternateContent>
  </oleObjec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2"/>
  <dimension ref="A1:L30"/>
  <sheetViews>
    <sheetView zoomScale="70" zoomScaleNormal="70" topLeftCell="D4" workbookViewId="0">
      <selection activeCell="B15" sqref="B15:D17"/>
    </sheetView>
  </sheetViews>
  <sheetFormatPr defaultColWidth="9" defaultRowHeight="13.5"/>
  <cols>
    <col min="1" max="1" width="43.6333333333333" style="53" customWidth="1"/>
    <col min="2" max="2" width="20.6333333333333" style="58" customWidth="1"/>
    <col min="3" max="4" width="20.6333333333333" style="53" customWidth="1"/>
    <col min="5" max="5" width="43.6333333333333" style="53" customWidth="1"/>
    <col min="6" max="8" width="20.6333333333333" style="53" customWidth="1"/>
    <col min="9" max="9" width="43.6333333333333" style="53" customWidth="1"/>
    <col min="10" max="12" width="20.6333333333333" style="53" customWidth="1"/>
    <col min="13" max="16384" width="9" style="53"/>
  </cols>
  <sheetData>
    <row r="1" s="53" customFormat="1" ht="45" customHeight="1" spans="1:12">
      <c r="A1" s="59" t="s">
        <v>98</v>
      </c>
      <c r="B1" s="59"/>
      <c r="C1" s="59"/>
      <c r="D1" s="59"/>
      <c r="E1" s="59" t="s">
        <v>98</v>
      </c>
      <c r="F1" s="59"/>
      <c r="G1" s="59"/>
      <c r="H1" s="59"/>
      <c r="I1" s="59" t="s">
        <v>98</v>
      </c>
      <c r="J1" s="59"/>
      <c r="K1" s="59"/>
      <c r="L1" s="59"/>
    </row>
    <row r="2" s="53" customFormat="1" ht="20.1" customHeight="1" spans="1:12">
      <c r="A2" s="60" t="s">
        <v>97</v>
      </c>
      <c r="B2" s="61"/>
      <c r="C2" s="62"/>
      <c r="D2" s="63" t="s">
        <v>103</v>
      </c>
      <c r="E2" s="60" t="s">
        <v>97</v>
      </c>
      <c r="F2" s="62"/>
      <c r="G2" s="62"/>
      <c r="H2" s="63" t="s">
        <v>103</v>
      </c>
      <c r="I2" s="60" t="s">
        <v>97</v>
      </c>
      <c r="J2" s="62"/>
      <c r="K2" s="62"/>
      <c r="L2" s="63" t="s">
        <v>103</v>
      </c>
    </row>
    <row r="3" s="54" customFormat="1" ht="36" customHeight="1" spans="1:12">
      <c r="A3" s="64" t="s">
        <v>1964</v>
      </c>
      <c r="B3" s="64" t="s">
        <v>1965</v>
      </c>
      <c r="C3" s="64"/>
      <c r="D3" s="64"/>
      <c r="E3" s="64" t="s">
        <v>1964</v>
      </c>
      <c r="F3" s="64" t="s">
        <v>1966</v>
      </c>
      <c r="G3" s="64"/>
      <c r="H3" s="64"/>
      <c r="I3" s="64" t="s">
        <v>1964</v>
      </c>
      <c r="J3" s="64" t="s">
        <v>1967</v>
      </c>
      <c r="K3" s="64"/>
      <c r="L3" s="64"/>
    </row>
    <row r="4" s="54" customFormat="1" ht="36" customHeight="1" spans="1:12">
      <c r="A4" s="64"/>
      <c r="B4" s="36" t="s">
        <v>106</v>
      </c>
      <c r="C4" s="36" t="s">
        <v>1753</v>
      </c>
      <c r="D4" s="65" t="s">
        <v>1968</v>
      </c>
      <c r="E4" s="64"/>
      <c r="F4" s="36" t="s">
        <v>106</v>
      </c>
      <c r="G4" s="36" t="s">
        <v>1753</v>
      </c>
      <c r="H4" s="65" t="s">
        <v>1968</v>
      </c>
      <c r="I4" s="64"/>
      <c r="J4" s="36" t="s">
        <v>106</v>
      </c>
      <c r="K4" s="36" t="s">
        <v>1753</v>
      </c>
      <c r="L4" s="65" t="s">
        <v>1968</v>
      </c>
    </row>
    <row r="5" s="55" customFormat="1" ht="36" customHeight="1" spans="1:12">
      <c r="A5" s="66" t="s">
        <v>1969</v>
      </c>
      <c r="B5" s="67">
        <f t="shared" ref="B5:B24" si="0">F5+J5</f>
        <v>573797.815027</v>
      </c>
      <c r="C5" s="67">
        <f t="shared" ref="C5:C24" si="1">G5+K5</f>
        <v>575240.315027</v>
      </c>
      <c r="D5" s="67">
        <f t="shared" ref="D5:D24" si="2">C5-B5</f>
        <v>1442.5</v>
      </c>
      <c r="E5" s="73" t="s">
        <v>1969</v>
      </c>
      <c r="F5" s="67">
        <f t="shared" ref="F5:K5" si="3">F6+F7+F8+F9</f>
        <v>274647.815027</v>
      </c>
      <c r="G5" s="67">
        <f t="shared" si="3"/>
        <v>279090.315027</v>
      </c>
      <c r="H5" s="67">
        <f t="shared" ref="H5:H24" si="4">G5-F5</f>
        <v>4442.5</v>
      </c>
      <c r="I5" s="73" t="s">
        <v>1969</v>
      </c>
      <c r="J5" s="67">
        <f t="shared" si="3"/>
        <v>299150</v>
      </c>
      <c r="K5" s="67">
        <f t="shared" si="3"/>
        <v>296150</v>
      </c>
      <c r="L5" s="67">
        <f t="shared" ref="L5:L24" si="5">K5-J5</f>
        <v>-3000</v>
      </c>
    </row>
    <row r="6" s="56" customFormat="1" ht="36" customHeight="1" spans="1:12">
      <c r="A6" s="68" t="s">
        <v>1970</v>
      </c>
      <c r="B6" s="69">
        <f t="shared" si="0"/>
        <v>3543</v>
      </c>
      <c r="C6" s="69">
        <f t="shared" si="1"/>
        <v>3543</v>
      </c>
      <c r="D6" s="69">
        <f t="shared" si="2"/>
        <v>0</v>
      </c>
      <c r="E6" s="74" t="s">
        <v>1970</v>
      </c>
      <c r="F6" s="69">
        <v>3543</v>
      </c>
      <c r="G6" s="69">
        <v>3543</v>
      </c>
      <c r="H6" s="69">
        <f t="shared" si="4"/>
        <v>0</v>
      </c>
      <c r="I6" s="74" t="s">
        <v>1970</v>
      </c>
      <c r="J6" s="69"/>
      <c r="K6" s="69"/>
      <c r="L6" s="69">
        <f t="shared" si="5"/>
        <v>0</v>
      </c>
    </row>
    <row r="7" s="56" customFormat="1" ht="36" customHeight="1" spans="1:12">
      <c r="A7" s="68" t="s">
        <v>1971</v>
      </c>
      <c r="B7" s="69">
        <f t="shared" si="0"/>
        <v>440987.925027</v>
      </c>
      <c r="C7" s="69">
        <f t="shared" si="1"/>
        <v>445430.425027</v>
      </c>
      <c r="D7" s="69">
        <f t="shared" si="2"/>
        <v>4442.5</v>
      </c>
      <c r="E7" s="74" t="s">
        <v>1971</v>
      </c>
      <c r="F7" s="69">
        <v>185837.925027</v>
      </c>
      <c r="G7" s="69">
        <v>190280.425027</v>
      </c>
      <c r="H7" s="69">
        <f t="shared" si="4"/>
        <v>4442.5</v>
      </c>
      <c r="I7" s="74" t="s">
        <v>1971</v>
      </c>
      <c r="J7" s="69">
        <v>255150</v>
      </c>
      <c r="K7" s="69">
        <v>255150</v>
      </c>
      <c r="L7" s="69">
        <f t="shared" si="5"/>
        <v>0</v>
      </c>
    </row>
    <row r="8" s="56" customFormat="1" ht="36" customHeight="1" spans="1:12">
      <c r="A8" s="68" t="s">
        <v>1972</v>
      </c>
      <c r="B8" s="69">
        <f t="shared" si="0"/>
        <v>9750</v>
      </c>
      <c r="C8" s="69">
        <f t="shared" si="1"/>
        <v>9750</v>
      </c>
      <c r="D8" s="69">
        <f t="shared" si="2"/>
        <v>0</v>
      </c>
      <c r="E8" s="74" t="s">
        <v>1972</v>
      </c>
      <c r="F8" s="69">
        <v>9750</v>
      </c>
      <c r="G8" s="69">
        <v>9750</v>
      </c>
      <c r="H8" s="69">
        <f t="shared" si="4"/>
        <v>0</v>
      </c>
      <c r="I8" s="74" t="s">
        <v>1972</v>
      </c>
      <c r="J8" s="69"/>
      <c r="K8" s="69"/>
      <c r="L8" s="69">
        <f t="shared" si="5"/>
        <v>0</v>
      </c>
    </row>
    <row r="9" s="56" customFormat="1" ht="36" customHeight="1" spans="1:12">
      <c r="A9" s="68" t="s">
        <v>1973</v>
      </c>
      <c r="B9" s="69">
        <f t="shared" si="0"/>
        <v>119516.89</v>
      </c>
      <c r="C9" s="69">
        <f t="shared" si="1"/>
        <v>116516.89</v>
      </c>
      <c r="D9" s="69">
        <f t="shared" si="2"/>
        <v>-3000</v>
      </c>
      <c r="E9" s="74" t="s">
        <v>1973</v>
      </c>
      <c r="F9" s="69">
        <v>75516.89</v>
      </c>
      <c r="G9" s="69">
        <v>75516.89</v>
      </c>
      <c r="H9" s="69">
        <f t="shared" si="4"/>
        <v>0</v>
      </c>
      <c r="I9" s="74" t="s">
        <v>1973</v>
      </c>
      <c r="J9" s="69">
        <v>44000</v>
      </c>
      <c r="K9" s="69">
        <v>41000</v>
      </c>
      <c r="L9" s="69">
        <f t="shared" si="5"/>
        <v>-3000</v>
      </c>
    </row>
    <row r="10" s="56" customFormat="1" ht="36" customHeight="1" spans="1:12">
      <c r="A10" s="68" t="s">
        <v>1974</v>
      </c>
      <c r="B10" s="69">
        <f t="shared" si="0"/>
        <v>0</v>
      </c>
      <c r="C10" s="69">
        <f t="shared" si="1"/>
        <v>0</v>
      </c>
      <c r="D10" s="69">
        <f t="shared" si="2"/>
        <v>0</v>
      </c>
      <c r="E10" s="74" t="s">
        <v>1974</v>
      </c>
      <c r="F10" s="69"/>
      <c r="G10" s="69"/>
      <c r="H10" s="69">
        <f t="shared" si="4"/>
        <v>0</v>
      </c>
      <c r="I10" s="74" t="s">
        <v>1974</v>
      </c>
      <c r="J10" s="69"/>
      <c r="K10" s="69"/>
      <c r="L10" s="69">
        <f t="shared" si="5"/>
        <v>0</v>
      </c>
    </row>
    <row r="11" s="56" customFormat="1" ht="36" customHeight="1" spans="1:12">
      <c r="A11" s="68" t="s">
        <v>1975</v>
      </c>
      <c r="B11" s="69">
        <f t="shared" si="0"/>
        <v>26329.7</v>
      </c>
      <c r="C11" s="69">
        <f t="shared" si="1"/>
        <v>26329.7</v>
      </c>
      <c r="D11" s="69">
        <f t="shared" si="2"/>
        <v>0</v>
      </c>
      <c r="E11" s="74" t="s">
        <v>1975</v>
      </c>
      <c r="F11" s="69">
        <v>26329.7</v>
      </c>
      <c r="G11" s="69">
        <v>26329.7</v>
      </c>
      <c r="H11" s="69">
        <f t="shared" si="4"/>
        <v>0</v>
      </c>
      <c r="I11" s="74" t="s">
        <v>1975</v>
      </c>
      <c r="J11" s="69"/>
      <c r="K11" s="69"/>
      <c r="L11" s="69">
        <f t="shared" si="5"/>
        <v>0</v>
      </c>
    </row>
    <row r="12" s="56" customFormat="1" ht="36" customHeight="1" spans="1:12">
      <c r="A12" s="68" t="s">
        <v>1976</v>
      </c>
      <c r="B12" s="69">
        <f t="shared" si="0"/>
        <v>0</v>
      </c>
      <c r="C12" s="69">
        <f t="shared" si="1"/>
        <v>0</v>
      </c>
      <c r="D12" s="69">
        <f t="shared" si="2"/>
        <v>0</v>
      </c>
      <c r="E12" s="74" t="s">
        <v>1976</v>
      </c>
      <c r="F12" s="69"/>
      <c r="G12" s="69"/>
      <c r="H12" s="69">
        <f t="shared" si="4"/>
        <v>0</v>
      </c>
      <c r="I12" s="74" t="s">
        <v>1976</v>
      </c>
      <c r="J12" s="69"/>
      <c r="K12" s="69"/>
      <c r="L12" s="69">
        <f t="shared" si="5"/>
        <v>0</v>
      </c>
    </row>
    <row r="13" s="55" customFormat="1" ht="36" customHeight="1" spans="1:12">
      <c r="A13" s="66" t="s">
        <v>1977</v>
      </c>
      <c r="B13" s="67">
        <f t="shared" si="0"/>
        <v>0</v>
      </c>
      <c r="C13" s="67">
        <f t="shared" si="1"/>
        <v>0</v>
      </c>
      <c r="D13" s="67">
        <f t="shared" si="2"/>
        <v>0</v>
      </c>
      <c r="E13" s="73" t="s">
        <v>1977</v>
      </c>
      <c r="F13" s="67"/>
      <c r="G13" s="67"/>
      <c r="H13" s="67">
        <f t="shared" si="4"/>
        <v>0</v>
      </c>
      <c r="I13" s="73" t="s">
        <v>1977</v>
      </c>
      <c r="J13" s="67"/>
      <c r="K13" s="67"/>
      <c r="L13" s="67">
        <f t="shared" si="5"/>
        <v>0</v>
      </c>
    </row>
    <row r="14" s="55" customFormat="1" ht="36" customHeight="1" spans="1:12">
      <c r="A14" s="66" t="s">
        <v>1978</v>
      </c>
      <c r="B14" s="67">
        <f t="shared" si="0"/>
        <v>45665</v>
      </c>
      <c r="C14" s="67">
        <f t="shared" si="1"/>
        <v>45665</v>
      </c>
      <c r="D14" s="67">
        <f t="shared" si="2"/>
        <v>0</v>
      </c>
      <c r="E14" s="73" t="s">
        <v>1978</v>
      </c>
      <c r="F14" s="67">
        <v>32275</v>
      </c>
      <c r="G14" s="67">
        <v>32275</v>
      </c>
      <c r="H14" s="67">
        <f t="shared" si="4"/>
        <v>0</v>
      </c>
      <c r="I14" s="73" t="s">
        <v>1978</v>
      </c>
      <c r="J14" s="67">
        <v>13390</v>
      </c>
      <c r="K14" s="67">
        <v>13390</v>
      </c>
      <c r="L14" s="67">
        <f t="shared" si="5"/>
        <v>0</v>
      </c>
    </row>
    <row r="15" s="56" customFormat="1" ht="36" customHeight="1" spans="1:12">
      <c r="A15" s="68" t="s">
        <v>1979</v>
      </c>
      <c r="B15" s="69">
        <f t="shared" si="0"/>
        <v>0</v>
      </c>
      <c r="C15" s="69">
        <f t="shared" si="1"/>
        <v>0</v>
      </c>
      <c r="D15" s="69">
        <f t="shared" si="2"/>
        <v>0</v>
      </c>
      <c r="E15" s="74" t="s">
        <v>1979</v>
      </c>
      <c r="F15" s="69"/>
      <c r="G15" s="69"/>
      <c r="H15" s="69">
        <f t="shared" si="4"/>
        <v>0</v>
      </c>
      <c r="I15" s="74" t="s">
        <v>1979</v>
      </c>
      <c r="J15" s="69"/>
      <c r="K15" s="69"/>
      <c r="L15" s="69">
        <f t="shared" si="5"/>
        <v>0</v>
      </c>
    </row>
    <row r="16" s="56" customFormat="1" ht="36" customHeight="1" spans="1:12">
      <c r="A16" s="68" t="s">
        <v>1980</v>
      </c>
      <c r="B16" s="69">
        <f t="shared" si="0"/>
        <v>0</v>
      </c>
      <c r="C16" s="69">
        <f t="shared" si="1"/>
        <v>0</v>
      </c>
      <c r="D16" s="69">
        <f t="shared" si="2"/>
        <v>0</v>
      </c>
      <c r="E16" s="74" t="s">
        <v>1980</v>
      </c>
      <c r="F16" s="69"/>
      <c r="G16" s="69"/>
      <c r="H16" s="69">
        <f t="shared" si="4"/>
        <v>0</v>
      </c>
      <c r="I16" s="74" t="s">
        <v>1980</v>
      </c>
      <c r="J16" s="69"/>
      <c r="K16" s="69"/>
      <c r="L16" s="69">
        <f t="shared" si="5"/>
        <v>0</v>
      </c>
    </row>
    <row r="17" s="56" customFormat="1" ht="36" customHeight="1" spans="1:12">
      <c r="A17" s="68" t="s">
        <v>1981</v>
      </c>
      <c r="B17" s="69">
        <f t="shared" si="0"/>
        <v>6875</v>
      </c>
      <c r="C17" s="69">
        <f t="shared" si="1"/>
        <v>6875</v>
      </c>
      <c r="D17" s="69">
        <f t="shared" si="2"/>
        <v>0</v>
      </c>
      <c r="E17" s="74" t="s">
        <v>1981</v>
      </c>
      <c r="F17" s="69">
        <v>6875</v>
      </c>
      <c r="G17" s="69">
        <v>6875</v>
      </c>
      <c r="H17" s="69">
        <f t="shared" si="4"/>
        <v>0</v>
      </c>
      <c r="I17" s="74" t="s">
        <v>1981</v>
      </c>
      <c r="J17" s="69"/>
      <c r="K17" s="69"/>
      <c r="L17" s="69">
        <f t="shared" si="5"/>
        <v>0</v>
      </c>
    </row>
    <row r="18" s="55" customFormat="1" ht="36" customHeight="1" spans="1:12">
      <c r="A18" s="66" t="s">
        <v>1982</v>
      </c>
      <c r="B18" s="67">
        <f t="shared" si="0"/>
        <v>35950</v>
      </c>
      <c r="C18" s="67">
        <f t="shared" si="1"/>
        <v>35950</v>
      </c>
      <c r="D18" s="67">
        <f t="shared" si="2"/>
        <v>0</v>
      </c>
      <c r="E18" s="73" t="s">
        <v>1982</v>
      </c>
      <c r="F18" s="67">
        <v>7250</v>
      </c>
      <c r="G18" s="67">
        <v>7250</v>
      </c>
      <c r="H18" s="67">
        <f t="shared" si="4"/>
        <v>0</v>
      </c>
      <c r="I18" s="73" t="s">
        <v>1982</v>
      </c>
      <c r="J18" s="67">
        <v>28700</v>
      </c>
      <c r="K18" s="67">
        <v>28700</v>
      </c>
      <c r="L18" s="67">
        <f t="shared" si="5"/>
        <v>0</v>
      </c>
    </row>
    <row r="19" s="55" customFormat="1" ht="36" customHeight="1" spans="1:12">
      <c r="A19" s="66" t="s">
        <v>1983</v>
      </c>
      <c r="B19" s="67">
        <f t="shared" si="0"/>
        <v>268748.418283</v>
      </c>
      <c r="C19" s="67">
        <f t="shared" si="1"/>
        <v>276863.418283</v>
      </c>
      <c r="D19" s="67">
        <f t="shared" si="2"/>
        <v>8115</v>
      </c>
      <c r="E19" s="73" t="s">
        <v>1983</v>
      </c>
      <c r="F19" s="67">
        <v>52748.418283</v>
      </c>
      <c r="G19" s="67">
        <v>62873.418283</v>
      </c>
      <c r="H19" s="67">
        <f t="shared" si="4"/>
        <v>10125</v>
      </c>
      <c r="I19" s="73" t="s">
        <v>1983</v>
      </c>
      <c r="J19" s="67">
        <v>216000</v>
      </c>
      <c r="K19" s="67">
        <v>213990</v>
      </c>
      <c r="L19" s="67">
        <f t="shared" si="5"/>
        <v>-2010</v>
      </c>
    </row>
    <row r="20" s="55" customFormat="1" ht="36" customHeight="1" spans="1:12">
      <c r="A20" s="66" t="s">
        <v>1984</v>
      </c>
      <c r="B20" s="67">
        <f t="shared" si="0"/>
        <v>74172.77465</v>
      </c>
      <c r="C20" s="67">
        <f t="shared" si="1"/>
        <v>80605.27465</v>
      </c>
      <c r="D20" s="67">
        <f t="shared" si="2"/>
        <v>6432.5</v>
      </c>
      <c r="E20" s="73" t="s">
        <v>1984</v>
      </c>
      <c r="F20" s="67">
        <v>54172.77465</v>
      </c>
      <c r="G20" s="67">
        <v>60605.27465</v>
      </c>
      <c r="H20" s="67">
        <f t="shared" si="4"/>
        <v>6432.5</v>
      </c>
      <c r="I20" s="73" t="s">
        <v>1984</v>
      </c>
      <c r="J20" s="67">
        <v>20000</v>
      </c>
      <c r="K20" s="67">
        <v>20000</v>
      </c>
      <c r="L20" s="67">
        <f t="shared" si="5"/>
        <v>0</v>
      </c>
    </row>
    <row r="21" s="56" customFormat="1" ht="36" customHeight="1" spans="1:12">
      <c r="A21" s="68" t="s">
        <v>1985</v>
      </c>
      <c r="B21" s="69">
        <f t="shared" si="0"/>
        <v>3027.5</v>
      </c>
      <c r="C21" s="69">
        <f t="shared" si="1"/>
        <v>8633.4</v>
      </c>
      <c r="D21" s="69">
        <f t="shared" si="2"/>
        <v>5605.9</v>
      </c>
      <c r="E21" s="74" t="s">
        <v>1985</v>
      </c>
      <c r="F21" s="69">
        <v>3027.5</v>
      </c>
      <c r="G21" s="69">
        <v>8633.4</v>
      </c>
      <c r="H21" s="69">
        <f t="shared" si="4"/>
        <v>5605.9</v>
      </c>
      <c r="I21" s="74" t="s">
        <v>1985</v>
      </c>
      <c r="J21" s="69"/>
      <c r="K21" s="69"/>
      <c r="L21" s="69">
        <f t="shared" si="5"/>
        <v>0</v>
      </c>
    </row>
    <row r="22" s="56" customFormat="1" ht="36" customHeight="1" spans="1:12">
      <c r="A22" s="68" t="s">
        <v>1986</v>
      </c>
      <c r="B22" s="69">
        <f t="shared" si="0"/>
        <v>47540.93</v>
      </c>
      <c r="C22" s="69">
        <f t="shared" si="1"/>
        <v>48367.53</v>
      </c>
      <c r="D22" s="69">
        <f t="shared" si="2"/>
        <v>826.599999999999</v>
      </c>
      <c r="E22" s="68" t="s">
        <v>1986</v>
      </c>
      <c r="F22" s="75">
        <v>47540.93</v>
      </c>
      <c r="G22" s="75">
        <v>48367.53</v>
      </c>
      <c r="H22" s="75">
        <f t="shared" si="4"/>
        <v>826.599999999999</v>
      </c>
      <c r="I22" s="68" t="s">
        <v>1986</v>
      </c>
      <c r="J22" s="75"/>
      <c r="K22" s="75"/>
      <c r="L22" s="69">
        <f t="shared" si="5"/>
        <v>0</v>
      </c>
    </row>
    <row r="23" s="55" customFormat="1" ht="36" customHeight="1" spans="1:12">
      <c r="A23" s="66" t="s">
        <v>1987</v>
      </c>
      <c r="B23" s="67">
        <f t="shared" si="0"/>
        <v>271123.1914</v>
      </c>
      <c r="C23" s="67">
        <f t="shared" si="1"/>
        <v>296229.35204</v>
      </c>
      <c r="D23" s="70">
        <f t="shared" si="2"/>
        <v>25106.16064</v>
      </c>
      <c r="E23" s="66" t="s">
        <v>1987</v>
      </c>
      <c r="F23" s="70">
        <v>213823.1914</v>
      </c>
      <c r="G23" s="70">
        <v>206627.35204</v>
      </c>
      <c r="H23" s="70">
        <f t="shared" si="4"/>
        <v>-7195.83936000001</v>
      </c>
      <c r="I23" s="66" t="s">
        <v>1987</v>
      </c>
      <c r="J23" s="70">
        <v>57300</v>
      </c>
      <c r="K23" s="70">
        <v>89602</v>
      </c>
      <c r="L23" s="67">
        <f t="shared" si="5"/>
        <v>32302</v>
      </c>
    </row>
    <row r="24" s="57" customFormat="1" ht="36" customHeight="1" spans="1:12">
      <c r="A24" s="71" t="s">
        <v>1827</v>
      </c>
      <c r="B24" s="67">
        <f t="shared" si="0"/>
        <v>1269457.19936</v>
      </c>
      <c r="C24" s="67">
        <f t="shared" si="1"/>
        <v>1310553.36</v>
      </c>
      <c r="D24" s="70">
        <f t="shared" si="2"/>
        <v>41096.1606399999</v>
      </c>
      <c r="E24" s="71" t="s">
        <v>1827</v>
      </c>
      <c r="F24" s="67">
        <f t="shared" ref="F24:K24" si="6">F5+F13+F14+F18+F19+F20+F23</f>
        <v>634917.19936</v>
      </c>
      <c r="G24" s="67">
        <f t="shared" si="6"/>
        <v>648721.36</v>
      </c>
      <c r="H24" s="70">
        <f t="shared" si="4"/>
        <v>13804.16064</v>
      </c>
      <c r="I24" s="71" t="s">
        <v>1827</v>
      </c>
      <c r="J24" s="67">
        <f t="shared" si="6"/>
        <v>634540</v>
      </c>
      <c r="K24" s="67">
        <f t="shared" si="6"/>
        <v>661832</v>
      </c>
      <c r="L24" s="70">
        <f t="shared" si="5"/>
        <v>27292</v>
      </c>
    </row>
    <row r="25" s="53" customFormat="1" spans="2:11">
      <c r="B25" s="72"/>
      <c r="F25" s="76"/>
      <c r="G25" s="76"/>
      <c r="J25" s="76"/>
      <c r="K25" s="76"/>
    </row>
    <row r="26" s="53" customFormat="1" spans="2:11">
      <c r="B26" s="72"/>
      <c r="F26" s="76"/>
      <c r="G26" s="76"/>
      <c r="J26" s="76"/>
      <c r="K26" s="76"/>
    </row>
    <row r="27" s="53" customFormat="1" spans="2:11">
      <c r="B27" s="72"/>
      <c r="F27" s="76"/>
      <c r="G27" s="76"/>
      <c r="J27" s="76"/>
      <c r="K27" s="76"/>
    </row>
    <row r="28" s="53" customFormat="1" spans="2:11">
      <c r="B28" s="72"/>
      <c r="F28" s="76"/>
      <c r="G28" s="76"/>
      <c r="J28" s="76"/>
      <c r="K28" s="76"/>
    </row>
    <row r="29" s="53" customFormat="1" spans="2:11">
      <c r="B29" s="72"/>
      <c r="F29" s="76"/>
      <c r="G29" s="76"/>
      <c r="J29" s="76"/>
      <c r="K29" s="76"/>
    </row>
    <row r="30" s="53" customFormat="1" spans="2:11">
      <c r="B30" s="72"/>
      <c r="F30" s="76"/>
      <c r="G30" s="76"/>
      <c r="J30" s="76"/>
      <c r="K30" s="76"/>
    </row>
  </sheetData>
  <mergeCells count="9">
    <mergeCell ref="A1:D1"/>
    <mergeCell ref="E1:H1"/>
    <mergeCell ref="I1:L1"/>
    <mergeCell ref="B3:D3"/>
    <mergeCell ref="F3:H3"/>
    <mergeCell ref="J3:L3"/>
    <mergeCell ref="A3:A4"/>
    <mergeCell ref="E3:E4"/>
    <mergeCell ref="I3:I4"/>
  </mergeCells>
  <pageMargins left="0.751388888888889" right="0.751388888888889" top="1" bottom="1" header="0.5" footer="0.5"/>
  <pageSetup paperSize="9" scale="75" orientation="portrait" horizontalDpi="600"/>
  <headerFooter>
    <oddFooter>&amp;C- &amp;P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3"/>
  <dimension ref="A1:I51"/>
  <sheetViews>
    <sheetView view="pageBreakPreview" zoomScale="90" zoomScaleNormal="80" topLeftCell="A2" workbookViewId="0">
      <selection activeCell="G15" sqref="G15"/>
    </sheetView>
  </sheetViews>
  <sheetFormatPr defaultColWidth="9" defaultRowHeight="13.5"/>
  <cols>
    <col min="1" max="1" width="52.25" style="32" customWidth="1"/>
    <col min="2" max="4" width="18.6333333333333" style="32" customWidth="1"/>
    <col min="5" max="5" width="54" style="32" customWidth="1"/>
    <col min="6" max="8" width="18.6333333333333" style="32" customWidth="1"/>
    <col min="9" max="9" width="9" style="32"/>
    <col min="10" max="11" width="12.625" style="32"/>
    <col min="12" max="251" width="9" style="32"/>
    <col min="252" max="252" width="45.8833333333333" style="32" customWidth="1"/>
    <col min="253" max="253" width="12.3833333333333" style="32" customWidth="1"/>
    <col min="254" max="254" width="13.5" style="32" customWidth="1"/>
    <col min="255" max="255" width="13.8833333333333" style="32" customWidth="1"/>
    <col min="256" max="16384" width="15" style="32" customWidth="1"/>
  </cols>
  <sheetData>
    <row r="1" s="30" customFormat="1" ht="45" customHeight="1" spans="1:8">
      <c r="A1" s="33" t="s">
        <v>94</v>
      </c>
      <c r="B1" s="33"/>
      <c r="C1" s="33"/>
      <c r="D1" s="33"/>
      <c r="E1" s="33" t="s">
        <v>94</v>
      </c>
      <c r="F1" s="33"/>
      <c r="G1" s="33"/>
      <c r="H1" s="33"/>
    </row>
    <row r="2" s="31" customFormat="1" ht="20.1" customHeight="1" spans="1:8">
      <c r="A2" s="34" t="s">
        <v>99</v>
      </c>
      <c r="B2" s="34"/>
      <c r="C2" s="34"/>
      <c r="D2" s="35" t="s">
        <v>1929</v>
      </c>
      <c r="E2" s="34" t="s">
        <v>99</v>
      </c>
      <c r="F2" s="34"/>
      <c r="G2" s="34"/>
      <c r="H2" s="35" t="s">
        <v>1929</v>
      </c>
    </row>
    <row r="3" s="31" customFormat="1" ht="25" customHeight="1" spans="1:8">
      <c r="A3" s="36" t="s">
        <v>1930</v>
      </c>
      <c r="B3" s="37" t="s">
        <v>1931</v>
      </c>
      <c r="C3" s="37"/>
      <c r="D3" s="37"/>
      <c r="E3" s="36" t="s">
        <v>1930</v>
      </c>
      <c r="F3" s="37" t="s">
        <v>1932</v>
      </c>
      <c r="G3" s="37"/>
      <c r="H3" s="37"/>
    </row>
    <row r="4" s="32" customFormat="1" ht="37.5" spans="1:8">
      <c r="A4" s="36"/>
      <c r="B4" s="38" t="s">
        <v>1753</v>
      </c>
      <c r="C4" s="38" t="s">
        <v>1754</v>
      </c>
      <c r="D4" s="38" t="s">
        <v>1755</v>
      </c>
      <c r="E4" s="36"/>
      <c r="F4" s="38" t="s">
        <v>1753</v>
      </c>
      <c r="G4" s="38" t="s">
        <v>1754</v>
      </c>
      <c r="H4" s="38" t="s">
        <v>1755</v>
      </c>
    </row>
    <row r="5" s="32" customFormat="1" ht="25" customHeight="1" spans="1:8">
      <c r="A5" s="36" t="s">
        <v>1934</v>
      </c>
      <c r="B5" s="36"/>
      <c r="C5" s="36"/>
      <c r="D5" s="36"/>
      <c r="E5" s="36" t="s">
        <v>1934</v>
      </c>
      <c r="F5" s="36"/>
      <c r="G5" s="36"/>
      <c r="H5" s="36"/>
    </row>
    <row r="6" s="32" customFormat="1" ht="25" customHeight="1" spans="1:9">
      <c r="A6" s="39" t="s">
        <v>1935</v>
      </c>
      <c r="B6" s="40">
        <v>1539216.34</v>
      </c>
      <c r="C6" s="40">
        <v>1562724.25</v>
      </c>
      <c r="D6" s="41">
        <f t="shared" ref="D6:D15" si="0">IF(B6&lt;&gt;0,C6/B6-1,"")</f>
        <v>0.0152726484179604</v>
      </c>
      <c r="E6" s="44" t="s">
        <v>1935</v>
      </c>
      <c r="F6" s="40">
        <v>634917.2</v>
      </c>
      <c r="G6" s="40">
        <v>648721.36</v>
      </c>
      <c r="H6" s="41">
        <f t="shared" ref="H6:H15" si="1">IF(F6&lt;&gt;0,G6/F6-1,"")</f>
        <v>0.0217416696224326</v>
      </c>
      <c r="I6" s="52"/>
    </row>
    <row r="7" s="32" customFormat="1" ht="25" customHeight="1" spans="1:8">
      <c r="A7" s="39" t="s">
        <v>1936</v>
      </c>
      <c r="B7" s="40">
        <v>1615791</v>
      </c>
      <c r="C7" s="40">
        <f>1615791+40000</f>
        <v>1655791</v>
      </c>
      <c r="D7" s="41">
        <f t="shared" si="0"/>
        <v>0.0247556769408914</v>
      </c>
      <c r="E7" s="44" t="s">
        <v>1936</v>
      </c>
      <c r="F7" s="42">
        <v>663364</v>
      </c>
      <c r="G7" s="40">
        <f>663364</f>
        <v>663364</v>
      </c>
      <c r="H7" s="41">
        <f t="shared" si="1"/>
        <v>0</v>
      </c>
    </row>
    <row r="8" s="32" customFormat="1" ht="25" customHeight="1" spans="1:8">
      <c r="A8" s="39" t="s">
        <v>1937</v>
      </c>
      <c r="B8" s="42">
        <f t="shared" ref="B8:G8" si="2">SUM(B9:B12)</f>
        <v>237944.86</v>
      </c>
      <c r="C8" s="40">
        <f t="shared" si="2"/>
        <v>215000</v>
      </c>
      <c r="D8" s="41">
        <f t="shared" si="0"/>
        <v>-0.0964293155985803</v>
      </c>
      <c r="E8" s="44" t="s">
        <v>1937</v>
      </c>
      <c r="F8" s="42">
        <f t="shared" si="2"/>
        <v>135650</v>
      </c>
      <c r="G8" s="40">
        <f t="shared" si="2"/>
        <v>89316</v>
      </c>
      <c r="H8" s="41">
        <f t="shared" si="1"/>
        <v>-0.341570217471434</v>
      </c>
    </row>
    <row r="9" s="32" customFormat="1" ht="25" customHeight="1" spans="1:8">
      <c r="A9" s="43" t="s">
        <v>1938</v>
      </c>
      <c r="B9" s="42">
        <v>21000</v>
      </c>
      <c r="C9" s="40"/>
      <c r="D9" s="41">
        <f t="shared" si="0"/>
        <v>-1</v>
      </c>
      <c r="E9" s="43" t="s">
        <v>1938</v>
      </c>
      <c r="F9" s="42">
        <v>21000</v>
      </c>
      <c r="G9" s="40"/>
      <c r="H9" s="41">
        <f t="shared" si="1"/>
        <v>-1</v>
      </c>
    </row>
    <row r="10" s="32" customFormat="1" ht="25" customHeight="1" spans="1:8">
      <c r="A10" s="43" t="s">
        <v>1939</v>
      </c>
      <c r="B10" s="42">
        <v>212645</v>
      </c>
      <c r="C10" s="40">
        <f>175000+40000</f>
        <v>215000</v>
      </c>
      <c r="D10" s="41">
        <f t="shared" si="0"/>
        <v>0.0110747960215383</v>
      </c>
      <c r="E10" s="43" t="s">
        <v>1939</v>
      </c>
      <c r="F10" s="42">
        <v>114650</v>
      </c>
      <c r="G10" s="42">
        <v>89316</v>
      </c>
      <c r="H10" s="41">
        <f t="shared" si="1"/>
        <v>-0.220968163977322</v>
      </c>
    </row>
    <row r="11" s="32" customFormat="1" ht="25" customHeight="1" spans="1:8">
      <c r="A11" s="43" t="s">
        <v>1940</v>
      </c>
      <c r="B11" s="42">
        <v>0</v>
      </c>
      <c r="C11" s="40"/>
      <c r="D11" s="41" t="str">
        <f t="shared" si="0"/>
        <v/>
      </c>
      <c r="E11" s="43" t="s">
        <v>1940</v>
      </c>
      <c r="F11" s="42"/>
      <c r="G11" s="42"/>
      <c r="H11" s="41" t="str">
        <f t="shared" si="1"/>
        <v/>
      </c>
    </row>
    <row r="12" s="32" customFormat="1" ht="25" customHeight="1" spans="1:8">
      <c r="A12" s="44" t="s">
        <v>1941</v>
      </c>
      <c r="B12" s="42">
        <v>4299.86</v>
      </c>
      <c r="C12" s="40"/>
      <c r="D12" s="41">
        <f t="shared" si="0"/>
        <v>-1</v>
      </c>
      <c r="E12" s="44" t="s">
        <v>1941</v>
      </c>
      <c r="F12" s="42"/>
      <c r="G12" s="42"/>
      <c r="H12" s="41" t="str">
        <f t="shared" si="1"/>
        <v/>
      </c>
    </row>
    <row r="13" s="32" customFormat="1" ht="25" customHeight="1" spans="1:8">
      <c r="A13" s="39" t="s">
        <v>1942</v>
      </c>
      <c r="B13" s="42">
        <f>214265.69+19755</f>
        <v>234020.69</v>
      </c>
      <c r="C13" s="40">
        <f>192500+40000</f>
        <v>232500</v>
      </c>
      <c r="D13" s="41">
        <f t="shared" si="0"/>
        <v>-0.00649810065939038</v>
      </c>
      <c r="E13" s="44" t="s">
        <v>1942</v>
      </c>
      <c r="F13" s="42">
        <f>121855.69+5000</f>
        <v>126855.69</v>
      </c>
      <c r="G13" s="42">
        <v>98750</v>
      </c>
      <c r="H13" s="41">
        <f t="shared" si="1"/>
        <v>-0.221556400032194</v>
      </c>
    </row>
    <row r="14" s="32" customFormat="1" ht="25" customHeight="1" spans="1:8">
      <c r="A14" s="44" t="s">
        <v>1943</v>
      </c>
      <c r="B14" s="40">
        <f>B15-(B6+B8-B13)</f>
        <v>19583.7399999998</v>
      </c>
      <c r="C14" s="40">
        <v>40000</v>
      </c>
      <c r="D14" s="41">
        <f t="shared" si="0"/>
        <v>1.04251077679751</v>
      </c>
      <c r="E14" s="44" t="s">
        <v>1943</v>
      </c>
      <c r="F14" s="40">
        <f>F15-(F6+F8-F13)</f>
        <v>5009.84999999998</v>
      </c>
      <c r="G14" s="40">
        <v>0</v>
      </c>
      <c r="H14" s="41">
        <f t="shared" si="1"/>
        <v>-1</v>
      </c>
    </row>
    <row r="15" s="32" customFormat="1" ht="25" customHeight="1" spans="1:8">
      <c r="A15" s="39" t="s">
        <v>1944</v>
      </c>
      <c r="B15" s="40">
        <v>1562724.25</v>
      </c>
      <c r="C15" s="40">
        <f>C6+C8-C13+C14</f>
        <v>1585224.25</v>
      </c>
      <c r="D15" s="41">
        <f t="shared" si="0"/>
        <v>0.0143979336085684</v>
      </c>
      <c r="E15" s="39" t="s">
        <v>1944</v>
      </c>
      <c r="F15" s="40">
        <v>648721.36</v>
      </c>
      <c r="G15" s="40">
        <f>G6+G8-G13+G14</f>
        <v>639287.36</v>
      </c>
      <c r="H15" s="41">
        <f t="shared" si="1"/>
        <v>-0.0145424531728076</v>
      </c>
    </row>
    <row r="16" s="32" customFormat="1" ht="25" customHeight="1" spans="1:8">
      <c r="A16" s="36" t="s">
        <v>1945</v>
      </c>
      <c r="B16" s="36"/>
      <c r="C16" s="36"/>
      <c r="D16" s="36"/>
      <c r="E16" s="36" t="s">
        <v>1945</v>
      </c>
      <c r="F16" s="36"/>
      <c r="G16" s="36"/>
      <c r="H16" s="36"/>
    </row>
    <row r="17" s="32" customFormat="1" ht="25" customHeight="1" spans="1:8">
      <c r="A17" s="39" t="s">
        <v>1946</v>
      </c>
      <c r="B17" s="42">
        <v>2991120</v>
      </c>
      <c r="C17" s="42">
        <v>3218050</v>
      </c>
      <c r="D17" s="45">
        <f t="shared" ref="D17:D25" si="3">IF(B17&lt;&gt;0,C17/B17-1,"")</f>
        <v>0.075867902324213</v>
      </c>
      <c r="E17" s="44" t="s">
        <v>1946</v>
      </c>
      <c r="F17" s="42">
        <v>634540</v>
      </c>
      <c r="G17" s="42">
        <v>661832</v>
      </c>
      <c r="H17" s="41">
        <f t="shared" ref="H17:H25" si="4">IF(F17&lt;&gt;0,G17/F17-1,"")</f>
        <v>0.0430106849056009</v>
      </c>
    </row>
    <row r="18" s="32" customFormat="1" ht="25" customHeight="1" spans="1:8">
      <c r="A18" s="39" t="s">
        <v>1947</v>
      </c>
      <c r="B18" s="42">
        <v>3250800</v>
      </c>
      <c r="C18" s="42">
        <f>3250800+150000+90000</f>
        <v>3490800</v>
      </c>
      <c r="D18" s="45">
        <f t="shared" si="3"/>
        <v>0.0738279808047251</v>
      </c>
      <c r="E18" s="44" t="s">
        <v>1947</v>
      </c>
      <c r="F18" s="42">
        <v>666952</v>
      </c>
      <c r="G18" s="42">
        <f>666952+6000+30000</f>
        <v>702952</v>
      </c>
      <c r="H18" s="41">
        <f t="shared" si="4"/>
        <v>0.053976897887704</v>
      </c>
    </row>
    <row r="19" s="32" customFormat="1" ht="25" customHeight="1" spans="1:8">
      <c r="A19" s="39" t="s">
        <v>1948</v>
      </c>
      <c r="B19" s="42">
        <f t="shared" ref="B19:G19" si="5">SUM(B20:B22)</f>
        <v>487330</v>
      </c>
      <c r="C19" s="40">
        <f t="shared" si="5"/>
        <v>370000</v>
      </c>
      <c r="D19" s="45">
        <f t="shared" si="3"/>
        <v>-0.240760880717378</v>
      </c>
      <c r="E19" s="44" t="s">
        <v>1948</v>
      </c>
      <c r="F19" s="42">
        <f t="shared" si="5"/>
        <v>81742</v>
      </c>
      <c r="G19" s="40">
        <f t="shared" si="5"/>
        <v>64750</v>
      </c>
      <c r="H19" s="41">
        <f t="shared" si="4"/>
        <v>-0.207873553375254</v>
      </c>
    </row>
    <row r="20" s="32" customFormat="1" ht="25" customHeight="1" spans="1:8">
      <c r="A20" s="43" t="s">
        <v>1949</v>
      </c>
      <c r="B20" s="42">
        <v>152300</v>
      </c>
      <c r="C20" s="42">
        <v>150000</v>
      </c>
      <c r="D20" s="45">
        <f t="shared" si="3"/>
        <v>-0.0151017728168089</v>
      </c>
      <c r="E20" s="43" t="s">
        <v>1949</v>
      </c>
      <c r="F20" s="42">
        <v>6931</v>
      </c>
      <c r="G20" s="42">
        <v>6000</v>
      </c>
      <c r="H20" s="41">
        <f t="shared" si="4"/>
        <v>-0.13432405136344</v>
      </c>
    </row>
    <row r="21" s="32" customFormat="1" ht="25" customHeight="1" spans="1:8">
      <c r="A21" s="43" t="s">
        <v>1950</v>
      </c>
      <c r="B21" s="42">
        <v>335030</v>
      </c>
      <c r="C21" s="42">
        <f>130000+90000</f>
        <v>220000</v>
      </c>
      <c r="D21" s="45">
        <f t="shared" si="3"/>
        <v>-0.343342387248903</v>
      </c>
      <c r="E21" s="43" t="s">
        <v>1950</v>
      </c>
      <c r="F21" s="42">
        <v>74811</v>
      </c>
      <c r="G21" s="42">
        <f>28750+30000</f>
        <v>58750</v>
      </c>
      <c r="H21" s="41">
        <f t="shared" si="4"/>
        <v>-0.214687679619307</v>
      </c>
    </row>
    <row r="22" s="32" customFormat="1" ht="25" customHeight="1" spans="1:8">
      <c r="A22" s="43" t="s">
        <v>1951</v>
      </c>
      <c r="B22" s="42"/>
      <c r="C22" s="42"/>
      <c r="D22" s="45" t="str">
        <f t="shared" si="3"/>
        <v/>
      </c>
      <c r="E22" s="43" t="s">
        <v>1951</v>
      </c>
      <c r="F22" s="42"/>
      <c r="G22" s="42"/>
      <c r="H22" s="41" t="str">
        <f t="shared" si="4"/>
        <v/>
      </c>
    </row>
    <row r="23" s="32" customFormat="1" ht="25" customHeight="1" spans="1:8">
      <c r="A23" s="39" t="s">
        <v>1952</v>
      </c>
      <c r="B23" s="42">
        <v>361400</v>
      </c>
      <c r="C23" s="42">
        <f>147600+90000</f>
        <v>237600</v>
      </c>
      <c r="D23" s="45">
        <f t="shared" si="3"/>
        <v>-0.342556723851688</v>
      </c>
      <c r="E23" s="44" t="s">
        <v>1952</v>
      </c>
      <c r="F23" s="42">
        <v>80421</v>
      </c>
      <c r="G23" s="42">
        <f>32650+30000</f>
        <v>62650</v>
      </c>
      <c r="H23" s="41">
        <f t="shared" si="4"/>
        <v>-0.220974621056689</v>
      </c>
    </row>
    <row r="24" s="32" customFormat="1" ht="25" customHeight="1" spans="1:8">
      <c r="A24" s="39" t="s">
        <v>1953</v>
      </c>
      <c r="B24" s="40">
        <f>B25-(B17+B19-B23)</f>
        <v>101000</v>
      </c>
      <c r="C24" s="42">
        <v>90000</v>
      </c>
      <c r="D24" s="45">
        <f t="shared" si="3"/>
        <v>-0.108910891089109</v>
      </c>
      <c r="E24" s="39" t="s">
        <v>1953</v>
      </c>
      <c r="F24" s="40">
        <f>F25-(F17+F19-F23)</f>
        <v>25971</v>
      </c>
      <c r="G24" s="42">
        <v>30000</v>
      </c>
      <c r="H24" s="41">
        <f t="shared" si="4"/>
        <v>0.155134573177775</v>
      </c>
    </row>
    <row r="25" s="32" customFormat="1" ht="25" customHeight="1" spans="1:8">
      <c r="A25" s="39" t="s">
        <v>1954</v>
      </c>
      <c r="B25" s="42">
        <v>3218050</v>
      </c>
      <c r="C25" s="42">
        <f>C17+C19-C23+C24</f>
        <v>3440450</v>
      </c>
      <c r="D25" s="45">
        <f t="shared" si="3"/>
        <v>0.0691101754167898</v>
      </c>
      <c r="E25" s="39" t="s">
        <v>1954</v>
      </c>
      <c r="F25" s="42">
        <v>661832</v>
      </c>
      <c r="G25" s="42">
        <f>G17+G19-G23+G24</f>
        <v>693932</v>
      </c>
      <c r="H25" s="41">
        <f t="shared" si="4"/>
        <v>0.0485017345791681</v>
      </c>
    </row>
    <row r="26" s="32" customFormat="1" ht="25" customHeight="1" spans="1:8">
      <c r="A26" s="36" t="s">
        <v>1827</v>
      </c>
      <c r="B26" s="36"/>
      <c r="C26" s="36"/>
      <c r="D26" s="36"/>
      <c r="E26" s="36" t="s">
        <v>1827</v>
      </c>
      <c r="F26" s="36"/>
      <c r="G26" s="36"/>
      <c r="H26" s="36"/>
    </row>
    <row r="27" s="32" customFormat="1" ht="25" customHeight="1" spans="1:8">
      <c r="A27" s="39" t="s">
        <v>1955</v>
      </c>
      <c r="B27" s="46">
        <f t="shared" ref="B27:G27" si="6">B6+B17</f>
        <v>4530336.34</v>
      </c>
      <c r="C27" s="46">
        <f t="shared" si="6"/>
        <v>4780774.25</v>
      </c>
      <c r="D27" s="45">
        <f t="shared" ref="D27:D36" si="7">IF(B27&lt;&gt;0,C27/B27-1,"")</f>
        <v>0.055280202440775</v>
      </c>
      <c r="E27" s="44" t="s">
        <v>1955</v>
      </c>
      <c r="F27" s="46">
        <f t="shared" si="6"/>
        <v>1269457.2</v>
      </c>
      <c r="G27" s="46">
        <f t="shared" si="6"/>
        <v>1310553.36</v>
      </c>
      <c r="H27" s="41">
        <f t="shared" ref="H27:H36" si="8">IF(F27&lt;&gt;0,G27/F27-1,"")</f>
        <v>0.032373017380972</v>
      </c>
    </row>
    <row r="28" s="32" customFormat="1" ht="25" customHeight="1" spans="1:8">
      <c r="A28" s="39" t="s">
        <v>1956</v>
      </c>
      <c r="B28" s="46">
        <f t="shared" ref="B28:G28" si="9">B7+B18</f>
        <v>4866591</v>
      </c>
      <c r="C28" s="46">
        <f t="shared" si="9"/>
        <v>5146591</v>
      </c>
      <c r="D28" s="45">
        <f t="shared" si="7"/>
        <v>0.0575351411285641</v>
      </c>
      <c r="E28" s="44" t="s">
        <v>1956</v>
      </c>
      <c r="F28" s="46">
        <f t="shared" si="9"/>
        <v>1330316</v>
      </c>
      <c r="G28" s="46">
        <f t="shared" si="9"/>
        <v>1366316</v>
      </c>
      <c r="H28" s="41">
        <f t="shared" si="8"/>
        <v>0.0270612395851813</v>
      </c>
    </row>
    <row r="29" s="32" customFormat="1" ht="25" customHeight="1" spans="1:8">
      <c r="A29" s="39" t="s">
        <v>1957</v>
      </c>
      <c r="B29" s="46">
        <f t="shared" ref="B29:G29" si="10">B8+B19</f>
        <v>725274.86</v>
      </c>
      <c r="C29" s="46">
        <f t="shared" si="10"/>
        <v>585000</v>
      </c>
      <c r="D29" s="45">
        <f t="shared" si="7"/>
        <v>-0.193409240739435</v>
      </c>
      <c r="E29" s="44" t="s">
        <v>1957</v>
      </c>
      <c r="F29" s="46">
        <f t="shared" si="10"/>
        <v>217392</v>
      </c>
      <c r="G29" s="46">
        <f t="shared" si="10"/>
        <v>154066</v>
      </c>
      <c r="H29" s="41">
        <f t="shared" si="8"/>
        <v>-0.291298667844263</v>
      </c>
    </row>
    <row r="30" s="32" customFormat="1" ht="25" customHeight="1" spans="1:8">
      <c r="A30" s="43" t="s">
        <v>1958</v>
      </c>
      <c r="B30" s="46">
        <f t="shared" ref="B30:G30" si="11">B9+B20</f>
        <v>173300</v>
      </c>
      <c r="C30" s="46">
        <f t="shared" si="11"/>
        <v>150000</v>
      </c>
      <c r="D30" s="45">
        <f t="shared" si="7"/>
        <v>-0.134448932487017</v>
      </c>
      <c r="E30" s="43" t="s">
        <v>1958</v>
      </c>
      <c r="F30" s="46">
        <f t="shared" si="11"/>
        <v>27931</v>
      </c>
      <c r="G30" s="46">
        <f t="shared" si="11"/>
        <v>6000</v>
      </c>
      <c r="H30" s="41">
        <f t="shared" si="8"/>
        <v>-0.785184919981383</v>
      </c>
    </row>
    <row r="31" s="32" customFormat="1" ht="25" customHeight="1" spans="1:8">
      <c r="A31" s="43" t="s">
        <v>1959</v>
      </c>
      <c r="B31" s="46">
        <f t="shared" ref="B31:G31" si="12">B10+B21</f>
        <v>547675</v>
      </c>
      <c r="C31" s="46">
        <f t="shared" si="12"/>
        <v>435000</v>
      </c>
      <c r="D31" s="45">
        <f t="shared" si="7"/>
        <v>-0.205733327246999</v>
      </c>
      <c r="E31" s="43" t="s">
        <v>1959</v>
      </c>
      <c r="F31" s="46">
        <f t="shared" si="12"/>
        <v>189461</v>
      </c>
      <c r="G31" s="46">
        <f t="shared" si="12"/>
        <v>148066</v>
      </c>
      <c r="H31" s="41">
        <f t="shared" si="8"/>
        <v>-0.218488237684801</v>
      </c>
    </row>
    <row r="32" s="32" customFormat="1" ht="25" customHeight="1" spans="1:8">
      <c r="A32" s="43" t="s">
        <v>1960</v>
      </c>
      <c r="B32" s="46">
        <f t="shared" ref="B32:G32" si="13">B11+B22</f>
        <v>0</v>
      </c>
      <c r="C32" s="46">
        <f t="shared" si="13"/>
        <v>0</v>
      </c>
      <c r="D32" s="45" t="str">
        <f t="shared" si="7"/>
        <v/>
      </c>
      <c r="E32" s="43" t="s">
        <v>1960</v>
      </c>
      <c r="F32" s="46">
        <f t="shared" si="13"/>
        <v>0</v>
      </c>
      <c r="G32" s="46">
        <f t="shared" si="13"/>
        <v>0</v>
      </c>
      <c r="H32" s="41" t="str">
        <f t="shared" si="8"/>
        <v/>
      </c>
    </row>
    <row r="33" s="32" customFormat="1" ht="25" customHeight="1" spans="1:8">
      <c r="A33" s="44" t="s">
        <v>1941</v>
      </c>
      <c r="B33" s="46">
        <f t="shared" ref="B33:G33" si="14">B12</f>
        <v>4299.86</v>
      </c>
      <c r="C33" s="46">
        <f t="shared" si="14"/>
        <v>0</v>
      </c>
      <c r="D33" s="45">
        <f t="shared" si="7"/>
        <v>-1</v>
      </c>
      <c r="E33" s="44" t="s">
        <v>1941</v>
      </c>
      <c r="F33" s="46">
        <f t="shared" si="14"/>
        <v>0</v>
      </c>
      <c r="G33" s="46">
        <f t="shared" si="14"/>
        <v>0</v>
      </c>
      <c r="H33" s="41" t="str">
        <f t="shared" si="8"/>
        <v/>
      </c>
    </row>
    <row r="34" s="32" customFormat="1" ht="25" customHeight="1" spans="1:8">
      <c r="A34" s="39" t="s">
        <v>1961</v>
      </c>
      <c r="B34" s="46">
        <f t="shared" ref="B34:G34" si="15">B13+B23</f>
        <v>595420.69</v>
      </c>
      <c r="C34" s="46">
        <f t="shared" si="15"/>
        <v>470100</v>
      </c>
      <c r="D34" s="45">
        <f t="shared" si="7"/>
        <v>-0.210474194304534</v>
      </c>
      <c r="E34" s="44" t="s">
        <v>1961</v>
      </c>
      <c r="F34" s="46">
        <f t="shared" si="15"/>
        <v>207276.69</v>
      </c>
      <c r="G34" s="46">
        <f t="shared" si="15"/>
        <v>161400</v>
      </c>
      <c r="H34" s="41">
        <f t="shared" si="8"/>
        <v>-0.221330676401674</v>
      </c>
    </row>
    <row r="35" s="32" customFormat="1" ht="25" customHeight="1" spans="1:8">
      <c r="A35" s="44" t="s">
        <v>1962</v>
      </c>
      <c r="B35" s="46">
        <f t="shared" ref="B35:G35" si="16">B24+B14</f>
        <v>120583.74</v>
      </c>
      <c r="C35" s="46">
        <f t="shared" si="16"/>
        <v>130000</v>
      </c>
      <c r="D35" s="45">
        <f t="shared" si="7"/>
        <v>0.0780889695410032</v>
      </c>
      <c r="E35" s="44" t="s">
        <v>1962</v>
      </c>
      <c r="F35" s="46">
        <f t="shared" si="16"/>
        <v>30980.85</v>
      </c>
      <c r="G35" s="46">
        <f t="shared" si="16"/>
        <v>30000</v>
      </c>
      <c r="H35" s="41">
        <f t="shared" si="8"/>
        <v>-0.0316598802163265</v>
      </c>
    </row>
    <row r="36" s="32" customFormat="1" ht="25" customHeight="1" spans="1:8">
      <c r="A36" s="39" t="s">
        <v>1963</v>
      </c>
      <c r="B36" s="46">
        <f t="shared" ref="B36:G36" si="17">B15+B25</f>
        <v>4780774.25</v>
      </c>
      <c r="C36" s="46">
        <f t="shared" si="17"/>
        <v>5025674.25</v>
      </c>
      <c r="D36" s="45">
        <f t="shared" si="7"/>
        <v>0.0512260121882977</v>
      </c>
      <c r="E36" s="39" t="s">
        <v>1963</v>
      </c>
      <c r="F36" s="46">
        <f t="shared" si="17"/>
        <v>1310553.36</v>
      </c>
      <c r="G36" s="46">
        <f t="shared" si="17"/>
        <v>1333219.36</v>
      </c>
      <c r="H36" s="41">
        <f t="shared" si="8"/>
        <v>0.0172949844636621</v>
      </c>
    </row>
    <row r="37" s="32" customFormat="1" ht="25" customHeight="1" spans="1:8">
      <c r="A37" s="47"/>
      <c r="B37" s="48"/>
      <c r="C37" s="48"/>
      <c r="D37" s="48"/>
      <c r="E37" s="51"/>
      <c r="F37" s="51"/>
      <c r="G37" s="51"/>
      <c r="H37" s="51"/>
    </row>
    <row r="38" s="32" customFormat="1" spans="2:7">
      <c r="B38" s="49"/>
      <c r="F38" s="49"/>
      <c r="G38" s="49"/>
    </row>
    <row r="39" s="32" customFormat="1" spans="2:7">
      <c r="B39" s="49"/>
      <c r="F39" s="49"/>
      <c r="G39" s="49"/>
    </row>
    <row r="40" s="32" customFormat="1" spans="2:7">
      <c r="B40" s="49"/>
      <c r="F40" s="49"/>
      <c r="G40" s="49"/>
    </row>
    <row r="41" s="32" customFormat="1" spans="2:2">
      <c r="B41" s="50"/>
    </row>
    <row r="42" s="32" customFormat="1" spans="2:7">
      <c r="B42" s="49"/>
      <c r="F42" s="49"/>
      <c r="G42" s="49"/>
    </row>
    <row r="43" s="32" customFormat="1" spans="2:2">
      <c r="B43" s="50"/>
    </row>
    <row r="44" s="32" customFormat="1" spans="2:2">
      <c r="B44" s="50"/>
    </row>
    <row r="45" s="32" customFormat="1" spans="2:7">
      <c r="B45" s="49"/>
      <c r="F45" s="49"/>
      <c r="G45" s="49"/>
    </row>
    <row r="46" s="32" customFormat="1" spans="2:2">
      <c r="B46" s="50"/>
    </row>
    <row r="47" s="32" customFormat="1" spans="2:2">
      <c r="B47" s="50"/>
    </row>
    <row r="48" s="32" customFormat="1" spans="2:2">
      <c r="B48" s="50"/>
    </row>
    <row r="49" s="32" customFormat="1" spans="2:2">
      <c r="B49" s="50"/>
    </row>
    <row r="50" s="32" customFormat="1" spans="2:7">
      <c r="B50" s="49"/>
      <c r="F50" s="49"/>
      <c r="G50" s="49"/>
    </row>
    <row r="51" s="32" customFormat="1" spans="2:2">
      <c r="B51" s="50"/>
    </row>
  </sheetData>
  <mergeCells count="14">
    <mergeCell ref="A1:D1"/>
    <mergeCell ref="E1:H1"/>
    <mergeCell ref="B3:D3"/>
    <mergeCell ref="F3:H3"/>
    <mergeCell ref="A5:D5"/>
    <mergeCell ref="E5:H5"/>
    <mergeCell ref="A16:D16"/>
    <mergeCell ref="E16:H16"/>
    <mergeCell ref="A26:D26"/>
    <mergeCell ref="E26:H26"/>
    <mergeCell ref="A37:D37"/>
    <mergeCell ref="E37:H37"/>
    <mergeCell ref="A3:A4"/>
    <mergeCell ref="E3:E4"/>
  </mergeCells>
  <printOptions horizontalCentered="1"/>
  <pageMargins left="0.393055555555556" right="0.393055555555556" top="1" bottom="1" header="0.5" footer="0.5"/>
  <pageSetup paperSize="9" scale="63" orientation="portrait" horizontalDpi="600"/>
  <headerFooter>
    <oddFooter>&amp;C- &amp;P -</oddFooter>
  </headerFooter>
  <colBreaks count="1" manualBreakCount="1">
    <brk id="4" max="1048575" man="1"/>
  </colBreaks>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4">
    <pageSetUpPr fitToPage="1"/>
  </sheetPr>
  <dimension ref="A1:IV15"/>
  <sheetViews>
    <sheetView workbookViewId="0">
      <selection activeCell="Q15" sqref="Q15"/>
    </sheetView>
  </sheetViews>
  <sheetFormatPr defaultColWidth="9" defaultRowHeight="14.25"/>
  <cols>
    <col min="1" max="1" width="9.11666666666667" style="4" customWidth="1"/>
    <col min="2" max="2" width="11.625" style="1" customWidth="1"/>
    <col min="3" max="5" width="9.25" style="1" customWidth="1"/>
    <col min="6" max="6" width="10.375" style="1" customWidth="1"/>
    <col min="7" max="7" width="9.375" style="1" customWidth="1"/>
    <col min="8" max="8" width="9.25" style="5" customWidth="1"/>
    <col min="9" max="9" width="8.5" style="5" customWidth="1"/>
    <col min="10" max="10" width="10.5833333333333" style="5" customWidth="1"/>
    <col min="11" max="13" width="8.625" style="5" customWidth="1"/>
    <col min="14" max="14" width="11.625" style="6" customWidth="1"/>
    <col min="15" max="15" width="9.25" style="1" customWidth="1"/>
    <col min="16" max="16" width="10.375" style="1" customWidth="1"/>
    <col min="17" max="243" width="9.88333333333333" style="1" customWidth="1"/>
    <col min="244" max="16384" width="9.88333333333333" style="3"/>
  </cols>
  <sheetData>
    <row r="1" s="1" customFormat="1" ht="36" customHeight="1" spans="1:16">
      <c r="A1" s="7" t="s">
        <v>102</v>
      </c>
      <c r="B1" s="7"/>
      <c r="C1" s="7"/>
      <c r="D1" s="7"/>
      <c r="E1" s="7"/>
      <c r="F1" s="7"/>
      <c r="G1" s="7"/>
      <c r="H1" s="7"/>
      <c r="I1" s="7"/>
      <c r="J1" s="7"/>
      <c r="K1" s="7"/>
      <c r="L1" s="7"/>
      <c r="M1" s="7"/>
      <c r="N1" s="7"/>
      <c r="O1" s="7"/>
      <c r="P1" s="7"/>
    </row>
    <row r="2" s="1" customFormat="1" ht="18" customHeight="1" spans="1:16">
      <c r="A2" s="8" t="s">
        <v>101</v>
      </c>
      <c r="B2" s="9"/>
      <c r="C2" s="9"/>
      <c r="D2" s="9"/>
      <c r="E2" s="9"/>
      <c r="F2" s="9"/>
      <c r="G2" s="9"/>
      <c r="H2" s="9"/>
      <c r="I2" s="9"/>
      <c r="J2" s="9"/>
      <c r="K2" s="9"/>
      <c r="L2" s="9"/>
      <c r="M2" s="9"/>
      <c r="N2" s="9"/>
      <c r="O2" s="27" t="s">
        <v>1988</v>
      </c>
      <c r="P2" s="27"/>
    </row>
    <row r="3" s="1" customFormat="1" ht="24.95" customHeight="1" spans="1:16">
      <c r="A3" s="10" t="s">
        <v>1989</v>
      </c>
      <c r="B3" s="11" t="s">
        <v>1990</v>
      </c>
      <c r="C3" s="11"/>
      <c r="D3" s="11"/>
      <c r="E3" s="11" t="s">
        <v>1991</v>
      </c>
      <c r="F3" s="11"/>
      <c r="G3" s="11"/>
      <c r="H3" s="11" t="s">
        <v>1992</v>
      </c>
      <c r="I3" s="11"/>
      <c r="J3" s="11"/>
      <c r="K3" s="24" t="s">
        <v>1993</v>
      </c>
      <c r="L3" s="25"/>
      <c r="M3" s="25"/>
      <c r="N3" s="28" t="s">
        <v>1994</v>
      </c>
      <c r="O3" s="11"/>
      <c r="P3" s="11"/>
    </row>
    <row r="4" s="1" customFormat="1" ht="24.95" customHeight="1" spans="1:16">
      <c r="A4" s="10"/>
      <c r="B4" s="11" t="s">
        <v>1827</v>
      </c>
      <c r="C4" s="11" t="s">
        <v>1934</v>
      </c>
      <c r="D4" s="12" t="s">
        <v>1945</v>
      </c>
      <c r="E4" s="11" t="s">
        <v>1827</v>
      </c>
      <c r="F4" s="12" t="s">
        <v>1934</v>
      </c>
      <c r="G4" s="20" t="s">
        <v>1945</v>
      </c>
      <c r="H4" s="11" t="s">
        <v>1827</v>
      </c>
      <c r="I4" s="12" t="s">
        <v>1934</v>
      </c>
      <c r="J4" s="20" t="s">
        <v>1945</v>
      </c>
      <c r="K4" s="26" t="s">
        <v>1827</v>
      </c>
      <c r="L4" s="26" t="s">
        <v>1934</v>
      </c>
      <c r="M4" s="26" t="s">
        <v>1945</v>
      </c>
      <c r="N4" s="29" t="s">
        <v>1827</v>
      </c>
      <c r="O4" s="11" t="s">
        <v>1934</v>
      </c>
      <c r="P4" s="12" t="s">
        <v>1945</v>
      </c>
    </row>
    <row r="5" s="1" customFormat="1" ht="20.1" hidden="1" customHeight="1" spans="1:16">
      <c r="A5" s="10"/>
      <c r="B5" s="11"/>
      <c r="C5" s="11"/>
      <c r="D5" s="13"/>
      <c r="E5" s="11"/>
      <c r="F5" s="13"/>
      <c r="G5" s="21"/>
      <c r="H5" s="11"/>
      <c r="I5" s="13"/>
      <c r="J5" s="21"/>
      <c r="K5" s="26"/>
      <c r="L5" s="26"/>
      <c r="M5" s="26"/>
      <c r="N5" s="29"/>
      <c r="O5" s="11"/>
      <c r="P5" s="13"/>
    </row>
    <row r="6" s="1" customFormat="1" ht="46" customHeight="1" spans="1:16">
      <c r="A6" s="10"/>
      <c r="B6" s="11"/>
      <c r="C6" s="11"/>
      <c r="D6" s="14"/>
      <c r="E6" s="11"/>
      <c r="F6" s="14"/>
      <c r="G6" s="22"/>
      <c r="H6" s="11"/>
      <c r="I6" s="14"/>
      <c r="J6" s="22"/>
      <c r="K6" s="26"/>
      <c r="L6" s="26"/>
      <c r="M6" s="26"/>
      <c r="N6" s="29"/>
      <c r="O6" s="11"/>
      <c r="P6" s="14"/>
    </row>
    <row r="7" s="2" customFormat="1" ht="42" customHeight="1" spans="1:16">
      <c r="A7" s="15" t="s">
        <v>1995</v>
      </c>
      <c r="B7" s="16">
        <f t="shared" ref="B7:P7" si="0">SUM(B8:B13)</f>
        <v>458.6094</v>
      </c>
      <c r="C7" s="16">
        <f t="shared" si="0"/>
        <v>158.3594</v>
      </c>
      <c r="D7" s="16">
        <f t="shared" si="0"/>
        <v>300.25</v>
      </c>
      <c r="E7" s="16">
        <f t="shared" si="0"/>
        <v>30.3497</v>
      </c>
      <c r="F7" s="16">
        <f t="shared" si="0"/>
        <v>5.0197</v>
      </c>
      <c r="G7" s="16">
        <f t="shared" si="0"/>
        <v>25.33</v>
      </c>
      <c r="H7" s="16">
        <f t="shared" si="0"/>
        <v>-2.3</v>
      </c>
      <c r="I7" s="16">
        <f t="shared" si="0"/>
        <v>-1.8</v>
      </c>
      <c r="J7" s="16">
        <f t="shared" si="0"/>
        <v>-0.5</v>
      </c>
      <c r="K7" s="16">
        <f t="shared" si="0"/>
        <v>0</v>
      </c>
      <c r="L7" s="16">
        <f t="shared" si="0"/>
        <v>0</v>
      </c>
      <c r="M7" s="16">
        <f t="shared" si="0"/>
        <v>0</v>
      </c>
      <c r="N7" s="16">
        <f t="shared" si="0"/>
        <v>486.6591</v>
      </c>
      <c r="O7" s="16">
        <f t="shared" si="0"/>
        <v>161.5791</v>
      </c>
      <c r="P7" s="16">
        <f t="shared" si="0"/>
        <v>325.08</v>
      </c>
    </row>
    <row r="8" s="1" customFormat="1" ht="38" customHeight="1" spans="1:16">
      <c r="A8" s="11" t="s">
        <v>1932</v>
      </c>
      <c r="B8" s="17">
        <f t="shared" ref="B8:B13" si="1">C8+D8</f>
        <v>127.8314</v>
      </c>
      <c r="C8" s="17">
        <v>64.3464</v>
      </c>
      <c r="D8" s="18">
        <v>63.485</v>
      </c>
      <c r="E8" s="17">
        <f t="shared" ref="E8:E13" si="2">F8+G8</f>
        <v>5.8902</v>
      </c>
      <c r="F8" s="17">
        <v>2.6</v>
      </c>
      <c r="G8" s="17">
        <v>3.2902</v>
      </c>
      <c r="H8" s="23">
        <f t="shared" ref="H8:H13" si="3">I8+J8</f>
        <v>-0.69</v>
      </c>
      <c r="I8" s="23">
        <v>-0.61</v>
      </c>
      <c r="J8" s="23">
        <v>-0.08</v>
      </c>
      <c r="K8" s="17"/>
      <c r="L8" s="17"/>
      <c r="M8" s="17"/>
      <c r="N8" s="17">
        <f t="shared" ref="N8:N13" si="4">O8+P8</f>
        <v>133.0316</v>
      </c>
      <c r="O8" s="17">
        <f t="shared" ref="O8:O13" si="5">C8+F8+I8+L8</f>
        <v>66.3364</v>
      </c>
      <c r="P8" s="17">
        <f t="shared" ref="P8:P13" si="6">D8+G8+J8+M8</f>
        <v>66.6952</v>
      </c>
    </row>
    <row r="9" s="1" customFormat="1" ht="33" customHeight="1" spans="1:16">
      <c r="A9" s="11" t="s">
        <v>1831</v>
      </c>
      <c r="B9" s="17">
        <f t="shared" si="1"/>
        <v>73.4521</v>
      </c>
      <c r="C9" s="17">
        <v>16.9421</v>
      </c>
      <c r="D9" s="18">
        <v>56.51</v>
      </c>
      <c r="E9" s="17">
        <f t="shared" si="2"/>
        <v>2.4343</v>
      </c>
      <c r="F9" s="17">
        <v>0.3</v>
      </c>
      <c r="G9" s="17">
        <v>2.1343</v>
      </c>
      <c r="H9" s="23">
        <f t="shared" si="3"/>
        <v>-0.44</v>
      </c>
      <c r="I9" s="23">
        <v>-0.38</v>
      </c>
      <c r="J9" s="23">
        <v>-0.06</v>
      </c>
      <c r="K9" s="17">
        <f t="shared" ref="K9:K13" si="7">L9+M9</f>
        <v>1</v>
      </c>
      <c r="L9" s="17"/>
      <c r="M9" s="17">
        <v>1</v>
      </c>
      <c r="N9" s="17">
        <f t="shared" si="4"/>
        <v>76.4464</v>
      </c>
      <c r="O9" s="17">
        <f t="shared" si="5"/>
        <v>16.8621</v>
      </c>
      <c r="P9" s="17">
        <f t="shared" si="6"/>
        <v>59.5843</v>
      </c>
    </row>
    <row r="10" s="1" customFormat="1" ht="36" customHeight="1" spans="1:16">
      <c r="A10" s="11" t="s">
        <v>1835</v>
      </c>
      <c r="B10" s="17">
        <f t="shared" si="1"/>
        <v>53.6314</v>
      </c>
      <c r="C10" s="17">
        <v>17.0914</v>
      </c>
      <c r="D10" s="18">
        <v>36.54</v>
      </c>
      <c r="E10" s="17">
        <f t="shared" si="2"/>
        <v>5.1259</v>
      </c>
      <c r="F10" s="17">
        <v>0.25</v>
      </c>
      <c r="G10" s="17">
        <v>4.8759</v>
      </c>
      <c r="H10" s="23">
        <f t="shared" si="3"/>
        <v>-0.33</v>
      </c>
      <c r="I10" s="23">
        <v>-0.3</v>
      </c>
      <c r="J10" s="23">
        <v>-0.03</v>
      </c>
      <c r="K10" s="17">
        <f t="shared" si="7"/>
        <v>9</v>
      </c>
      <c r="L10" s="17"/>
      <c r="M10" s="17">
        <v>9</v>
      </c>
      <c r="N10" s="17">
        <f t="shared" si="4"/>
        <v>67.4273</v>
      </c>
      <c r="O10" s="17">
        <f t="shared" si="5"/>
        <v>17.0414</v>
      </c>
      <c r="P10" s="17">
        <f t="shared" si="6"/>
        <v>50.3859</v>
      </c>
    </row>
    <row r="11" s="1" customFormat="1" ht="36" customHeight="1" spans="1:16">
      <c r="A11" s="11" t="s">
        <v>1832</v>
      </c>
      <c r="B11" s="17">
        <f t="shared" si="1"/>
        <v>57.6775</v>
      </c>
      <c r="C11" s="17">
        <v>21.4375</v>
      </c>
      <c r="D11" s="18">
        <v>36.24</v>
      </c>
      <c r="E11" s="17">
        <f t="shared" si="2"/>
        <v>6.2122</v>
      </c>
      <c r="F11" s="17">
        <v>1.1197</v>
      </c>
      <c r="G11" s="17">
        <v>5.0925</v>
      </c>
      <c r="H11" s="23">
        <f t="shared" si="3"/>
        <v>-0.29</v>
      </c>
      <c r="I11" s="23">
        <v>-0.24</v>
      </c>
      <c r="J11" s="23">
        <v>-0.05</v>
      </c>
      <c r="K11" s="17">
        <f t="shared" si="7"/>
        <v>0</v>
      </c>
      <c r="L11" s="17"/>
      <c r="M11" s="17"/>
      <c r="N11" s="17">
        <f t="shared" si="4"/>
        <v>63.5997</v>
      </c>
      <c r="O11" s="17">
        <f t="shared" si="5"/>
        <v>22.3172</v>
      </c>
      <c r="P11" s="17">
        <f t="shared" si="6"/>
        <v>41.2825</v>
      </c>
    </row>
    <row r="12" s="1" customFormat="1" ht="40" customHeight="1" spans="1:16">
      <c r="A12" s="11" t="s">
        <v>1833</v>
      </c>
      <c r="B12" s="17">
        <f t="shared" si="1"/>
        <v>57.0829</v>
      </c>
      <c r="C12" s="17">
        <v>17.9029</v>
      </c>
      <c r="D12" s="18">
        <v>39.18</v>
      </c>
      <c r="E12" s="17">
        <f t="shared" si="2"/>
        <v>3.9826</v>
      </c>
      <c r="F12" s="17">
        <v>0.65</v>
      </c>
      <c r="G12" s="17">
        <v>3.3326</v>
      </c>
      <c r="H12" s="23">
        <f t="shared" si="3"/>
        <v>-0.26</v>
      </c>
      <c r="I12" s="23">
        <v>-0.11</v>
      </c>
      <c r="J12" s="23">
        <v>-0.15</v>
      </c>
      <c r="K12" s="17">
        <f t="shared" si="7"/>
        <v>0</v>
      </c>
      <c r="L12" s="17"/>
      <c r="M12" s="17"/>
      <c r="N12" s="17">
        <f t="shared" si="4"/>
        <v>60.8055</v>
      </c>
      <c r="O12" s="17">
        <f t="shared" si="5"/>
        <v>18.4429</v>
      </c>
      <c r="P12" s="17">
        <f t="shared" si="6"/>
        <v>42.3626</v>
      </c>
    </row>
    <row r="13" s="1" customFormat="1" ht="37" customHeight="1" spans="1:16">
      <c r="A13" s="11" t="s">
        <v>1834</v>
      </c>
      <c r="B13" s="17">
        <f t="shared" si="1"/>
        <v>88.9341</v>
      </c>
      <c r="C13" s="17">
        <v>20.6391</v>
      </c>
      <c r="D13" s="18">
        <v>68.295</v>
      </c>
      <c r="E13" s="17">
        <f t="shared" si="2"/>
        <v>6.7045</v>
      </c>
      <c r="F13" s="17">
        <v>0.1</v>
      </c>
      <c r="G13" s="17">
        <v>6.6045</v>
      </c>
      <c r="H13" s="23">
        <f t="shared" si="3"/>
        <v>-0.29</v>
      </c>
      <c r="I13" s="23">
        <v>-0.16</v>
      </c>
      <c r="J13" s="23">
        <v>-0.13</v>
      </c>
      <c r="K13" s="17">
        <f t="shared" si="7"/>
        <v>-10</v>
      </c>
      <c r="L13" s="17"/>
      <c r="M13" s="17">
        <v>-10</v>
      </c>
      <c r="N13" s="17">
        <f t="shared" si="4"/>
        <v>85.3486</v>
      </c>
      <c r="O13" s="17">
        <f t="shared" si="5"/>
        <v>20.5791</v>
      </c>
      <c r="P13" s="17">
        <f t="shared" si="6"/>
        <v>64.7695</v>
      </c>
    </row>
    <row r="14" s="3" customFormat="1" spans="1:243">
      <c r="A14" s="19" t="s">
        <v>1996</v>
      </c>
      <c r="B14" s="19"/>
      <c r="C14" s="19"/>
      <c r="D14" s="19"/>
      <c r="E14" s="19"/>
      <c r="F14" s="19"/>
      <c r="G14" s="19"/>
      <c r="H14" s="19"/>
      <c r="I14" s="19"/>
      <c r="J14" s="19"/>
      <c r="K14" s="19"/>
      <c r="L14" s="19"/>
      <c r="M14" s="19"/>
      <c r="N14" s="19"/>
      <c r="O14" s="19"/>
      <c r="P14" s="19"/>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row>
    <row r="15" s="1" customFormat="1" ht="29" customHeight="1" spans="1:256">
      <c r="A15" s="19"/>
      <c r="B15" s="19"/>
      <c r="C15" s="19"/>
      <c r="D15" s="19"/>
      <c r="E15" s="19"/>
      <c r="F15" s="19"/>
      <c r="G15" s="19"/>
      <c r="H15" s="19"/>
      <c r="I15" s="19"/>
      <c r="J15" s="19"/>
      <c r="K15" s="19"/>
      <c r="L15" s="19"/>
      <c r="M15" s="19"/>
      <c r="N15" s="19"/>
      <c r="O15" s="19"/>
      <c r="P15" s="19"/>
      <c r="IJ15" s="3"/>
      <c r="IK15" s="3"/>
      <c r="IL15" s="3"/>
      <c r="IM15" s="3"/>
      <c r="IN15" s="3"/>
      <c r="IO15" s="3"/>
      <c r="IP15" s="3"/>
      <c r="IQ15" s="3"/>
      <c r="IR15" s="3"/>
      <c r="IS15" s="3"/>
      <c r="IT15" s="3"/>
      <c r="IU15" s="3"/>
      <c r="IV15" s="3"/>
    </row>
  </sheetData>
  <mergeCells count="24">
    <mergeCell ref="A1:P1"/>
    <mergeCell ref="O2:P2"/>
    <mergeCell ref="B3:D3"/>
    <mergeCell ref="E3:G3"/>
    <mergeCell ref="H3:J3"/>
    <mergeCell ref="K3:M3"/>
    <mergeCell ref="N3:P3"/>
    <mergeCell ref="A3:A6"/>
    <mergeCell ref="B4:B6"/>
    <mergeCell ref="C4:C6"/>
    <mergeCell ref="D4:D6"/>
    <mergeCell ref="E4:E6"/>
    <mergeCell ref="F4:F6"/>
    <mergeCell ref="G4:G6"/>
    <mergeCell ref="H4:H6"/>
    <mergeCell ref="I4:I6"/>
    <mergeCell ref="J4:J6"/>
    <mergeCell ref="K4:K6"/>
    <mergeCell ref="L4:L6"/>
    <mergeCell ref="M4:M6"/>
    <mergeCell ref="N4:N6"/>
    <mergeCell ref="O4:O6"/>
    <mergeCell ref="P4:P6"/>
    <mergeCell ref="A14:P15"/>
  </mergeCells>
  <pageMargins left="0.751388888888889" right="0.751388888888889" top="1" bottom="1" header="0.5" footer="0.5"/>
  <pageSetup paperSize="9" scale="79" orientation="landscape" horizontalDpi="600"/>
  <headerFooter>
    <oddFooter>&amp;C- &amp;P -</oddFooter>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54</vt:i4>
      </vt:variant>
    </vt:vector>
  </HeadingPairs>
  <TitlesOfParts>
    <vt:vector size="54" baseType="lpstr">
      <vt:lpstr>封面</vt:lpstr>
      <vt:lpstr>目录</vt:lpstr>
      <vt:lpstr>01-1 </vt:lpstr>
      <vt:lpstr>01-2</vt:lpstr>
      <vt:lpstr>02</vt:lpstr>
      <vt:lpstr>03-1</vt:lpstr>
      <vt:lpstr>03-2</vt:lpstr>
      <vt:lpstr>04</vt:lpstr>
      <vt:lpstr>05</vt:lpstr>
      <vt:lpstr>06</vt:lpstr>
      <vt:lpstr>07</vt:lpstr>
      <vt:lpstr>08</vt:lpstr>
      <vt:lpstr>09</vt:lpstr>
      <vt:lpstr>10</vt:lpstr>
      <vt:lpstr>11</vt:lpstr>
      <vt:lpstr>12</vt:lpstr>
      <vt:lpstr>13</vt:lpstr>
      <vt:lpstr>14</vt:lpstr>
      <vt:lpstr>15</vt:lpstr>
      <vt:lpstr>16</vt:lpstr>
      <vt:lpstr>17</vt:lpstr>
      <vt:lpstr>18</vt:lpstr>
      <vt:lpstr>19</vt:lpstr>
      <vt:lpstr>20-1 </vt:lpstr>
      <vt:lpstr>20-2</vt:lpstr>
      <vt:lpstr>21</vt:lpstr>
      <vt:lpstr>22-1</vt:lpstr>
      <vt:lpstr>22-2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inspur</cp:lastModifiedBy>
  <dcterms:created xsi:type="dcterms:W3CDTF">2018-06-11T03:28:00Z</dcterms:created>
  <dcterms:modified xsi:type="dcterms:W3CDTF">2026-02-13T10:08:16Z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2052-11.8.2.12320</vt:lpwstr>
  </property>
  <property fmtid="{D5CDD505-2E9C-101B-9397-08002B2CF9AE}" pid="3" name="ICV">
    <vt:lpwstr>5C43C6FC254D419386668C8FCB29B5EE_13</vt:lpwstr>
  </property>
</Properties>
</file>